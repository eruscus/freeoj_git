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TeamFolders\MomPop\Results\"/>
    </mc:Choice>
  </mc:AlternateContent>
  <bookViews>
    <workbookView xWindow="0" yWindow="45" windowWidth="15480" windowHeight="1164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16" i="20" l="1"/>
  <c r="S15" i="20"/>
  <c r="S14" i="20"/>
  <c r="H40" i="20"/>
  <c r="H39" i="20"/>
  <c r="S39" i="20" s="1"/>
  <c r="H38" i="20"/>
  <c r="H35" i="20"/>
  <c r="H34" i="20"/>
  <c r="H33" i="20"/>
  <c r="S36" i="20" s="1"/>
  <c r="H30" i="20"/>
  <c r="H29" i="20"/>
  <c r="H28" i="20"/>
  <c r="S40" i="20" s="1"/>
  <c r="H27" i="20"/>
  <c r="S37" i="20" s="1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T19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 s="1"/>
  <c r="AY181" i="14"/>
  <c r="AY179" i="14"/>
  <c r="AY177" i="14"/>
  <c r="AY175" i="14"/>
  <c r="AY14" i="14"/>
  <c r="AX259" i="14" s="1"/>
  <c r="AX181" i="14"/>
  <c r="AX260" i="14" s="1"/>
  <c r="AX179" i="14"/>
  <c r="AX177" i="14"/>
  <c r="AX175" i="14"/>
  <c r="AW259" i="14"/>
  <c r="AX14" i="14"/>
  <c r="AW181" i="14"/>
  <c r="AW179" i="14"/>
  <c r="AW260" i="14" s="1"/>
  <c r="AW177" i="14"/>
  <c r="AW175" i="14"/>
  <c r="AW14" i="14"/>
  <c r="AV259" i="14" s="1"/>
  <c r="AV181" i="14"/>
  <c r="AV179" i="14"/>
  <c r="AV177" i="14"/>
  <c r="AV175" i="14"/>
  <c r="AV260" i="14" s="1"/>
  <c r="AV14" i="14"/>
  <c r="AU259" i="14" s="1"/>
  <c r="AU181" i="14"/>
  <c r="AU179" i="14"/>
  <c r="AU177" i="14"/>
  <c r="AU175" i="14"/>
  <c r="AU14" i="14"/>
  <c r="AT259" i="14" s="1"/>
  <c r="AT181" i="14"/>
  <c r="AT260" i="14" s="1"/>
  <c r="AT179" i="14"/>
  <c r="AT177" i="14"/>
  <c r="AT175" i="14"/>
  <c r="AS259" i="14"/>
  <c r="AT14" i="14"/>
  <c r="AS181" i="14"/>
  <c r="AS179" i="14"/>
  <c r="AS260" i="14" s="1"/>
  <c r="AS177" i="14"/>
  <c r="AS175" i="14"/>
  <c r="AR259" i="14"/>
  <c r="AS14" i="14"/>
  <c r="AR181" i="14"/>
  <c r="AR179" i="14"/>
  <c r="AR177" i="14"/>
  <c r="AR175" i="14"/>
  <c r="AR14" i="14"/>
  <c r="AQ259" i="14" s="1"/>
  <c r="AQ181" i="14"/>
  <c r="AQ179" i="14"/>
  <c r="AQ177" i="14"/>
  <c r="AQ175" i="14"/>
  <c r="AQ14" i="14"/>
  <c r="AP259" i="14" s="1"/>
  <c r="AP181" i="14"/>
  <c r="AP260" i="14" s="1"/>
  <c r="AP179" i="14"/>
  <c r="AP177" i="14"/>
  <c r="AP175" i="14"/>
  <c r="AO259" i="14"/>
  <c r="AP14" i="14"/>
  <c r="AO181" i="14"/>
  <c r="AO179" i="14"/>
  <c r="AO260" i="14" s="1"/>
  <c r="AO177" i="14"/>
  <c r="AO175" i="14"/>
  <c r="AO14" i="14"/>
  <c r="AN259" i="14" s="1"/>
  <c r="AN181" i="14"/>
  <c r="AN179" i="14"/>
  <c r="AN177" i="14"/>
  <c r="AN175" i="14"/>
  <c r="AN260" i="14" s="1"/>
  <c r="AN14" i="14"/>
  <c r="AM259" i="14" s="1"/>
  <c r="AM181" i="14"/>
  <c r="AM179" i="14"/>
  <c r="AM177" i="14"/>
  <c r="AM175" i="14"/>
  <c r="AM14" i="14"/>
  <c r="AL259" i="14" s="1"/>
  <c r="AL181" i="14"/>
  <c r="AL260" i="14" s="1"/>
  <c r="AL179" i="14"/>
  <c r="AL177" i="14"/>
  <c r="AL175" i="14"/>
  <c r="AK259" i="14"/>
  <c r="AL14" i="14"/>
  <c r="AK181" i="14"/>
  <c r="AK179" i="14"/>
  <c r="AK260" i="14" s="1"/>
  <c r="AK177" i="14"/>
  <c r="AK175" i="14"/>
  <c r="AJ259" i="14"/>
  <c r="AK14" i="14"/>
  <c r="AJ181" i="14"/>
  <c r="AJ179" i="14"/>
  <c r="AJ177" i="14"/>
  <c r="AJ175" i="14"/>
  <c r="AJ14" i="14"/>
  <c r="AI259" i="14" s="1"/>
  <c r="AI181" i="14"/>
  <c r="AI179" i="14"/>
  <c r="AI177" i="14"/>
  <c r="AI175" i="14"/>
  <c r="AI14" i="14"/>
  <c r="AH259" i="14" s="1"/>
  <c r="AH181" i="14"/>
  <c r="AH260" i="14" s="1"/>
  <c r="AH179" i="14"/>
  <c r="AH177" i="14"/>
  <c r="AH175" i="14"/>
  <c r="AG259" i="14"/>
  <c r="AH14" i="14"/>
  <c r="AG181" i="14"/>
  <c r="AG179" i="14"/>
  <c r="AG260" i="14" s="1"/>
  <c r="AG177" i="14"/>
  <c r="AG175" i="14"/>
  <c r="AG14" i="14"/>
  <c r="AF259" i="14" s="1"/>
  <c r="AF181" i="14"/>
  <c r="AF179" i="14"/>
  <c r="AF177" i="14"/>
  <c r="AF175" i="14"/>
  <c r="AF260" i="14" s="1"/>
  <c r="AF14" i="14"/>
  <c r="AE259" i="14" s="1"/>
  <c r="AE181" i="14"/>
  <c r="AE179" i="14"/>
  <c r="AE177" i="14"/>
  <c r="AE175" i="14"/>
  <c r="AE14" i="14"/>
  <c r="AD259" i="14" s="1"/>
  <c r="AD181" i="14"/>
  <c r="AD260" i="14" s="1"/>
  <c r="AD179" i="14"/>
  <c r="AD177" i="14"/>
  <c r="AD175" i="14"/>
  <c r="AC259" i="14"/>
  <c r="AD14" i="14"/>
  <c r="AC181" i="14"/>
  <c r="AC179" i="14"/>
  <c r="AC260" i="14" s="1"/>
  <c r="AC177" i="14"/>
  <c r="AC175" i="14"/>
  <c r="AB259" i="14"/>
  <c r="AC14" i="14"/>
  <c r="AB181" i="14"/>
  <c r="AB179" i="14"/>
  <c r="AB177" i="14"/>
  <c r="AB175" i="14"/>
  <c r="AB14" i="14"/>
  <c r="AA259" i="14" s="1"/>
  <c r="AA181" i="14"/>
  <c r="AA179" i="14"/>
  <c r="AA177" i="14"/>
  <c r="AA175" i="14"/>
  <c r="AA14" i="14"/>
  <c r="Z259" i="14" s="1"/>
  <c r="Z181" i="14"/>
  <c r="Z260" i="14" s="1"/>
  <c r="Z179" i="14"/>
  <c r="Z177" i="14"/>
  <c r="Z175" i="14"/>
  <c r="Y259" i="14"/>
  <c r="Z14" i="14"/>
  <c r="Y181" i="14"/>
  <c r="Y179" i="14"/>
  <c r="Y260" i="14" s="1"/>
  <c r="Y177" i="14"/>
  <c r="Y175" i="14"/>
  <c r="X259" i="14"/>
  <c r="Y14" i="14"/>
  <c r="X181" i="14"/>
  <c r="X179" i="14"/>
  <c r="X177" i="14"/>
  <c r="X175" i="14"/>
  <c r="X14" i="14"/>
  <c r="W259" i="14" s="1"/>
  <c r="W181" i="14"/>
  <c r="W179" i="14"/>
  <c r="W177" i="14"/>
  <c r="W175" i="14"/>
  <c r="W14" i="14"/>
  <c r="V259" i="14" s="1"/>
  <c r="V181" i="14"/>
  <c r="V260" i="14" s="1"/>
  <c r="V179" i="14"/>
  <c r="V177" i="14"/>
  <c r="V175" i="14"/>
  <c r="U259" i="14"/>
  <c r="V14" i="14"/>
  <c r="U181" i="14"/>
  <c r="U179" i="14"/>
  <c r="U260" i="14" s="1"/>
  <c r="U177" i="14"/>
  <c r="U175" i="14"/>
  <c r="T259" i="14"/>
  <c r="U14" i="14"/>
  <c r="T181" i="14"/>
  <c r="T179" i="14"/>
  <c r="T177" i="14"/>
  <c r="T175" i="14"/>
  <c r="T14" i="14"/>
  <c r="S259" i="14" s="1"/>
  <c r="S181" i="14"/>
  <c r="S179" i="14"/>
  <c r="S177" i="14"/>
  <c r="S175" i="14"/>
  <c r="S14" i="14"/>
  <c r="R259" i="14" s="1"/>
  <c r="R181" i="14"/>
  <c r="R260" i="14" s="1"/>
  <c r="R179" i="14"/>
  <c r="R177" i="14"/>
  <c r="R175" i="14"/>
  <c r="Q259" i="14"/>
  <c r="R14" i="14"/>
  <c r="Q181" i="14"/>
  <c r="Q179" i="14"/>
  <c r="Q260" i="14" s="1"/>
  <c r="Q177" i="14"/>
  <c r="Q175" i="14"/>
  <c r="Q14" i="14"/>
  <c r="P259" i="14" s="1"/>
  <c r="P181" i="14"/>
  <c r="P179" i="14"/>
  <c r="P177" i="14"/>
  <c r="P175" i="14"/>
  <c r="P260" i="14" s="1"/>
  <c r="P14" i="14"/>
  <c r="O259" i="14" s="1"/>
  <c r="O181" i="14"/>
  <c r="O179" i="14"/>
  <c r="O177" i="14"/>
  <c r="O175" i="14"/>
  <c r="O14" i="14"/>
  <c r="N259" i="14" s="1"/>
  <c r="N181" i="14"/>
  <c r="N260" i="14" s="1"/>
  <c r="N179" i="14"/>
  <c r="N177" i="14"/>
  <c r="N175" i="14"/>
  <c r="M259" i="14"/>
  <c r="N14" i="14"/>
  <c r="M181" i="14"/>
  <c r="M179" i="14"/>
  <c r="M260" i="14" s="1"/>
  <c r="M177" i="14"/>
  <c r="M175" i="14"/>
  <c r="L259" i="14"/>
  <c r="M14" i="14"/>
  <c r="L181" i="14"/>
  <c r="L179" i="14"/>
  <c r="L177" i="14"/>
  <c r="L175" i="14"/>
  <c r="L14" i="14"/>
  <c r="K259" i="14" s="1"/>
  <c r="K181" i="14"/>
  <c r="K179" i="14"/>
  <c r="K177" i="14"/>
  <c r="K175" i="14"/>
  <c r="K14" i="14"/>
  <c r="J259" i="14" s="1"/>
  <c r="J181" i="14"/>
  <c r="J260" i="14" s="1"/>
  <c r="J179" i="14"/>
  <c r="J177" i="14"/>
  <c r="J175" i="14"/>
  <c r="I259" i="14"/>
  <c r="J14" i="14"/>
  <c r="I181" i="14"/>
  <c r="I179" i="14"/>
  <c r="I260" i="14" s="1"/>
  <c r="I177" i="14"/>
  <c r="I175" i="14"/>
  <c r="I14" i="14"/>
  <c r="H259" i="14" s="1"/>
  <c r="H181" i="14"/>
  <c r="H179" i="14"/>
  <c r="H177" i="14"/>
  <c r="H175" i="14"/>
  <c r="H260" i="14" s="1"/>
  <c r="H14" i="14"/>
  <c r="G259" i="14" s="1"/>
  <c r="G181" i="14"/>
  <c r="G179" i="14"/>
  <c r="G177" i="14"/>
  <c r="G175" i="14"/>
  <c r="G14" i="14"/>
  <c r="F259" i="14" s="1"/>
  <c r="F181" i="14"/>
  <c r="F260" i="14" s="1"/>
  <c r="F179" i="14"/>
  <c r="F177" i="14"/>
  <c r="F175" i="14"/>
  <c r="E259" i="14"/>
  <c r="F14" i="14"/>
  <c r="E181" i="14"/>
  <c r="E179" i="14"/>
  <c r="E260" i="14" s="1"/>
  <c r="E177" i="14"/>
  <c r="E175" i="14"/>
  <c r="D259" i="14"/>
  <c r="AZ259" i="14" s="1"/>
  <c r="E14" i="14"/>
  <c r="D181" i="14"/>
  <c r="D179" i="14"/>
  <c r="D177" i="14"/>
  <c r="D175" i="14"/>
  <c r="AZ14" i="15"/>
  <c r="AY259" i="15" s="1"/>
  <c r="AY181" i="15"/>
  <c r="AY179" i="15"/>
  <c r="AY177" i="15"/>
  <c r="AY175" i="15"/>
  <c r="AY14" i="15"/>
  <c r="AX259" i="15" s="1"/>
  <c r="AX181" i="15"/>
  <c r="AX260" i="15" s="1"/>
  <c r="AX179" i="15"/>
  <c r="AX177" i="15"/>
  <c r="AX175" i="15"/>
  <c r="AW259" i="15"/>
  <c r="AX14" i="15"/>
  <c r="AW181" i="15"/>
  <c r="AW179" i="15"/>
  <c r="AW260" i="15" s="1"/>
  <c r="AW177" i="15"/>
  <c r="AW175" i="15"/>
  <c r="AW14" i="15"/>
  <c r="AV259" i="15" s="1"/>
  <c r="AV181" i="15"/>
  <c r="AV179" i="15"/>
  <c r="AV177" i="15"/>
  <c r="AV175" i="15"/>
  <c r="AV260" i="15" s="1"/>
  <c r="AV14" i="15"/>
  <c r="AU259" i="15" s="1"/>
  <c r="AU181" i="15"/>
  <c r="AU179" i="15"/>
  <c r="AU177" i="15"/>
  <c r="AU175" i="15"/>
  <c r="AU14" i="15"/>
  <c r="AT259" i="15" s="1"/>
  <c r="AT181" i="15"/>
  <c r="AT260" i="15" s="1"/>
  <c r="AT179" i="15"/>
  <c r="AT177" i="15"/>
  <c r="AT175" i="15"/>
  <c r="AS259" i="15"/>
  <c r="AT14" i="15"/>
  <c r="AS181" i="15"/>
  <c r="AS179" i="15"/>
  <c r="AS260" i="15" s="1"/>
  <c r="AS177" i="15"/>
  <c r="AS175" i="15"/>
  <c r="AR259" i="15"/>
  <c r="AS14" i="15"/>
  <c r="AR181" i="15"/>
  <c r="AR179" i="15"/>
  <c r="AR177" i="15"/>
  <c r="AR175" i="15"/>
  <c r="AR14" i="15"/>
  <c r="AQ259" i="15" s="1"/>
  <c r="AQ181" i="15"/>
  <c r="AQ179" i="15"/>
  <c r="AQ177" i="15"/>
  <c r="AQ175" i="15"/>
  <c r="AQ14" i="15"/>
  <c r="AP259" i="15" s="1"/>
  <c r="AP181" i="15"/>
  <c r="AP260" i="15" s="1"/>
  <c r="AP179" i="15"/>
  <c r="AP177" i="15"/>
  <c r="AP175" i="15"/>
  <c r="AO259" i="15"/>
  <c r="AP14" i="15"/>
  <c r="AO181" i="15"/>
  <c r="AO179" i="15"/>
  <c r="AO260" i="15" s="1"/>
  <c r="AO177" i="15"/>
  <c r="AO175" i="15"/>
  <c r="AO14" i="15"/>
  <c r="AN259" i="15" s="1"/>
  <c r="AN181" i="15"/>
  <c r="AN179" i="15"/>
  <c r="AN177" i="15"/>
  <c r="AN175" i="15"/>
  <c r="AN260" i="15" s="1"/>
  <c r="AN14" i="15"/>
  <c r="AM259" i="15" s="1"/>
  <c r="AM181" i="15"/>
  <c r="AM179" i="15"/>
  <c r="AM177" i="15"/>
  <c r="AM175" i="15"/>
  <c r="AL259" i="15"/>
  <c r="AM14" i="15"/>
  <c r="AL181" i="15"/>
  <c r="AL179" i="15"/>
  <c r="AL177" i="15"/>
  <c r="AL260" i="15" s="1"/>
  <c r="AL175" i="15"/>
  <c r="AL14" i="15"/>
  <c r="AK259" i="15" s="1"/>
  <c r="AK181" i="15"/>
  <c r="AK179" i="15"/>
  <c r="AK177" i="15"/>
  <c r="AK175" i="15"/>
  <c r="AK260" i="15" s="1"/>
  <c r="AK14" i="15"/>
  <c r="AJ259" i="15" s="1"/>
  <c r="AJ181" i="15"/>
  <c r="AJ179" i="15"/>
  <c r="AJ177" i="15"/>
  <c r="AJ175" i="15"/>
  <c r="AJ260" i="15" s="1"/>
  <c r="AJ14" i="15"/>
  <c r="AI259" i="15" s="1"/>
  <c r="AI181" i="15"/>
  <c r="AI179" i="15"/>
  <c r="AI177" i="15"/>
  <c r="AI175" i="15"/>
  <c r="AI260" i="15" s="1"/>
  <c r="AH259" i="15"/>
  <c r="AI14" i="15"/>
  <c r="AH181" i="15"/>
  <c r="AH179" i="15"/>
  <c r="AH177" i="15"/>
  <c r="AH260" i="15" s="1"/>
  <c r="AH175" i="15"/>
  <c r="AH14" i="15"/>
  <c r="AG259" i="15" s="1"/>
  <c r="AG181" i="15"/>
  <c r="AG179" i="15"/>
  <c r="AG177" i="15"/>
  <c r="AG175" i="15"/>
  <c r="AG260" i="15" s="1"/>
  <c r="AF259" i="15"/>
  <c r="AG14" i="15"/>
  <c r="AF181" i="15"/>
  <c r="AF179" i="15"/>
  <c r="AF177" i="15"/>
  <c r="AF175" i="15"/>
  <c r="AF14" i="15"/>
  <c r="AE259" i="15" s="1"/>
  <c r="AE181" i="15"/>
  <c r="AE179" i="15"/>
  <c r="AE177" i="15"/>
  <c r="AE175" i="15"/>
  <c r="AD259" i="15"/>
  <c r="AE14" i="15"/>
  <c r="AD181" i="15"/>
  <c r="AD179" i="15"/>
  <c r="AD177" i="15"/>
  <c r="AD260" i="15" s="1"/>
  <c r="AD175" i="15"/>
  <c r="AD14" i="15"/>
  <c r="AC259" i="15" s="1"/>
  <c r="AC181" i="15"/>
  <c r="AC179" i="15"/>
  <c r="AC177" i="15"/>
  <c r="AC175" i="15"/>
  <c r="AC260" i="15" s="1"/>
  <c r="AC14" i="15"/>
  <c r="AB259" i="15" s="1"/>
  <c r="AB181" i="15"/>
  <c r="AB179" i="15"/>
  <c r="AB177" i="15"/>
  <c r="AB175" i="15"/>
  <c r="AB260" i="15" s="1"/>
  <c r="AB14" i="15"/>
  <c r="AA259" i="15" s="1"/>
  <c r="AA181" i="15"/>
  <c r="AA179" i="15"/>
  <c r="AA177" i="15"/>
  <c r="AA175" i="15"/>
  <c r="Z259" i="15"/>
  <c r="AA14" i="15"/>
  <c r="Z181" i="15"/>
  <c r="Z179" i="15"/>
  <c r="Z177" i="15"/>
  <c r="Z260" i="15" s="1"/>
  <c r="Z175" i="15"/>
  <c r="Z14" i="15"/>
  <c r="Y259" i="15" s="1"/>
  <c r="Y181" i="15"/>
  <c r="Y179" i="15"/>
  <c r="Y177" i="15"/>
  <c r="Y175" i="15"/>
  <c r="Y260" i="15" s="1"/>
  <c r="Y14" i="15"/>
  <c r="X259" i="15" s="1"/>
  <c r="X181" i="15"/>
  <c r="X179" i="15"/>
  <c r="X177" i="15"/>
  <c r="X175" i="15"/>
  <c r="X260" i="15" s="1"/>
  <c r="X14" i="15"/>
  <c r="W259" i="15" s="1"/>
  <c r="W181" i="15"/>
  <c r="W179" i="15"/>
  <c r="W177" i="15"/>
  <c r="W175" i="15"/>
  <c r="V259" i="15"/>
  <c r="W14" i="15"/>
  <c r="V181" i="15"/>
  <c r="V179" i="15"/>
  <c r="V260" i="15" s="1"/>
  <c r="V177" i="15"/>
  <c r="V175" i="15"/>
  <c r="V14" i="15"/>
  <c r="U259" i="15" s="1"/>
  <c r="U181" i="15"/>
  <c r="U179" i="15"/>
  <c r="U177" i="15"/>
  <c r="U175" i="15"/>
  <c r="U260" i="15" s="1"/>
  <c r="U14" i="15"/>
  <c r="T259" i="15" s="1"/>
  <c r="T181" i="15"/>
  <c r="T179" i="15"/>
  <c r="T177" i="15"/>
  <c r="T175" i="15"/>
  <c r="T260" i="15" s="1"/>
  <c r="T14" i="15"/>
  <c r="S259" i="15" s="1"/>
  <c r="S181" i="15"/>
  <c r="S179" i="15"/>
  <c r="S177" i="15"/>
  <c r="S175" i="15"/>
  <c r="R259" i="15"/>
  <c r="S14" i="15"/>
  <c r="R181" i="15"/>
  <c r="R179" i="15"/>
  <c r="R177" i="15"/>
  <c r="R260" i="15" s="1"/>
  <c r="R175" i="15"/>
  <c r="R14" i="15"/>
  <c r="Q259" i="15" s="1"/>
  <c r="Q181" i="15"/>
  <c r="Q179" i="15"/>
  <c r="Q177" i="15"/>
  <c r="Q175" i="15"/>
  <c r="Q14" i="15"/>
  <c r="P259" i="15" s="1"/>
  <c r="P181" i="15"/>
  <c r="P179" i="15"/>
  <c r="P177" i="15"/>
  <c r="P175" i="15"/>
  <c r="P260" i="15" s="1"/>
  <c r="P14" i="15"/>
  <c r="O259" i="15" s="1"/>
  <c r="O181" i="15"/>
  <c r="O179" i="15"/>
  <c r="O177" i="15"/>
  <c r="O175" i="15"/>
  <c r="N259" i="15"/>
  <c r="O14" i="15"/>
  <c r="N181" i="15"/>
  <c r="N179" i="15"/>
  <c r="N177" i="15"/>
  <c r="N260" i="15" s="1"/>
  <c r="N175" i="15"/>
  <c r="M259" i="15"/>
  <c r="N14" i="15"/>
  <c r="M181" i="15"/>
  <c r="M179" i="15"/>
  <c r="M177" i="15"/>
  <c r="M175" i="15"/>
  <c r="M14" i="15"/>
  <c r="L259" i="15" s="1"/>
  <c r="L181" i="15"/>
  <c r="L179" i="15"/>
  <c r="L177" i="15"/>
  <c r="L175" i="15"/>
  <c r="L260" i="15" s="1"/>
  <c r="L14" i="15"/>
  <c r="K259" i="15" s="1"/>
  <c r="K181" i="15"/>
  <c r="K179" i="15"/>
  <c r="K177" i="15"/>
  <c r="K175" i="15"/>
  <c r="K260" i="15" s="1"/>
  <c r="J259" i="15"/>
  <c r="K14" i="15"/>
  <c r="J181" i="15"/>
  <c r="J179" i="15"/>
  <c r="J177" i="15"/>
  <c r="J260" i="15" s="1"/>
  <c r="J175" i="15"/>
  <c r="J14" i="15"/>
  <c r="I259" i="15" s="1"/>
  <c r="I181" i="15"/>
  <c r="I179" i="15"/>
  <c r="I177" i="15"/>
  <c r="I175" i="15"/>
  <c r="I14" i="15"/>
  <c r="H259" i="15" s="1"/>
  <c r="H181" i="15"/>
  <c r="H179" i="15"/>
  <c r="H177" i="15"/>
  <c r="H175" i="15"/>
  <c r="H260" i="15" s="1"/>
  <c r="H14" i="15"/>
  <c r="G259" i="15" s="1"/>
  <c r="G181" i="15"/>
  <c r="G179" i="15"/>
  <c r="G177" i="15"/>
  <c r="G175" i="15"/>
  <c r="F259" i="15"/>
  <c r="G14" i="15"/>
  <c r="F181" i="15"/>
  <c r="F179" i="15"/>
  <c r="F177" i="15"/>
  <c r="F260" i="15" s="1"/>
  <c r="F175" i="15"/>
  <c r="F14" i="15"/>
  <c r="E259" i="15" s="1"/>
  <c r="E181" i="15"/>
  <c r="E179" i="15"/>
  <c r="E177" i="15"/>
  <c r="E175" i="15"/>
  <c r="E260" i="15" s="1"/>
  <c r="E14" i="15"/>
  <c r="D181" i="15"/>
  <c r="D179" i="15"/>
  <c r="D177" i="15"/>
  <c r="D175" i="15"/>
  <c r="D260" i="15" s="1"/>
  <c r="AY14" i="16"/>
  <c r="AY15" i="16"/>
  <c r="AY16" i="16"/>
  <c r="AY10" i="16"/>
  <c r="AY13" i="16" s="1"/>
  <c r="AY17" i="16"/>
  <c r="AY29" i="16"/>
  <c r="AX14" i="16"/>
  <c r="AX15" i="16"/>
  <c r="AX16" i="16"/>
  <c r="AX17" i="16"/>
  <c r="AX29" i="16"/>
  <c r="AW14" i="16"/>
  <c r="AW10" i="16" s="1"/>
  <c r="AW15" i="16"/>
  <c r="AW16" i="16"/>
  <c r="AW13" i="16"/>
  <c r="AW17" i="16"/>
  <c r="AW29" i="16"/>
  <c r="AV14" i="16"/>
  <c r="AV15" i="16"/>
  <c r="AV10" i="16" s="1"/>
  <c r="AV13" i="16" s="1"/>
  <c r="AV16" i="16"/>
  <c r="AV17" i="16"/>
  <c r="AV29" i="16"/>
  <c r="AU14" i="16"/>
  <c r="AU15" i="16"/>
  <c r="AU16" i="16"/>
  <c r="AU10" i="16" s="1"/>
  <c r="AU13" i="16" s="1"/>
  <c r="AU17" i="16"/>
  <c r="AU29" i="16"/>
  <c r="AT14" i="16"/>
  <c r="AT15" i="16"/>
  <c r="AT16" i="16"/>
  <c r="AT10" i="16"/>
  <c r="AT13" i="16" s="1"/>
  <c r="AT17" i="16"/>
  <c r="AT29" i="16"/>
  <c r="AS14" i="16"/>
  <c r="AS15" i="16"/>
  <c r="AS16" i="16"/>
  <c r="AS10" i="16"/>
  <c r="AS13" i="16" s="1"/>
  <c r="AS17" i="16"/>
  <c r="AS29" i="16"/>
  <c r="AR14" i="16"/>
  <c r="AR10" i="16" s="1"/>
  <c r="AR13" i="16" s="1"/>
  <c r="AR15" i="16"/>
  <c r="AR16" i="16"/>
  <c r="AR17" i="16"/>
  <c r="AR29" i="16"/>
  <c r="AQ14" i="16"/>
  <c r="AQ15" i="16"/>
  <c r="AQ16" i="16"/>
  <c r="AQ17" i="16"/>
  <c r="AQ29" i="16"/>
  <c r="AP14" i="16"/>
  <c r="AP15" i="16"/>
  <c r="AP10" i="16" s="1"/>
  <c r="AP13" i="16" s="1"/>
  <c r="AP16" i="16"/>
  <c r="AP17" i="16"/>
  <c r="AP29" i="16"/>
  <c r="AO14" i="16"/>
  <c r="AO15" i="16"/>
  <c r="AO16" i="16"/>
  <c r="AO10" i="16" s="1"/>
  <c r="AO13" i="16" s="1"/>
  <c r="AO17" i="16"/>
  <c r="AO29" i="16"/>
  <c r="AN14" i="16"/>
  <c r="AN15" i="16"/>
  <c r="AN16" i="16"/>
  <c r="AN10" i="16"/>
  <c r="AN13" i="16" s="1"/>
  <c r="AN17" i="16"/>
  <c r="AN29" i="16"/>
  <c r="AM14" i="16"/>
  <c r="AM10" i="16" s="1"/>
  <c r="AM13" i="16" s="1"/>
  <c r="AM15" i="16"/>
  <c r="AM16" i="16"/>
  <c r="AM17" i="16"/>
  <c r="AM29" i="16"/>
  <c r="AL14" i="16"/>
  <c r="AL15" i="16"/>
  <c r="AL10" i="16" s="1"/>
  <c r="AL13" i="16" s="1"/>
  <c r="AL16" i="16"/>
  <c r="AL17" i="16"/>
  <c r="AL29" i="16"/>
  <c r="AK14" i="16"/>
  <c r="AK10" i="16" s="1"/>
  <c r="AK13" i="16" s="1"/>
  <c r="AK15" i="16"/>
  <c r="AK16" i="16"/>
  <c r="AK17" i="16"/>
  <c r="AK29" i="16"/>
  <c r="AJ14" i="16"/>
  <c r="AJ15" i="16"/>
  <c r="AJ16" i="16"/>
  <c r="AJ17" i="16"/>
  <c r="AJ29" i="16"/>
  <c r="AI14" i="16"/>
  <c r="AI10" i="16" s="1"/>
  <c r="AI13" i="16" s="1"/>
  <c r="AI15" i="16"/>
  <c r="AI16" i="16"/>
  <c r="AI17" i="16"/>
  <c r="AI29" i="16"/>
  <c r="AH14" i="16"/>
  <c r="AH15" i="16"/>
  <c r="AH16" i="16"/>
  <c r="AH10" i="16"/>
  <c r="AH13" i="16" s="1"/>
  <c r="AH17" i="16"/>
  <c r="AH29" i="16"/>
  <c r="AG14" i="16"/>
  <c r="AG15" i="16"/>
  <c r="AG16" i="16"/>
  <c r="AG10" i="16"/>
  <c r="AG13" i="16" s="1"/>
  <c r="AG17" i="16"/>
  <c r="AG29" i="16"/>
  <c r="AF14" i="16"/>
  <c r="AF10" i="16" s="1"/>
  <c r="AF13" i="16" s="1"/>
  <c r="AF15" i="16"/>
  <c r="AF16" i="16"/>
  <c r="AF17" i="16"/>
  <c r="AF29" i="16"/>
  <c r="AE14" i="16"/>
  <c r="AE15" i="16"/>
  <c r="AE16" i="16"/>
  <c r="AE17" i="16"/>
  <c r="AE29" i="16"/>
  <c r="AD14" i="16"/>
  <c r="AD15" i="16"/>
  <c r="AD16" i="16"/>
  <c r="AD10" i="16"/>
  <c r="AD13" i="16" s="1"/>
  <c r="AD17" i="16"/>
  <c r="AD29" i="16"/>
  <c r="AC14" i="16"/>
  <c r="AC10" i="16" s="1"/>
  <c r="AC15" i="16"/>
  <c r="AC16" i="16"/>
  <c r="AC13" i="16"/>
  <c r="AC17" i="16"/>
  <c r="AC29" i="16"/>
  <c r="AB14" i="16"/>
  <c r="AB10" i="16" s="1"/>
  <c r="AB13" i="16" s="1"/>
  <c r="AB15" i="16"/>
  <c r="AB16" i="16"/>
  <c r="AB17" i="16"/>
  <c r="AB29" i="16"/>
  <c r="AA15" i="16"/>
  <c r="AA16" i="16"/>
  <c r="AA21" i="16"/>
  <c r="AA22" i="16"/>
  <c r="AA23" i="16"/>
  <c r="AA24" i="16"/>
  <c r="AA29" i="16"/>
  <c r="AA33" i="16"/>
  <c r="AA35" i="16" s="1"/>
  <c r="AA34" i="16"/>
  <c r="AA39" i="16"/>
  <c r="AA40" i="16"/>
  <c r="AA44" i="16"/>
  <c r="AA45" i="16"/>
  <c r="AA46" i="16"/>
  <c r="AA50" i="16"/>
  <c r="AA51" i="16"/>
  <c r="Z14" i="16"/>
  <c r="Z15" i="16"/>
  <c r="Z16" i="16"/>
  <c r="AA17" i="16" s="1"/>
  <c r="Z17" i="16"/>
  <c r="Z21" i="16"/>
  <c r="Z29" i="16"/>
  <c r="Y14" i="16"/>
  <c r="Y15" i="16"/>
  <c r="Y16" i="16"/>
  <c r="Y10" i="16"/>
  <c r="Y13" i="16" s="1"/>
  <c r="Y17" i="16"/>
  <c r="Y29" i="16"/>
  <c r="X14" i="16"/>
  <c r="X15" i="16"/>
  <c r="X16" i="16"/>
  <c r="X17" i="16"/>
  <c r="X29" i="16"/>
  <c r="W14" i="16"/>
  <c r="W10" i="16" s="1"/>
  <c r="W13" i="16" s="1"/>
  <c r="W15" i="16"/>
  <c r="W16" i="16"/>
  <c r="W17" i="16"/>
  <c r="W29" i="16"/>
  <c r="V14" i="16"/>
  <c r="V15" i="16"/>
  <c r="V10" i="16" s="1"/>
  <c r="V13" i="16" s="1"/>
  <c r="V16" i="16"/>
  <c r="V17" i="16"/>
  <c r="V29" i="16"/>
  <c r="U14" i="16"/>
  <c r="U15" i="16"/>
  <c r="U16" i="16"/>
  <c r="U10" i="16" s="1"/>
  <c r="U13" i="16" s="1"/>
  <c r="U17" i="16"/>
  <c r="U29" i="16"/>
  <c r="T16" i="16"/>
  <c r="T21" i="16"/>
  <c r="T23" i="16" s="1"/>
  <c r="T22" i="16"/>
  <c r="T24" i="16" s="1"/>
  <c r="T29" i="16"/>
  <c r="T33" i="16"/>
  <c r="T44" i="16"/>
  <c r="T45" i="16"/>
  <c r="T51" i="16" s="1"/>
  <c r="S14" i="16"/>
  <c r="S15" i="16"/>
  <c r="S16" i="16"/>
  <c r="T17" i="16" s="1"/>
  <c r="S17" i="16"/>
  <c r="S29" i="16"/>
  <c r="R14" i="16"/>
  <c r="R15" i="16"/>
  <c r="R16" i="16"/>
  <c r="R17" i="16"/>
  <c r="R29" i="16"/>
  <c r="Q14" i="16"/>
  <c r="Q10" i="16" s="1"/>
  <c r="Q15" i="16"/>
  <c r="Q16" i="16"/>
  <c r="Q13" i="16"/>
  <c r="Q17" i="16"/>
  <c r="Q29" i="16"/>
  <c r="P14" i="16"/>
  <c r="P15" i="16"/>
  <c r="P10" i="16" s="1"/>
  <c r="P13" i="16" s="1"/>
  <c r="P16" i="16"/>
  <c r="P17" i="16"/>
  <c r="P29" i="16"/>
  <c r="O14" i="16"/>
  <c r="O15" i="16"/>
  <c r="O16" i="16"/>
  <c r="O10" i="16" s="1"/>
  <c r="O13" i="16" s="1"/>
  <c r="O17" i="16"/>
  <c r="O29" i="16"/>
  <c r="N14" i="16"/>
  <c r="N10" i="16" s="1"/>
  <c r="N13" i="16" s="1"/>
  <c r="N15" i="16"/>
  <c r="N16" i="16"/>
  <c r="N17" i="16"/>
  <c r="N29" i="16"/>
  <c r="M14" i="16"/>
  <c r="M15" i="16"/>
  <c r="M16" i="16"/>
  <c r="M17" i="16"/>
  <c r="M29" i="16"/>
  <c r="L14" i="16"/>
  <c r="L15" i="16"/>
  <c r="L16" i="16"/>
  <c r="L10" i="16"/>
  <c r="L13" i="16" s="1"/>
  <c r="L17" i="16"/>
  <c r="L29" i="16"/>
  <c r="K14" i="16"/>
  <c r="K10" i="16" s="1"/>
  <c r="K15" i="16"/>
  <c r="K16" i="16"/>
  <c r="K13" i="16"/>
  <c r="K17" i="16"/>
  <c r="K29" i="16"/>
  <c r="J14" i="16"/>
  <c r="J15" i="16"/>
  <c r="J16" i="16"/>
  <c r="J17" i="16"/>
  <c r="J29" i="16"/>
  <c r="I14" i="16"/>
  <c r="I10" i="16" s="1"/>
  <c r="I13" i="16" s="1"/>
  <c r="I15" i="16"/>
  <c r="I16" i="16"/>
  <c r="I17" i="16"/>
  <c r="I29" i="16"/>
  <c r="H14" i="16"/>
  <c r="H15" i="16"/>
  <c r="H16" i="16"/>
  <c r="H10" i="16"/>
  <c r="H13" i="16" s="1"/>
  <c r="H17" i="16"/>
  <c r="H29" i="16"/>
  <c r="G14" i="16"/>
  <c r="G15" i="16"/>
  <c r="G16" i="16"/>
  <c r="G10" i="16" s="1"/>
  <c r="G13" i="16" s="1"/>
  <c r="G17" i="16"/>
  <c r="G29" i="16"/>
  <c r="F21" i="16"/>
  <c r="F22" i="16"/>
  <c r="F34" i="16" s="1"/>
  <c r="F40" i="16" s="1"/>
  <c r="F23" i="16"/>
  <c r="F24" i="16"/>
  <c r="F29" i="16"/>
  <c r="F33" i="16"/>
  <c r="F39" i="16" s="1"/>
  <c r="F35" i="16"/>
  <c r="F44" i="16"/>
  <c r="F45" i="16"/>
  <c r="F50" i="16"/>
  <c r="E15" i="16"/>
  <c r="F16" i="16" s="1"/>
  <c r="E21" i="16"/>
  <c r="E22" i="16"/>
  <c r="E23" i="16"/>
  <c r="E24" i="16"/>
  <c r="E29" i="16"/>
  <c r="E33" i="16"/>
  <c r="E34" i="16"/>
  <c r="E40" i="16"/>
  <c r="E44" i="16"/>
  <c r="E45" i="16"/>
  <c r="E51" i="16"/>
  <c r="D14" i="16"/>
  <c r="D15" i="16"/>
  <c r="E16" i="16" s="1"/>
  <c r="F17" i="16" s="1"/>
  <c r="D16" i="16"/>
  <c r="E17" i="16" s="1"/>
  <c r="D17" i="16"/>
  <c r="D27" i="16"/>
  <c r="D29" i="16"/>
  <c r="AY14" i="17"/>
  <c r="AY10" i="17" s="1"/>
  <c r="AY13" i="17" s="1"/>
  <c r="AY15" i="17"/>
  <c r="AY16" i="17"/>
  <c r="AY17" i="17"/>
  <c r="AY29" i="17"/>
  <c r="AX14" i="17"/>
  <c r="AX15" i="17"/>
  <c r="AX16" i="17"/>
  <c r="AX10" i="17"/>
  <c r="AX13" i="17" s="1"/>
  <c r="AX17" i="17"/>
  <c r="AX29" i="17"/>
  <c r="AW14" i="17"/>
  <c r="AW15" i="17"/>
  <c r="AW16" i="17"/>
  <c r="AW17" i="17"/>
  <c r="AW29" i="17"/>
  <c r="AV15" i="17"/>
  <c r="AV16" i="17"/>
  <c r="AV21" i="17"/>
  <c r="AV23" i="17" s="1"/>
  <c r="AV22" i="17"/>
  <c r="AV24" i="17" s="1"/>
  <c r="AV29" i="17"/>
  <c r="AV33" i="17"/>
  <c r="AV34" i="17"/>
  <c r="AV40" i="17" s="1"/>
  <c r="AV45" i="17"/>
  <c r="AV51" i="17"/>
  <c r="AU14" i="17"/>
  <c r="AU15" i="17"/>
  <c r="AU16" i="17"/>
  <c r="AV17" i="17" s="1"/>
  <c r="AU10" i="17"/>
  <c r="AU13" i="17" s="1"/>
  <c r="AV14" i="17" s="1"/>
  <c r="AV10" i="17" s="1"/>
  <c r="AV13" i="17" s="1"/>
  <c r="AU17" i="17"/>
  <c r="AU29" i="17"/>
  <c r="AT14" i="17"/>
  <c r="AT15" i="17"/>
  <c r="AT16" i="17"/>
  <c r="AT17" i="17"/>
  <c r="AT29" i="17"/>
  <c r="AS15" i="17"/>
  <c r="AS17" i="17"/>
  <c r="AS21" i="17"/>
  <c r="AS22" i="17"/>
  <c r="AS23" i="17"/>
  <c r="AS24" i="17"/>
  <c r="AS29" i="17"/>
  <c r="AS33" i="17"/>
  <c r="AS35" i="17" s="1"/>
  <c r="AS34" i="17"/>
  <c r="AS40" i="17"/>
  <c r="AS44" i="17"/>
  <c r="AS50" i="17" s="1"/>
  <c r="AS45" i="17"/>
  <c r="AS51" i="17"/>
  <c r="AR14" i="17"/>
  <c r="AR15" i="17"/>
  <c r="AS16" i="17" s="1"/>
  <c r="AR16" i="17"/>
  <c r="AR17" i="17"/>
  <c r="AR29" i="17"/>
  <c r="AQ14" i="17"/>
  <c r="AQ10" i="17" s="1"/>
  <c r="AQ13" i="17" s="1"/>
  <c r="AQ15" i="17"/>
  <c r="AQ16" i="17"/>
  <c r="AQ17" i="17"/>
  <c r="AQ29" i="17"/>
  <c r="AP14" i="17"/>
  <c r="AP15" i="17"/>
  <c r="AP16" i="17"/>
  <c r="AP17" i="17"/>
  <c r="AP29" i="17"/>
  <c r="AO14" i="17"/>
  <c r="AO10" i="17" s="1"/>
  <c r="AO13" i="17" s="1"/>
  <c r="AO15" i="17"/>
  <c r="AO16" i="17"/>
  <c r="AO17" i="17"/>
  <c r="AO29" i="17"/>
  <c r="AN14" i="17"/>
  <c r="AN15" i="17"/>
  <c r="AN16" i="17"/>
  <c r="AN10" i="17"/>
  <c r="AN13" i="17" s="1"/>
  <c r="AN17" i="17"/>
  <c r="AN29" i="17"/>
  <c r="AM14" i="17"/>
  <c r="AM15" i="17"/>
  <c r="AM16" i="17"/>
  <c r="AM10" i="17"/>
  <c r="AM13" i="17" s="1"/>
  <c r="AM17" i="17"/>
  <c r="AM29" i="17"/>
  <c r="AL14" i="17"/>
  <c r="AL10" i="17" s="1"/>
  <c r="AL13" i="17" s="1"/>
  <c r="AL15" i="17"/>
  <c r="AL16" i="17"/>
  <c r="AL17" i="17"/>
  <c r="AL29" i="17"/>
  <c r="AK14" i="17"/>
  <c r="AK10" i="17" s="1"/>
  <c r="AK13" i="17" s="1"/>
  <c r="AL21" i="17" s="1"/>
  <c r="AK15" i="17"/>
  <c r="AK16" i="17"/>
  <c r="AK17" i="17"/>
  <c r="AK29" i="17"/>
  <c r="AJ14" i="17"/>
  <c r="AJ15" i="17"/>
  <c r="AJ10" i="17" s="1"/>
  <c r="AJ13" i="17" s="1"/>
  <c r="AJ16" i="17"/>
  <c r="AJ17" i="17"/>
  <c r="AJ29" i="17"/>
  <c r="AI14" i="17"/>
  <c r="AI10" i="17" s="1"/>
  <c r="AI13" i="17" s="1"/>
  <c r="AI15" i="17"/>
  <c r="AI16" i="17"/>
  <c r="AI17" i="17"/>
  <c r="AI29" i="17"/>
  <c r="AH15" i="17"/>
  <c r="AH21" i="17"/>
  <c r="AH22" i="17"/>
  <c r="AH34" i="17" s="1"/>
  <c r="AH23" i="17"/>
  <c r="AH24" i="17"/>
  <c r="AH29" i="17"/>
  <c r="AH33" i="17"/>
  <c r="AH35" i="17"/>
  <c r="AH39" i="17"/>
  <c r="AH40" i="17"/>
  <c r="AH44" i="17"/>
  <c r="AH45" i="17"/>
  <c r="AH51" i="17" s="1"/>
  <c r="AH50" i="17"/>
  <c r="AG14" i="17"/>
  <c r="AG15" i="17"/>
  <c r="AH16" i="17" s="1"/>
  <c r="AG16" i="17"/>
  <c r="AH17" i="17" s="1"/>
  <c r="AG17" i="17"/>
  <c r="AG21" i="17"/>
  <c r="AG44" i="17" s="1"/>
  <c r="AG29" i="17"/>
  <c r="AG33" i="17"/>
  <c r="AF14" i="17"/>
  <c r="AF15" i="17"/>
  <c r="AF16" i="17"/>
  <c r="AF10" i="17" s="1"/>
  <c r="AF13" i="17" s="1"/>
  <c r="AF17" i="17"/>
  <c r="AF29" i="17"/>
  <c r="AE14" i="17"/>
  <c r="AE15" i="17"/>
  <c r="AE16" i="17"/>
  <c r="AE17" i="17"/>
  <c r="AE29" i="17"/>
  <c r="AD14" i="17"/>
  <c r="AD15" i="17"/>
  <c r="AD16" i="17"/>
  <c r="AD10" i="17"/>
  <c r="AD13" i="17" s="1"/>
  <c r="AD17" i="17"/>
  <c r="AD29" i="17"/>
  <c r="AC14" i="17"/>
  <c r="AC10" i="17" s="1"/>
  <c r="AC13" i="17" s="1"/>
  <c r="AC15" i="17"/>
  <c r="AC16" i="17"/>
  <c r="AC17" i="17"/>
  <c r="AC29" i="17"/>
  <c r="AB14" i="17"/>
  <c r="AB15" i="17"/>
  <c r="AB16" i="17"/>
  <c r="AB17" i="17"/>
  <c r="AB29" i="17"/>
  <c r="AA14" i="17"/>
  <c r="AA10" i="17" s="1"/>
  <c r="AA13" i="17" s="1"/>
  <c r="AA15" i="17"/>
  <c r="AA16" i="17"/>
  <c r="AA17" i="17"/>
  <c r="AA29" i="17"/>
  <c r="Z14" i="17"/>
  <c r="Z15" i="17"/>
  <c r="Z16" i="17"/>
  <c r="Z10" i="17"/>
  <c r="Z13" i="17" s="1"/>
  <c r="Z17" i="17"/>
  <c r="Z29" i="17"/>
  <c r="Y14" i="17"/>
  <c r="Y15" i="17"/>
  <c r="Y16" i="17"/>
  <c r="Y17" i="17"/>
  <c r="Y29" i="17"/>
  <c r="X14" i="17"/>
  <c r="X15" i="17"/>
  <c r="X16" i="17"/>
  <c r="X10" i="17" s="1"/>
  <c r="X13" i="17" s="1"/>
  <c r="Y21" i="17" s="1"/>
  <c r="X17" i="17"/>
  <c r="X29" i="17"/>
  <c r="W14" i="17"/>
  <c r="W15" i="17"/>
  <c r="W16" i="17"/>
  <c r="W17" i="17"/>
  <c r="W29" i="17"/>
  <c r="V14" i="17"/>
  <c r="V15" i="17"/>
  <c r="V16" i="17"/>
  <c r="V10" i="17"/>
  <c r="V13" i="17" s="1"/>
  <c r="V17" i="17"/>
  <c r="V29" i="17"/>
  <c r="U14" i="17"/>
  <c r="U15" i="17"/>
  <c r="U16" i="17"/>
  <c r="U17" i="17"/>
  <c r="U29" i="17"/>
  <c r="T14" i="17"/>
  <c r="T15" i="17"/>
  <c r="T16" i="17"/>
  <c r="T17" i="17"/>
  <c r="T29" i="17"/>
  <c r="S14" i="17"/>
  <c r="S15" i="17"/>
  <c r="S16" i="17"/>
  <c r="S10" i="17"/>
  <c r="S13" i="17" s="1"/>
  <c r="S17" i="17"/>
  <c r="S29" i="17"/>
  <c r="R14" i="17"/>
  <c r="R15" i="17"/>
  <c r="R10" i="17" s="1"/>
  <c r="R13" i="17" s="1"/>
  <c r="R16" i="17"/>
  <c r="R17" i="17"/>
  <c r="R29" i="17"/>
  <c r="Q14" i="17"/>
  <c r="Q15" i="17"/>
  <c r="Q16" i="17"/>
  <c r="Q17" i="17"/>
  <c r="Q29" i="17"/>
  <c r="P14" i="17"/>
  <c r="P15" i="17"/>
  <c r="P16" i="17"/>
  <c r="P10" i="17"/>
  <c r="P13" i="17" s="1"/>
  <c r="P17" i="17"/>
  <c r="P29" i="17"/>
  <c r="O14" i="17"/>
  <c r="O10" i="17" s="1"/>
  <c r="O13" i="17" s="1"/>
  <c r="O15" i="17"/>
  <c r="O16" i="17"/>
  <c r="O17" i="17"/>
  <c r="O29" i="17"/>
  <c r="N14" i="17"/>
  <c r="N15" i="17"/>
  <c r="N10" i="17" s="1"/>
  <c r="N13" i="17" s="1"/>
  <c r="N16" i="17"/>
  <c r="N17" i="17"/>
  <c r="N29" i="17"/>
  <c r="M14" i="17"/>
  <c r="M10" i="17" s="1"/>
  <c r="M15" i="17"/>
  <c r="M16" i="17"/>
  <c r="M13" i="17"/>
  <c r="N21" i="17" s="1"/>
  <c r="N44" i="17" s="1"/>
  <c r="M17" i="17"/>
  <c r="M29" i="17"/>
  <c r="L14" i="17"/>
  <c r="L15" i="17"/>
  <c r="L10" i="17" s="1"/>
  <c r="L13" i="17" s="1"/>
  <c r="L16" i="17"/>
  <c r="L17" i="17"/>
  <c r="L29" i="17"/>
  <c r="K14" i="17"/>
  <c r="K15" i="17"/>
  <c r="K16" i="17"/>
  <c r="K10" i="17"/>
  <c r="K13" i="17" s="1"/>
  <c r="K17" i="17"/>
  <c r="K29" i="17"/>
  <c r="J14" i="17"/>
  <c r="J10" i="17" s="1"/>
  <c r="J13" i="17" s="1"/>
  <c r="J15" i="17"/>
  <c r="J16" i="17"/>
  <c r="J17" i="17"/>
  <c r="J29" i="17"/>
  <c r="I14" i="17"/>
  <c r="I15" i="17"/>
  <c r="I16" i="17"/>
  <c r="I17" i="17"/>
  <c r="I29" i="17"/>
  <c r="H14" i="17"/>
  <c r="H15" i="17"/>
  <c r="H16" i="17"/>
  <c r="H10" i="17"/>
  <c r="H13" i="17" s="1"/>
  <c r="H17" i="17"/>
  <c r="H29" i="17"/>
  <c r="G14" i="17"/>
  <c r="G10" i="17" s="1"/>
  <c r="G13" i="17" s="1"/>
  <c r="G15" i="17"/>
  <c r="G16" i="17"/>
  <c r="G17" i="17"/>
  <c r="G29" i="17"/>
  <c r="F14" i="17"/>
  <c r="F15" i="17"/>
  <c r="F10" i="17" s="1"/>
  <c r="F13" i="17" s="1"/>
  <c r="F16" i="17"/>
  <c r="F17" i="17"/>
  <c r="F29" i="17"/>
  <c r="E14" i="17"/>
  <c r="E10" i="17" s="1"/>
  <c r="E13" i="17" s="1"/>
  <c r="E15" i="17"/>
  <c r="E16" i="17"/>
  <c r="E17" i="17"/>
  <c r="E29" i="17"/>
  <c r="D14" i="17"/>
  <c r="D15" i="17"/>
  <c r="D10" i="17" s="1"/>
  <c r="D16" i="17"/>
  <c r="D17" i="17"/>
  <c r="D21" i="17"/>
  <c r="D33" i="17" s="1"/>
  <c r="D27" i="17"/>
  <c r="D30" i="17" s="1"/>
  <c r="D29" i="17"/>
  <c r="E27" i="17" s="1"/>
  <c r="AY14" i="18"/>
  <c r="AY15" i="18"/>
  <c r="AY16" i="18"/>
  <c r="AY10" i="18"/>
  <c r="AY13" i="18" s="1"/>
  <c r="AY17" i="18"/>
  <c r="AY29" i="18"/>
  <c r="AX14" i="18"/>
  <c r="AX10" i="18" s="1"/>
  <c r="AX13" i="18" s="1"/>
  <c r="AX15" i="18"/>
  <c r="AX16" i="18"/>
  <c r="AX17" i="18"/>
  <c r="AX29" i="18"/>
  <c r="AW14" i="18"/>
  <c r="AW15" i="18"/>
  <c r="AW16" i="18"/>
  <c r="AW17" i="18"/>
  <c r="AW29" i="18"/>
  <c r="AV14" i="18"/>
  <c r="AV15" i="18"/>
  <c r="AV16" i="18"/>
  <c r="AV10" i="18"/>
  <c r="AV13" i="18" s="1"/>
  <c r="AV17" i="18"/>
  <c r="AV29" i="18"/>
  <c r="AU14" i="18"/>
  <c r="AU10" i="18" s="1"/>
  <c r="AU13" i="18" s="1"/>
  <c r="AU15" i="18"/>
  <c r="AU16" i="18"/>
  <c r="AU17" i="18"/>
  <c r="AU29" i="18"/>
  <c r="AT14" i="18"/>
  <c r="AT15" i="18"/>
  <c r="AT10" i="18" s="1"/>
  <c r="AT13" i="18" s="1"/>
  <c r="AT16" i="18"/>
  <c r="AT17" i="18"/>
  <c r="AT29" i="18"/>
  <c r="AS14" i="18"/>
  <c r="AS10" i="18" s="1"/>
  <c r="AS13" i="18" s="1"/>
  <c r="AS15" i="18"/>
  <c r="AS16" i="18"/>
  <c r="AS17" i="18"/>
  <c r="AS29" i="18"/>
  <c r="AR14" i="18"/>
  <c r="AR15" i="18"/>
  <c r="AR10" i="18" s="1"/>
  <c r="AR13" i="18" s="1"/>
  <c r="AR16" i="18"/>
  <c r="AR17" i="18"/>
  <c r="AR29" i="18"/>
  <c r="AQ14" i="18"/>
  <c r="AQ15" i="18"/>
  <c r="AQ16" i="18"/>
  <c r="AQ10" i="18"/>
  <c r="AQ13" i="18" s="1"/>
  <c r="AQ17" i="18"/>
  <c r="AQ29" i="18"/>
  <c r="AP14" i="18"/>
  <c r="AP10" i="18" s="1"/>
  <c r="AP13" i="18" s="1"/>
  <c r="AP15" i="18"/>
  <c r="AP16" i="18"/>
  <c r="AP17" i="18"/>
  <c r="AP29" i="18"/>
  <c r="AO14" i="18"/>
  <c r="AO15" i="18"/>
  <c r="AO16" i="18"/>
  <c r="AO17" i="18"/>
  <c r="AO29" i="18"/>
  <c r="AN14" i="18"/>
  <c r="AN15" i="18"/>
  <c r="AN16" i="18"/>
  <c r="AN10" i="18"/>
  <c r="AN13" i="18" s="1"/>
  <c r="AN17" i="18"/>
  <c r="AN29" i="18"/>
  <c r="AM14" i="18"/>
  <c r="AM10" i="18" s="1"/>
  <c r="AM13" i="18" s="1"/>
  <c r="AM15" i="18"/>
  <c r="AM16" i="18"/>
  <c r="AM17" i="18"/>
  <c r="AM29" i="18"/>
  <c r="AL14" i="18"/>
  <c r="AL15" i="18"/>
  <c r="AL10" i="18" s="1"/>
  <c r="AL13" i="18" s="1"/>
  <c r="AL16" i="18"/>
  <c r="AL17" i="18"/>
  <c r="AL29" i="18"/>
  <c r="AK15" i="18"/>
  <c r="AK17" i="18"/>
  <c r="AK21" i="18"/>
  <c r="AK22" i="18"/>
  <c r="AK23" i="18"/>
  <c r="AK24" i="18"/>
  <c r="AK29" i="18"/>
  <c r="AK33" i="18"/>
  <c r="AK35" i="18" s="1"/>
  <c r="AK34" i="18"/>
  <c r="AK40" i="18"/>
  <c r="AK44" i="18"/>
  <c r="AK46" i="18" s="1"/>
  <c r="AK45" i="18"/>
  <c r="AK51" i="18"/>
  <c r="AJ14" i="18"/>
  <c r="AJ15" i="18"/>
  <c r="AK16" i="18" s="1"/>
  <c r="AJ16" i="18"/>
  <c r="AJ10" i="18"/>
  <c r="AJ13" i="18" s="1"/>
  <c r="AK14" i="18" s="1"/>
  <c r="AJ17" i="18"/>
  <c r="AJ29" i="18"/>
  <c r="AI16" i="18"/>
  <c r="AI21" i="18"/>
  <c r="AI33" i="18" s="1"/>
  <c r="AI22" i="18"/>
  <c r="AI24" i="18" s="1"/>
  <c r="AI29" i="18"/>
  <c r="AI39" i="18"/>
  <c r="AI44" i="18"/>
  <c r="AI50" i="18" s="1"/>
  <c r="AH14" i="18"/>
  <c r="AI15" i="18" s="1"/>
  <c r="AH15" i="18"/>
  <c r="AH16" i="18"/>
  <c r="AI17" i="18" s="1"/>
  <c r="AH17" i="18"/>
  <c r="AH29" i="18"/>
  <c r="AG14" i="18"/>
  <c r="AG15" i="18"/>
  <c r="AG16" i="18"/>
  <c r="AG17" i="18"/>
  <c r="AG29" i="18"/>
  <c r="AF14" i="18"/>
  <c r="AF15" i="18"/>
  <c r="AF16" i="18"/>
  <c r="AF10" i="18"/>
  <c r="AF13" i="18" s="1"/>
  <c r="AF17" i="18"/>
  <c r="AF29" i="18"/>
  <c r="AE21" i="18"/>
  <c r="AE33" i="18" s="1"/>
  <c r="AE35" i="18" s="1"/>
  <c r="AE22" i="18"/>
  <c r="AE24" i="18" s="1"/>
  <c r="AE23" i="18"/>
  <c r="AE29" i="18"/>
  <c r="AE34" i="18"/>
  <c r="AE40" i="18" s="1"/>
  <c r="AE39" i="18"/>
  <c r="AE44" i="18"/>
  <c r="AE50" i="18" s="1"/>
  <c r="AE45" i="18"/>
  <c r="AE51" i="18" s="1"/>
  <c r="AD14" i="18"/>
  <c r="AE15" i="18" s="1"/>
  <c r="AD15" i="18"/>
  <c r="AE16" i="18" s="1"/>
  <c r="AD16" i="18"/>
  <c r="AE17" i="18" s="1"/>
  <c r="AD17" i="18"/>
  <c r="AD29" i="18"/>
  <c r="AC14" i="18"/>
  <c r="AC15" i="18"/>
  <c r="AC16" i="18"/>
  <c r="AC17" i="18"/>
  <c r="AC29" i="18"/>
  <c r="AB14" i="18"/>
  <c r="AB15" i="18"/>
  <c r="AB16" i="18"/>
  <c r="AB10" i="18"/>
  <c r="AB13" i="18" s="1"/>
  <c r="AB17" i="18"/>
  <c r="AB29" i="18"/>
  <c r="AA14" i="18"/>
  <c r="AA10" i="18" s="1"/>
  <c r="AA13" i="18" s="1"/>
  <c r="AA15" i="18"/>
  <c r="AA16" i="18"/>
  <c r="AA17" i="18"/>
  <c r="AA29" i="18"/>
  <c r="Z14" i="18"/>
  <c r="Z15" i="18"/>
  <c r="Z16" i="18"/>
  <c r="Z10" i="18"/>
  <c r="Z13" i="18" s="1"/>
  <c r="Z17" i="18"/>
  <c r="Z29" i="18"/>
  <c r="Y14" i="18"/>
  <c r="Y15" i="18"/>
  <c r="Y16" i="18"/>
  <c r="Y17" i="18"/>
  <c r="Y29" i="18"/>
  <c r="X14" i="18"/>
  <c r="X15" i="18"/>
  <c r="X10" i="18" s="1"/>
  <c r="X13" i="18" s="1"/>
  <c r="X16" i="18"/>
  <c r="X17" i="18"/>
  <c r="X29" i="18"/>
  <c r="W14" i="18"/>
  <c r="W10" i="18" s="1"/>
  <c r="W13" i="18" s="1"/>
  <c r="W15" i="18"/>
  <c r="W16" i="18"/>
  <c r="W17" i="18"/>
  <c r="W29" i="18"/>
  <c r="V14" i="18"/>
  <c r="V10" i="18" s="1"/>
  <c r="V13" i="18" s="1"/>
  <c r="V15" i="18"/>
  <c r="V16" i="18"/>
  <c r="V17" i="18"/>
  <c r="V29" i="18"/>
  <c r="U14" i="18"/>
  <c r="U15" i="18"/>
  <c r="U16" i="18"/>
  <c r="U17" i="18"/>
  <c r="U29" i="18"/>
  <c r="T14" i="18"/>
  <c r="T15" i="18"/>
  <c r="T16" i="18"/>
  <c r="T10" i="18"/>
  <c r="T13" i="18" s="1"/>
  <c r="T17" i="18"/>
  <c r="T29" i="18"/>
  <c r="S14" i="18"/>
  <c r="S10" i="18" s="1"/>
  <c r="S13" i="18" s="1"/>
  <c r="S15" i="18"/>
  <c r="S16" i="18"/>
  <c r="S17" i="18"/>
  <c r="S29" i="18"/>
  <c r="R14" i="18"/>
  <c r="R15" i="18"/>
  <c r="R16" i="18"/>
  <c r="R10" i="18"/>
  <c r="R13" i="18" s="1"/>
  <c r="R17" i="18"/>
  <c r="R29" i="18"/>
  <c r="Q14" i="18"/>
  <c r="Q15" i="18"/>
  <c r="Q16" i="18"/>
  <c r="Q17" i="18"/>
  <c r="Q29" i="18"/>
  <c r="P14" i="18"/>
  <c r="P15" i="18"/>
  <c r="P10" i="18" s="1"/>
  <c r="P13" i="18" s="1"/>
  <c r="P16" i="18"/>
  <c r="P17" i="18"/>
  <c r="P29" i="18"/>
  <c r="O14" i="18"/>
  <c r="O10" i="18" s="1"/>
  <c r="O13" i="18" s="1"/>
  <c r="O15" i="18"/>
  <c r="O16" i="18"/>
  <c r="O17" i="18"/>
  <c r="O29" i="18"/>
  <c r="N14" i="18"/>
  <c r="N10" i="18" s="1"/>
  <c r="N13" i="18" s="1"/>
  <c r="N15" i="18"/>
  <c r="N16" i="18"/>
  <c r="N17" i="18"/>
  <c r="N29" i="18"/>
  <c r="M14" i="18"/>
  <c r="M15" i="18"/>
  <c r="M16" i="18"/>
  <c r="M17" i="18"/>
  <c r="M29" i="18"/>
  <c r="L14" i="18"/>
  <c r="L15" i="18"/>
  <c r="L16" i="18"/>
  <c r="L10" i="18"/>
  <c r="L13" i="18" s="1"/>
  <c r="L17" i="18"/>
  <c r="L29" i="18"/>
  <c r="K14" i="18"/>
  <c r="K10" i="18" s="1"/>
  <c r="K13" i="18" s="1"/>
  <c r="K15" i="18"/>
  <c r="K16" i="18"/>
  <c r="K17" i="18"/>
  <c r="K29" i="18"/>
  <c r="J14" i="18"/>
  <c r="J15" i="18"/>
  <c r="J16" i="18"/>
  <c r="J10" i="18"/>
  <c r="J13" i="18" s="1"/>
  <c r="J17" i="18"/>
  <c r="J29" i="18"/>
  <c r="I14" i="18"/>
  <c r="I15" i="18"/>
  <c r="I16" i="18"/>
  <c r="I17" i="18"/>
  <c r="I29" i="18"/>
  <c r="H14" i="18"/>
  <c r="H15" i="18"/>
  <c r="H10" i="18" s="1"/>
  <c r="H13" i="18" s="1"/>
  <c r="H16" i="18"/>
  <c r="H17" i="18"/>
  <c r="H29" i="18"/>
  <c r="G14" i="18"/>
  <c r="G10" i="18" s="1"/>
  <c r="G13" i="18" s="1"/>
  <c r="G15" i="18"/>
  <c r="G16" i="18"/>
  <c r="G17" i="18"/>
  <c r="G29" i="18"/>
  <c r="F14" i="18"/>
  <c r="F10" i="18" s="1"/>
  <c r="F13" i="18" s="1"/>
  <c r="F15" i="18"/>
  <c r="F16" i="18"/>
  <c r="F17" i="18"/>
  <c r="F29" i="18"/>
  <c r="E14" i="18"/>
  <c r="E15" i="18"/>
  <c r="E16" i="18"/>
  <c r="E17" i="18"/>
  <c r="E29" i="18"/>
  <c r="D14" i="18"/>
  <c r="D15" i="18"/>
  <c r="D16" i="18"/>
  <c r="D10" i="18"/>
  <c r="D17" i="18"/>
  <c r="AZ17" i="18" s="1"/>
  <c r="D27" i="18"/>
  <c r="D30" i="18" s="1"/>
  <c r="D29" i="18"/>
  <c r="B21" i="16"/>
  <c r="B21" i="17"/>
  <c r="B21" i="18"/>
  <c r="D21" i="18" s="1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 s="1"/>
  <c r="D19" i="19"/>
  <c r="D28" i="19" s="1"/>
  <c r="E19" i="19"/>
  <c r="E28" i="19" s="1"/>
  <c r="F19" i="19"/>
  <c r="F28" i="19" s="1"/>
  <c r="G19" i="19"/>
  <c r="G28" i="19" s="1"/>
  <c r="H19" i="19"/>
  <c r="H28" i="19" s="1"/>
  <c r="I19" i="19"/>
  <c r="I28" i="19" s="1"/>
  <c r="J19" i="19"/>
  <c r="J28" i="19" s="1"/>
  <c r="K19" i="19"/>
  <c r="K28" i="19" s="1"/>
  <c r="L19" i="19"/>
  <c r="L28" i="19" s="1"/>
  <c r="M19" i="19"/>
  <c r="M28" i="19" s="1"/>
  <c r="N19" i="19"/>
  <c r="N28" i="19" s="1"/>
  <c r="C20" i="19"/>
  <c r="C29" i="19" s="1"/>
  <c r="D20" i="19"/>
  <c r="D29" i="19" s="1"/>
  <c r="E20" i="19"/>
  <c r="E29" i="19" s="1"/>
  <c r="F20" i="19"/>
  <c r="F29" i="19" s="1"/>
  <c r="G20" i="19"/>
  <c r="G29" i="19" s="1"/>
  <c r="H20" i="19"/>
  <c r="H29" i="19" s="1"/>
  <c r="I20" i="19"/>
  <c r="I29" i="19" s="1"/>
  <c r="J20" i="19"/>
  <c r="J29" i="19" s="1"/>
  <c r="K20" i="19"/>
  <c r="K29" i="19" s="1"/>
  <c r="L20" i="19"/>
  <c r="L29" i="19" s="1"/>
  <c r="M20" i="19"/>
  <c r="M29" i="19" s="1"/>
  <c r="N20" i="19"/>
  <c r="N29" i="19" s="1"/>
  <c r="C21" i="19"/>
  <c r="C30" i="19" s="1"/>
  <c r="D21" i="19"/>
  <c r="D30" i="19" s="1"/>
  <c r="E21" i="19"/>
  <c r="E30" i="19" s="1"/>
  <c r="F21" i="19"/>
  <c r="F30" i="19" s="1"/>
  <c r="G21" i="19"/>
  <c r="G30" i="19" s="1"/>
  <c r="H21" i="19"/>
  <c r="H30" i="19" s="1"/>
  <c r="I21" i="19"/>
  <c r="I30" i="19" s="1"/>
  <c r="J21" i="19"/>
  <c r="J30" i="19" s="1"/>
  <c r="K21" i="19"/>
  <c r="K30" i="19" s="1"/>
  <c r="L21" i="19"/>
  <c r="L30" i="19" s="1"/>
  <c r="M21" i="19"/>
  <c r="M30" i="19" s="1"/>
  <c r="N21" i="19"/>
  <c r="N30" i="19" s="1"/>
  <c r="C22" i="19"/>
  <c r="C31" i="19" s="1"/>
  <c r="D22" i="19"/>
  <c r="D31" i="19" s="1"/>
  <c r="E22" i="19"/>
  <c r="E31" i="19" s="1"/>
  <c r="F22" i="19"/>
  <c r="F31" i="19" s="1"/>
  <c r="G22" i="19"/>
  <c r="G31" i="19" s="1"/>
  <c r="H22" i="19"/>
  <c r="H31" i="19" s="1"/>
  <c r="I22" i="19"/>
  <c r="I31" i="19" s="1"/>
  <c r="J22" i="19"/>
  <c r="J31" i="19" s="1"/>
  <c r="K22" i="19"/>
  <c r="K31" i="19" s="1"/>
  <c r="L22" i="19"/>
  <c r="L31" i="19" s="1"/>
  <c r="M22" i="19"/>
  <c r="M31" i="19" s="1"/>
  <c r="N22" i="19"/>
  <c r="N31" i="19" s="1"/>
  <c r="C23" i="19"/>
  <c r="C32" i="19" s="1"/>
  <c r="D23" i="19"/>
  <c r="D32" i="19" s="1"/>
  <c r="E23" i="19"/>
  <c r="E32" i="19" s="1"/>
  <c r="F23" i="19"/>
  <c r="F32" i="19" s="1"/>
  <c r="G23" i="19"/>
  <c r="G32" i="19" s="1"/>
  <c r="H23" i="19"/>
  <c r="H32" i="19" s="1"/>
  <c r="I23" i="19"/>
  <c r="I32" i="19" s="1"/>
  <c r="J23" i="19"/>
  <c r="J32" i="19" s="1"/>
  <c r="K23" i="19"/>
  <c r="K32" i="19" s="1"/>
  <c r="L23" i="19"/>
  <c r="L32" i="19" s="1"/>
  <c r="M23" i="19"/>
  <c r="M32" i="19" s="1"/>
  <c r="N23" i="19"/>
  <c r="N32" i="19" s="1"/>
  <c r="C24" i="19"/>
  <c r="C33" i="19" s="1"/>
  <c r="D24" i="19"/>
  <c r="D33" i="19" s="1"/>
  <c r="E24" i="19"/>
  <c r="E33" i="19" s="1"/>
  <c r="F24" i="19"/>
  <c r="F33" i="19" s="1"/>
  <c r="G24" i="19"/>
  <c r="G33" i="19" s="1"/>
  <c r="H24" i="19"/>
  <c r="H33" i="19" s="1"/>
  <c r="I24" i="19"/>
  <c r="I33" i="19" s="1"/>
  <c r="J24" i="19"/>
  <c r="J33" i="19" s="1"/>
  <c r="K24" i="19"/>
  <c r="K33" i="19" s="1"/>
  <c r="L24" i="19"/>
  <c r="L33" i="19" s="1"/>
  <c r="M24" i="19"/>
  <c r="M33" i="19" s="1"/>
  <c r="N24" i="19"/>
  <c r="N33" i="19" s="1"/>
  <c r="K21" i="18" l="1"/>
  <c r="L21" i="18"/>
  <c r="O21" i="18"/>
  <c r="AA22" i="18"/>
  <c r="AA21" i="18"/>
  <c r="AB21" i="18"/>
  <c r="P21" i="18"/>
  <c r="Q21" i="18"/>
  <c r="AI35" i="18"/>
  <c r="AK10" i="18"/>
  <c r="AK13" i="18" s="1"/>
  <c r="AM21" i="18"/>
  <c r="AS22" i="18"/>
  <c r="AS21" i="18"/>
  <c r="AV21" i="18"/>
  <c r="AY21" i="18"/>
  <c r="D13" i="17"/>
  <c r="H21" i="17"/>
  <c r="H22" i="17"/>
  <c r="K21" i="17"/>
  <c r="K22" i="17"/>
  <c r="AG50" i="17"/>
  <c r="AR21" i="17"/>
  <c r="P22" i="16"/>
  <c r="P21" i="16"/>
  <c r="AS21" i="16"/>
  <c r="AS22" i="16"/>
  <c r="G21" i="18"/>
  <c r="S21" i="18"/>
  <c r="T21" i="18"/>
  <c r="W21" i="18"/>
  <c r="AR21" i="18"/>
  <c r="D39" i="17"/>
  <c r="O22" i="17"/>
  <c r="O21" i="17"/>
  <c r="Y23" i="17"/>
  <c r="Y44" i="17"/>
  <c r="Y33" i="17"/>
  <c r="AM22" i="17"/>
  <c r="AM21" i="17"/>
  <c r="O21" i="16"/>
  <c r="O22" i="16"/>
  <c r="D23" i="18"/>
  <c r="D33" i="18"/>
  <c r="D44" i="18"/>
  <c r="H21" i="18"/>
  <c r="I21" i="18"/>
  <c r="X21" i="18"/>
  <c r="Y21" i="18"/>
  <c r="AN21" i="18"/>
  <c r="AQ21" i="18"/>
  <c r="AQ22" i="18"/>
  <c r="AT21" i="18"/>
  <c r="AU21" i="18"/>
  <c r="F21" i="17"/>
  <c r="G22" i="17"/>
  <c r="G21" i="17"/>
  <c r="M22" i="17"/>
  <c r="M21" i="17"/>
  <c r="S21" i="17"/>
  <c r="S22" i="17"/>
  <c r="T21" i="17"/>
  <c r="AJ21" i="17"/>
  <c r="AJ22" i="17"/>
  <c r="AK22" i="17"/>
  <c r="AK21" i="17"/>
  <c r="AP21" i="17"/>
  <c r="AP22" i="17"/>
  <c r="AW22" i="17"/>
  <c r="AW21" i="17"/>
  <c r="F27" i="17"/>
  <c r="E30" i="17"/>
  <c r="L21" i="17"/>
  <c r="P21" i="17"/>
  <c r="P22" i="17"/>
  <c r="AA21" i="17"/>
  <c r="AB21" i="17"/>
  <c r="AB22" i="17"/>
  <c r="AI45" i="18"/>
  <c r="AI51" i="18" s="1"/>
  <c r="AI34" i="18"/>
  <c r="AI40" i="18" s="1"/>
  <c r="AI23" i="18"/>
  <c r="D44" i="17"/>
  <c r="N23" i="17"/>
  <c r="AD21" i="17"/>
  <c r="AD22" i="17"/>
  <c r="AE22" i="17"/>
  <c r="AE21" i="17"/>
  <c r="AG23" i="17"/>
  <c r="AL22" i="17"/>
  <c r="AS46" i="17"/>
  <c r="AS39" i="17"/>
  <c r="D30" i="16"/>
  <c r="E27" i="16"/>
  <c r="D10" i="16"/>
  <c r="F51" i="16"/>
  <c r="F46" i="16"/>
  <c r="I22" i="16"/>
  <c r="I21" i="16"/>
  <c r="L21" i="16"/>
  <c r="R21" i="16"/>
  <c r="AG22" i="16"/>
  <c r="T260" i="14"/>
  <c r="D13" i="18"/>
  <c r="I10" i="18"/>
  <c r="I13" i="18" s="1"/>
  <c r="M22" i="18"/>
  <c r="Q10" i="18"/>
  <c r="Q13" i="18" s="1"/>
  <c r="Y10" i="18"/>
  <c r="Y13" i="18" s="1"/>
  <c r="AC22" i="18"/>
  <c r="D23" i="17"/>
  <c r="N50" i="17"/>
  <c r="N33" i="17"/>
  <c r="Q22" i="17"/>
  <c r="AG39" i="17"/>
  <c r="AL44" i="17"/>
  <c r="AL23" i="17"/>
  <c r="AL33" i="17"/>
  <c r="AV39" i="17"/>
  <c r="AV35" i="17"/>
  <c r="E35" i="16"/>
  <c r="E39" i="16"/>
  <c r="M21" i="16"/>
  <c r="Q22" i="16"/>
  <c r="Q21" i="16"/>
  <c r="Z23" i="16"/>
  <c r="Z44" i="16"/>
  <c r="AC21" i="16"/>
  <c r="AC22" i="16"/>
  <c r="D21" i="16"/>
  <c r="AU21" i="16"/>
  <c r="M21" i="18"/>
  <c r="U21" i="18"/>
  <c r="AC21" i="18"/>
  <c r="AD10" i="18"/>
  <c r="AD13" i="18" s="1"/>
  <c r="AE14" i="18" s="1"/>
  <c r="AE10" i="18" s="1"/>
  <c r="AE13" i="18" s="1"/>
  <c r="AG21" i="18"/>
  <c r="AH10" i="18"/>
  <c r="AH13" i="18" s="1"/>
  <c r="AI14" i="18" s="1"/>
  <c r="AI10" i="18" s="1"/>
  <c r="AI13" i="18" s="1"/>
  <c r="AK50" i="18"/>
  <c r="AO21" i="18"/>
  <c r="AW21" i="18"/>
  <c r="AZ17" i="17"/>
  <c r="I21" i="17"/>
  <c r="T10" i="17"/>
  <c r="T13" i="17" s="1"/>
  <c r="Y22" i="17"/>
  <c r="AN21" i="17"/>
  <c r="AO22" i="17"/>
  <c r="AO21" i="17"/>
  <c r="AP10" i="17"/>
  <c r="AP13" i="17" s="1"/>
  <c r="AY22" i="17"/>
  <c r="AY21" i="17"/>
  <c r="E46" i="16"/>
  <c r="E50" i="16"/>
  <c r="W22" i="16"/>
  <c r="W21" i="16"/>
  <c r="AD21" i="16"/>
  <c r="AD22" i="16"/>
  <c r="AE22" i="16"/>
  <c r="AE21" i="16"/>
  <c r="AJ21" i="16"/>
  <c r="AM22" i="16"/>
  <c r="AM21" i="16"/>
  <c r="AW21" i="16"/>
  <c r="B22" i="18"/>
  <c r="D22" i="18" s="1"/>
  <c r="E27" i="18"/>
  <c r="E10" i="18"/>
  <c r="E13" i="18" s="1"/>
  <c r="M10" i="18"/>
  <c r="M13" i="18" s="1"/>
  <c r="U10" i="18"/>
  <c r="U13" i="18" s="1"/>
  <c r="AC10" i="18"/>
  <c r="AC13" i="18" s="1"/>
  <c r="AE46" i="18"/>
  <c r="AG10" i="18"/>
  <c r="AG13" i="18" s="1"/>
  <c r="AI46" i="18"/>
  <c r="AK39" i="18"/>
  <c r="AO10" i="18"/>
  <c r="AO13" i="18" s="1"/>
  <c r="AW10" i="18"/>
  <c r="AW13" i="18" s="1"/>
  <c r="I10" i="17"/>
  <c r="I13" i="17" s="1"/>
  <c r="Q21" i="17"/>
  <c r="U10" i="17"/>
  <c r="U13" i="17" s="1"/>
  <c r="W21" i="17"/>
  <c r="AB10" i="17"/>
  <c r="AB13" i="17" s="1"/>
  <c r="AG22" i="17"/>
  <c r="AH46" i="17"/>
  <c r="AR10" i="17"/>
  <c r="AR13" i="17" s="1"/>
  <c r="AS14" i="17" s="1"/>
  <c r="AS10" i="17" s="1"/>
  <c r="AS13" i="17" s="1"/>
  <c r="AV44" i="17"/>
  <c r="H21" i="16"/>
  <c r="J21" i="16"/>
  <c r="J22" i="16"/>
  <c r="R10" i="16"/>
  <c r="R13" i="16" s="1"/>
  <c r="T34" i="16"/>
  <c r="T40" i="16" s="1"/>
  <c r="V22" i="16"/>
  <c r="V21" i="16"/>
  <c r="X21" i="16"/>
  <c r="X22" i="16"/>
  <c r="Z33" i="16"/>
  <c r="AG21" i="16"/>
  <c r="AL21" i="16"/>
  <c r="AO21" i="16"/>
  <c r="AO22" i="16"/>
  <c r="AP21" i="16"/>
  <c r="AT21" i="16"/>
  <c r="AT22" i="16"/>
  <c r="AV21" i="16"/>
  <c r="X260" i="14"/>
  <c r="S31" i="20"/>
  <c r="T32" i="20" s="1"/>
  <c r="H8" i="20"/>
  <c r="S9" i="20"/>
  <c r="H9" i="20"/>
  <c r="Q10" i="17"/>
  <c r="Q13" i="17" s="1"/>
  <c r="W10" i="17"/>
  <c r="W13" i="17" s="1"/>
  <c r="AE10" i="17"/>
  <c r="AE13" i="17" s="1"/>
  <c r="AT10" i="17"/>
  <c r="AT13" i="17" s="1"/>
  <c r="AW10" i="17"/>
  <c r="AW13" i="17" s="1"/>
  <c r="AZ17" i="16"/>
  <c r="T15" i="16"/>
  <c r="S10" i="16"/>
  <c r="S13" i="16" s="1"/>
  <c r="T14" i="16" s="1"/>
  <c r="T39" i="16"/>
  <c r="T35" i="16"/>
  <c r="AI22" i="16"/>
  <c r="AI21" i="16"/>
  <c r="AQ21" i="16"/>
  <c r="BA14" i="15"/>
  <c r="D259" i="15"/>
  <c r="AZ259" i="15" s="1"/>
  <c r="D260" i="14"/>
  <c r="BA14" i="14"/>
  <c r="AJ260" i="14"/>
  <c r="S10" i="20"/>
  <c r="J10" i="16"/>
  <c r="J13" i="16" s="1"/>
  <c r="T46" i="16"/>
  <c r="T50" i="16"/>
  <c r="Z10" i="16"/>
  <c r="Z13" i="16" s="1"/>
  <c r="AA14" i="16" s="1"/>
  <c r="AA10" i="16" s="1"/>
  <c r="AA13" i="16" s="1"/>
  <c r="AN21" i="16"/>
  <c r="AN22" i="16"/>
  <c r="AX21" i="16"/>
  <c r="AR260" i="15"/>
  <c r="L260" i="14"/>
  <c r="AB260" i="14"/>
  <c r="AR260" i="14"/>
  <c r="M10" i="16"/>
  <c r="M13" i="16" s="1"/>
  <c r="AE10" i="16"/>
  <c r="AE13" i="16" s="1"/>
  <c r="AJ10" i="16"/>
  <c r="AJ13" i="16" s="1"/>
  <c r="AQ10" i="16"/>
  <c r="AQ13" i="16" s="1"/>
  <c r="I260" i="15"/>
  <c r="S260" i="15"/>
  <c r="Y10" i="17"/>
  <c r="Y13" i="17" s="1"/>
  <c r="AG10" i="17"/>
  <c r="AG13" i="17" s="1"/>
  <c r="AH14" i="17" s="1"/>
  <c r="AH10" i="17" s="1"/>
  <c r="AH13" i="17" s="1"/>
  <c r="X10" i="16"/>
  <c r="X13" i="16" s="1"/>
  <c r="AH21" i="16"/>
  <c r="M260" i="15"/>
  <c r="Q260" i="15"/>
  <c r="AA260" i="15"/>
  <c r="AF260" i="15"/>
  <c r="AX10" i="16"/>
  <c r="AX13" i="16" s="1"/>
  <c r="G260" i="15"/>
  <c r="AZ260" i="15" s="1"/>
  <c r="O260" i="15"/>
  <c r="W260" i="15"/>
  <c r="AE260" i="15"/>
  <c r="AM260" i="15"/>
  <c r="S42" i="20"/>
  <c r="T43" i="20" s="1"/>
  <c r="AQ260" i="15"/>
  <c r="AU260" i="15"/>
  <c r="AY260" i="15"/>
  <c r="G260" i="14"/>
  <c r="K260" i="14"/>
  <c r="O260" i="14"/>
  <c r="S260" i="14"/>
  <c r="W260" i="14"/>
  <c r="AA260" i="14"/>
  <c r="AE260" i="14"/>
  <c r="AI260" i="14"/>
  <c r="AM260" i="14"/>
  <c r="AQ260" i="14"/>
  <c r="AU260" i="14"/>
  <c r="AY260" i="14"/>
  <c r="S7" i="20"/>
  <c r="H7" i="20"/>
  <c r="S8" i="20"/>
  <c r="H10" i="20"/>
  <c r="B22" i="16"/>
  <c r="B22" i="17"/>
  <c r="D22" i="17" s="1"/>
  <c r="Y21" i="16" l="1"/>
  <c r="Y22" i="16"/>
  <c r="AF21" i="16"/>
  <c r="AF22" i="16"/>
  <c r="AN34" i="16"/>
  <c r="AN40" i="16" s="1"/>
  <c r="AN45" i="16"/>
  <c r="AN51" i="16" s="1"/>
  <c r="AN24" i="16"/>
  <c r="AI45" i="16"/>
  <c r="AI51" i="16" s="1"/>
  <c r="AI24" i="16"/>
  <c r="AI34" i="16"/>
  <c r="AI40" i="16" s="1"/>
  <c r="AF21" i="17"/>
  <c r="AF22" i="17"/>
  <c r="AV23" i="16"/>
  <c r="AV33" i="16"/>
  <c r="AV44" i="16"/>
  <c r="AO24" i="16"/>
  <c r="AO34" i="16"/>
  <c r="AO40" i="16" s="1"/>
  <c r="AO45" i="16"/>
  <c r="AO51" i="16" s="1"/>
  <c r="Z39" i="16"/>
  <c r="V24" i="16"/>
  <c r="V45" i="16"/>
  <c r="V51" i="16" s="1"/>
  <c r="V34" i="16"/>
  <c r="V40" i="16" s="1"/>
  <c r="J34" i="16"/>
  <c r="J40" i="16" s="1"/>
  <c r="J45" i="16"/>
  <c r="J51" i="16" s="1"/>
  <c r="J24" i="16"/>
  <c r="AV46" i="17"/>
  <c r="AV50" i="17"/>
  <c r="AC22" i="17"/>
  <c r="AC21" i="17"/>
  <c r="Q44" i="17"/>
  <c r="Q23" i="17"/>
  <c r="Q33" i="17"/>
  <c r="AD21" i="18"/>
  <c r="AD22" i="18"/>
  <c r="F27" i="18"/>
  <c r="E30" i="18"/>
  <c r="AM33" i="16"/>
  <c r="AM44" i="16"/>
  <c r="AM23" i="16"/>
  <c r="AE45" i="16"/>
  <c r="AE51" i="16" s="1"/>
  <c r="AE24" i="16"/>
  <c r="AE34" i="16"/>
  <c r="AE40" i="16" s="1"/>
  <c r="W33" i="16"/>
  <c r="W23" i="16"/>
  <c r="W44" i="16"/>
  <c r="AY33" i="17"/>
  <c r="AY44" i="17"/>
  <c r="AY23" i="17"/>
  <c r="AO45" i="17"/>
  <c r="AO51" i="17" s="1"/>
  <c r="AO24" i="17"/>
  <c r="AO34" i="17"/>
  <c r="AO40" i="17" s="1"/>
  <c r="U22" i="17"/>
  <c r="U21" i="17"/>
  <c r="AW23" i="18"/>
  <c r="AW33" i="18"/>
  <c r="AW44" i="18"/>
  <c r="AG23" i="18"/>
  <c r="AG44" i="18"/>
  <c r="AG33" i="18"/>
  <c r="AA24" i="18"/>
  <c r="AA34" i="18"/>
  <c r="AA40" i="18" s="1"/>
  <c r="AA45" i="18"/>
  <c r="AA51" i="18" s="1"/>
  <c r="AY21" i="16"/>
  <c r="AY22" i="16"/>
  <c r="AI21" i="17"/>
  <c r="AI22" i="17"/>
  <c r="AR21" i="16"/>
  <c r="AR22" i="16"/>
  <c r="N21" i="16"/>
  <c r="N22" i="16"/>
  <c r="AN44" i="16"/>
  <c r="AN23" i="16"/>
  <c r="AN33" i="16"/>
  <c r="K21" i="16"/>
  <c r="K22" i="16"/>
  <c r="AZ260" i="14"/>
  <c r="AQ44" i="16"/>
  <c r="AQ23" i="16"/>
  <c r="AQ33" i="16"/>
  <c r="X21" i="17"/>
  <c r="X22" i="17"/>
  <c r="AT34" i="16"/>
  <c r="AT40" i="16" s="1"/>
  <c r="AT24" i="16"/>
  <c r="AT45" i="16"/>
  <c r="AT51" i="16" s="1"/>
  <c r="AO33" i="16"/>
  <c r="AO23" i="16"/>
  <c r="AO44" i="16"/>
  <c r="X34" i="16"/>
  <c r="X40" i="16" s="1"/>
  <c r="X45" i="16"/>
  <c r="X51" i="16" s="1"/>
  <c r="X24" i="16"/>
  <c r="J44" i="16"/>
  <c r="J23" i="16"/>
  <c r="J33" i="16"/>
  <c r="AT21" i="17"/>
  <c r="AT22" i="17"/>
  <c r="W33" i="17"/>
  <c r="W44" i="17"/>
  <c r="W23" i="17"/>
  <c r="J21" i="17"/>
  <c r="J22" i="17"/>
  <c r="V21" i="18"/>
  <c r="V22" i="18"/>
  <c r="D24" i="18"/>
  <c r="D34" i="18"/>
  <c r="D40" i="18" s="1"/>
  <c r="D45" i="18"/>
  <c r="D51" i="18" s="1"/>
  <c r="AM45" i="16"/>
  <c r="AM51" i="16" s="1"/>
  <c r="AM24" i="16"/>
  <c r="AM34" i="16"/>
  <c r="AM40" i="16" s="1"/>
  <c r="AD45" i="16"/>
  <c r="AD51" i="16" s="1"/>
  <c r="AD24" i="16"/>
  <c r="AD34" i="16"/>
  <c r="AD40" i="16" s="1"/>
  <c r="W45" i="16"/>
  <c r="W51" i="16" s="1"/>
  <c r="W24" i="16"/>
  <c r="W34" i="16"/>
  <c r="W40" i="16" s="1"/>
  <c r="AY24" i="17"/>
  <c r="AY34" i="17"/>
  <c r="AY40" i="17" s="1"/>
  <c r="AY45" i="17"/>
  <c r="AY51" i="17" s="1"/>
  <c r="AN23" i="17"/>
  <c r="AN33" i="17"/>
  <c r="AN44" i="17"/>
  <c r="I23" i="17"/>
  <c r="I33" i="17"/>
  <c r="I44" i="17"/>
  <c r="AO23" i="18"/>
  <c r="AO33" i="18"/>
  <c r="AO44" i="18"/>
  <c r="AF21" i="18"/>
  <c r="AF22" i="18"/>
  <c r="AU33" i="16"/>
  <c r="AU23" i="16"/>
  <c r="AU44" i="16"/>
  <c r="AC33" i="16"/>
  <c r="AC44" i="16"/>
  <c r="AC23" i="16"/>
  <c r="Q45" i="16"/>
  <c r="Q51" i="16" s="1"/>
  <c r="Q24" i="16"/>
  <c r="Q34" i="16"/>
  <c r="Q40" i="16" s="1"/>
  <c r="Q45" i="17"/>
  <c r="Q51" i="17" s="1"/>
  <c r="Q34" i="17"/>
  <c r="Q40" i="17" s="1"/>
  <c r="Q24" i="17"/>
  <c r="AW22" i="18"/>
  <c r="Z21" i="18"/>
  <c r="Z22" i="18"/>
  <c r="J21" i="18"/>
  <c r="J22" i="18"/>
  <c r="R44" i="16"/>
  <c r="R23" i="16"/>
  <c r="R33" i="16"/>
  <c r="I45" i="16"/>
  <c r="I51" i="16" s="1"/>
  <c r="I24" i="16"/>
  <c r="I34" i="16"/>
  <c r="I40" i="16" s="1"/>
  <c r="F27" i="16"/>
  <c r="E30" i="16"/>
  <c r="AL34" i="17"/>
  <c r="AL40" i="17" s="1"/>
  <c r="AL24" i="17"/>
  <c r="AL45" i="17"/>
  <c r="AL51" i="17" s="1"/>
  <c r="AD34" i="17"/>
  <c r="AD40" i="17" s="1"/>
  <c r="AD24" i="17"/>
  <c r="AD45" i="17"/>
  <c r="AD51" i="17" s="1"/>
  <c r="AB23" i="17"/>
  <c r="AB33" i="17"/>
  <c r="AB44" i="17"/>
  <c r="P23" i="17"/>
  <c r="P33" i="17"/>
  <c r="P44" i="17"/>
  <c r="G27" i="17"/>
  <c r="F30" i="17"/>
  <c r="AP44" i="17"/>
  <c r="AP23" i="17"/>
  <c r="AP33" i="17"/>
  <c r="AJ23" i="17"/>
  <c r="AJ44" i="17"/>
  <c r="AJ33" i="17"/>
  <c r="S33" i="17"/>
  <c r="S23" i="17"/>
  <c r="S44" i="17"/>
  <c r="G24" i="17"/>
  <c r="G34" i="17"/>
  <c r="G40" i="17" s="1"/>
  <c r="G45" i="17"/>
  <c r="G51" i="17" s="1"/>
  <c r="AU22" i="18"/>
  <c r="AQ33" i="18"/>
  <c r="AQ44" i="18"/>
  <c r="AQ23" i="18"/>
  <c r="Y22" i="18"/>
  <c r="I22" i="18"/>
  <c r="D39" i="18"/>
  <c r="O33" i="16"/>
  <c r="O23" i="16"/>
  <c r="O44" i="16"/>
  <c r="Y50" i="17"/>
  <c r="W22" i="18"/>
  <c r="S33" i="18"/>
  <c r="S44" i="18"/>
  <c r="S23" i="18"/>
  <c r="AS24" i="16"/>
  <c r="AS45" i="16"/>
  <c r="AS51" i="16" s="1"/>
  <c r="AS34" i="16"/>
  <c r="AS40" i="16" s="1"/>
  <c r="AR23" i="17"/>
  <c r="AR33" i="17"/>
  <c r="AR44" i="17"/>
  <c r="K24" i="17"/>
  <c r="K34" i="17"/>
  <c r="K40" i="17" s="1"/>
  <c r="K45" i="17"/>
  <c r="K51" i="17" s="1"/>
  <c r="E22" i="17"/>
  <c r="E21" i="17"/>
  <c r="AV22" i="18"/>
  <c r="AM33" i="18"/>
  <c r="AM44" i="18"/>
  <c r="AM23" i="18"/>
  <c r="Q23" i="18"/>
  <c r="Q33" i="18"/>
  <c r="Q44" i="18"/>
  <c r="AB22" i="18"/>
  <c r="O22" i="18"/>
  <c r="K33" i="18"/>
  <c r="K44" i="18"/>
  <c r="K23" i="18"/>
  <c r="AU22" i="16"/>
  <c r="D22" i="16"/>
  <c r="AJ22" i="16"/>
  <c r="T11" i="20"/>
  <c r="T45" i="20" s="1"/>
  <c r="AH23" i="16"/>
  <c r="AH33" i="16"/>
  <c r="AH44" i="16"/>
  <c r="AH22" i="16"/>
  <c r="AX44" i="16"/>
  <c r="AX23" i="16"/>
  <c r="AX33" i="16"/>
  <c r="AI23" i="16"/>
  <c r="AI44" i="16"/>
  <c r="AI33" i="16"/>
  <c r="T10" i="16"/>
  <c r="T13" i="16" s="1"/>
  <c r="AU21" i="17"/>
  <c r="AU22" i="17"/>
  <c r="AP23" i="16"/>
  <c r="AP33" i="16"/>
  <c r="AP44" i="16"/>
  <c r="AG33" i="16"/>
  <c r="AG23" i="16"/>
  <c r="AG44" i="16"/>
  <c r="V23" i="16"/>
  <c r="V33" i="16"/>
  <c r="V44" i="16"/>
  <c r="R22" i="16"/>
  <c r="H22" i="16"/>
  <c r="AG45" i="17"/>
  <c r="AG34" i="17"/>
  <c r="AG24" i="17"/>
  <c r="V21" i="17"/>
  <c r="V22" i="17"/>
  <c r="AP21" i="18"/>
  <c r="AP22" i="18"/>
  <c r="F21" i="18"/>
  <c r="F22" i="18"/>
  <c r="AW22" i="16"/>
  <c r="AE33" i="16"/>
  <c r="AE44" i="16"/>
  <c r="AE23" i="16"/>
  <c r="Z22" i="16"/>
  <c r="AO23" i="17"/>
  <c r="AO44" i="17"/>
  <c r="AO33" i="17"/>
  <c r="Y45" i="17"/>
  <c r="Y51" i="17" s="1"/>
  <c r="Y34" i="17"/>
  <c r="Y40" i="17" s="1"/>
  <c r="Y24" i="17"/>
  <c r="AJ21" i="18"/>
  <c r="AJ22" i="18"/>
  <c r="U23" i="18"/>
  <c r="U33" i="18"/>
  <c r="U44" i="18"/>
  <c r="AP22" i="16"/>
  <c r="M22" i="16"/>
  <c r="N39" i="17"/>
  <c r="AG22" i="18"/>
  <c r="R21" i="18"/>
  <c r="R22" i="18"/>
  <c r="AZ10" i="18"/>
  <c r="AL22" i="16"/>
  <c r="L23" i="16"/>
  <c r="L33" i="16"/>
  <c r="L44" i="16"/>
  <c r="AE33" i="17"/>
  <c r="AE44" i="17"/>
  <c r="AE23" i="17"/>
  <c r="AA33" i="17"/>
  <c r="AA23" i="17"/>
  <c r="AA44" i="17"/>
  <c r="L23" i="17"/>
  <c r="L33" i="17"/>
  <c r="L44" i="17"/>
  <c r="AW45" i="17"/>
  <c r="AW51" i="17" s="1"/>
  <c r="AW24" i="17"/>
  <c r="AW34" i="17"/>
  <c r="AW40" i="17" s="1"/>
  <c r="AK45" i="17"/>
  <c r="AK51" i="17" s="1"/>
  <c r="AK24" i="17"/>
  <c r="AK34" i="17"/>
  <c r="AK40" i="17" s="1"/>
  <c r="T23" i="17"/>
  <c r="T33" i="17"/>
  <c r="T44" i="17"/>
  <c r="M45" i="17"/>
  <c r="M51" i="17" s="1"/>
  <c r="M24" i="17"/>
  <c r="M34" i="17"/>
  <c r="M40" i="17" s="1"/>
  <c r="F44" i="17"/>
  <c r="F23" i="17"/>
  <c r="F33" i="17"/>
  <c r="AT44" i="18"/>
  <c r="AT23" i="18"/>
  <c r="AT33" i="18"/>
  <c r="AN23" i="18"/>
  <c r="AN33" i="18"/>
  <c r="AN44" i="18"/>
  <c r="X23" i="18"/>
  <c r="X33" i="18"/>
  <c r="X44" i="18"/>
  <c r="H23" i="18"/>
  <c r="H33" i="18"/>
  <c r="H44" i="18"/>
  <c r="AM24" i="17"/>
  <c r="AM34" i="17"/>
  <c r="AM40" i="17" s="1"/>
  <c r="AM45" i="17"/>
  <c r="AM51" i="17" s="1"/>
  <c r="O33" i="17"/>
  <c r="O44" i="17"/>
  <c r="O23" i="17"/>
  <c r="AR22" i="18"/>
  <c r="T22" i="18"/>
  <c r="G22" i="18"/>
  <c r="P23" i="16"/>
  <c r="P33" i="16"/>
  <c r="P44" i="16"/>
  <c r="H24" i="17"/>
  <c r="H34" i="17"/>
  <c r="H40" i="17" s="1"/>
  <c r="H45" i="17"/>
  <c r="H51" i="17" s="1"/>
  <c r="AY22" i="18"/>
  <c r="AS23" i="18"/>
  <c r="AS33" i="18"/>
  <c r="AS44" i="18"/>
  <c r="AL21" i="18"/>
  <c r="AL22" i="18"/>
  <c r="P22" i="18"/>
  <c r="AA33" i="18"/>
  <c r="AA44" i="18"/>
  <c r="AA23" i="18"/>
  <c r="L22" i="18"/>
  <c r="M23" i="18"/>
  <c r="M33" i="18"/>
  <c r="M44" i="18"/>
  <c r="AC24" i="16"/>
  <c r="AC45" i="16"/>
  <c r="AC51" i="16" s="1"/>
  <c r="AC34" i="16"/>
  <c r="AC40" i="16" s="1"/>
  <c r="Q23" i="16"/>
  <c r="Q33" i="16"/>
  <c r="Q44" i="16"/>
  <c r="AL39" i="17"/>
  <c r="AL35" i="17"/>
  <c r="AC45" i="18"/>
  <c r="AC51" i="18" s="1"/>
  <c r="AC34" i="18"/>
  <c r="AC40" i="18" s="1"/>
  <c r="AC24" i="18"/>
  <c r="M45" i="18"/>
  <c r="M51" i="18" s="1"/>
  <c r="M34" i="18"/>
  <c r="M40" i="18" s="1"/>
  <c r="M24" i="18"/>
  <c r="AG24" i="16"/>
  <c r="AG34" i="16"/>
  <c r="AG40" i="16" s="1"/>
  <c r="AG45" i="16"/>
  <c r="AG51" i="16" s="1"/>
  <c r="I23" i="16"/>
  <c r="I44" i="16"/>
  <c r="I33" i="16"/>
  <c r="D13" i="16"/>
  <c r="E14" i="16" s="1"/>
  <c r="AE24" i="17"/>
  <c r="AE45" i="17"/>
  <c r="AE51" i="17" s="1"/>
  <c r="AE34" i="17"/>
  <c r="AE40" i="17" s="1"/>
  <c r="D50" i="17"/>
  <c r="AB24" i="17"/>
  <c r="AB34" i="17"/>
  <c r="AB40" i="17" s="1"/>
  <c r="AB45" i="17"/>
  <c r="AB51" i="17" s="1"/>
  <c r="P45" i="17"/>
  <c r="P51" i="17" s="1"/>
  <c r="P24" i="17"/>
  <c r="P34" i="17"/>
  <c r="P40" i="17" s="1"/>
  <c r="AP34" i="17"/>
  <c r="AP40" i="17" s="1"/>
  <c r="AP45" i="17"/>
  <c r="AP51" i="17" s="1"/>
  <c r="AP24" i="17"/>
  <c r="AJ45" i="17"/>
  <c r="AJ51" i="17" s="1"/>
  <c r="AJ34" i="17"/>
  <c r="AJ40" i="17" s="1"/>
  <c r="AJ24" i="17"/>
  <c r="S24" i="17"/>
  <c r="S45" i="17"/>
  <c r="S51" i="17" s="1"/>
  <c r="S34" i="17"/>
  <c r="S40" i="17" s="1"/>
  <c r="G33" i="17"/>
  <c r="G44" i="17"/>
  <c r="G23" i="17"/>
  <c r="AU33" i="18"/>
  <c r="AU44" i="18"/>
  <c r="AU23" i="18"/>
  <c r="AQ24" i="18"/>
  <c r="AQ34" i="18"/>
  <c r="AQ40" i="18" s="1"/>
  <c r="AQ45" i="18"/>
  <c r="AQ51" i="18" s="1"/>
  <c r="Y23" i="18"/>
  <c r="Y33" i="18"/>
  <c r="Y44" i="18"/>
  <c r="I23" i="18"/>
  <c r="I33" i="18"/>
  <c r="I44" i="18"/>
  <c r="D50" i="18"/>
  <c r="O24" i="16"/>
  <c r="O34" i="16"/>
  <c r="O40" i="16" s="1"/>
  <c r="O45" i="16"/>
  <c r="O51" i="16" s="1"/>
  <c r="Y35" i="17"/>
  <c r="Y39" i="17"/>
  <c r="O24" i="17"/>
  <c r="O45" i="17"/>
  <c r="O51" i="17" s="1"/>
  <c r="O34" i="17"/>
  <c r="O40" i="17" s="1"/>
  <c r="AR23" i="18"/>
  <c r="AR33" i="18"/>
  <c r="AR44" i="18"/>
  <c r="T23" i="18"/>
  <c r="T33" i="18"/>
  <c r="T44" i="18"/>
  <c r="G33" i="18"/>
  <c r="G44" i="18"/>
  <c r="G23" i="18"/>
  <c r="P24" i="16"/>
  <c r="P34" i="16"/>
  <c r="P40" i="16" s="1"/>
  <c r="P45" i="16"/>
  <c r="P51" i="16" s="1"/>
  <c r="H23" i="17"/>
  <c r="H33" i="17"/>
  <c r="H44" i="17"/>
  <c r="AY33" i="18"/>
  <c r="AY44" i="18"/>
  <c r="AY23" i="18"/>
  <c r="AS45" i="18"/>
  <c r="AS51" i="18" s="1"/>
  <c r="AS24" i="18"/>
  <c r="AS34" i="18"/>
  <c r="AS40" i="18" s="1"/>
  <c r="P23" i="18"/>
  <c r="P33" i="18"/>
  <c r="P44" i="18"/>
  <c r="L23" i="18"/>
  <c r="L33" i="18"/>
  <c r="L44" i="18"/>
  <c r="D24" i="17"/>
  <c r="D34" i="17"/>
  <c r="D45" i="17"/>
  <c r="D51" i="17" s="1"/>
  <c r="Z21" i="17"/>
  <c r="Z22" i="17"/>
  <c r="AK21" i="16"/>
  <c r="AK22" i="16"/>
  <c r="AX22" i="16"/>
  <c r="AB21" i="16"/>
  <c r="AB22" i="16"/>
  <c r="AQ22" i="16"/>
  <c r="AX21" i="17"/>
  <c r="AX22" i="17"/>
  <c r="R21" i="17"/>
  <c r="R22" i="17"/>
  <c r="AT44" i="16"/>
  <c r="AT23" i="16"/>
  <c r="AT33" i="16"/>
  <c r="AL23" i="16"/>
  <c r="AL44" i="16"/>
  <c r="AL33" i="16"/>
  <c r="X44" i="16"/>
  <c r="X23" i="16"/>
  <c r="X33" i="16"/>
  <c r="S21" i="16"/>
  <c r="S22" i="16"/>
  <c r="H23" i="16"/>
  <c r="H33" i="16"/>
  <c r="H44" i="16"/>
  <c r="W22" i="17"/>
  <c r="AX21" i="18"/>
  <c r="AX22" i="18"/>
  <c r="AH21" i="18"/>
  <c r="AH22" i="18"/>
  <c r="N21" i="18"/>
  <c r="N22" i="18"/>
  <c r="AW33" i="16"/>
  <c r="AW23" i="16"/>
  <c r="AW44" i="16"/>
  <c r="AJ44" i="16"/>
  <c r="AJ23" i="16"/>
  <c r="AJ33" i="16"/>
  <c r="AD23" i="16"/>
  <c r="AD44" i="16"/>
  <c r="AD33" i="16"/>
  <c r="AQ21" i="17"/>
  <c r="AQ22" i="17"/>
  <c r="AN22" i="17"/>
  <c r="AC23" i="18"/>
  <c r="AC33" i="18"/>
  <c r="AC44" i="18"/>
  <c r="D23" i="16"/>
  <c r="D44" i="16"/>
  <c r="D33" i="16"/>
  <c r="Z50" i="16"/>
  <c r="M33" i="16"/>
  <c r="M44" i="16"/>
  <c r="M23" i="16"/>
  <c r="AL50" i="17"/>
  <c r="N22" i="17"/>
  <c r="I22" i="17"/>
  <c r="AO22" i="18"/>
  <c r="U22" i="18"/>
  <c r="E22" i="18"/>
  <c r="E21" i="18"/>
  <c r="AV22" i="16"/>
  <c r="L22" i="16"/>
  <c r="AD44" i="17"/>
  <c r="AD33" i="17"/>
  <c r="AD23" i="17"/>
  <c r="AA22" i="17"/>
  <c r="L22" i="17"/>
  <c r="AW23" i="17"/>
  <c r="AW44" i="17"/>
  <c r="AW33" i="17"/>
  <c r="AK33" i="17"/>
  <c r="AK44" i="17"/>
  <c r="AK23" i="17"/>
  <c r="T22" i="17"/>
  <c r="M23" i="17"/>
  <c r="M33" i="17"/>
  <c r="M44" i="17"/>
  <c r="F22" i="17"/>
  <c r="AT22" i="18"/>
  <c r="AN22" i="18"/>
  <c r="X22" i="18"/>
  <c r="H22" i="18"/>
  <c r="AM33" i="17"/>
  <c r="AM23" i="17"/>
  <c r="AM44" i="17"/>
  <c r="W33" i="18"/>
  <c r="W44" i="18"/>
  <c r="W23" i="18"/>
  <c r="S22" i="18"/>
  <c r="AS33" i="16"/>
  <c r="AS44" i="16"/>
  <c r="AS23" i="16"/>
  <c r="AR22" i="17"/>
  <c r="K33" i="17"/>
  <c r="K44" i="17"/>
  <c r="K23" i="17"/>
  <c r="AZ10" i="17"/>
  <c r="AV23" i="18"/>
  <c r="AV33" i="18"/>
  <c r="AV44" i="18"/>
  <c r="AM22" i="18"/>
  <c r="Q22" i="18"/>
  <c r="AB23" i="18"/>
  <c r="AB33" i="18"/>
  <c r="AB44" i="18"/>
  <c r="O33" i="18"/>
  <c r="O44" i="18"/>
  <c r="O23" i="18"/>
  <c r="K22" i="18"/>
  <c r="O35" i="18" l="1"/>
  <c r="O39" i="18"/>
  <c r="K35" i="17"/>
  <c r="K39" i="17"/>
  <c r="W39" i="18"/>
  <c r="AT34" i="18"/>
  <c r="AT40" i="18" s="1"/>
  <c r="AT24" i="18"/>
  <c r="AT45" i="18"/>
  <c r="AT51" i="18" s="1"/>
  <c r="AK35" i="17"/>
  <c r="AK39" i="17"/>
  <c r="AD46" i="17"/>
  <c r="AD50" i="17"/>
  <c r="I45" i="17"/>
  <c r="I51" i="17" s="1"/>
  <c r="I34" i="17"/>
  <c r="I40" i="17" s="1"/>
  <c r="I24" i="17"/>
  <c r="AJ50" i="16"/>
  <c r="AX34" i="18"/>
  <c r="AX40" i="18" s="1"/>
  <c r="AX45" i="18"/>
  <c r="AX51" i="18" s="1"/>
  <c r="AX24" i="18"/>
  <c r="H39" i="16"/>
  <c r="AL46" i="16"/>
  <c r="AL50" i="16"/>
  <c r="AT46" i="16"/>
  <c r="AT50" i="16"/>
  <c r="AX34" i="16"/>
  <c r="AX40" i="16" s="1"/>
  <c r="AX45" i="16"/>
  <c r="AX51" i="16" s="1"/>
  <c r="AX24" i="16"/>
  <c r="AZ22" i="17"/>
  <c r="AY35" i="18"/>
  <c r="AY39" i="18"/>
  <c r="G50" i="18"/>
  <c r="G35" i="17"/>
  <c r="G39" i="17"/>
  <c r="M35" i="18"/>
  <c r="M39" i="18"/>
  <c r="AL44" i="18"/>
  <c r="AL23" i="18"/>
  <c r="AL33" i="18"/>
  <c r="P46" i="16"/>
  <c r="P50" i="16"/>
  <c r="O35" i="17"/>
  <c r="O39" i="17"/>
  <c r="X39" i="18"/>
  <c r="X35" i="18"/>
  <c r="AP45" i="16"/>
  <c r="AP51" i="16" s="1"/>
  <c r="AP24" i="16"/>
  <c r="AP34" i="16"/>
  <c r="AP40" i="16" s="1"/>
  <c r="AW45" i="16"/>
  <c r="AW51" i="16" s="1"/>
  <c r="AW24" i="16"/>
  <c r="AW34" i="16"/>
  <c r="AW40" i="16" s="1"/>
  <c r="AG40" i="17"/>
  <c r="AG35" i="17"/>
  <c r="D45" i="16"/>
  <c r="D51" i="16" s="1"/>
  <c r="D24" i="16"/>
  <c r="D34" i="16"/>
  <c r="D40" i="16" s="1"/>
  <c r="Q39" i="18"/>
  <c r="W24" i="18"/>
  <c r="W34" i="18"/>
  <c r="W40" i="18" s="1"/>
  <c r="W45" i="18"/>
  <c r="W51" i="18" s="1"/>
  <c r="AQ35" i="18"/>
  <c r="AQ39" i="18"/>
  <c r="P46" i="17"/>
  <c r="P50" i="17"/>
  <c r="J34" i="18"/>
  <c r="J40" i="18" s="1"/>
  <c r="J24" i="18"/>
  <c r="J45" i="18"/>
  <c r="J51" i="18" s="1"/>
  <c r="AU39" i="16"/>
  <c r="AT44" i="17"/>
  <c r="AT23" i="17"/>
  <c r="AT33" i="17"/>
  <c r="K33" i="16"/>
  <c r="K44" i="16"/>
  <c r="K23" i="16"/>
  <c r="AI24" i="17"/>
  <c r="AI34" i="17"/>
  <c r="AI40" i="17" s="1"/>
  <c r="AI45" i="17"/>
  <c r="AI51" i="17" s="1"/>
  <c r="AG46" i="18"/>
  <c r="AG50" i="18"/>
  <c r="AY35" i="17"/>
  <c r="AY39" i="17"/>
  <c r="AM50" i="16"/>
  <c r="AM46" i="16"/>
  <c r="Q46" i="17"/>
  <c r="Q50" i="17"/>
  <c r="AF23" i="17"/>
  <c r="AF33" i="17"/>
  <c r="AF44" i="17"/>
  <c r="S24" i="18"/>
  <c r="S34" i="18"/>
  <c r="S40" i="18" s="1"/>
  <c r="S45" i="18"/>
  <c r="S51" i="18" s="1"/>
  <c r="H24" i="18"/>
  <c r="H34" i="18"/>
  <c r="H40" i="18" s="1"/>
  <c r="H45" i="18"/>
  <c r="H51" i="18" s="1"/>
  <c r="T24" i="17"/>
  <c r="T34" i="17"/>
  <c r="T40" i="17" s="1"/>
  <c r="T45" i="17"/>
  <c r="T51" i="17" s="1"/>
  <c r="AA24" i="17"/>
  <c r="AA45" i="17"/>
  <c r="AA51" i="17" s="1"/>
  <c r="AA34" i="17"/>
  <c r="AA40" i="17" s="1"/>
  <c r="N34" i="17"/>
  <c r="N24" i="17"/>
  <c r="N45" i="17"/>
  <c r="D39" i="16"/>
  <c r="AC46" i="18"/>
  <c r="AC50" i="18"/>
  <c r="AW50" i="16"/>
  <c r="AX44" i="18"/>
  <c r="AX23" i="18"/>
  <c r="AX33" i="18"/>
  <c r="R34" i="17"/>
  <c r="R40" i="17" s="1"/>
  <c r="R45" i="17"/>
  <c r="R51" i="17" s="1"/>
  <c r="R24" i="17"/>
  <c r="L50" i="18"/>
  <c r="P39" i="18"/>
  <c r="H46" i="17"/>
  <c r="H50" i="17"/>
  <c r="G35" i="18"/>
  <c r="G39" i="18"/>
  <c r="D46" i="18"/>
  <c r="E10" i="16"/>
  <c r="F15" i="16"/>
  <c r="Q50" i="16"/>
  <c r="Q46" i="16"/>
  <c r="AA35" i="18"/>
  <c r="AA39" i="18"/>
  <c r="AR24" i="18"/>
  <c r="AR34" i="18"/>
  <c r="AR40" i="18" s="1"/>
  <c r="AR45" i="18"/>
  <c r="AR51" i="18" s="1"/>
  <c r="H39" i="18"/>
  <c r="R34" i="18"/>
  <c r="R40" i="18" s="1"/>
  <c r="R24" i="18"/>
  <c r="R45" i="18"/>
  <c r="R51" i="18" s="1"/>
  <c r="AJ23" i="18"/>
  <c r="AJ33" i="18"/>
  <c r="AJ44" i="18"/>
  <c r="F34" i="18"/>
  <c r="F40" i="18" s="1"/>
  <c r="F45" i="18"/>
  <c r="F51" i="18" s="1"/>
  <c r="F24" i="18"/>
  <c r="AG51" i="17"/>
  <c r="AG46" i="17"/>
  <c r="AU24" i="17"/>
  <c r="AU34" i="17"/>
  <c r="AU40" i="17" s="1"/>
  <c r="AU45" i="17"/>
  <c r="AU51" i="17" s="1"/>
  <c r="AX46" i="16"/>
  <c r="AX50" i="16"/>
  <c r="AU24" i="16"/>
  <c r="AU34" i="16"/>
  <c r="AU40" i="16" s="1"/>
  <c r="AU45" i="16"/>
  <c r="AU51" i="16" s="1"/>
  <c r="O35" i="16"/>
  <c r="O39" i="16"/>
  <c r="Y45" i="18"/>
  <c r="Y51" i="18" s="1"/>
  <c r="Y24" i="18"/>
  <c r="Y34" i="18"/>
  <c r="Y40" i="18" s="1"/>
  <c r="S50" i="17"/>
  <c r="S46" i="17"/>
  <c r="AP50" i="17"/>
  <c r="AP46" i="17"/>
  <c r="R39" i="16"/>
  <c r="AC39" i="16"/>
  <c r="AC35" i="16"/>
  <c r="AN50" i="17"/>
  <c r="W50" i="17"/>
  <c r="J35" i="16"/>
  <c r="J39" i="16"/>
  <c r="AO35" i="16"/>
  <c r="AO39" i="16"/>
  <c r="AQ50" i="16"/>
  <c r="AQ46" i="16"/>
  <c r="AN39" i="16"/>
  <c r="AN35" i="16"/>
  <c r="AI33" i="17"/>
  <c r="AI44" i="17"/>
  <c r="AI23" i="17"/>
  <c r="U23" i="17"/>
  <c r="U44" i="17"/>
  <c r="U33" i="17"/>
  <c r="W50" i="16"/>
  <c r="W46" i="16"/>
  <c r="AD44" i="18"/>
  <c r="AD23" i="18"/>
  <c r="AD33" i="18"/>
  <c r="AV39" i="16"/>
  <c r="AV46" i="18"/>
  <c r="AV50" i="18"/>
  <c r="X24" i="18"/>
  <c r="X34" i="18"/>
  <c r="X40" i="18" s="1"/>
  <c r="X45" i="18"/>
  <c r="X51" i="18" s="1"/>
  <c r="M46" i="17"/>
  <c r="M50" i="17"/>
  <c r="AW46" i="17"/>
  <c r="AW50" i="17"/>
  <c r="L24" i="16"/>
  <c r="L34" i="16"/>
  <c r="L40" i="16" s="1"/>
  <c r="L45" i="16"/>
  <c r="L51" i="16" s="1"/>
  <c r="U45" i="18"/>
  <c r="U51" i="18" s="1"/>
  <c r="U34" i="18"/>
  <c r="U40" i="18" s="1"/>
  <c r="U24" i="18"/>
  <c r="AL46" i="17"/>
  <c r="M39" i="16"/>
  <c r="D46" i="16"/>
  <c r="D50" i="16"/>
  <c r="AC35" i="18"/>
  <c r="AC39" i="18"/>
  <c r="AQ33" i="17"/>
  <c r="AQ23" i="17"/>
  <c r="AQ44" i="17"/>
  <c r="AJ39" i="16"/>
  <c r="AH34" i="18"/>
  <c r="AH40" i="18" s="1"/>
  <c r="AH45" i="18"/>
  <c r="AH51" i="18" s="1"/>
  <c r="AH24" i="18"/>
  <c r="W24" i="17"/>
  <c r="W45" i="17"/>
  <c r="W51" i="17" s="1"/>
  <c r="W34" i="17"/>
  <c r="W40" i="17" s="1"/>
  <c r="S24" i="16"/>
  <c r="S45" i="16"/>
  <c r="S51" i="16" s="1"/>
  <c r="S34" i="16"/>
  <c r="S40" i="16" s="1"/>
  <c r="X46" i="16"/>
  <c r="X50" i="16"/>
  <c r="AT39" i="16"/>
  <c r="AT35" i="16"/>
  <c r="R44" i="17"/>
  <c r="R33" i="17"/>
  <c r="R23" i="17"/>
  <c r="AB34" i="16"/>
  <c r="AB40" i="16" s="1"/>
  <c r="AB45" i="16"/>
  <c r="AB51" i="16" s="1"/>
  <c r="AB24" i="16"/>
  <c r="AK33" i="16"/>
  <c r="AK23" i="16"/>
  <c r="AK44" i="16"/>
  <c r="D40" i="17"/>
  <c r="D35" i="17"/>
  <c r="L39" i="18"/>
  <c r="L35" i="18"/>
  <c r="H39" i="17"/>
  <c r="H35" i="17"/>
  <c r="T50" i="18"/>
  <c r="AR39" i="18"/>
  <c r="AR35" i="18"/>
  <c r="I50" i="18"/>
  <c r="Y35" i="18"/>
  <c r="Y39" i="18"/>
  <c r="Q35" i="16"/>
  <c r="Q39" i="16"/>
  <c r="L24" i="18"/>
  <c r="AZ24" i="18" s="1"/>
  <c r="L34" i="18"/>
  <c r="L40" i="18" s="1"/>
  <c r="L45" i="18"/>
  <c r="L51" i="18" s="1"/>
  <c r="P24" i="18"/>
  <c r="P34" i="18"/>
  <c r="P40" i="18" s="1"/>
  <c r="P45" i="18"/>
  <c r="P51" i="18" s="1"/>
  <c r="AS35" i="18"/>
  <c r="AS39" i="18"/>
  <c r="AN46" i="18"/>
  <c r="AN50" i="18"/>
  <c r="F50" i="17"/>
  <c r="T46" i="17"/>
  <c r="T50" i="17"/>
  <c r="AA50" i="17"/>
  <c r="AA46" i="17"/>
  <c r="AE50" i="17"/>
  <c r="AE46" i="17"/>
  <c r="R44" i="18"/>
  <c r="R23" i="18"/>
  <c r="R33" i="18"/>
  <c r="U39" i="18"/>
  <c r="AO50" i="17"/>
  <c r="AO46" i="17"/>
  <c r="AE46" i="16"/>
  <c r="AE50" i="16"/>
  <c r="F44" i="18"/>
  <c r="F23" i="18"/>
  <c r="F33" i="18"/>
  <c r="V44" i="17"/>
  <c r="V33" i="17"/>
  <c r="V23" i="17"/>
  <c r="H24" i="16"/>
  <c r="H45" i="16"/>
  <c r="H51" i="16" s="1"/>
  <c r="H34" i="16"/>
  <c r="H40" i="16" s="1"/>
  <c r="AP46" i="16"/>
  <c r="AP50" i="16"/>
  <c r="AU33" i="17"/>
  <c r="AU23" i="17"/>
  <c r="AU44" i="17"/>
  <c r="AH34" i="16"/>
  <c r="AH40" i="16" s="1"/>
  <c r="AH24" i="16"/>
  <c r="AH45" i="16"/>
  <c r="AH51" i="16" s="1"/>
  <c r="AB24" i="18"/>
  <c r="AB34" i="18"/>
  <c r="AB40" i="18" s="1"/>
  <c r="AB45" i="18"/>
  <c r="AB51" i="18" s="1"/>
  <c r="E23" i="17"/>
  <c r="E33" i="17"/>
  <c r="E44" i="17"/>
  <c r="AZ21" i="17"/>
  <c r="S50" i="18"/>
  <c r="S46" i="18"/>
  <c r="Y46" i="17"/>
  <c r="D35" i="18"/>
  <c r="Z34" i="18"/>
  <c r="Z40" i="18" s="1"/>
  <c r="Z24" i="18"/>
  <c r="Z45" i="18"/>
  <c r="Z51" i="18" s="1"/>
  <c r="AU50" i="16"/>
  <c r="AF23" i="18"/>
  <c r="AF33" i="18"/>
  <c r="AF44" i="18"/>
  <c r="I46" i="17"/>
  <c r="I50" i="17"/>
  <c r="AN39" i="17"/>
  <c r="J34" i="17"/>
  <c r="J40" i="17" s="1"/>
  <c r="J45" i="17"/>
  <c r="J51" i="17" s="1"/>
  <c r="J24" i="17"/>
  <c r="W35" i="17"/>
  <c r="W39" i="17"/>
  <c r="X23" i="17"/>
  <c r="X44" i="17"/>
  <c r="X33" i="17"/>
  <c r="AR34" i="16"/>
  <c r="AR40" i="16" s="1"/>
  <c r="AR45" i="16"/>
  <c r="AR51" i="16" s="1"/>
  <c r="AR24" i="16"/>
  <c r="AY24" i="16"/>
  <c r="AY34" i="16"/>
  <c r="AY40" i="16" s="1"/>
  <c r="AY45" i="16"/>
  <c r="AY51" i="16" s="1"/>
  <c r="AW50" i="18"/>
  <c r="U45" i="17"/>
  <c r="U51" i="17" s="1"/>
  <c r="U34" i="17"/>
  <c r="U40" i="17" s="1"/>
  <c r="U24" i="17"/>
  <c r="Q35" i="17"/>
  <c r="Q39" i="17"/>
  <c r="AC45" i="17"/>
  <c r="AC51" i="17" s="1"/>
  <c r="AC24" i="17"/>
  <c r="AC34" i="17"/>
  <c r="AC40" i="17" s="1"/>
  <c r="Y33" i="16"/>
  <c r="Y44" i="16"/>
  <c r="Y23" i="16"/>
  <c r="Q45" i="18"/>
  <c r="Q51" i="18" s="1"/>
  <c r="Q24" i="18"/>
  <c r="Q34" i="18"/>
  <c r="Q40" i="18" s="1"/>
  <c r="AS39" i="16"/>
  <c r="AS35" i="16"/>
  <c r="L24" i="17"/>
  <c r="L34" i="17"/>
  <c r="L40" i="17" s="1"/>
  <c r="L45" i="17"/>
  <c r="L51" i="17" s="1"/>
  <c r="E23" i="18"/>
  <c r="E33" i="18"/>
  <c r="E44" i="18"/>
  <c r="AZ21" i="18"/>
  <c r="AN34" i="17"/>
  <c r="AN40" i="17" s="1"/>
  <c r="AN45" i="17"/>
  <c r="AN51" i="17" s="1"/>
  <c r="AN24" i="17"/>
  <c r="AD46" i="16"/>
  <c r="AD50" i="16"/>
  <c r="N34" i="18"/>
  <c r="N40" i="18" s="1"/>
  <c r="N45" i="18"/>
  <c r="N51" i="18" s="1"/>
  <c r="N24" i="18"/>
  <c r="X35" i="16"/>
  <c r="X39" i="16"/>
  <c r="AX44" i="17"/>
  <c r="AX23" i="17"/>
  <c r="AX33" i="17"/>
  <c r="Z44" i="17"/>
  <c r="Z23" i="17"/>
  <c r="Z33" i="17"/>
  <c r="P46" i="18"/>
  <c r="P50" i="18"/>
  <c r="AU50" i="18"/>
  <c r="I50" i="16"/>
  <c r="I46" i="16"/>
  <c r="AA50" i="18"/>
  <c r="AA46" i="18"/>
  <c r="AY24" i="18"/>
  <c r="AY34" i="18"/>
  <c r="AY40" i="18" s="1"/>
  <c r="AY45" i="18"/>
  <c r="AY51" i="18" s="1"/>
  <c r="T24" i="18"/>
  <c r="T34" i="18"/>
  <c r="T40" i="18" s="1"/>
  <c r="T45" i="18"/>
  <c r="T51" i="18" s="1"/>
  <c r="H50" i="18"/>
  <c r="F35" i="17"/>
  <c r="F39" i="17"/>
  <c r="L39" i="17"/>
  <c r="L35" i="17"/>
  <c r="AA35" i="17"/>
  <c r="AA39" i="17"/>
  <c r="L46" i="16"/>
  <c r="L50" i="16"/>
  <c r="AJ24" i="18"/>
  <c r="AJ34" i="18"/>
  <c r="AJ40" i="18" s="1"/>
  <c r="AJ45" i="18"/>
  <c r="AJ51" i="18" s="1"/>
  <c r="Z24" i="16"/>
  <c r="Z45" i="16"/>
  <c r="Z34" i="16"/>
  <c r="AP44" i="18"/>
  <c r="AP23" i="18"/>
  <c r="AP33" i="18"/>
  <c r="V46" i="16"/>
  <c r="V50" i="16"/>
  <c r="AI35" i="16"/>
  <c r="AI39" i="16"/>
  <c r="AH39" i="16"/>
  <c r="AH35" i="16"/>
  <c r="K35" i="18"/>
  <c r="K39" i="18"/>
  <c r="AM39" i="18"/>
  <c r="AR39" i="17"/>
  <c r="AR35" i="17"/>
  <c r="I45" i="18"/>
  <c r="I51" i="18" s="1"/>
  <c r="I24" i="18"/>
  <c r="I34" i="18"/>
  <c r="I40" i="18" s="1"/>
  <c r="AJ39" i="17"/>
  <c r="AJ35" i="17"/>
  <c r="AB39" i="17"/>
  <c r="AB35" i="17"/>
  <c r="AW45" i="18"/>
  <c r="AW51" i="18" s="1"/>
  <c r="AW34" i="18"/>
  <c r="AW40" i="18" s="1"/>
  <c r="AW24" i="18"/>
  <c r="AC50" i="16"/>
  <c r="AC46" i="16"/>
  <c r="AO39" i="18"/>
  <c r="V34" i="18"/>
  <c r="V40" i="18" s="1"/>
  <c r="V45" i="18"/>
  <c r="V51" i="18" s="1"/>
  <c r="V24" i="18"/>
  <c r="N34" i="16"/>
  <c r="N40" i="16" s="1"/>
  <c r="N24" i="16"/>
  <c r="N45" i="16"/>
  <c r="N51" i="16" s="1"/>
  <c r="AD34" i="18"/>
  <c r="AD40" i="18" s="1"/>
  <c r="AD45" i="18"/>
  <c r="AD51" i="18" s="1"/>
  <c r="AD24" i="18"/>
  <c r="AV46" i="16"/>
  <c r="AV50" i="16"/>
  <c r="AF44" i="16"/>
  <c r="AF23" i="16"/>
  <c r="AF33" i="16"/>
  <c r="K24" i="18"/>
  <c r="K34" i="18"/>
  <c r="K40" i="18" s="1"/>
  <c r="K45" i="18"/>
  <c r="K51" i="18" s="1"/>
  <c r="AB46" i="18"/>
  <c r="AB50" i="18"/>
  <c r="AM24" i="18"/>
  <c r="AM34" i="18"/>
  <c r="AM40" i="18" s="1"/>
  <c r="AM45" i="18"/>
  <c r="AM51" i="18" s="1"/>
  <c r="AR34" i="17"/>
  <c r="AR40" i="17" s="1"/>
  <c r="AR45" i="17"/>
  <c r="AR51" i="17" s="1"/>
  <c r="AR24" i="17"/>
  <c r="AM50" i="17"/>
  <c r="AM46" i="17"/>
  <c r="F34" i="17"/>
  <c r="F40" i="17" s="1"/>
  <c r="F24" i="17"/>
  <c r="F45" i="17"/>
  <c r="F51" i="17" s="1"/>
  <c r="AW35" i="17"/>
  <c r="AW39" i="17"/>
  <c r="E45" i="18"/>
  <c r="E51" i="18" s="1"/>
  <c r="E34" i="18"/>
  <c r="E40" i="18" s="1"/>
  <c r="E24" i="18"/>
  <c r="M50" i="16"/>
  <c r="AQ24" i="17"/>
  <c r="AQ34" i="17"/>
  <c r="AQ40" i="17" s="1"/>
  <c r="AQ45" i="17"/>
  <c r="AQ51" i="17" s="1"/>
  <c r="N44" i="18"/>
  <c r="N23" i="18"/>
  <c r="N33" i="18"/>
  <c r="AQ45" i="16"/>
  <c r="AQ51" i="16" s="1"/>
  <c r="AQ34" i="16"/>
  <c r="AQ40" i="16" s="1"/>
  <c r="AQ24" i="16"/>
  <c r="AK24" i="16"/>
  <c r="AK34" i="16"/>
  <c r="AK40" i="16" s="1"/>
  <c r="AK45" i="16"/>
  <c r="AK51" i="16" s="1"/>
  <c r="AR46" i="18"/>
  <c r="AR50" i="18"/>
  <c r="Y50" i="18"/>
  <c r="AU35" i="18"/>
  <c r="AU39" i="18"/>
  <c r="D46" i="17"/>
  <c r="AS46" i="18"/>
  <c r="AS50" i="18"/>
  <c r="P39" i="16"/>
  <c r="P35" i="16"/>
  <c r="AT35" i="18"/>
  <c r="AT39" i="18"/>
  <c r="L39" i="16"/>
  <c r="L35" i="16"/>
  <c r="U46" i="18"/>
  <c r="U50" i="18"/>
  <c r="AO35" i="17"/>
  <c r="AO39" i="17"/>
  <c r="V34" i="17"/>
  <c r="V40" i="17" s="1"/>
  <c r="V24" i="17"/>
  <c r="V45" i="17"/>
  <c r="V51" i="17" s="1"/>
  <c r="V39" i="16"/>
  <c r="V35" i="16"/>
  <c r="AG35" i="16"/>
  <c r="AG39" i="16"/>
  <c r="AI50" i="16"/>
  <c r="AI46" i="16"/>
  <c r="O24" i="18"/>
  <c r="O34" i="18"/>
  <c r="O40" i="18" s="1"/>
  <c r="O45" i="18"/>
  <c r="O51" i="18" s="1"/>
  <c r="AV24" i="18"/>
  <c r="AV34" i="18"/>
  <c r="AV40" i="18" s="1"/>
  <c r="AV45" i="18"/>
  <c r="AV51" i="18" s="1"/>
  <c r="AU24" i="18"/>
  <c r="AU34" i="18"/>
  <c r="AU40" i="18" s="1"/>
  <c r="AU45" i="18"/>
  <c r="AU51" i="18" s="1"/>
  <c r="AJ46" i="17"/>
  <c r="AJ50" i="17"/>
  <c r="P39" i="17"/>
  <c r="P35" i="17"/>
  <c r="G27" i="16"/>
  <c r="F30" i="16"/>
  <c r="J44" i="18"/>
  <c r="J23" i="18"/>
  <c r="J33" i="18"/>
  <c r="AF24" i="18"/>
  <c r="AF34" i="18"/>
  <c r="AF40" i="18" s="1"/>
  <c r="AF45" i="18"/>
  <c r="AF51" i="18" s="1"/>
  <c r="V44" i="18"/>
  <c r="V23" i="18"/>
  <c r="V33" i="18"/>
  <c r="X24" i="17"/>
  <c r="X45" i="17"/>
  <c r="X51" i="17" s="1"/>
  <c r="X34" i="17"/>
  <c r="X40" i="17" s="1"/>
  <c r="N44" i="16"/>
  <c r="N33" i="16"/>
  <c r="N23" i="16"/>
  <c r="AM35" i="16"/>
  <c r="AM39" i="16"/>
  <c r="AC23" i="17"/>
  <c r="AC44" i="17"/>
  <c r="AC33" i="17"/>
  <c r="Y24" i="16"/>
  <c r="Y45" i="16"/>
  <c r="Y51" i="16" s="1"/>
  <c r="Y34" i="16"/>
  <c r="Y40" i="16" s="1"/>
  <c r="AB39" i="18"/>
  <c r="AB35" i="18"/>
  <c r="O50" i="18"/>
  <c r="AV39" i="18"/>
  <c r="K50" i="17"/>
  <c r="K46" i="17"/>
  <c r="AS50" i="16"/>
  <c r="AS46" i="16"/>
  <c r="W50" i="18"/>
  <c r="W46" i="18"/>
  <c r="AM35" i="17"/>
  <c r="AM39" i="17"/>
  <c r="AN24" i="18"/>
  <c r="AN34" i="18"/>
  <c r="AN40" i="18" s="1"/>
  <c r="AN45" i="18"/>
  <c r="AN51" i="18" s="1"/>
  <c r="M35" i="17"/>
  <c r="M39" i="17"/>
  <c r="AK46" i="17"/>
  <c r="AK50" i="17"/>
  <c r="AD35" i="17"/>
  <c r="AD39" i="17"/>
  <c r="AV24" i="16"/>
  <c r="AV34" i="16"/>
  <c r="AV40" i="16" s="1"/>
  <c r="AV45" i="16"/>
  <c r="AV51" i="16" s="1"/>
  <c r="AO45" i="18"/>
  <c r="AO51" i="18" s="1"/>
  <c r="AO34" i="18"/>
  <c r="AO40" i="18" s="1"/>
  <c r="AO24" i="18"/>
  <c r="AD39" i="16"/>
  <c r="AD35" i="16"/>
  <c r="AW35" i="16"/>
  <c r="AW39" i="16"/>
  <c r="AH44" i="18"/>
  <c r="AH23" i="18"/>
  <c r="AH33" i="18"/>
  <c r="H46" i="16"/>
  <c r="H50" i="16"/>
  <c r="S33" i="16"/>
  <c r="S44" i="16"/>
  <c r="S23" i="16"/>
  <c r="AL39" i="16"/>
  <c r="AL35" i="16"/>
  <c r="AX34" i="17"/>
  <c r="AX40" i="17" s="1"/>
  <c r="AX24" i="17"/>
  <c r="AX45" i="17"/>
  <c r="AX51" i="17" s="1"/>
  <c r="AB44" i="16"/>
  <c r="AB23" i="16"/>
  <c r="AB33" i="16"/>
  <c r="Z34" i="17"/>
  <c r="Z40" i="17" s="1"/>
  <c r="Z24" i="17"/>
  <c r="Z45" i="17"/>
  <c r="Z51" i="17" s="1"/>
  <c r="AY50" i="18"/>
  <c r="AY46" i="18"/>
  <c r="T39" i="18"/>
  <c r="I35" i="18"/>
  <c r="I39" i="18"/>
  <c r="G50" i="17"/>
  <c r="G46" i="17"/>
  <c r="I35" i="16"/>
  <c r="I39" i="16"/>
  <c r="M46" i="18"/>
  <c r="M50" i="18"/>
  <c r="AL34" i="18"/>
  <c r="AL40" i="18" s="1"/>
  <c r="AL24" i="18"/>
  <c r="AL45" i="18"/>
  <c r="AL51" i="18" s="1"/>
  <c r="G24" i="18"/>
  <c r="G34" i="18"/>
  <c r="G40" i="18" s="1"/>
  <c r="G45" i="18"/>
  <c r="G51" i="18" s="1"/>
  <c r="O50" i="17"/>
  <c r="O46" i="17"/>
  <c r="X46" i="18"/>
  <c r="X50" i="18"/>
  <c r="AN39" i="18"/>
  <c r="AN35" i="18"/>
  <c r="AT50" i="18"/>
  <c r="T39" i="17"/>
  <c r="T35" i="17"/>
  <c r="L46" i="17"/>
  <c r="L50" i="17"/>
  <c r="AE35" i="17"/>
  <c r="AE39" i="17"/>
  <c r="AL34" i="16"/>
  <c r="AL40" i="16" s="1"/>
  <c r="AL24" i="16"/>
  <c r="AL45" i="16"/>
  <c r="AL51" i="16" s="1"/>
  <c r="AG45" i="18"/>
  <c r="AG51" i="18" s="1"/>
  <c r="AG34" i="18"/>
  <c r="AG40" i="18" s="1"/>
  <c r="AG24" i="18"/>
  <c r="M45" i="16"/>
  <c r="M51" i="16" s="1"/>
  <c r="M24" i="16"/>
  <c r="M34" i="16"/>
  <c r="M40" i="16" s="1"/>
  <c r="AE35" i="16"/>
  <c r="AE39" i="16"/>
  <c r="AP34" i="18"/>
  <c r="AP40" i="18" s="1"/>
  <c r="AP45" i="18"/>
  <c r="AP51" i="18" s="1"/>
  <c r="AP24" i="18"/>
  <c r="R34" i="16"/>
  <c r="R40" i="16" s="1"/>
  <c r="R45" i="16"/>
  <c r="R51" i="16" s="1"/>
  <c r="R24" i="16"/>
  <c r="AG50" i="16"/>
  <c r="AG46" i="16"/>
  <c r="AP39" i="16"/>
  <c r="AP35" i="16"/>
  <c r="U21" i="16"/>
  <c r="U22" i="16"/>
  <c r="AX39" i="16"/>
  <c r="AH46" i="16"/>
  <c r="AH50" i="16"/>
  <c r="AJ34" i="16"/>
  <c r="AJ40" i="16" s="1"/>
  <c r="AJ45" i="16"/>
  <c r="AJ51" i="16" s="1"/>
  <c r="AJ24" i="16"/>
  <c r="K50" i="18"/>
  <c r="Q50" i="18"/>
  <c r="AM50" i="18"/>
  <c r="E45" i="17"/>
  <c r="E51" i="17" s="1"/>
  <c r="E24" i="17"/>
  <c r="AZ24" i="17" s="1"/>
  <c r="E34" i="17"/>
  <c r="E40" i="17" s="1"/>
  <c r="AR46" i="17"/>
  <c r="AR50" i="17"/>
  <c r="S35" i="18"/>
  <c r="S39" i="18"/>
  <c r="O50" i="16"/>
  <c r="O46" i="16"/>
  <c r="AQ50" i="18"/>
  <c r="AQ46" i="18"/>
  <c r="S35" i="17"/>
  <c r="S39" i="17"/>
  <c r="AP35" i="17"/>
  <c r="AP39" i="17"/>
  <c r="G30" i="17"/>
  <c r="H27" i="17"/>
  <c r="AB46" i="17"/>
  <c r="AB50" i="17"/>
  <c r="R46" i="16"/>
  <c r="R50" i="16"/>
  <c r="Z44" i="18"/>
  <c r="Z23" i="18"/>
  <c r="Z33" i="18"/>
  <c r="AO50" i="18"/>
  <c r="I35" i="17"/>
  <c r="I39" i="17"/>
  <c r="AZ22" i="18"/>
  <c r="J44" i="17"/>
  <c r="J23" i="17"/>
  <c r="J33" i="17"/>
  <c r="AT34" i="17"/>
  <c r="AT40" i="17" s="1"/>
  <c r="AT45" i="17"/>
  <c r="AT51" i="17" s="1"/>
  <c r="AT24" i="17"/>
  <c r="J46" i="16"/>
  <c r="J50" i="16"/>
  <c r="AO50" i="16"/>
  <c r="AO46" i="16"/>
  <c r="AQ39" i="16"/>
  <c r="K24" i="16"/>
  <c r="K34" i="16"/>
  <c r="K40" i="16" s="1"/>
  <c r="K45" i="16"/>
  <c r="K51" i="16" s="1"/>
  <c r="AN50" i="16"/>
  <c r="AN46" i="16"/>
  <c r="AR44" i="16"/>
  <c r="AR23" i="16"/>
  <c r="AR33" i="16"/>
  <c r="AY33" i="16"/>
  <c r="AY23" i="16"/>
  <c r="AY44" i="16"/>
  <c r="AG35" i="18"/>
  <c r="AG39" i="18"/>
  <c r="AW35" i="18"/>
  <c r="AW39" i="18"/>
  <c r="AY50" i="17"/>
  <c r="AY46" i="17"/>
  <c r="W35" i="16"/>
  <c r="W39" i="16"/>
  <c r="G27" i="18"/>
  <c r="F30" i="18"/>
  <c r="AF45" i="17"/>
  <c r="AF51" i="17" s="1"/>
  <c r="AF34" i="17"/>
  <c r="AF40" i="17" s="1"/>
  <c r="AF24" i="17"/>
  <c r="AF34" i="16"/>
  <c r="AF40" i="16" s="1"/>
  <c r="AF24" i="16"/>
  <c r="AF45" i="16"/>
  <c r="AF51" i="16" s="1"/>
  <c r="AY39" i="16" l="1"/>
  <c r="AY35" i="16"/>
  <c r="J46" i="17"/>
  <c r="J50" i="17"/>
  <c r="U33" i="16"/>
  <c r="U23" i="16"/>
  <c r="U44" i="16"/>
  <c r="S39" i="16"/>
  <c r="S35" i="16"/>
  <c r="N39" i="16"/>
  <c r="N35" i="16"/>
  <c r="AP35" i="18"/>
  <c r="AP39" i="18"/>
  <c r="AZ23" i="18"/>
  <c r="E35" i="17"/>
  <c r="E39" i="17"/>
  <c r="R35" i="17"/>
  <c r="R39" i="17"/>
  <c r="AX46" i="18"/>
  <c r="AX50" i="18"/>
  <c r="AL46" i="18"/>
  <c r="AL50" i="18"/>
  <c r="W35" i="18"/>
  <c r="AU46" i="16"/>
  <c r="AZ23" i="17"/>
  <c r="F46" i="18"/>
  <c r="F50" i="18"/>
  <c r="AK50" i="16"/>
  <c r="AK46" i="16"/>
  <c r="R46" i="17"/>
  <c r="R50" i="17"/>
  <c r="AQ50" i="17"/>
  <c r="AQ46" i="17"/>
  <c r="M35" i="16"/>
  <c r="AI50" i="17"/>
  <c r="AI46" i="17"/>
  <c r="E13" i="16"/>
  <c r="F14" i="16" s="1"/>
  <c r="F10" i="16" s="1"/>
  <c r="F13" i="16" s="1"/>
  <c r="AZ10" i="16"/>
  <c r="D35" i="16"/>
  <c r="K50" i="16"/>
  <c r="K46" i="16"/>
  <c r="H35" i="16"/>
  <c r="AR50" i="16"/>
  <c r="AR46" i="16"/>
  <c r="U24" i="16"/>
  <c r="U34" i="16"/>
  <c r="U40" i="16" s="1"/>
  <c r="U45" i="16"/>
  <c r="U51" i="16" s="1"/>
  <c r="S50" i="16"/>
  <c r="S46" i="16"/>
  <c r="AH35" i="18"/>
  <c r="AH39" i="18"/>
  <c r="O46" i="18"/>
  <c r="AC46" i="17"/>
  <c r="AC50" i="17"/>
  <c r="V46" i="18"/>
  <c r="V50" i="18"/>
  <c r="J35" i="18"/>
  <c r="J39" i="18"/>
  <c r="G30" i="16"/>
  <c r="H27" i="16"/>
  <c r="N35" i="18"/>
  <c r="N39" i="18"/>
  <c r="AO35" i="18"/>
  <c r="AM35" i="18"/>
  <c r="Z40" i="16"/>
  <c r="Z35" i="16"/>
  <c r="Z50" i="17"/>
  <c r="Z46" i="17"/>
  <c r="E35" i="18"/>
  <c r="E39" i="18"/>
  <c r="Y39" i="16"/>
  <c r="Y35" i="16"/>
  <c r="AF39" i="18"/>
  <c r="AF35" i="18"/>
  <c r="E46" i="17"/>
  <c r="E50" i="17"/>
  <c r="F35" i="18"/>
  <c r="F39" i="18"/>
  <c r="U35" i="18"/>
  <c r="AK39" i="16"/>
  <c r="AK35" i="16"/>
  <c r="AJ35" i="16"/>
  <c r="AQ39" i="17"/>
  <c r="AQ35" i="17"/>
  <c r="W46" i="17"/>
  <c r="H35" i="18"/>
  <c r="P35" i="18"/>
  <c r="N51" i="17"/>
  <c r="N46" i="17"/>
  <c r="AF39" i="17"/>
  <c r="AF35" i="17"/>
  <c r="AT35" i="17"/>
  <c r="AT39" i="17"/>
  <c r="Q35" i="18"/>
  <c r="AJ46" i="16"/>
  <c r="AB50" i="16"/>
  <c r="AB46" i="16"/>
  <c r="AX35" i="17"/>
  <c r="AX39" i="17"/>
  <c r="AU50" i="17"/>
  <c r="AU46" i="17"/>
  <c r="Z46" i="18"/>
  <c r="Z50" i="18"/>
  <c r="AF39" i="16"/>
  <c r="AF35" i="16"/>
  <c r="Z51" i="16"/>
  <c r="Z46" i="16"/>
  <c r="R35" i="18"/>
  <c r="R39" i="18"/>
  <c r="AD35" i="18"/>
  <c r="AD39" i="18"/>
  <c r="H27" i="18"/>
  <c r="G30" i="18"/>
  <c r="AR35" i="16"/>
  <c r="AR39" i="16"/>
  <c r="AO46" i="18"/>
  <c r="H30" i="17"/>
  <c r="I27" i="17"/>
  <c r="Q46" i="18"/>
  <c r="AT46" i="18"/>
  <c r="AH46" i="18"/>
  <c r="AH50" i="18"/>
  <c r="AV35" i="18"/>
  <c r="N50" i="16"/>
  <c r="N46" i="16"/>
  <c r="V35" i="18"/>
  <c r="V39" i="18"/>
  <c r="J46" i="18"/>
  <c r="J50" i="18"/>
  <c r="N46" i="18"/>
  <c r="N50" i="18"/>
  <c r="AU46" i="18"/>
  <c r="Z35" i="17"/>
  <c r="Z39" i="17"/>
  <c r="X39" i="17"/>
  <c r="X35" i="17"/>
  <c r="V35" i="17"/>
  <c r="V39" i="17"/>
  <c r="U35" i="17"/>
  <c r="U39" i="17"/>
  <c r="AJ46" i="18"/>
  <c r="AJ50" i="18"/>
  <c r="AW46" i="16"/>
  <c r="N40" i="17"/>
  <c r="N35" i="17"/>
  <c r="AT46" i="17"/>
  <c r="AT50" i="17"/>
  <c r="G46" i="18"/>
  <c r="AY50" i="16"/>
  <c r="AY46" i="16"/>
  <c r="AQ35" i="16"/>
  <c r="J35" i="17"/>
  <c r="J39" i="17"/>
  <c r="Z35" i="18"/>
  <c r="Z39" i="18"/>
  <c r="AM46" i="18"/>
  <c r="K46" i="18"/>
  <c r="AX35" i="16"/>
  <c r="T35" i="18"/>
  <c r="AB35" i="16"/>
  <c r="AB39" i="16"/>
  <c r="AC35" i="17"/>
  <c r="AC39" i="17"/>
  <c r="Y46" i="18"/>
  <c r="M46" i="16"/>
  <c r="AF50" i="16"/>
  <c r="AF46" i="16"/>
  <c r="AP46" i="18"/>
  <c r="AP50" i="18"/>
  <c r="H46" i="18"/>
  <c r="AX46" i="17"/>
  <c r="AX50" i="17"/>
  <c r="E46" i="18"/>
  <c r="E50" i="18"/>
  <c r="Y50" i="16"/>
  <c r="Y46" i="16"/>
  <c r="AW46" i="18"/>
  <c r="X46" i="17"/>
  <c r="X50" i="17"/>
  <c r="AN35" i="17"/>
  <c r="AF46" i="18"/>
  <c r="AF50" i="18"/>
  <c r="AU39" i="17"/>
  <c r="AU35" i="17"/>
  <c r="V46" i="17"/>
  <c r="V50" i="17"/>
  <c r="R46" i="18"/>
  <c r="R50" i="18"/>
  <c r="F46" i="17"/>
  <c r="I46" i="18"/>
  <c r="T46" i="18"/>
  <c r="AV35" i="16"/>
  <c r="AD46" i="18"/>
  <c r="AD50" i="18"/>
  <c r="U46" i="17"/>
  <c r="U50" i="17"/>
  <c r="AI39" i="17"/>
  <c r="AI35" i="17"/>
  <c r="AN46" i="17"/>
  <c r="R35" i="16"/>
  <c r="AJ39" i="18"/>
  <c r="AJ35" i="18"/>
  <c r="L46" i="18"/>
  <c r="AX35" i="18"/>
  <c r="AX39" i="18"/>
  <c r="AF46" i="17"/>
  <c r="AF50" i="17"/>
  <c r="K39" i="16"/>
  <c r="K35" i="16"/>
  <c r="AU35" i="16"/>
  <c r="AL35" i="18"/>
  <c r="AL39" i="18"/>
  <c r="G22" i="16" l="1"/>
  <c r="G21" i="16"/>
  <c r="U39" i="16"/>
  <c r="U35" i="16"/>
  <c r="U46" i="16"/>
  <c r="U50" i="16"/>
  <c r="J27" i="17"/>
  <c r="I30" i="17"/>
  <c r="H30" i="18"/>
  <c r="I27" i="18"/>
  <c r="H30" i="16"/>
  <c r="I27" i="16"/>
  <c r="J27" i="16" l="1"/>
  <c r="I30" i="16"/>
  <c r="K27" i="17"/>
  <c r="J30" i="17"/>
  <c r="J27" i="18"/>
  <c r="I30" i="18"/>
  <c r="G33" i="16"/>
  <c r="G23" i="16"/>
  <c r="AZ23" i="16" s="1"/>
  <c r="G44" i="16"/>
  <c r="AZ21" i="16"/>
  <c r="G24" i="16"/>
  <c r="AZ24" i="16" s="1"/>
  <c r="G34" i="16"/>
  <c r="G40" i="16" s="1"/>
  <c r="G45" i="16"/>
  <c r="G51" i="16" s="1"/>
  <c r="AZ22" i="16"/>
  <c r="G39" i="16" l="1"/>
  <c r="G35" i="16"/>
  <c r="L27" i="17"/>
  <c r="K30" i="17"/>
  <c r="G50" i="16"/>
  <c r="G46" i="16"/>
  <c r="K27" i="18"/>
  <c r="J30" i="18"/>
  <c r="K27" i="16"/>
  <c r="J30" i="16"/>
  <c r="K30" i="18" l="1"/>
  <c r="L27" i="18"/>
  <c r="L30" i="17"/>
  <c r="M27" i="17"/>
  <c r="L27" i="16"/>
  <c r="K30" i="16"/>
  <c r="N27" i="17" l="1"/>
  <c r="M30" i="17"/>
  <c r="L30" i="18"/>
  <c r="M27" i="18"/>
  <c r="L30" i="16"/>
  <c r="M27" i="16"/>
  <c r="N27" i="18" l="1"/>
  <c r="M30" i="18"/>
  <c r="N27" i="16"/>
  <c r="M30" i="16"/>
  <c r="O27" i="17"/>
  <c r="N30" i="17"/>
  <c r="O27" i="16" l="1"/>
  <c r="N30" i="16"/>
  <c r="O30" i="17"/>
  <c r="P27" i="17"/>
  <c r="O27" i="18"/>
  <c r="N30" i="18"/>
  <c r="P30" i="17" l="1"/>
  <c r="Q27" i="17"/>
  <c r="P27" i="18"/>
  <c r="O30" i="18"/>
  <c r="P27" i="16"/>
  <c r="O30" i="16"/>
  <c r="P30" i="18" l="1"/>
  <c r="Q27" i="18"/>
  <c r="R27" i="17"/>
  <c r="Q30" i="17"/>
  <c r="P30" i="16"/>
  <c r="Q27" i="16"/>
  <c r="S27" i="17" l="1"/>
  <c r="R30" i="17"/>
  <c r="R27" i="16"/>
  <c r="Q30" i="16"/>
  <c r="R27" i="18"/>
  <c r="Q30" i="18"/>
  <c r="S27" i="16" l="1"/>
  <c r="R30" i="16"/>
  <c r="S27" i="18"/>
  <c r="R30" i="18"/>
  <c r="S30" i="17"/>
  <c r="T27" i="17"/>
  <c r="S30" i="18" l="1"/>
  <c r="T27" i="18"/>
  <c r="T30" i="17"/>
  <c r="U27" i="17"/>
  <c r="T27" i="16"/>
  <c r="S30" i="16"/>
  <c r="V27" i="17" l="1"/>
  <c r="U30" i="17"/>
  <c r="T30" i="18"/>
  <c r="U27" i="18"/>
  <c r="T30" i="16"/>
  <c r="U27" i="16"/>
  <c r="V27" i="18" l="1"/>
  <c r="U30" i="18"/>
  <c r="V27" i="16"/>
  <c r="U30" i="16"/>
  <c r="V30" i="17"/>
  <c r="W27" i="17"/>
  <c r="V30" i="16" l="1"/>
  <c r="W27" i="16"/>
  <c r="W30" i="17"/>
  <c r="X27" i="17"/>
  <c r="W27" i="18"/>
  <c r="V30" i="18"/>
  <c r="X30" i="17" l="1"/>
  <c r="Y27" i="17"/>
  <c r="X27" i="16"/>
  <c r="W30" i="16"/>
  <c r="X27" i="18"/>
  <c r="W30" i="18"/>
  <c r="Y27" i="16" l="1"/>
  <c r="X30" i="16"/>
  <c r="Z27" i="17"/>
  <c r="Y30" i="17"/>
  <c r="X30" i="18"/>
  <c r="Y27" i="18"/>
  <c r="AA27" i="17" l="1"/>
  <c r="Z30" i="17"/>
  <c r="Z27" i="18"/>
  <c r="Y30" i="18"/>
  <c r="Z27" i="16"/>
  <c r="Y30" i="16"/>
  <c r="AA27" i="18" l="1"/>
  <c r="Z30" i="18"/>
  <c r="Z30" i="16"/>
  <c r="AA27" i="16"/>
  <c r="AA30" i="17"/>
  <c r="AB27" i="17"/>
  <c r="AB27" i="16" l="1"/>
  <c r="AA30" i="16"/>
  <c r="AB30" i="17"/>
  <c r="AC27" i="17"/>
  <c r="AA30" i="18"/>
  <c r="AB27" i="18"/>
  <c r="AD27" i="17" l="1"/>
  <c r="AC30" i="17"/>
  <c r="AB30" i="18"/>
  <c r="AC27" i="18"/>
  <c r="AC27" i="16"/>
  <c r="AB30" i="16"/>
  <c r="AD27" i="18" l="1"/>
  <c r="AC30" i="18"/>
  <c r="AD27" i="16"/>
  <c r="AC30" i="16"/>
  <c r="AE27" i="17"/>
  <c r="AD30" i="17"/>
  <c r="AD30" i="16" l="1"/>
  <c r="AE27" i="16"/>
  <c r="AE30" i="17"/>
  <c r="AF27" i="17"/>
  <c r="AE27" i="18"/>
  <c r="AD30" i="18"/>
  <c r="AF30" i="17" l="1"/>
  <c r="AG27" i="17"/>
  <c r="AF27" i="16"/>
  <c r="AE30" i="16"/>
  <c r="AE30" i="18"/>
  <c r="AF27" i="18"/>
  <c r="AG27" i="16" l="1"/>
  <c r="AF30" i="16"/>
  <c r="AF30" i="18"/>
  <c r="AG27" i="18"/>
  <c r="AH27" i="17"/>
  <c r="AG30" i="17"/>
  <c r="AH27" i="18" l="1"/>
  <c r="AG30" i="18"/>
  <c r="AH30" i="17"/>
  <c r="AI27" i="17"/>
  <c r="AH27" i="16"/>
  <c r="AG30" i="16"/>
  <c r="AJ27" i="17" l="1"/>
  <c r="AI30" i="17"/>
  <c r="AH30" i="16"/>
  <c r="AI27" i="16"/>
  <c r="AI27" i="18"/>
  <c r="AH30" i="18"/>
  <c r="AJ27" i="16" l="1"/>
  <c r="AI30" i="16"/>
  <c r="AI30" i="18"/>
  <c r="AJ27" i="18"/>
  <c r="AJ30" i="17"/>
  <c r="AK27" i="17"/>
  <c r="AJ30" i="18" l="1"/>
  <c r="AK27" i="18"/>
  <c r="AL27" i="17"/>
  <c r="AK30" i="17"/>
  <c r="AK27" i="16"/>
  <c r="AJ30" i="16"/>
  <c r="AM27" i="17" l="1"/>
  <c r="AL30" i="17"/>
  <c r="AL27" i="18"/>
  <c r="AK30" i="18"/>
  <c r="AL27" i="16"/>
  <c r="AK30" i="16"/>
  <c r="AL30" i="16" l="1"/>
  <c r="AM27" i="16"/>
  <c r="AN27" i="17"/>
  <c r="AM30" i="17"/>
  <c r="AM27" i="18"/>
  <c r="AL30" i="18"/>
  <c r="AN30" i="17" l="1"/>
  <c r="AO27" i="17"/>
  <c r="AN27" i="16"/>
  <c r="AM30" i="16"/>
  <c r="AM30" i="18"/>
  <c r="AN27" i="18"/>
  <c r="AN30" i="16" l="1"/>
  <c r="AO27" i="16"/>
  <c r="AN30" i="18"/>
  <c r="AO27" i="18"/>
  <c r="AP27" i="17"/>
  <c r="AO30" i="17"/>
  <c r="AP27" i="18" l="1"/>
  <c r="AO30" i="18"/>
  <c r="AP27" i="16"/>
  <c r="AO30" i="16"/>
  <c r="AP30" i="17"/>
  <c r="AQ27" i="17"/>
  <c r="AP30" i="16" l="1"/>
  <c r="AQ27" i="16"/>
  <c r="AR27" i="17"/>
  <c r="AQ30" i="17"/>
  <c r="AQ27" i="18"/>
  <c r="AP30" i="18"/>
  <c r="AR30" i="17" l="1"/>
  <c r="AS27" i="17"/>
  <c r="AR27" i="16"/>
  <c r="AQ30" i="16"/>
  <c r="AR27" i="18"/>
  <c r="AQ30" i="18"/>
  <c r="AR30" i="16" l="1"/>
  <c r="AS27" i="16"/>
  <c r="AT27" i="17"/>
  <c r="AS30" i="17"/>
  <c r="AR30" i="18"/>
  <c r="AS27" i="18"/>
  <c r="AU27" i="17" l="1"/>
  <c r="AT30" i="17"/>
  <c r="AT27" i="18"/>
  <c r="AS30" i="18"/>
  <c r="AT27" i="16"/>
  <c r="AS30" i="16"/>
  <c r="AU27" i="18" l="1"/>
  <c r="AT30" i="18"/>
  <c r="AU27" i="16"/>
  <c r="AT30" i="16"/>
  <c r="AV27" i="17"/>
  <c r="AU30" i="17"/>
  <c r="AU30" i="16" l="1"/>
  <c r="AV27" i="16"/>
  <c r="AV30" i="17"/>
  <c r="AW27" i="17"/>
  <c r="AU30" i="18"/>
  <c r="AV27" i="18"/>
  <c r="AX27" i="17" l="1"/>
  <c r="AW30" i="17"/>
  <c r="AV30" i="18"/>
  <c r="AW27" i="18"/>
  <c r="AV30" i="16"/>
  <c r="AW27" i="16"/>
  <c r="AX27" i="16" l="1"/>
  <c r="AW30" i="16"/>
  <c r="AX27" i="18"/>
  <c r="AW30" i="18"/>
  <c r="AY27" i="17"/>
  <c r="AY30" i="17" s="1"/>
  <c r="AX30" i="17"/>
  <c r="AY27" i="18" l="1"/>
  <c r="AY30" i="18" s="1"/>
  <c r="AX30" i="18"/>
  <c r="AZ30" i="17"/>
  <c r="AY27" i="16"/>
  <c r="AY30" i="16" s="1"/>
  <c r="AZ30" i="16" s="1"/>
  <c r="AX30" i="16"/>
  <c r="AZ30" i="18" l="1"/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/>
  <c r="G76" i="5"/>
  <c r="H76" i="5" s="1"/>
  <c r="G77" i="5"/>
  <c r="H77" i="5"/>
  <c r="G78" i="5"/>
  <c r="H78" i="5" s="1"/>
  <c r="G79" i="5"/>
  <c r="H79" i="5"/>
  <c r="G80" i="5"/>
  <c r="H80" i="5" s="1"/>
  <c r="G81" i="5"/>
  <c r="H81" i="5"/>
  <c r="G82" i="5"/>
  <c r="H82" i="5" s="1"/>
  <c r="G83" i="5"/>
  <c r="H83" i="5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/>
  <c r="G92" i="5"/>
  <c r="H92" i="5" s="1"/>
  <c r="G93" i="5"/>
  <c r="H93" i="5"/>
  <c r="G94" i="5"/>
  <c r="H94" i="5" s="1"/>
  <c r="G95" i="5"/>
  <c r="H95" i="5"/>
  <c r="G96" i="5"/>
  <c r="H96" i="5" s="1"/>
  <c r="G97" i="5"/>
  <c r="H97" i="5"/>
  <c r="G98" i="5"/>
  <c r="H98" i="5" s="1"/>
  <c r="G99" i="5"/>
  <c r="H99" i="5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<sst xmlns="http://schemas.openxmlformats.org/spreadsheetml/2006/main" count="2533" uniqueCount="414">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</sst>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2008</v>
      </c>
      <c r="E5" s="103"/>
      <c r="F5" s="104"/>
    </row>
    <row r="6" spans="2:6" x14ac:dyDescent="0.2">
      <c r="B6" s="3"/>
      <c r="C6" s="3"/>
      <c r="D6" s="3"/>
      <c r="E6" s="3"/>
      <c r="F6" s="3"/>
    </row>
    <row r="8" spans="2:6" x14ac:dyDescent="0.2">
      <c r="B8">
        <v>3</v>
      </c>
      <c r="C8" t="s">
        <v>337</v>
      </c>
      <c r="D8">
        <v>2</v>
      </c>
      <c r="E8" t="s">
        <v>338</v>
      </c>
    </row>
    <row r="10" spans="2:6" x14ac:dyDescent="0.2">
      <c r="C10" t="s">
        <v>5</v>
      </c>
      <c r="E10" t="s">
        <v>22</v>
      </c>
    </row>
    <row r="11" spans="2:6" x14ac:dyDescent="0.2">
      <c r="C11" t="s">
        <v>10</v>
      </c>
      <c r="E11" t="s">
        <v>59</v>
      </c>
    </row>
    <row r="12" spans="2:6" x14ac:dyDescent="0.2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topLeftCell="A12" workbookViewId="0">
      <selection activeCell="N19" sqref="N19"/>
    </sheetView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>
        <v>-250</v>
      </c>
      <c r="D6" s="15">
        <v>471</v>
      </c>
      <c r="E6" s="15" t="s">
        <v>166</v>
      </c>
      <c r="F6" s="15" t="s">
        <v>6</v>
      </c>
      <c r="G6" s="15">
        <f t="shared" ref="G6:G15" si="0">$D6+$C6</f>
        <v>221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>
        <v>-150</v>
      </c>
      <c r="D10" s="15">
        <v>313</v>
      </c>
      <c r="E10" s="15" t="s">
        <v>166</v>
      </c>
      <c r="F10" s="15" t="s">
        <v>6</v>
      </c>
      <c r="G10" s="15">
        <f t="shared" si="0"/>
        <v>163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>
        <v>-292</v>
      </c>
      <c r="D12" s="15">
        <v>4689</v>
      </c>
      <c r="E12" s="15" t="s">
        <v>166</v>
      </c>
      <c r="F12" s="15" t="s">
        <v>6</v>
      </c>
      <c r="G12" s="15">
        <f t="shared" si="0"/>
        <v>4397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>
        <v>-11</v>
      </c>
      <c r="D21" s="15">
        <v>11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>
        <v>-8</v>
      </c>
      <c r="D25" s="15">
        <v>14</v>
      </c>
      <c r="E25" s="15"/>
      <c r="F25" s="15" t="s">
        <v>6</v>
      </c>
      <c r="G25" s="15">
        <f t="shared" si="2"/>
        <v>6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>
        <v>-43</v>
      </c>
      <c r="D27" s="15">
        <v>69</v>
      </c>
      <c r="E27" s="15"/>
      <c r="F27" s="15" t="s">
        <v>6</v>
      </c>
      <c r="G27" s="15">
        <f t="shared" si="2"/>
        <v>26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94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50000</v>
      </c>
      <c r="E39" s="15" t="s">
        <v>166</v>
      </c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51000</v>
      </c>
      <c r="E76" s="15" t="s">
        <v>166</v>
      </c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>
      <selection activeCell="C47" sqref="C47:N48"/>
    </sheetView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0</v>
      </c>
      <c r="D6" s="87">
        <v>0</v>
      </c>
      <c r="E6" s="87">
        <v>0</v>
      </c>
      <c r="F6" s="87">
        <v>0</v>
      </c>
      <c r="G6" s="87">
        <v>0</v>
      </c>
      <c r="H6" s="87">
        <v>0</v>
      </c>
      <c r="I6" s="87">
        <v>0</v>
      </c>
      <c r="J6" s="87">
        <v>0</v>
      </c>
      <c r="K6" s="87">
        <v>0</v>
      </c>
      <c r="L6" s="87">
        <v>0</v>
      </c>
      <c r="M6" s="87">
        <v>0</v>
      </c>
      <c r="N6" s="87">
        <v>0</v>
      </c>
    </row>
    <row r="7" spans="2:14" x14ac:dyDescent="0.2">
      <c r="B7" s="36" t="s">
        <v>105</v>
      </c>
      <c r="C7" s="88">
        <v>3203.3999387586405</v>
      </c>
      <c r="D7" s="89">
        <v>3203.3999387586405</v>
      </c>
      <c r="E7" s="89">
        <v>3203.3999387586405</v>
      </c>
      <c r="F7" s="89">
        <v>3203.3999387586405</v>
      </c>
      <c r="G7" s="89">
        <v>3203.3999387586405</v>
      </c>
      <c r="H7" s="89">
        <v>3203.3999387586405</v>
      </c>
      <c r="I7" s="89">
        <v>3203.3999387586405</v>
      </c>
      <c r="J7" s="89">
        <v>3203.3999387586405</v>
      </c>
      <c r="K7" s="89">
        <v>3203.3999387586405</v>
      </c>
      <c r="L7" s="89">
        <v>3203.3999387586405</v>
      </c>
      <c r="M7" s="89">
        <v>3203.3999387586405</v>
      </c>
      <c r="N7" s="89">
        <v>3203.3999387586405</v>
      </c>
    </row>
    <row r="8" spans="2:14" x14ac:dyDescent="0.2">
      <c r="B8" s="36" t="s">
        <v>106</v>
      </c>
      <c r="C8" s="88">
        <v>2958.1665880602222</v>
      </c>
      <c r="D8" s="89">
        <v>2958.1665880602222</v>
      </c>
      <c r="E8" s="89">
        <v>2958.1665880602222</v>
      </c>
      <c r="F8" s="89">
        <v>2958.1665880602222</v>
      </c>
      <c r="G8" s="89">
        <v>2958.1665880602222</v>
      </c>
      <c r="H8" s="89">
        <v>2958.1665880602222</v>
      </c>
      <c r="I8" s="89">
        <v>2958.1665880602222</v>
      </c>
      <c r="J8" s="89">
        <v>2958.1665880602222</v>
      </c>
      <c r="K8" s="89">
        <v>2958.1665880602222</v>
      </c>
      <c r="L8" s="89">
        <v>2958.1665880602222</v>
      </c>
      <c r="M8" s="89">
        <v>2958.1665880602222</v>
      </c>
      <c r="N8" s="89">
        <v>2958.1665880602222</v>
      </c>
    </row>
    <row r="9" spans="2:14" x14ac:dyDescent="0.2">
      <c r="B9" s="36" t="s">
        <v>107</v>
      </c>
      <c r="C9" s="88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89">
        <v>0</v>
      </c>
      <c r="M9" s="89">
        <v>0</v>
      </c>
      <c r="N9" s="89">
        <v>0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0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0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0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0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0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2003</v>
      </c>
      <c r="E28" s="49"/>
      <c r="F28" s="45">
        <f>basic_info!$D$5-4</f>
        <v>2004</v>
      </c>
      <c r="G28" s="49"/>
      <c r="H28" s="45">
        <f>basic_info!$D$5-3</f>
        <v>2005</v>
      </c>
      <c r="I28" s="49"/>
      <c r="J28" s="45">
        <f>basic_info!$D$5-2</f>
        <v>2006</v>
      </c>
      <c r="K28" s="49"/>
      <c r="L28" s="45">
        <f>basic_info!$D$5-1</f>
        <v>2007</v>
      </c>
      <c r="N28" s="45">
        <f>basic_info!$D$5</f>
        <v>2008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2008</v>
      </c>
      <c r="D30" s="44">
        <v>0.78584368908792024</v>
      </c>
      <c r="E30" s="35">
        <v>0</v>
      </c>
      <c r="F30" s="47">
        <v>0.78609720553568063</v>
      </c>
      <c r="G30" s="46">
        <v>0</v>
      </c>
      <c r="H30" s="47">
        <v>0.73078852244812054</v>
      </c>
      <c r="I30" s="46">
        <v>0</v>
      </c>
      <c r="J30" s="47">
        <v>0.79541919266908367</v>
      </c>
      <c r="K30" s="46"/>
      <c r="L30" s="47">
        <v>0.76138148527371097</v>
      </c>
      <c r="M30" s="46"/>
      <c r="N30" s="60"/>
      <c r="O30" s="71" t="s">
        <v>162</v>
      </c>
      <c r="P30" s="41">
        <f>M30+K30+I30+E30+G30</f>
        <v>0</v>
      </c>
      <c r="Q30" s="70"/>
    </row>
    <row r="31" spans="2:33" x14ac:dyDescent="0.2">
      <c r="B31" s="36"/>
      <c r="C31" s="47">
        <f>basic_info!$D$5+1</f>
        <v>2009</v>
      </c>
      <c r="D31" s="76"/>
      <c r="E31" s="75"/>
      <c r="F31" s="69">
        <v>0.7399849637887721</v>
      </c>
      <c r="G31" s="79">
        <v>0</v>
      </c>
      <c r="H31" s="61">
        <v>0.69782766257496576</v>
      </c>
      <c r="I31" s="62">
        <v>400000</v>
      </c>
      <c r="J31" s="61">
        <v>0.7777456783815756</v>
      </c>
      <c r="K31" s="62"/>
      <c r="L31" s="61">
        <v>0.76161556793937901</v>
      </c>
      <c r="M31" s="62"/>
      <c r="N31" s="63">
        <v>0.94501843727299595</v>
      </c>
      <c r="O31" s="89"/>
      <c r="P31" s="63">
        <f>O31+M31+K31+I31+G31</f>
        <v>400000</v>
      </c>
    </row>
    <row r="32" spans="2:33" x14ac:dyDescent="0.2">
      <c r="B32" s="36"/>
      <c r="C32" s="47">
        <f>basic_info!$D$5+2</f>
        <v>2010</v>
      </c>
      <c r="D32" s="76"/>
      <c r="E32" s="75"/>
      <c r="F32" s="75"/>
      <c r="G32" s="75"/>
      <c r="H32" s="69">
        <v>0.64606856993436812</v>
      </c>
      <c r="I32" s="79">
        <v>400000</v>
      </c>
      <c r="J32" s="61">
        <v>0.72055098531842476</v>
      </c>
      <c r="K32" s="62">
        <v>400000</v>
      </c>
      <c r="L32" s="61">
        <v>0.71377004027579827</v>
      </c>
      <c r="M32" s="62"/>
      <c r="N32" s="63">
        <v>0.86435813324293276</v>
      </c>
      <c r="O32" s="89"/>
      <c r="P32" s="63">
        <f>O32+M32+K32+I32</f>
        <v>800000</v>
      </c>
    </row>
    <row r="33" spans="2:17" x14ac:dyDescent="0.2">
      <c r="B33" s="36"/>
      <c r="C33" s="47">
        <f>basic_info!$D$5+3</f>
        <v>2011</v>
      </c>
      <c r="D33" s="76"/>
      <c r="E33" s="75"/>
      <c r="F33" s="75"/>
      <c r="G33" s="75"/>
      <c r="H33" s="75"/>
      <c r="I33" s="75"/>
      <c r="J33" s="69">
        <v>0.6808876388132572</v>
      </c>
      <c r="K33" s="79">
        <v>400000</v>
      </c>
      <c r="L33" s="61">
        <v>0.71201828987937288</v>
      </c>
      <c r="M33" s="62">
        <v>400000</v>
      </c>
      <c r="N33" s="63">
        <v>0.87454112416799612</v>
      </c>
      <c r="O33" s="89"/>
      <c r="P33" s="63">
        <f>O33+M33+K33</f>
        <v>800000</v>
      </c>
    </row>
    <row r="34" spans="2:17" x14ac:dyDescent="0.2">
      <c r="B34" s="36"/>
      <c r="C34" s="47">
        <f>basic_info!$D$5+4</f>
        <v>2012</v>
      </c>
      <c r="D34" s="76"/>
      <c r="E34" s="75"/>
      <c r="F34" s="75"/>
      <c r="G34" s="75"/>
      <c r="H34" s="75"/>
      <c r="I34" s="75"/>
      <c r="J34" s="75"/>
      <c r="K34" s="75"/>
      <c r="L34" s="69">
        <v>0.66759713542461396</v>
      </c>
      <c r="M34" s="79">
        <v>400000</v>
      </c>
      <c r="N34" s="63">
        <v>0.81134172439645946</v>
      </c>
      <c r="O34" s="89">
        <v>400000</v>
      </c>
      <c r="P34" s="63">
        <f>O34+M34</f>
        <v>800000</v>
      </c>
    </row>
    <row r="35" spans="2:17" x14ac:dyDescent="0.2">
      <c r="B35" s="37"/>
      <c r="C35" s="72">
        <f>basic_info!$D$5+5</f>
        <v>2013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0.77419792761206629</v>
      </c>
      <c r="O35" s="89">
        <v>400000</v>
      </c>
      <c r="P35" s="65">
        <f>O35</f>
        <v>400000</v>
      </c>
    </row>
    <row r="36" spans="2:17" x14ac:dyDescent="0.2">
      <c r="B36" s="41" t="s">
        <v>113</v>
      </c>
      <c r="C36" s="36">
        <f>basic_info!$D$5</f>
        <v>2008</v>
      </c>
      <c r="D36" s="44">
        <v>1.0290085296932949</v>
      </c>
      <c r="E36" s="35">
        <v>0</v>
      </c>
      <c r="F36" s="73">
        <v>1.1054417090410307</v>
      </c>
      <c r="G36" s="74">
        <v>0</v>
      </c>
      <c r="H36" s="73">
        <v>1.1101569663340529</v>
      </c>
      <c r="I36" s="74">
        <v>300000</v>
      </c>
      <c r="J36" s="73">
        <v>1.0946302598191511</v>
      </c>
      <c r="K36" s="74">
        <v>300000</v>
      </c>
      <c r="L36" s="66">
        <v>1.0366480005182297</v>
      </c>
      <c r="M36" s="67">
        <v>600000</v>
      </c>
      <c r="N36" s="68"/>
      <c r="O36" s="71" t="s">
        <v>162</v>
      </c>
      <c r="P36" s="41">
        <f>M36+K36+I36+E36+G36</f>
        <v>1200000</v>
      </c>
      <c r="Q36" s="70"/>
    </row>
    <row r="37" spans="2:17" x14ac:dyDescent="0.2">
      <c r="B37" s="36"/>
      <c r="C37" s="47">
        <f>basic_info!$D$5+1</f>
        <v>2009</v>
      </c>
      <c r="D37" s="76"/>
      <c r="E37" s="75"/>
      <c r="F37" s="69">
        <v>1.0257547201122916</v>
      </c>
      <c r="G37" s="79">
        <v>0</v>
      </c>
      <c r="H37" s="61">
        <v>1.1300023102276531</v>
      </c>
      <c r="I37" s="62">
        <v>300000</v>
      </c>
      <c r="J37" s="61">
        <v>1.0547878477209383</v>
      </c>
      <c r="K37" s="62">
        <v>300000</v>
      </c>
      <c r="L37" s="61">
        <v>0.98750252831704477</v>
      </c>
      <c r="M37" s="62">
        <v>300000</v>
      </c>
      <c r="N37" s="61">
        <v>1.0498900180253841</v>
      </c>
      <c r="O37" s="89">
        <v>600000</v>
      </c>
      <c r="P37" s="63">
        <f>O37+M37+K37+I37+G37</f>
        <v>1500000</v>
      </c>
    </row>
    <row r="38" spans="2:17" x14ac:dyDescent="0.2">
      <c r="B38" s="36"/>
      <c r="C38" s="47">
        <f>basic_info!$D$5+2</f>
        <v>2010</v>
      </c>
      <c r="D38" s="76"/>
      <c r="E38" s="75"/>
      <c r="F38" s="75"/>
      <c r="G38" s="75"/>
      <c r="H38" s="69">
        <v>1.051191025570035</v>
      </c>
      <c r="I38" s="79">
        <v>300000</v>
      </c>
      <c r="J38" s="61">
        <v>1.0390313119782215</v>
      </c>
      <c r="K38" s="62">
        <v>300000</v>
      </c>
      <c r="L38" s="61">
        <v>0.93822729942509209</v>
      </c>
      <c r="M38" s="62">
        <v>300000</v>
      </c>
      <c r="N38" s="61">
        <v>1.0511225064186411</v>
      </c>
      <c r="O38" s="89">
        <v>300000</v>
      </c>
      <c r="P38" s="63">
        <f>O38+M38+K38+I38</f>
        <v>1200000</v>
      </c>
    </row>
    <row r="39" spans="2:17" x14ac:dyDescent="0.2">
      <c r="B39" s="36"/>
      <c r="C39" s="47">
        <f>basic_info!$D$5+3</f>
        <v>2011</v>
      </c>
      <c r="D39" s="76"/>
      <c r="E39" s="75"/>
      <c r="F39" s="75"/>
      <c r="G39" s="75"/>
      <c r="H39" s="75"/>
      <c r="I39" s="75"/>
      <c r="J39" s="69">
        <v>0.95771333889663224</v>
      </c>
      <c r="K39" s="79">
        <v>300000</v>
      </c>
      <c r="L39" s="61">
        <v>0.89726357364389364</v>
      </c>
      <c r="M39" s="62">
        <v>300000</v>
      </c>
      <c r="N39" s="61">
        <v>0.95780442275518196</v>
      </c>
      <c r="O39" s="89">
        <v>300000</v>
      </c>
      <c r="P39" s="63">
        <f>O39+M39+K39</f>
        <v>900000</v>
      </c>
    </row>
    <row r="40" spans="2:17" x14ac:dyDescent="0.2">
      <c r="B40" s="36"/>
      <c r="C40" s="47">
        <f>basic_info!$D$5+4</f>
        <v>2012</v>
      </c>
      <c r="D40" s="76"/>
      <c r="E40" s="75"/>
      <c r="F40" s="75"/>
      <c r="G40" s="75"/>
      <c r="H40" s="75"/>
      <c r="I40" s="75"/>
      <c r="J40" s="75"/>
      <c r="K40" s="75"/>
      <c r="L40" s="69">
        <v>0.89032073213160046</v>
      </c>
      <c r="M40" s="79">
        <v>300000</v>
      </c>
      <c r="N40" s="61">
        <v>0.91383547859681491</v>
      </c>
      <c r="O40" s="89">
        <v>300000</v>
      </c>
      <c r="P40" s="63">
        <f>O40+M40</f>
        <v>600000</v>
      </c>
    </row>
    <row r="41" spans="2:17" x14ac:dyDescent="0.2">
      <c r="B41" s="37"/>
      <c r="C41" s="72">
        <f>basic_info!$D$5+5</f>
        <v>2013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0.87400841210782521</v>
      </c>
      <c r="O41" s="89">
        <v>300000</v>
      </c>
      <c r="P41" s="64">
        <f>O41</f>
        <v>300000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9</v>
      </c>
      <c r="D47" s="92">
        <v>8</v>
      </c>
      <c r="E47" s="92">
        <v>8</v>
      </c>
      <c r="F47" s="92">
        <v>9</v>
      </c>
      <c r="G47" s="92">
        <v>8</v>
      </c>
      <c r="H47" s="92">
        <v>8</v>
      </c>
      <c r="I47" s="92">
        <v>9</v>
      </c>
      <c r="J47" s="92">
        <v>8</v>
      </c>
      <c r="K47" s="92">
        <v>8</v>
      </c>
      <c r="L47" s="92">
        <v>9</v>
      </c>
      <c r="M47" s="92">
        <v>8</v>
      </c>
      <c r="N47" s="92">
        <v>8</v>
      </c>
      <c r="O47" s="33">
        <f>SUM(C47:N47)</f>
        <v>100</v>
      </c>
    </row>
    <row r="48" spans="2:17" x14ac:dyDescent="0.2">
      <c r="B48" s="37" t="s">
        <v>113</v>
      </c>
      <c r="C48" s="92">
        <v>9</v>
      </c>
      <c r="D48" s="92">
        <v>8</v>
      </c>
      <c r="E48" s="92">
        <v>8</v>
      </c>
      <c r="F48" s="92">
        <v>9</v>
      </c>
      <c r="G48" s="92">
        <v>8</v>
      </c>
      <c r="H48" s="92">
        <v>8</v>
      </c>
      <c r="I48" s="92">
        <v>9</v>
      </c>
      <c r="J48" s="92">
        <v>8</v>
      </c>
      <c r="K48" s="92">
        <v>8</v>
      </c>
      <c r="L48" s="92">
        <v>9</v>
      </c>
      <c r="M48" s="92">
        <v>8</v>
      </c>
      <c r="N48" s="92">
        <v>8</v>
      </c>
      <c r="O48" s="33">
        <f>SUM(C48:N48)</f>
        <v>100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B34" sqref="B34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3">
        <v>6.083281169442694</v>
      </c>
      <c r="D6" s="93"/>
      <c r="E6" s="93">
        <v>21.322558656143194</v>
      </c>
      <c r="F6" s="93">
        <v>43.576000000000001</v>
      </c>
      <c r="G6" s="93">
        <v>29.018160174414106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3"/>
      <c r="D7" s="93">
        <v>29.273302900011473</v>
      </c>
      <c r="E7" s="93"/>
      <c r="F7" s="93">
        <v>5.2536970999885284</v>
      </c>
      <c r="G7" s="93">
        <v>65.472999999999999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3"/>
      <c r="D8" s="93">
        <v>13.311643831050283</v>
      </c>
      <c r="E8" s="93"/>
      <c r="F8" s="93">
        <v>41.02235616894972</v>
      </c>
      <c r="G8" s="93">
        <v>45.665999999999997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3">
        <v>100</v>
      </c>
      <c r="D9" s="93"/>
      <c r="E9" s="93"/>
      <c r="F9" s="93"/>
      <c r="G9" s="93"/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3">
        <v>100</v>
      </c>
      <c r="D10" s="93"/>
      <c r="E10" s="93"/>
      <c r="F10" s="93"/>
      <c r="G10" s="93"/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94">
        <v>100</v>
      </c>
      <c r="D11" s="94"/>
      <c r="E11" s="94"/>
      <c r="F11" s="94"/>
      <c r="G11" s="94"/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100</v>
      </c>
      <c r="D19" s="44">
        <f>100-$C$19</f>
        <v>0</v>
      </c>
      <c r="E19" s="94">
        <v>100</v>
      </c>
      <c r="F19" s="44">
        <f>100-$E$19</f>
        <v>0</v>
      </c>
      <c r="G19" s="94">
        <v>100</v>
      </c>
      <c r="H19" s="33">
        <f>100-$G$19</f>
        <v>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10.386729968289858</v>
      </c>
      <c r="D27" s="93">
        <v>100</v>
      </c>
      <c r="E27" s="93">
        <v>100</v>
      </c>
      <c r="F27" s="93"/>
      <c r="G27" s="93">
        <v>100</v>
      </c>
      <c r="H27" s="93"/>
      <c r="I27" s="95">
        <v>100</v>
      </c>
      <c r="P27" s="50"/>
      <c r="Q27" s="50"/>
      <c r="R27" s="50"/>
    </row>
    <row r="28" spans="2:18" x14ac:dyDescent="0.2">
      <c r="B28" s="45" t="s">
        <v>59</v>
      </c>
      <c r="C28" s="93">
        <v>89.613270031710144</v>
      </c>
      <c r="D28" s="93"/>
      <c r="E28" s="93"/>
      <c r="F28" s="93">
        <v>100</v>
      </c>
      <c r="G28" s="93"/>
      <c r="H28" s="93">
        <v>100</v>
      </c>
      <c r="I28" s="95"/>
      <c r="P28" s="50"/>
      <c r="Q28" s="50"/>
      <c r="R28" s="50"/>
    </row>
    <row r="29" spans="2:18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8">
        <f>SUM($E$27:$E$28)</f>
        <v>100</v>
      </c>
      <c r="F29" s="98">
        <f>SUM($F$27:$F$28)</f>
        <v>100</v>
      </c>
      <c r="G29" s="98">
        <f>SUM($G$27:$G$28)</f>
        <v>100</v>
      </c>
      <c r="H29" s="98">
        <f>SUM($H$27:$H$28)</f>
        <v>100</v>
      </c>
      <c r="I29" s="96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27.54034748087782</v>
      </c>
      <c r="D36" s="93">
        <v>27.54034748087782</v>
      </c>
      <c r="E36" s="93">
        <v>27.54034748087782</v>
      </c>
      <c r="F36" s="93">
        <v>27.54034748087782</v>
      </c>
      <c r="G36" s="93">
        <v>27.54034748087782</v>
      </c>
      <c r="H36" s="93">
        <v>27.54034748087782</v>
      </c>
      <c r="I36" s="93">
        <v>27.54034748087782</v>
      </c>
      <c r="J36" s="93">
        <v>27.54034748087782</v>
      </c>
      <c r="K36" s="93">
        <v>27.54034748087782</v>
      </c>
      <c r="L36" s="93">
        <v>27.54034748087782</v>
      </c>
      <c r="M36" s="93">
        <v>27.54034748087782</v>
      </c>
      <c r="N36" s="95">
        <v>27.54034748087782</v>
      </c>
    </row>
    <row r="37" spans="2:14" x14ac:dyDescent="0.2">
      <c r="B37" s="45" t="s">
        <v>59</v>
      </c>
      <c r="C37" s="94">
        <v>43.062944370491799</v>
      </c>
      <c r="D37" s="94">
        <v>43.06294437049182</v>
      </c>
      <c r="E37" s="94">
        <v>43.06294437049182</v>
      </c>
      <c r="F37" s="94">
        <v>43.06294437049182</v>
      </c>
      <c r="G37" s="94">
        <v>43.06294437049182</v>
      </c>
      <c r="H37" s="94">
        <v>43.06294437049182</v>
      </c>
      <c r="I37" s="94">
        <v>43.06294437049182</v>
      </c>
      <c r="J37" s="94">
        <v>43.06294437049182</v>
      </c>
      <c r="K37" s="94">
        <v>43.06294437049182</v>
      </c>
      <c r="L37" s="94">
        <v>43.06294437049182</v>
      </c>
      <c r="M37" s="94">
        <v>43.06294437049182</v>
      </c>
      <c r="N37" s="89">
        <v>43.062944370491799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>
      <selection activeCell="R43" sqref="R43"/>
    </sheetView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3.5401107557824121</v>
      </c>
      <c r="E6" s="89">
        <v>3.0866490383141914</v>
      </c>
      <c r="F6" s="89">
        <v>2.0425745579542873</v>
      </c>
      <c r="G6" s="89">
        <v>1.5097802616059544</v>
      </c>
      <c r="H6" s="89">
        <v>2.2544977000022342</v>
      </c>
      <c r="I6" s="89">
        <v>2.0720950008824257</v>
      </c>
      <c r="J6" s="89">
        <v>2.2817240912740289</v>
      </c>
      <c r="K6" s="89">
        <v>1.4989342804667465</v>
      </c>
      <c r="L6" s="89">
        <v>1.5805613663944622</v>
      </c>
      <c r="M6" s="89">
        <v>2.216419652611787</v>
      </c>
      <c r="N6" s="89">
        <v>3.2261209327634366</v>
      </c>
      <c r="O6" s="89">
        <v>2.5661590282298228</v>
      </c>
    </row>
    <row r="7" spans="2:15" x14ac:dyDescent="0.2">
      <c r="C7" s="36" t="s">
        <v>127</v>
      </c>
      <c r="D7" s="89">
        <v>3.0160419047256171</v>
      </c>
      <c r="E7" s="89">
        <v>2.577329618192568</v>
      </c>
      <c r="F7" s="89">
        <v>1.0669700035519627</v>
      </c>
      <c r="G7" s="89">
        <v>2.5283076723151825</v>
      </c>
      <c r="H7" s="89">
        <v>2.414846545862634</v>
      </c>
      <c r="I7" s="89">
        <v>2.9149669232989908</v>
      </c>
      <c r="J7" s="89">
        <v>2.9669780644560984</v>
      </c>
      <c r="K7" s="89">
        <v>3.2243762206312505</v>
      </c>
      <c r="L7" s="89">
        <v>2.4730195117405405</v>
      </c>
      <c r="M7" s="89">
        <v>1.0396990163290549</v>
      </c>
      <c r="N7" s="89">
        <v>1.2054983144424616</v>
      </c>
      <c r="O7" s="89">
        <v>2.6870462430545214</v>
      </c>
    </row>
    <row r="8" spans="2:15" x14ac:dyDescent="0.2">
      <c r="C8" s="36" t="s">
        <v>128</v>
      </c>
      <c r="D8" s="89">
        <v>3.2720500813632576</v>
      </c>
      <c r="E8" s="89">
        <v>2.0358293843456581</v>
      </c>
      <c r="F8" s="89">
        <v>1.832522483816265</v>
      </c>
      <c r="G8" s="89">
        <v>1.6841095069388858</v>
      </c>
      <c r="H8" s="89">
        <v>2.6401218223632448</v>
      </c>
      <c r="I8" s="89">
        <v>1.3904802756160539</v>
      </c>
      <c r="J8" s="89">
        <v>2.5229472615590147</v>
      </c>
      <c r="K8" s="89">
        <v>2.1028230460036692</v>
      </c>
      <c r="L8" s="89">
        <v>2.4415337078919359</v>
      </c>
      <c r="M8" s="89">
        <v>3.3394861361336563</v>
      </c>
      <c r="N8" s="89">
        <v>1.6837892240758507</v>
      </c>
      <c r="O8" s="89">
        <v>1.8067546412964322</v>
      </c>
    </row>
    <row r="9" spans="2:15" x14ac:dyDescent="0.2">
      <c r="C9" s="36" t="s">
        <v>129</v>
      </c>
      <c r="D9" s="89">
        <v>3.3481814843067896</v>
      </c>
      <c r="E9" s="89">
        <v>3.3616993082083844</v>
      </c>
      <c r="F9" s="89">
        <v>1.1611691003267832</v>
      </c>
      <c r="G9" s="89">
        <v>2.3585674365475677</v>
      </c>
      <c r="H9" s="89">
        <v>1.9457557577174169</v>
      </c>
      <c r="I9" s="89">
        <v>3.5949442094316582</v>
      </c>
      <c r="J9" s="89">
        <v>3.3035095003274888</v>
      </c>
      <c r="K9" s="89">
        <v>3.0277023159566467</v>
      </c>
      <c r="L9" s="89">
        <v>2.27769048247543</v>
      </c>
      <c r="M9" s="89">
        <v>3.5928442854912919</v>
      </c>
      <c r="N9" s="89">
        <v>1.1121168654666862</v>
      </c>
      <c r="O9" s="89">
        <v>2.6121289837272026</v>
      </c>
    </row>
    <row r="10" spans="2:15" x14ac:dyDescent="0.2">
      <c r="C10" s="36" t="s">
        <v>130</v>
      </c>
      <c r="D10" s="89">
        <v>1.3416993422749979</v>
      </c>
      <c r="E10" s="89">
        <v>1.3352506207725445</v>
      </c>
      <c r="F10" s="89">
        <v>1.7539008724129923</v>
      </c>
      <c r="G10" s="89">
        <v>1.9326898699972155</v>
      </c>
      <c r="H10" s="89">
        <v>1.4086545888607007</v>
      </c>
      <c r="I10" s="89">
        <v>1.2179255933894499</v>
      </c>
      <c r="J10" s="89">
        <v>3.2874189944365741</v>
      </c>
      <c r="K10" s="89">
        <v>3.496112498287272</v>
      </c>
      <c r="L10" s="89">
        <v>3.0839652534945952</v>
      </c>
      <c r="M10" s="89">
        <v>1.4709137942223942</v>
      </c>
      <c r="N10" s="89">
        <v>3.5552775175666294</v>
      </c>
      <c r="O10" s="89">
        <v>2.8391615957447023</v>
      </c>
    </row>
    <row r="11" spans="2:15" x14ac:dyDescent="0.2">
      <c r="C11" s="36" t="s">
        <v>131</v>
      </c>
      <c r="D11" s="89">
        <v>3.2235412241886898</v>
      </c>
      <c r="E11" s="89">
        <v>2.5088639914852076</v>
      </c>
      <c r="F11" s="89">
        <v>2.4933314064885845</v>
      </c>
      <c r="G11" s="89">
        <v>1.9653088629980706</v>
      </c>
      <c r="H11" s="89">
        <v>2.1535739145181081</v>
      </c>
      <c r="I11" s="89">
        <v>1.6084083376277387</v>
      </c>
      <c r="J11" s="89">
        <v>3.3211234111159595</v>
      </c>
      <c r="K11" s="89">
        <v>2.2540319040785404</v>
      </c>
      <c r="L11" s="89">
        <v>1.7044894611840145</v>
      </c>
      <c r="M11" s="89">
        <v>2.4036405372574077</v>
      </c>
      <c r="N11" s="89">
        <v>3.170107741726615</v>
      </c>
      <c r="O11" s="89">
        <v>3.5969794204568308</v>
      </c>
    </row>
    <row r="12" spans="2:15" x14ac:dyDescent="0.2">
      <c r="C12" s="37" t="s">
        <v>132</v>
      </c>
      <c r="D12" s="89">
        <v>1.9306537140339839</v>
      </c>
      <c r="E12" s="89">
        <v>1.3411483074904007</v>
      </c>
      <c r="F12" s="89">
        <v>1.8428000118433827</v>
      </c>
      <c r="G12" s="89">
        <v>2.6980786015421709</v>
      </c>
      <c r="H12" s="89">
        <v>2.4302417800566989</v>
      </c>
      <c r="I12" s="89">
        <v>3.4375413664251657</v>
      </c>
      <c r="J12" s="89">
        <v>2.4366815762116736</v>
      </c>
      <c r="K12" s="89">
        <v>2.3754439532201115</v>
      </c>
      <c r="L12" s="89">
        <v>3.3448877420710383</v>
      </c>
      <c r="M12" s="89">
        <v>2.3044296745022876</v>
      </c>
      <c r="N12" s="89">
        <v>2.9793412366894891</v>
      </c>
      <c r="O12" s="89">
        <v>2.3717726595584896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2.1423922664137827</v>
      </c>
      <c r="E15" s="89">
        <v>1.2959737081562266</v>
      </c>
      <c r="F15" s="89">
        <v>3.5093205755151611</v>
      </c>
      <c r="G15" s="89">
        <v>1.8893285296821496</v>
      </c>
      <c r="H15" s="89">
        <v>3.1800718760351678</v>
      </c>
      <c r="I15" s="89">
        <v>1.5276780015697191</v>
      </c>
      <c r="J15" s="89">
        <v>2.930932956523967</v>
      </c>
      <c r="K15" s="89">
        <v>1.2702074599376625</v>
      </c>
      <c r="L15" s="89">
        <v>1.1416289654748526</v>
      </c>
      <c r="M15" s="89">
        <v>2.502000560169372</v>
      </c>
      <c r="N15" s="89">
        <v>2.2433452690124587</v>
      </c>
      <c r="O15" s="89">
        <v>2.4806244344205108</v>
      </c>
    </row>
    <row r="16" spans="2:15" x14ac:dyDescent="0.2">
      <c r="C16" s="36" t="s">
        <v>127</v>
      </c>
      <c r="D16" s="89">
        <v>2.2865117065980165</v>
      </c>
      <c r="E16" s="89">
        <v>3.0761910197565059</v>
      </c>
      <c r="F16" s="89">
        <v>2.4960875030395639</v>
      </c>
      <c r="G16" s="89">
        <v>3.1991040414541492</v>
      </c>
      <c r="H16" s="89">
        <v>2.8857673355193594</v>
      </c>
      <c r="I16" s="89">
        <v>3.0443464227413393</v>
      </c>
      <c r="J16" s="89">
        <v>1.3456213599957256</v>
      </c>
      <c r="K16" s="89">
        <v>3.3919724880584301</v>
      </c>
      <c r="L16" s="89">
        <v>3.3790947562983744</v>
      </c>
      <c r="M16" s="89">
        <v>3.5811399847769736</v>
      </c>
      <c r="N16" s="89">
        <v>1.1094794708596598</v>
      </c>
      <c r="O16" s="89">
        <v>1.0692730221713473</v>
      </c>
    </row>
    <row r="17" spans="2:15" x14ac:dyDescent="0.2">
      <c r="C17" s="36" t="s">
        <v>128</v>
      </c>
      <c r="D17" s="89">
        <v>1.0788786625191176</v>
      </c>
      <c r="E17" s="89">
        <v>2.2721731118917017</v>
      </c>
      <c r="F17" s="89">
        <v>3.0574798357731323</v>
      </c>
      <c r="G17" s="89">
        <v>2.2958365369359113</v>
      </c>
      <c r="H17" s="89">
        <v>2.7570912823939633</v>
      </c>
      <c r="I17" s="89">
        <v>1.0668847852520229</v>
      </c>
      <c r="J17" s="89">
        <v>2.2601603494241473</v>
      </c>
      <c r="K17" s="89">
        <v>2.669586198940419</v>
      </c>
      <c r="L17" s="89">
        <v>2.1450136303637786</v>
      </c>
      <c r="M17" s="89">
        <v>2.4793391192375878</v>
      </c>
      <c r="N17" s="89">
        <v>1.4204240343151104</v>
      </c>
      <c r="O17" s="89">
        <v>2.712643707032234</v>
      </c>
    </row>
    <row r="18" spans="2:15" x14ac:dyDescent="0.2">
      <c r="C18" s="36" t="s">
        <v>129</v>
      </c>
      <c r="D18" s="89">
        <v>1.3835672502273226</v>
      </c>
      <c r="E18" s="89">
        <v>2.7028707261349787</v>
      </c>
      <c r="F18" s="89">
        <v>3.1000405462825742</v>
      </c>
      <c r="G18" s="89">
        <v>3.4949707335807902</v>
      </c>
      <c r="H18" s="89">
        <v>1.8749962584289994</v>
      </c>
      <c r="I18" s="89">
        <v>1.9188799859974224</v>
      </c>
      <c r="J18" s="89">
        <v>2.5019798483326054</v>
      </c>
      <c r="K18" s="89">
        <v>2.0151653889620613</v>
      </c>
      <c r="L18" s="89">
        <v>2.2846261511393617</v>
      </c>
      <c r="M18" s="89">
        <v>1.7180567366634927</v>
      </c>
      <c r="N18" s="89">
        <v>2.0513096013951486</v>
      </c>
      <c r="O18" s="89">
        <v>2.5064896845577045</v>
      </c>
    </row>
    <row r="19" spans="2:15" x14ac:dyDescent="0.2">
      <c r="C19" s="36" t="s">
        <v>130</v>
      </c>
      <c r="D19" s="89">
        <v>2.4481388348452615</v>
      </c>
      <c r="E19" s="89">
        <v>2.0795706203110265</v>
      </c>
      <c r="F19" s="89">
        <v>2.5652036431920093</v>
      </c>
      <c r="G19" s="89">
        <v>2.9158347897502108</v>
      </c>
      <c r="H19" s="89">
        <v>3.0710718566563453</v>
      </c>
      <c r="I19" s="89">
        <v>1.2000993673182372</v>
      </c>
      <c r="J19" s="89">
        <v>3.5922344922753524</v>
      </c>
      <c r="K19" s="89">
        <v>1.6879011638920716</v>
      </c>
      <c r="L19" s="89">
        <v>3.4060127533766189</v>
      </c>
      <c r="M19" s="89">
        <v>2.7432400487020749</v>
      </c>
      <c r="N19" s="89">
        <v>3.3272437246062925</v>
      </c>
      <c r="O19" s="89">
        <v>2.939922517314876</v>
      </c>
    </row>
    <row r="20" spans="2:15" x14ac:dyDescent="0.2">
      <c r="C20" s="36" t="s">
        <v>131</v>
      </c>
      <c r="D20" s="89">
        <v>2.5202521749674869</v>
      </c>
      <c r="E20" s="89">
        <v>1.3808439918572899</v>
      </c>
      <c r="F20" s="89">
        <v>1.1011229947331305</v>
      </c>
      <c r="G20" s="89">
        <v>1.9522744955143283</v>
      </c>
      <c r="H20" s="89">
        <v>1.0829019951720367</v>
      </c>
      <c r="I20" s="89">
        <v>2.5534038917684678</v>
      </c>
      <c r="J20" s="89">
        <v>1.8387053206685755</v>
      </c>
      <c r="K20" s="89">
        <v>1.9701652116922515</v>
      </c>
      <c r="L20" s="89">
        <v>1.3432783498834751</v>
      </c>
      <c r="M20" s="89">
        <v>2.2832360520965835</v>
      </c>
      <c r="N20" s="89">
        <v>1.5738627939776226</v>
      </c>
      <c r="O20" s="89">
        <v>3.0035498619010346</v>
      </c>
    </row>
    <row r="21" spans="2:15" x14ac:dyDescent="0.2">
      <c r="C21" s="37" t="s">
        <v>132</v>
      </c>
      <c r="D21" s="89">
        <v>1.523161942607183</v>
      </c>
      <c r="E21" s="89">
        <v>1.5765459432553641</v>
      </c>
      <c r="F21" s="89">
        <v>1.125551303557855</v>
      </c>
      <c r="G21" s="89">
        <v>3.1444666663550289</v>
      </c>
      <c r="H21" s="89">
        <v>1.7809949061086936</v>
      </c>
      <c r="I21" s="89">
        <v>1.5824089613355521</v>
      </c>
      <c r="J21" s="89">
        <v>2.4698312790256471</v>
      </c>
      <c r="K21" s="89">
        <v>1.9989693662389258</v>
      </c>
      <c r="L21" s="89">
        <v>1.6170734003709328</v>
      </c>
      <c r="M21" s="89">
        <v>1.1110926313550673</v>
      </c>
      <c r="N21" s="89">
        <v>2.850805197393981</v>
      </c>
      <c r="O21" s="89">
        <v>1.6003034673895813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1.2206516357600274</v>
      </c>
      <c r="E24" s="89">
        <v>1.3714544667884601</v>
      </c>
      <c r="F24" s="89">
        <v>2.7552347249175</v>
      </c>
      <c r="G24" s="89">
        <v>2.7885856838248344</v>
      </c>
      <c r="H24" s="89">
        <v>3.467193370747248</v>
      </c>
      <c r="I24" s="89">
        <v>3.2283519102753608</v>
      </c>
      <c r="J24" s="89">
        <v>1.4311211175710743</v>
      </c>
      <c r="K24" s="89">
        <v>1.6180686186673001</v>
      </c>
      <c r="L24" s="89">
        <v>3.1456053248251239</v>
      </c>
      <c r="M24" s="89">
        <v>1.1306978906525669</v>
      </c>
      <c r="N24" s="89">
        <v>2.2926476135213787</v>
      </c>
      <c r="O24" s="89">
        <v>2.9631187635881258</v>
      </c>
    </row>
    <row r="25" spans="2:15" x14ac:dyDescent="0.2">
      <c r="C25" s="36" t="s">
        <v>127</v>
      </c>
      <c r="D25" s="89">
        <v>2.2096391736669734</v>
      </c>
      <c r="E25" s="89">
        <v>2.130761357750822</v>
      </c>
      <c r="F25" s="89">
        <v>2.6128792132735152</v>
      </c>
      <c r="G25" s="89">
        <v>3.0532780177232861</v>
      </c>
      <c r="H25" s="89">
        <v>3.1895991674839075</v>
      </c>
      <c r="I25" s="89">
        <v>3.2161853331933155</v>
      </c>
      <c r="J25" s="89">
        <v>3.2373553954434597</v>
      </c>
      <c r="K25" s="89">
        <v>2.152089867755282</v>
      </c>
      <c r="L25" s="89">
        <v>2.5557028878312575</v>
      </c>
      <c r="M25" s="89">
        <v>2.1555457712079629</v>
      </c>
      <c r="N25" s="89">
        <v>1.2154733357085707</v>
      </c>
      <c r="O25" s="89">
        <v>1.6159866373174063</v>
      </c>
    </row>
    <row r="26" spans="2:15" x14ac:dyDescent="0.2">
      <c r="C26" s="36" t="s">
        <v>128</v>
      </c>
      <c r="D26" s="89">
        <v>1.3164541109964643</v>
      </c>
      <c r="E26" s="89">
        <v>1.5582073342365836</v>
      </c>
      <c r="F26" s="89">
        <v>2.7996430007556441</v>
      </c>
      <c r="G26" s="89">
        <v>2.7994719173804663</v>
      </c>
      <c r="H26" s="89">
        <v>2.9585740496124471</v>
      </c>
      <c r="I26" s="89">
        <v>3.5645209906211326</v>
      </c>
      <c r="J26" s="89">
        <v>2.9624610396165392</v>
      </c>
      <c r="K26" s="89">
        <v>1.1547218944448647</v>
      </c>
      <c r="L26" s="89">
        <v>2.0708154474179166</v>
      </c>
      <c r="M26" s="89">
        <v>3.2689630709562301</v>
      </c>
      <c r="N26" s="89">
        <v>1.8138677610983156</v>
      </c>
      <c r="O26" s="89">
        <v>2.4519797922569224</v>
      </c>
    </row>
    <row r="27" spans="2:15" x14ac:dyDescent="0.2">
      <c r="C27" s="36" t="s">
        <v>129</v>
      </c>
      <c r="D27" s="89">
        <v>1.8702664130756488</v>
      </c>
      <c r="E27" s="89">
        <v>1.5309626200591353</v>
      </c>
      <c r="F27" s="89">
        <v>1.9437225280309898</v>
      </c>
      <c r="G27" s="89">
        <v>3.3503757994513346</v>
      </c>
      <c r="H27" s="89">
        <v>3.1501048962872962</v>
      </c>
      <c r="I27" s="89">
        <v>2.8385865897347009</v>
      </c>
      <c r="J27" s="89">
        <v>1.2712012608218206</v>
      </c>
      <c r="K27" s="89">
        <v>3.2361728838136852</v>
      </c>
      <c r="L27" s="89">
        <v>3.3060748115204874</v>
      </c>
      <c r="M27" s="89">
        <v>2.7790582888962656</v>
      </c>
      <c r="N27" s="89">
        <v>2.6099633720192159</v>
      </c>
      <c r="O27" s="89">
        <v>1.5381478243722138</v>
      </c>
    </row>
    <row r="28" spans="2:15" x14ac:dyDescent="0.2">
      <c r="C28" s="36" t="s">
        <v>130</v>
      </c>
      <c r="D28" s="89">
        <v>2.5533921656081988</v>
      </c>
      <c r="E28" s="89">
        <v>3.5302987118094626</v>
      </c>
      <c r="F28" s="89">
        <v>1.4312770534921639</v>
      </c>
      <c r="G28" s="89">
        <v>1.9955937081210235</v>
      </c>
      <c r="H28" s="89">
        <v>2.0613456795256031</v>
      </c>
      <c r="I28" s="89">
        <v>1.8023429996628828</v>
      </c>
      <c r="J28" s="89">
        <v>3.2843176896988671</v>
      </c>
      <c r="K28" s="89">
        <v>1.963967419711155</v>
      </c>
      <c r="L28" s="89">
        <v>2.8455451866143289</v>
      </c>
      <c r="M28" s="89">
        <v>2.9543354217756987</v>
      </c>
      <c r="N28" s="89">
        <v>1.9088348663720744</v>
      </c>
      <c r="O28" s="89">
        <v>3.1502299730053247</v>
      </c>
    </row>
    <row r="29" spans="2:15" x14ac:dyDescent="0.2">
      <c r="C29" s="36" t="s">
        <v>131</v>
      </c>
      <c r="D29" s="89">
        <v>3.3994657961999684</v>
      </c>
      <c r="E29" s="89">
        <v>1.7816323862202308</v>
      </c>
      <c r="F29" s="89">
        <v>1.2876461940788906</v>
      </c>
      <c r="G29" s="89">
        <v>2.4114962451256519</v>
      </c>
      <c r="H29" s="89">
        <v>2.0917861849523502</v>
      </c>
      <c r="I29" s="89">
        <v>3.0348945224808417</v>
      </c>
      <c r="J29" s="89">
        <v>2.6319743644809441</v>
      </c>
      <c r="K29" s="89">
        <v>1.7890205616054615</v>
      </c>
      <c r="L29" s="89">
        <v>1.2331075123680533</v>
      </c>
      <c r="M29" s="89">
        <v>1.4365534941982634</v>
      </c>
      <c r="N29" s="89">
        <v>2.2956659339676539</v>
      </c>
      <c r="O29" s="89">
        <v>3.2376576494768705</v>
      </c>
    </row>
    <row r="30" spans="2:15" x14ac:dyDescent="0.2">
      <c r="C30" s="37" t="s">
        <v>132</v>
      </c>
      <c r="D30" s="89">
        <v>3.1809669217580971</v>
      </c>
      <c r="E30" s="89">
        <v>2.7284420323669334</v>
      </c>
      <c r="F30" s="89">
        <v>2.5781866168748264</v>
      </c>
      <c r="G30" s="89">
        <v>1.3674683453887053</v>
      </c>
      <c r="H30" s="89">
        <v>3.4422890802135773</v>
      </c>
      <c r="I30" s="89">
        <v>1.5327150373059337</v>
      </c>
      <c r="J30" s="89">
        <v>1.8765758169181306</v>
      </c>
      <c r="K30" s="89">
        <v>1.6704470260914024</v>
      </c>
      <c r="L30" s="89">
        <v>1.9431954587992935</v>
      </c>
      <c r="M30" s="89">
        <v>1.8425072875737261</v>
      </c>
      <c r="N30" s="89">
        <v>2.0090355038332999</v>
      </c>
      <c r="O30" s="89">
        <v>1.0075979318978794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3.3760294982479446</v>
      </c>
      <c r="E33" s="89">
        <v>3.4253846968196893</v>
      </c>
      <c r="F33" s="89">
        <v>2.6034116819278093</v>
      </c>
      <c r="G33" s="89">
        <v>1.4348121700821808</v>
      </c>
      <c r="H33" s="89">
        <v>3.2274956005272282</v>
      </c>
      <c r="I33" s="89">
        <v>2.042396599570854</v>
      </c>
      <c r="J33" s="89">
        <v>2.9035686550578768</v>
      </c>
      <c r="K33" s="89">
        <v>2.5703237292587993</v>
      </c>
      <c r="L33" s="89">
        <v>1.3686991517053695</v>
      </c>
      <c r="M33" s="89">
        <v>3.2578447691258487</v>
      </c>
      <c r="N33" s="89">
        <v>1.4445228057908266</v>
      </c>
      <c r="O33" s="89">
        <v>2.3813478682690454</v>
      </c>
    </row>
    <row r="34" spans="3:15" x14ac:dyDescent="0.2">
      <c r="C34" s="36" t="s">
        <v>127</v>
      </c>
      <c r="D34" s="89">
        <v>3.118735431508143</v>
      </c>
      <c r="E34" s="89">
        <v>1.5464434217571745</v>
      </c>
      <c r="F34" s="89">
        <v>3.0115390110209121</v>
      </c>
      <c r="G34" s="89">
        <v>3.1488275950938638</v>
      </c>
      <c r="H34" s="89">
        <v>1.9323589885335091</v>
      </c>
      <c r="I34" s="89">
        <v>1.3272864892485807</v>
      </c>
      <c r="J34" s="89">
        <v>3.297534381977687</v>
      </c>
      <c r="K34" s="89">
        <v>1.8755327819510141</v>
      </c>
      <c r="L34" s="89">
        <v>3.3377377765530212</v>
      </c>
      <c r="M34" s="89">
        <v>1.547754503169398</v>
      </c>
      <c r="N34" s="89">
        <v>1.4378090341002869</v>
      </c>
      <c r="O34" s="89">
        <v>1.5263871290321422</v>
      </c>
    </row>
    <row r="35" spans="3:15" x14ac:dyDescent="0.2">
      <c r="C35" s="36" t="s">
        <v>128</v>
      </c>
      <c r="D35" s="89">
        <v>2.2838047140847006</v>
      </c>
      <c r="E35" s="89">
        <v>1.0851180457970802</v>
      </c>
      <c r="F35" s="89">
        <v>3.2954896654731001</v>
      </c>
      <c r="G35" s="89">
        <v>1.1108600976439995</v>
      </c>
      <c r="H35" s="89">
        <v>1.2013070273376159</v>
      </c>
      <c r="I35" s="89">
        <v>1.7698368183637141</v>
      </c>
      <c r="J35" s="89">
        <v>3.0450982162038827</v>
      </c>
      <c r="K35" s="89">
        <v>1.2337242758602387</v>
      </c>
      <c r="L35" s="89">
        <v>1.5649223129852841</v>
      </c>
      <c r="M35" s="89">
        <v>2.5768169751174796</v>
      </c>
      <c r="N35" s="89">
        <v>3.2492683536586044</v>
      </c>
      <c r="O35" s="89">
        <v>3.0097353539530167</v>
      </c>
    </row>
    <row r="36" spans="3:15" x14ac:dyDescent="0.2">
      <c r="C36" s="36" t="s">
        <v>129</v>
      </c>
      <c r="D36" s="89">
        <v>2.6253456273204376</v>
      </c>
      <c r="E36" s="89">
        <v>1.3471314986391199</v>
      </c>
      <c r="F36" s="89">
        <v>3.1288152188637861</v>
      </c>
      <c r="G36" s="89">
        <v>2.340024855081134</v>
      </c>
      <c r="H36" s="89">
        <v>2.463524014569574</v>
      </c>
      <c r="I36" s="89">
        <v>3.0489756586371648</v>
      </c>
      <c r="J36" s="89">
        <v>2.442324699325868</v>
      </c>
      <c r="K36" s="89">
        <v>2.937060872736069</v>
      </c>
      <c r="L36" s="89">
        <v>3.3544191604689315</v>
      </c>
      <c r="M36" s="89">
        <v>1.0135233950377691</v>
      </c>
      <c r="N36" s="89">
        <v>1.5171581587424796</v>
      </c>
      <c r="O36" s="89">
        <v>3.304884034185577</v>
      </c>
    </row>
    <row r="37" spans="3:15" x14ac:dyDescent="0.2">
      <c r="C37" s="36" t="s">
        <v>130</v>
      </c>
      <c r="D37" s="89">
        <v>1.6465930582214463</v>
      </c>
      <c r="E37" s="89">
        <v>1.6115617594986456</v>
      </c>
      <c r="F37" s="89">
        <v>2.4693921386877529</v>
      </c>
      <c r="G37" s="89">
        <v>2.1243237894451701</v>
      </c>
      <c r="H37" s="89">
        <v>2.7544994928619415</v>
      </c>
      <c r="I37" s="89">
        <v>1.2260274717203097</v>
      </c>
      <c r="J37" s="89">
        <v>1.0298822189527004</v>
      </c>
      <c r="K37" s="89">
        <v>2.674691589523249</v>
      </c>
      <c r="L37" s="89">
        <v>2.8630117101511106</v>
      </c>
      <c r="M37" s="89">
        <v>2.7559133541589098</v>
      </c>
      <c r="N37" s="89">
        <v>1.4266672879717173</v>
      </c>
      <c r="O37" s="89">
        <v>3.0779060112625003</v>
      </c>
    </row>
    <row r="38" spans="3:15" x14ac:dyDescent="0.2">
      <c r="C38" s="36" t="s">
        <v>131</v>
      </c>
      <c r="D38" s="89">
        <v>2.5724665791131853</v>
      </c>
      <c r="E38" s="89">
        <v>2.2168704988526455</v>
      </c>
      <c r="F38" s="89">
        <v>2.2420335987829043</v>
      </c>
      <c r="G38" s="89">
        <v>1.5686253858330925</v>
      </c>
      <c r="H38" s="89">
        <v>3.3899873412607437</v>
      </c>
      <c r="I38" s="89">
        <v>1.191074466283667</v>
      </c>
      <c r="J38" s="89">
        <v>1.2378317999294992</v>
      </c>
      <c r="K38" s="89">
        <v>2.9696607094803325</v>
      </c>
      <c r="L38" s="89">
        <v>1.7465365974497717</v>
      </c>
      <c r="M38" s="89">
        <v>2.2586014799989482</v>
      </c>
      <c r="N38" s="89">
        <v>2.1951896361085375</v>
      </c>
      <c r="O38" s="89">
        <v>1.4427904325652297</v>
      </c>
    </row>
    <row r="39" spans="3:15" x14ac:dyDescent="0.2">
      <c r="C39" s="37" t="s">
        <v>132</v>
      </c>
      <c r="D39" s="89">
        <v>2.8632686550754531</v>
      </c>
      <c r="E39" s="89">
        <v>3.4895359268490398</v>
      </c>
      <c r="F39" s="89">
        <v>2.2230647085081294</v>
      </c>
      <c r="G39" s="89">
        <v>2.6986510770961152</v>
      </c>
      <c r="H39" s="89">
        <v>1.2657200697469402</v>
      </c>
      <c r="I39" s="89">
        <v>3.476158563206011</v>
      </c>
      <c r="J39" s="89">
        <v>2.3383225292310144</v>
      </c>
      <c r="K39" s="89">
        <v>2.1449784110078536</v>
      </c>
      <c r="L39" s="89">
        <v>3.0395580241272433</v>
      </c>
      <c r="M39" s="89">
        <v>2.0060353064683722</v>
      </c>
      <c r="N39" s="89">
        <v>3.4854130783453297</v>
      </c>
      <c r="O39" s="89">
        <v>3.2925298098746838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style="106" customWidth="1"/>
    <col min="2" max="6" width="9.140625" style="106"/>
    <col min="7" max="7" width="2.7109375" style="106" customWidth="1"/>
    <col min="8" max="8" width="11.140625" style="106" customWidth="1"/>
    <col min="9" max="10" width="9.140625" style="106"/>
    <col min="11" max="12" width="4.7109375" style="106" customWidth="1"/>
    <col min="13" max="17" width="9.140625" style="106"/>
    <col min="18" max="18" width="2.7109375" style="106" customWidth="1"/>
    <col min="19" max="19" width="14.7109375" style="106" customWidth="1"/>
    <col min="20" max="20" width="16.7109375" style="106" customWidth="1"/>
    <col min="21" max="21" width="4.7109375" style="106" customWidth="1"/>
    <col min="22" max="16384" width="9.140625" style="106"/>
  </cols>
  <sheetData>
    <row r="1" spans="1:20" x14ac:dyDescent="0.2">
      <c r="A1" s="185"/>
    </row>
    <row r="2" spans="1:20" ht="15.75" x14ac:dyDescent="0.25">
      <c r="C2" s="186" t="s">
        <v>165</v>
      </c>
      <c r="D2" s="186"/>
      <c r="E2" s="186"/>
      <c r="F2" s="186"/>
      <c r="G2" s="186"/>
      <c r="H2" s="186"/>
    </row>
    <row r="3" spans="1:20" ht="18.75" x14ac:dyDescent="0.25">
      <c r="C3" s="187" t="s">
        <v>413</v>
      </c>
      <c r="D3" s="187"/>
      <c r="E3" s="187"/>
      <c r="F3" s="187"/>
      <c r="G3" s="187"/>
    </row>
    <row r="5" spans="1:20" ht="15.75" x14ac:dyDescent="0.25">
      <c r="A5" s="188" t="s">
        <v>352</v>
      </c>
      <c r="B5" s="189"/>
      <c r="G5" s="190"/>
      <c r="L5" s="188" t="s">
        <v>353</v>
      </c>
      <c r="M5" s="189"/>
      <c r="R5" s="190"/>
    </row>
    <row r="6" spans="1:20" x14ac:dyDescent="0.2">
      <c r="A6" s="191" t="s">
        <v>354</v>
      </c>
      <c r="B6" s="189"/>
      <c r="G6" s="192"/>
      <c r="H6" s="116"/>
      <c r="L6" s="191" t="s">
        <v>355</v>
      </c>
      <c r="M6" s="189"/>
      <c r="S6" s="131"/>
    </row>
    <row r="7" spans="1:20" x14ac:dyDescent="0.2">
      <c r="A7" s="189"/>
      <c r="B7" s="189" t="s">
        <v>356</v>
      </c>
      <c r="G7" s="192"/>
      <c r="H7" s="193">
        <f>SUM(ORA!$D$116:$O$116)</f>
        <v>20067</v>
      </c>
      <c r="L7" s="189"/>
      <c r="M7" s="189" t="s">
        <v>356</v>
      </c>
      <c r="S7" s="194">
        <f>SUM(ORA!$D$127:$O$127)</f>
        <v>74523330.121478051</v>
      </c>
    </row>
    <row r="8" spans="1:20" x14ac:dyDescent="0.2">
      <c r="A8" s="189"/>
      <c r="B8" s="189" t="s">
        <v>357</v>
      </c>
      <c r="G8" s="192"/>
      <c r="H8" s="195">
        <f>SUM(POJ!$D$116:$O$116)</f>
        <v>0</v>
      </c>
      <c r="L8" s="189"/>
      <c r="M8" s="189" t="s">
        <v>357</v>
      </c>
      <c r="S8" s="196">
        <f>SUM(POJ!$D$127:$O$127)</f>
        <v>0</v>
      </c>
    </row>
    <row r="9" spans="1:20" x14ac:dyDescent="0.2">
      <c r="A9" s="189"/>
      <c r="B9" s="189" t="s">
        <v>358</v>
      </c>
      <c r="G9" s="192"/>
      <c r="H9" s="195">
        <f>SUM(ROJ!$D$116:$O$116)</f>
        <v>78112.590639174567</v>
      </c>
      <c r="L9" s="189"/>
      <c r="M9" s="189" t="s">
        <v>358</v>
      </c>
      <c r="S9" s="196">
        <f>SUM(ROJ!$D$127:$O$127)</f>
        <v>292131857.88174075</v>
      </c>
    </row>
    <row r="10" spans="1:20" x14ac:dyDescent="0.2">
      <c r="A10" s="189"/>
      <c r="B10" s="189" t="s">
        <v>359</v>
      </c>
      <c r="G10" s="192"/>
      <c r="H10" s="197">
        <f>SUM(FCOJ!$D$116:$O$116)</f>
        <v>69075</v>
      </c>
      <c r="L10" s="189"/>
      <c r="M10" s="189" t="s">
        <v>359</v>
      </c>
      <c r="S10" s="198">
        <f>SUM(FCOJ!$D$127:$O$127)</f>
        <v>227839813.22381338</v>
      </c>
    </row>
    <row r="11" spans="1:20" x14ac:dyDescent="0.2">
      <c r="A11" s="189"/>
      <c r="B11" s="189"/>
      <c r="G11" s="192"/>
      <c r="M11" s="189" t="s">
        <v>360</v>
      </c>
      <c r="T11" s="199">
        <f>SUM($S$7:$S$10)</f>
        <v>594495001.22703218</v>
      </c>
    </row>
    <row r="12" spans="1:20" x14ac:dyDescent="0.2">
      <c r="A12" s="191" t="s">
        <v>361</v>
      </c>
      <c r="B12" s="189"/>
      <c r="G12" s="192"/>
    </row>
    <row r="13" spans="1:20" x14ac:dyDescent="0.2">
      <c r="A13" s="189"/>
      <c r="B13" s="189" t="s">
        <v>362</v>
      </c>
      <c r="G13" s="192"/>
      <c r="H13" s="200">
        <f>SUM(grove!$C$48:$AX$53)</f>
        <v>285224.6463899964</v>
      </c>
      <c r="L13" s="191" t="s">
        <v>363</v>
      </c>
      <c r="M13" s="189"/>
    </row>
    <row r="14" spans="1:20" x14ac:dyDescent="0.2">
      <c r="A14" s="189"/>
      <c r="B14" s="189" t="s">
        <v>364</v>
      </c>
      <c r="G14" s="192"/>
      <c r="H14" s="193">
        <f>raw_materials!$P$30</f>
        <v>0</v>
      </c>
      <c r="L14" s="189"/>
      <c r="M14" s="189" t="s">
        <v>365</v>
      </c>
      <c r="S14" s="194">
        <f>SUM(grove!$C$58:$AX$63)</f>
        <v>409590672.20115924</v>
      </c>
    </row>
    <row r="15" spans="1:20" x14ac:dyDescent="0.2">
      <c r="A15" s="189"/>
      <c r="B15" s="189" t="s">
        <v>366</v>
      </c>
      <c r="G15" s="192"/>
      <c r="H15" s="197">
        <f>raw_materials!$P$36</f>
        <v>1200000</v>
      </c>
      <c r="L15" s="189"/>
      <c r="M15" s="189" t="s">
        <v>367</v>
      </c>
      <c r="S15" s="196">
        <f>(raw_materials!D30*raw_materials!E30+raw_materials!F30*raw_materials!G30+raw_materials!H30*raw_materials!I30+raw_materials!J30*raw_materials!K30+raw_materials!L30*raw_materials!M30)*2000</f>
        <v>0</v>
      </c>
    </row>
    <row r="16" spans="1:20" x14ac:dyDescent="0.2">
      <c r="A16" s="189"/>
      <c r="B16" s="189" t="s">
        <v>368</v>
      </c>
      <c r="G16" s="192"/>
      <c r="H16" s="201">
        <v>14685</v>
      </c>
      <c r="L16" s="189"/>
      <c r="M16" s="189" t="s">
        <v>369</v>
      </c>
      <c r="S16" s="196">
        <f>(raw_materials!D36*raw_materials!E36+raw_materials!F36*raw_materials!G36+raw_materials!H36*raw_materials!I36+raw_materials!J36*raw_materials!K36+raw_materials!L36*raw_materials!M36)*2000</f>
        <v>2566849936.313798</v>
      </c>
    </row>
    <row r="17" spans="1:21" x14ac:dyDescent="0.2">
      <c r="A17" s="189"/>
      <c r="B17" s="189" t="s">
        <v>370</v>
      </c>
      <c r="G17" s="192"/>
      <c r="H17" s="202">
        <v>0</v>
      </c>
      <c r="L17" s="189"/>
      <c r="M17" s="189" t="s">
        <v>371</v>
      </c>
      <c r="S17" s="196">
        <v>92082072.2759047</v>
      </c>
    </row>
    <row r="18" spans="1:21" x14ac:dyDescent="0.2">
      <c r="A18" s="189"/>
      <c r="B18" s="189" t="s">
        <v>372</v>
      </c>
      <c r="G18" s="192"/>
      <c r="H18" s="203">
        <v>1109177.8467908707</v>
      </c>
      <c r="L18" s="189"/>
      <c r="M18" s="189" t="s">
        <v>373</v>
      </c>
      <c r="S18" s="198">
        <v>310691235.27990901</v>
      </c>
    </row>
    <row r="19" spans="1:21" x14ac:dyDescent="0.2">
      <c r="A19" s="189"/>
      <c r="B19" s="189" t="s">
        <v>374</v>
      </c>
      <c r="G19" s="192"/>
      <c r="H19" s="202">
        <v>1208261.4593458618</v>
      </c>
      <c r="L19" s="189"/>
      <c r="M19" s="189" t="s">
        <v>375</v>
      </c>
      <c r="S19" s="204" t="s">
        <v>376</v>
      </c>
      <c r="T19" s="205">
        <f>SUM($S$14:$S$18)</f>
        <v>3379213916.0707712</v>
      </c>
      <c r="U19" s="106" t="s">
        <v>377</v>
      </c>
    </row>
    <row r="20" spans="1:21" x14ac:dyDescent="0.2">
      <c r="A20" s="189"/>
      <c r="B20" s="189" t="s">
        <v>378</v>
      </c>
      <c r="G20" s="192"/>
      <c r="H20" s="197">
        <v>101097.84272182525</v>
      </c>
      <c r="L20" s="189"/>
      <c r="M20" s="189"/>
    </row>
    <row r="21" spans="1:21" x14ac:dyDescent="0.2">
      <c r="A21" s="189"/>
      <c r="B21" s="189"/>
      <c r="G21" s="192"/>
      <c r="L21" s="191" t="s">
        <v>379</v>
      </c>
      <c r="M21" s="189"/>
      <c r="S21" s="131"/>
    </row>
    <row r="22" spans="1:21" x14ac:dyDescent="0.2">
      <c r="A22" s="191" t="s">
        <v>380</v>
      </c>
      <c r="B22" s="189"/>
      <c r="G22" s="192"/>
      <c r="L22" s="189"/>
      <c r="M22" s="189" t="s">
        <v>381</v>
      </c>
      <c r="S22" s="196">
        <v>29370000</v>
      </c>
    </row>
    <row r="23" spans="1:21" x14ac:dyDescent="0.2">
      <c r="A23" s="189"/>
      <c r="B23" s="189" t="s">
        <v>382</v>
      </c>
      <c r="G23" s="192"/>
      <c r="H23" s="193">
        <f>SUM(raw_materials!$O$31:$O$35)</f>
        <v>800000</v>
      </c>
      <c r="L23" s="189"/>
      <c r="M23" s="189" t="s">
        <v>383</v>
      </c>
      <c r="S23" s="196">
        <v>0</v>
      </c>
    </row>
    <row r="24" spans="1:21" x14ac:dyDescent="0.2">
      <c r="A24" s="189"/>
      <c r="B24" s="189" t="s">
        <v>384</v>
      </c>
      <c r="G24" s="192"/>
      <c r="H24" s="197">
        <f>SUM(raw_materials!$O$37:$O$41)</f>
        <v>1800000</v>
      </c>
      <c r="L24" s="189"/>
      <c r="M24" s="189" t="s">
        <v>385</v>
      </c>
      <c r="S24" s="198">
        <v>720965600.41406608</v>
      </c>
    </row>
    <row r="25" spans="1:21" x14ac:dyDescent="0.2">
      <c r="A25" s="189"/>
      <c r="B25" s="189"/>
      <c r="G25" s="192"/>
      <c r="L25" s="189"/>
      <c r="M25" s="189" t="s">
        <v>386</v>
      </c>
      <c r="S25" s="204" t="s">
        <v>376</v>
      </c>
      <c r="T25" s="205">
        <f>SUM($S$22:$S$24)</f>
        <v>750335600.41406608</v>
      </c>
      <c r="U25" s="106" t="s">
        <v>377</v>
      </c>
    </row>
    <row r="26" spans="1:21" x14ac:dyDescent="0.2">
      <c r="A26" s="191" t="s">
        <v>387</v>
      </c>
      <c r="B26" s="189"/>
      <c r="G26" s="192"/>
      <c r="L26" s="189"/>
      <c r="M26" s="189"/>
    </row>
    <row r="27" spans="1:21" x14ac:dyDescent="0.2">
      <c r="A27" s="189"/>
      <c r="B27" s="189" t="s">
        <v>388</v>
      </c>
      <c r="G27" s="192"/>
      <c r="H27" s="193">
        <f>SUMIF(facilities!$C$6:$C$15,"&gt;0",facilities!$C$6:$C$15)</f>
        <v>0</v>
      </c>
      <c r="L27" s="191" t="s">
        <v>389</v>
      </c>
      <c r="M27" s="189"/>
    </row>
    <row r="28" spans="1:21" x14ac:dyDescent="0.2">
      <c r="A28" s="189"/>
      <c r="B28" s="189" t="s">
        <v>390</v>
      </c>
      <c r="G28" s="192"/>
      <c r="H28" s="195">
        <f>SUMIF(facilities!$C$36:$C$106,"&gt;0",facilities!$C$36:$C$106)</f>
        <v>0</v>
      </c>
      <c r="L28" s="189"/>
      <c r="M28" s="189" t="s">
        <v>391</v>
      </c>
      <c r="S28" s="194">
        <v>26861076</v>
      </c>
    </row>
    <row r="29" spans="1:21" x14ac:dyDescent="0.2">
      <c r="A29" s="189"/>
      <c r="B29" s="189" t="s">
        <v>392</v>
      </c>
      <c r="G29" s="192"/>
      <c r="H29" s="195">
        <f>SUMIF(facilities!$C$6:$C$15,"&lt;0",facilities!$C$6:$C$15)</f>
        <v>-692</v>
      </c>
      <c r="L29" s="189"/>
      <c r="M29" s="189" t="s">
        <v>393</v>
      </c>
      <c r="S29" s="196">
        <v>8345201.1499999966</v>
      </c>
    </row>
    <row r="30" spans="1:21" x14ac:dyDescent="0.2">
      <c r="A30" s="189"/>
      <c r="B30" s="189" t="s">
        <v>394</v>
      </c>
      <c r="G30" s="192"/>
      <c r="H30" s="197">
        <f>SUMIF(facilities!$C$36:$C$106,"&lt;0",facilities!$C$36:$C$106)</f>
        <v>0</v>
      </c>
      <c r="L30" s="189"/>
      <c r="M30" s="189" t="s">
        <v>395</v>
      </c>
      <c r="S30" s="196">
        <v>175963229.47748929</v>
      </c>
    </row>
    <row r="31" spans="1:21" x14ac:dyDescent="0.2">
      <c r="L31" s="189"/>
      <c r="M31" s="189" t="s">
        <v>396</v>
      </c>
      <c r="S31" s="198">
        <f>SUM(ORA!D138:O138)+SUM(POJ!D138:O138)+SUM(ROJ!D138:O138)+SUM(FCOJ!D138:O138)</f>
        <v>162409919.36061931</v>
      </c>
    </row>
    <row r="32" spans="1:21" x14ac:dyDescent="0.2">
      <c r="A32" s="191" t="s">
        <v>397</v>
      </c>
      <c r="B32" s="189"/>
      <c r="G32" s="192"/>
      <c r="L32" s="189"/>
      <c r="M32" s="189" t="s">
        <v>398</v>
      </c>
      <c r="S32" s="119" t="s">
        <v>376</v>
      </c>
      <c r="T32" s="205">
        <f>SUM($S$28:$S$31)</f>
        <v>373579425.98810863</v>
      </c>
      <c r="U32" s="106" t="s">
        <v>377</v>
      </c>
    </row>
    <row r="33" spans="1:21" x14ac:dyDescent="0.2">
      <c r="A33" s="189"/>
      <c r="B33" s="189" t="s">
        <v>399</v>
      </c>
      <c r="G33" s="192"/>
      <c r="H33" s="193">
        <f>COUNTIF(facilities!$H$6:$H$15,"=new")</f>
        <v>0</v>
      </c>
      <c r="M33" s="189"/>
    </row>
    <row r="34" spans="1:21" x14ac:dyDescent="0.2">
      <c r="A34" s="189"/>
      <c r="B34" s="189" t="s">
        <v>400</v>
      </c>
      <c r="G34" s="192"/>
      <c r="H34" s="195">
        <f>COUNTIF(facilities!$H$36:$H$106,"=new")</f>
        <v>0</v>
      </c>
      <c r="L34" s="191" t="s">
        <v>401</v>
      </c>
      <c r="M34" s="189"/>
    </row>
    <row r="35" spans="1:21" x14ac:dyDescent="0.2">
      <c r="B35" s="189" t="s">
        <v>18</v>
      </c>
      <c r="H35" s="197">
        <f>SUMIF(facilities!$C$21:$C$30,"&gt;0",facilities!$C$21:$C$30)</f>
        <v>0</v>
      </c>
      <c r="L35" s="189"/>
      <c r="M35" s="189" t="s">
        <v>402</v>
      </c>
      <c r="S35" s="194">
        <v>37682500</v>
      </c>
    </row>
    <row r="36" spans="1:21" x14ac:dyDescent="0.2">
      <c r="L36" s="189"/>
      <c r="M36" s="189" t="s">
        <v>403</v>
      </c>
      <c r="S36" s="196">
        <f>H33*12000000-H38*70/100*12000000</f>
        <v>0</v>
      </c>
    </row>
    <row r="37" spans="1:21" x14ac:dyDescent="0.2">
      <c r="A37" s="191" t="s">
        <v>404</v>
      </c>
      <c r="L37" s="189"/>
      <c r="M37" s="189" t="s">
        <v>405</v>
      </c>
      <c r="S37" s="196">
        <f>H27*8000+H29*70/100*8000</f>
        <v>-3875200</v>
      </c>
    </row>
    <row r="38" spans="1:21" x14ac:dyDescent="0.2">
      <c r="B38" s="189" t="s">
        <v>399</v>
      </c>
      <c r="H38" s="193">
        <f>COUNTIF(facilities!$H$6:$H$15,"=sold")</f>
        <v>0</v>
      </c>
      <c r="L38" s="189"/>
      <c r="M38" s="189" t="s">
        <v>406</v>
      </c>
      <c r="S38" s="196">
        <v>80650000</v>
      </c>
    </row>
    <row r="39" spans="1:21" x14ac:dyDescent="0.2">
      <c r="B39" s="189" t="s">
        <v>400</v>
      </c>
      <c r="H39" s="195">
        <f>COUNTIF(facilities!$H$36:$H$106,"=sold")</f>
        <v>0</v>
      </c>
      <c r="L39" s="189"/>
      <c r="M39" s="189" t="s">
        <v>407</v>
      </c>
      <c r="S39" s="196">
        <f>H34*9000000-H39*80/100*9000000</f>
        <v>0</v>
      </c>
    </row>
    <row r="40" spans="1:21" x14ac:dyDescent="0.2">
      <c r="B40" s="189" t="s">
        <v>18</v>
      </c>
      <c r="H40" s="197">
        <f>-SUMIF(facilities!$C$21:$C$30,"&lt;0",facilities!$C$21:$C$30)</f>
        <v>62</v>
      </c>
      <c r="L40" s="189"/>
      <c r="M40" s="189" t="s">
        <v>408</v>
      </c>
      <c r="S40" s="196">
        <f>H28*6000+H30*80/100*6000</f>
        <v>0</v>
      </c>
    </row>
    <row r="41" spans="1:21" x14ac:dyDescent="0.2">
      <c r="L41" s="189"/>
      <c r="M41" s="189" t="s">
        <v>409</v>
      </c>
      <c r="S41" s="196">
        <v>42040</v>
      </c>
    </row>
    <row r="42" spans="1:21" x14ac:dyDescent="0.2">
      <c r="L42" s="189"/>
      <c r="M42" s="189" t="s">
        <v>410</v>
      </c>
      <c r="S42" s="198">
        <f>H35*100000-H40*60/100*100000</f>
        <v>-3720000.0000000005</v>
      </c>
    </row>
    <row r="43" spans="1:21" x14ac:dyDescent="0.2">
      <c r="L43" s="189"/>
      <c r="M43" s="189" t="s">
        <v>411</v>
      </c>
      <c r="S43" s="183" t="s">
        <v>376</v>
      </c>
      <c r="T43" s="205">
        <f>SUM($S$35:$S$42)</f>
        <v>110779340</v>
      </c>
      <c r="U43" s="106" t="s">
        <v>377</v>
      </c>
    </row>
    <row r="44" spans="1:21" x14ac:dyDescent="0.2">
      <c r="L44" s="189"/>
      <c r="S44" s="116"/>
    </row>
    <row r="45" spans="1:21" ht="14.25" thickBot="1" x14ac:dyDescent="0.3">
      <c r="L45" s="206" t="s">
        <v>412</v>
      </c>
      <c r="M45" s="189"/>
      <c r="T45" s="207">
        <f>$T$11-$T$19-$T$25-$T$32-$T$43</f>
        <v>-4019413281.2459135</v>
      </c>
    </row>
    <row r="46" spans="1:21" ht="13.5" thickTop="1" x14ac:dyDescent="0.2">
      <c r="M46" s="189"/>
    </row>
    <row r="316" spans="1:1" x14ac:dyDescent="0.2">
      <c r="A316" s="185"/>
    </row>
    <row r="317" spans="1:1" x14ac:dyDescent="0.2">
      <c r="A317" s="185"/>
    </row>
    <row r="318" spans="1:1" x14ac:dyDescent="0.2">
      <c r="A318" s="185"/>
    </row>
    <row r="319" spans="1:1" x14ac:dyDescent="0.2">
      <c r="A319" s="185"/>
    </row>
    <row r="320" spans="1:1" x14ac:dyDescent="0.2">
      <c r="A320" s="185"/>
    </row>
    <row r="321" spans="1:1" x14ac:dyDescent="0.2">
      <c r="A321" s="185"/>
    </row>
    <row r="322" spans="1:1" x14ac:dyDescent="0.2">
      <c r="A322" s="185"/>
    </row>
    <row r="323" spans="1:1" x14ac:dyDescent="0.2">
      <c r="A323" s="185"/>
    </row>
    <row r="325" spans="1:1" x14ac:dyDescent="0.2">
      <c r="A325" s="185"/>
    </row>
    <row r="326" spans="1:1" x14ac:dyDescent="0.2">
      <c r="A326" s="185"/>
    </row>
    <row r="327" spans="1:1" x14ac:dyDescent="0.2">
      <c r="A327" s="185"/>
    </row>
    <row r="328" spans="1:1" x14ac:dyDescent="0.2">
      <c r="A328" s="185"/>
    </row>
    <row r="329" spans="1:1" x14ac:dyDescent="0.2">
      <c r="A329" s="185"/>
    </row>
    <row r="330" spans="1:1" x14ac:dyDescent="0.2">
      <c r="A330" s="185"/>
    </row>
    <row r="331" spans="1:1" x14ac:dyDescent="0.2">
      <c r="A331" s="185"/>
    </row>
    <row r="332" spans="1:1" x14ac:dyDescent="0.2">
      <c r="A332" s="185"/>
    </row>
    <row r="334" spans="1:1" x14ac:dyDescent="0.2">
      <c r="A334" s="185"/>
    </row>
    <row r="335" spans="1:1" x14ac:dyDescent="0.2">
      <c r="A335" s="185"/>
    </row>
    <row r="336" spans="1:1" x14ac:dyDescent="0.2">
      <c r="A336" s="185"/>
    </row>
    <row r="337" spans="1:1" x14ac:dyDescent="0.2">
      <c r="A337" s="185"/>
    </row>
    <row r="338" spans="1:1" x14ac:dyDescent="0.2">
      <c r="A338" s="185"/>
    </row>
    <row r="339" spans="1:1" x14ac:dyDescent="0.2">
      <c r="A339" s="185"/>
    </row>
    <row r="340" spans="1:1" x14ac:dyDescent="0.2">
      <c r="A340" s="185"/>
    </row>
    <row r="341" spans="1:1" x14ac:dyDescent="0.2">
      <c r="A341" s="185"/>
    </row>
    <row r="343" spans="1:1" x14ac:dyDescent="0.2">
      <c r="A343" s="185"/>
    </row>
    <row r="344" spans="1:1" x14ac:dyDescent="0.2">
      <c r="A344" s="185"/>
    </row>
    <row r="345" spans="1:1" x14ac:dyDescent="0.2">
      <c r="A345" s="185"/>
    </row>
    <row r="346" spans="1:1" x14ac:dyDescent="0.2">
      <c r="A346" s="185"/>
    </row>
    <row r="347" spans="1:1" x14ac:dyDescent="0.2">
      <c r="A347" s="185"/>
    </row>
    <row r="348" spans="1:1" x14ac:dyDescent="0.2">
      <c r="A348" s="185"/>
    </row>
    <row r="349" spans="1:1" x14ac:dyDescent="0.2">
      <c r="A349" s="185"/>
    </row>
    <row r="350" spans="1:1" x14ac:dyDescent="0.2">
      <c r="A350" s="185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defaultRowHeight="12.75" x14ac:dyDescent="0.2"/>
  <cols>
    <col min="1" max="1" width="4.7109375" style="106" customWidth="1"/>
    <col min="2" max="2" width="15.7109375" style="106" customWidth="1"/>
    <col min="3" max="16384" width="9.140625" style="106"/>
  </cols>
  <sheetData>
    <row r="2" spans="2:14" x14ac:dyDescent="0.2">
      <c r="B2" s="108" t="s">
        <v>313</v>
      </c>
    </row>
    <row r="3" spans="2:14" x14ac:dyDescent="0.2">
      <c r="B3" s="109" t="s">
        <v>314</v>
      </c>
    </row>
    <row r="4" spans="2:14" x14ac:dyDescent="0.2">
      <c r="B4" s="176" t="s">
        <v>91</v>
      </c>
      <c r="C4" s="176" t="s">
        <v>92</v>
      </c>
      <c r="D4" s="176" t="s">
        <v>93</v>
      </c>
      <c r="E4" s="176" t="s">
        <v>94</v>
      </c>
      <c r="F4" s="176" t="s">
        <v>95</v>
      </c>
      <c r="G4" s="176" t="s">
        <v>96</v>
      </c>
      <c r="H4" s="176" t="s">
        <v>97</v>
      </c>
      <c r="I4" s="176" t="s">
        <v>98</v>
      </c>
      <c r="J4" s="176" t="s">
        <v>99</v>
      </c>
      <c r="K4" s="176" t="s">
        <v>100</v>
      </c>
      <c r="L4" s="176" t="s">
        <v>101</v>
      </c>
      <c r="M4" s="176" t="s">
        <v>102</v>
      </c>
      <c r="N4" s="176" t="s">
        <v>103</v>
      </c>
    </row>
    <row r="5" spans="2:14" x14ac:dyDescent="0.2">
      <c r="B5" s="177" t="s">
        <v>104</v>
      </c>
      <c r="C5" s="106">
        <v>0.59531439043588119</v>
      </c>
      <c r="D5" s="106">
        <v>0.71378738811185805</v>
      </c>
      <c r="E5" s="106">
        <v>0.59930573589088654</v>
      </c>
      <c r="F5" s="106">
        <v>0.55040138279150796</v>
      </c>
      <c r="G5" s="106">
        <v>0.87607761541326024</v>
      </c>
      <c r="H5" s="106">
        <v>0.68458097003058638</v>
      </c>
      <c r="I5" s="106">
        <v>0.58567426507695219</v>
      </c>
      <c r="J5" s="106">
        <v>0.69531431449917791</v>
      </c>
      <c r="K5" s="106">
        <v>0.70234800261253016</v>
      </c>
      <c r="L5" s="106">
        <v>0.62120125905290124</v>
      </c>
      <c r="M5" s="106">
        <v>0.68793758834607155</v>
      </c>
      <c r="N5" s="106">
        <v>0.57000133364798355</v>
      </c>
    </row>
    <row r="6" spans="2:14" x14ac:dyDescent="0.2">
      <c r="B6" s="177" t="s">
        <v>105</v>
      </c>
      <c r="C6" s="106">
        <v>0.65315187563363286</v>
      </c>
      <c r="D6" s="106">
        <v>0.70641383030318816</v>
      </c>
      <c r="E6" s="106">
        <v>0.70586375366556442</v>
      </c>
      <c r="F6" s="106">
        <v>0.78230268092188293</v>
      </c>
      <c r="G6" s="106">
        <v>0.72096650847566823</v>
      </c>
      <c r="H6" s="106">
        <v>0.71076959971629083</v>
      </c>
      <c r="I6" s="106">
        <v>0.7306791737028927</v>
      </c>
      <c r="J6" s="106">
        <v>0.64030155947615619</v>
      </c>
      <c r="K6" s="106">
        <v>0.67980714658764962</v>
      </c>
      <c r="L6" s="106">
        <v>0.66152458808629644</v>
      </c>
      <c r="M6" s="106">
        <v>0.69631914065437051</v>
      </c>
      <c r="N6" s="106">
        <v>0.66244614711519412</v>
      </c>
    </row>
    <row r="7" spans="2:14" x14ac:dyDescent="0.2">
      <c r="B7" s="177" t="s">
        <v>106</v>
      </c>
      <c r="C7" s="106">
        <v>0.73437379721568852</v>
      </c>
      <c r="D7" s="106">
        <v>0.74841217999593757</v>
      </c>
      <c r="E7" s="106">
        <v>0.70947339142042221</v>
      </c>
      <c r="F7" s="106">
        <v>0.68699769776866459</v>
      </c>
      <c r="G7" s="106">
        <v>0.67995333424505433</v>
      </c>
      <c r="H7" s="106">
        <v>0.69325322204054252</v>
      </c>
      <c r="I7" s="106">
        <v>0.76602907688106248</v>
      </c>
      <c r="J7" s="106">
        <v>0.98832954827531172</v>
      </c>
      <c r="K7" s="106">
        <v>0.71280005836054972</v>
      </c>
      <c r="L7" s="106">
        <v>0.73996974376066527</v>
      </c>
      <c r="M7" s="106">
        <v>0.79783576835689252</v>
      </c>
      <c r="N7" s="106">
        <v>0.79064304550554998</v>
      </c>
    </row>
    <row r="8" spans="2:14" x14ac:dyDescent="0.2">
      <c r="B8" s="177" t="s">
        <v>107</v>
      </c>
      <c r="C8" s="106">
        <v>0.83290653707383666</v>
      </c>
      <c r="D8" s="106">
        <v>0.77731742717880448</v>
      </c>
      <c r="E8" s="106">
        <v>0.72858036722459818</v>
      </c>
      <c r="F8" s="106">
        <v>0.97098033875211176</v>
      </c>
      <c r="G8" s="106">
        <v>0.72572548672423876</v>
      </c>
      <c r="H8" s="106">
        <v>0.67511046658776208</v>
      </c>
      <c r="I8" s="106">
        <v>0.66444001431472099</v>
      </c>
      <c r="J8" s="106">
        <v>0.67156164095132287</v>
      </c>
      <c r="K8" s="106">
        <v>0.70874928060606512</v>
      </c>
      <c r="L8" s="106">
        <v>0.66179297330109244</v>
      </c>
      <c r="M8" s="106">
        <v>0.68554240549427936</v>
      </c>
      <c r="N8" s="106">
        <v>0.69883887829719726</v>
      </c>
    </row>
    <row r="9" spans="2:14" x14ac:dyDescent="0.2">
      <c r="B9" s="177" t="s">
        <v>108</v>
      </c>
      <c r="C9" s="106">
        <v>2.0848712301254273</v>
      </c>
      <c r="D9" s="106">
        <v>2.0373619592189791</v>
      </c>
      <c r="E9" s="106">
        <v>2.0412362074851989</v>
      </c>
      <c r="F9" s="106">
        <v>2.0643241560459136</v>
      </c>
      <c r="G9" s="106">
        <v>2.0346782302856448</v>
      </c>
      <c r="H9" s="106">
        <v>2.073512247800827</v>
      </c>
      <c r="I9" s="106">
        <v>2.1010714745521546</v>
      </c>
      <c r="J9" s="106">
        <v>2.104959956407547</v>
      </c>
      <c r="K9" s="106">
        <v>2.0773460245132447</v>
      </c>
      <c r="L9" s="106">
        <v>2.076783279180527</v>
      </c>
      <c r="M9" s="106">
        <v>2.0224351382255557</v>
      </c>
      <c r="N9" s="106">
        <v>2.0723386919498443</v>
      </c>
    </row>
    <row r="10" spans="2:14" x14ac:dyDescent="0.2">
      <c r="B10" s="177" t="s">
        <v>109</v>
      </c>
      <c r="C10" s="106">
        <v>0.69580063819885252</v>
      </c>
      <c r="D10" s="106">
        <v>0.61464697718620298</v>
      </c>
      <c r="E10" s="106">
        <v>0.69416142702102668</v>
      </c>
      <c r="F10" s="106">
        <v>0.66620767712593076</v>
      </c>
      <c r="G10" s="106">
        <v>0.66205012798309326</v>
      </c>
      <c r="H10" s="106">
        <v>0.6073291718959809</v>
      </c>
      <c r="I10" s="106">
        <v>0.66682285070419312</v>
      </c>
      <c r="J10" s="106">
        <v>0.62109938263893127</v>
      </c>
      <c r="K10" s="106">
        <v>0.60374708175659186</v>
      </c>
      <c r="L10" s="106">
        <v>0.68812209963798521</v>
      </c>
      <c r="M10" s="106">
        <v>0.63179270029067991</v>
      </c>
      <c r="N10" s="106">
        <v>0.62914393544197089</v>
      </c>
    </row>
    <row r="11" spans="2:14" x14ac:dyDescent="0.2">
      <c r="B11" s="178"/>
      <c r="C11" s="107"/>
      <c r="D11" s="107"/>
      <c r="E11" s="107"/>
      <c r="F11" s="107"/>
      <c r="G11" s="107"/>
    </row>
    <row r="12" spans="2:14" x14ac:dyDescent="0.2">
      <c r="B12" s="110" t="s">
        <v>315</v>
      </c>
      <c r="C12" s="107"/>
      <c r="D12" s="107"/>
      <c r="E12" s="107"/>
      <c r="F12" s="107"/>
      <c r="G12" s="107"/>
    </row>
    <row r="13" spans="2:14" x14ac:dyDescent="0.2">
      <c r="B13" s="177" t="s">
        <v>316</v>
      </c>
      <c r="C13" s="177" t="s">
        <v>92</v>
      </c>
      <c r="D13" s="177" t="s">
        <v>93</v>
      </c>
      <c r="E13" s="176" t="s">
        <v>94</v>
      </c>
      <c r="F13" s="176" t="s">
        <v>95</v>
      </c>
      <c r="G13" s="176" t="s">
        <v>96</v>
      </c>
      <c r="H13" s="176" t="s">
        <v>97</v>
      </c>
      <c r="I13" s="176" t="s">
        <v>98</v>
      </c>
      <c r="J13" s="176" t="s">
        <v>99</v>
      </c>
      <c r="K13" s="176" t="s">
        <v>100</v>
      </c>
      <c r="L13" s="176" t="s">
        <v>101</v>
      </c>
      <c r="M13" s="176" t="s">
        <v>102</v>
      </c>
      <c r="N13" s="176" t="s">
        <v>103</v>
      </c>
    </row>
    <row r="14" spans="2:14" x14ac:dyDescent="0.2">
      <c r="B14" s="176" t="s">
        <v>317</v>
      </c>
      <c r="C14" s="107">
        <v>0.35647184300833507</v>
      </c>
      <c r="D14" s="107">
        <v>0.35779502143257702</v>
      </c>
      <c r="E14" s="107">
        <v>0.35911447667450647</v>
      </c>
      <c r="F14" s="107">
        <v>0.36042649602816546</v>
      </c>
      <c r="G14" s="107">
        <v>0.36172738771082691</v>
      </c>
      <c r="H14" s="106">
        <v>0.36301349125099691</v>
      </c>
      <c r="I14" s="106">
        <v>0.36428118778831226</v>
      </c>
      <c r="J14" s="106">
        <v>0.36552691025635237</v>
      </c>
      <c r="K14" s="106">
        <v>0.3667471534197127</v>
      </c>
      <c r="L14" s="106">
        <v>0.36793848373709603</v>
      </c>
      <c r="M14" s="106">
        <v>0.36909754902267117</v>
      </c>
      <c r="N14" s="106">
        <v>0.37022108787851066</v>
      </c>
    </row>
    <row r="15" spans="2:14" x14ac:dyDescent="0.2">
      <c r="B15" s="176" t="s">
        <v>318</v>
      </c>
      <c r="C15" s="106">
        <v>1.0333031631661038</v>
      </c>
      <c r="D15" s="106">
        <v>1.0360427994055008</v>
      </c>
      <c r="E15" s="106">
        <v>1.038774726809111</v>
      </c>
      <c r="F15" s="106">
        <v>1.0414912582324021</v>
      </c>
      <c r="G15" s="106">
        <v>1.044184749852318</v>
      </c>
      <c r="H15" s="106">
        <v>1.0468476226755996</v>
      </c>
      <c r="I15" s="106">
        <v>1.0494723838646864</v>
      </c>
      <c r="J15" s="106">
        <v>1.0520516478211925</v>
      </c>
      <c r="K15" s="106">
        <v>1.0545781569676314</v>
      </c>
      <c r="L15" s="106">
        <v>1.0570448021689132</v>
      </c>
      <c r="M15" s="106">
        <v>1.0594446427361501</v>
      </c>
      <c r="N15" s="106">
        <v>1.0617709259564889</v>
      </c>
    </row>
    <row r="16" spans="2:14" x14ac:dyDescent="0.2">
      <c r="B16" s="107"/>
    </row>
    <row r="17" spans="2:14" x14ac:dyDescent="0.2">
      <c r="B17" s="109" t="s">
        <v>319</v>
      </c>
    </row>
    <row r="18" spans="2:14" x14ac:dyDescent="0.2">
      <c r="B18" s="105" t="s">
        <v>91</v>
      </c>
      <c r="C18" s="105" t="s">
        <v>92</v>
      </c>
      <c r="D18" s="105" t="s">
        <v>93</v>
      </c>
      <c r="E18" s="105" t="s">
        <v>94</v>
      </c>
      <c r="F18" s="105" t="s">
        <v>95</v>
      </c>
      <c r="G18" s="105" t="s">
        <v>96</v>
      </c>
      <c r="H18" s="105" t="s">
        <v>97</v>
      </c>
      <c r="I18" s="105" t="s">
        <v>98</v>
      </c>
      <c r="J18" s="105" t="s">
        <v>99</v>
      </c>
      <c r="K18" s="105" t="s">
        <v>100</v>
      </c>
      <c r="L18" s="105" t="s">
        <v>101</v>
      </c>
      <c r="M18" s="105" t="s">
        <v>102</v>
      </c>
      <c r="N18" s="105" t="s">
        <v>103</v>
      </c>
    </row>
    <row r="19" spans="2:14" x14ac:dyDescent="0.2">
      <c r="B19" s="179" t="s">
        <v>104</v>
      </c>
      <c r="C19" s="106">
        <f>C5</f>
        <v>0.59531439043588119</v>
      </c>
      <c r="D19" s="106">
        <f t="shared" ref="D19:N20" si="0">D5</f>
        <v>0.71378738811185805</v>
      </c>
      <c r="E19" s="106">
        <f t="shared" si="0"/>
        <v>0.59930573589088654</v>
      </c>
      <c r="F19" s="106">
        <f t="shared" si="0"/>
        <v>0.55040138279150796</v>
      </c>
      <c r="G19" s="106">
        <f t="shared" si="0"/>
        <v>0.87607761541326024</v>
      </c>
      <c r="H19" s="106">
        <f t="shared" si="0"/>
        <v>0.68458097003058638</v>
      </c>
      <c r="I19" s="106">
        <f t="shared" si="0"/>
        <v>0.58567426507695219</v>
      </c>
      <c r="J19" s="106">
        <f t="shared" si="0"/>
        <v>0.69531431449917791</v>
      </c>
      <c r="K19" s="106">
        <f t="shared" si="0"/>
        <v>0.70234800261253016</v>
      </c>
      <c r="L19" s="106">
        <f t="shared" si="0"/>
        <v>0.62120125905290124</v>
      </c>
      <c r="M19" s="106">
        <f t="shared" si="0"/>
        <v>0.68793758834607155</v>
      </c>
      <c r="N19" s="106">
        <f t="shared" si="0"/>
        <v>0.57000133364798355</v>
      </c>
    </row>
    <row r="20" spans="2:14" x14ac:dyDescent="0.2">
      <c r="B20" s="179" t="s">
        <v>105</v>
      </c>
      <c r="C20" s="106">
        <f>C6</f>
        <v>0.65315187563363286</v>
      </c>
      <c r="D20" s="106">
        <f t="shared" si="0"/>
        <v>0.70641383030318816</v>
      </c>
      <c r="E20" s="106">
        <f t="shared" si="0"/>
        <v>0.70586375366556442</v>
      </c>
      <c r="F20" s="106">
        <f t="shared" si="0"/>
        <v>0.78230268092188293</v>
      </c>
      <c r="G20" s="106">
        <f t="shared" si="0"/>
        <v>0.72096650847566823</v>
      </c>
      <c r="H20" s="106">
        <f t="shared" si="0"/>
        <v>0.71076959971629083</v>
      </c>
      <c r="I20" s="106">
        <f t="shared" si="0"/>
        <v>0.7306791737028927</v>
      </c>
      <c r="J20" s="106">
        <f t="shared" si="0"/>
        <v>0.64030155947615619</v>
      </c>
      <c r="K20" s="106">
        <f t="shared" si="0"/>
        <v>0.67980714658764962</v>
      </c>
      <c r="L20" s="106">
        <f t="shared" si="0"/>
        <v>0.66152458808629644</v>
      </c>
      <c r="M20" s="106">
        <f t="shared" si="0"/>
        <v>0.69631914065437051</v>
      </c>
      <c r="N20" s="106">
        <f t="shared" si="0"/>
        <v>0.66244614711519412</v>
      </c>
    </row>
    <row r="21" spans="2:14" x14ac:dyDescent="0.2">
      <c r="B21" s="179" t="s">
        <v>106</v>
      </c>
      <c r="C21" s="106">
        <f t="shared" ref="C21:N22" si="1">C7</f>
        <v>0.73437379721568852</v>
      </c>
      <c r="D21" s="106">
        <f t="shared" si="1"/>
        <v>0.74841217999593757</v>
      </c>
      <c r="E21" s="106">
        <f t="shared" si="1"/>
        <v>0.70947339142042221</v>
      </c>
      <c r="F21" s="106">
        <f t="shared" si="1"/>
        <v>0.68699769776866459</v>
      </c>
      <c r="G21" s="106">
        <f t="shared" si="1"/>
        <v>0.67995333424505433</v>
      </c>
      <c r="H21" s="106">
        <f t="shared" si="1"/>
        <v>0.69325322204054252</v>
      </c>
      <c r="I21" s="106">
        <f t="shared" si="1"/>
        <v>0.76602907688106248</v>
      </c>
      <c r="J21" s="106">
        <f t="shared" si="1"/>
        <v>0.98832954827531172</v>
      </c>
      <c r="K21" s="106">
        <f t="shared" si="1"/>
        <v>0.71280005836054972</v>
      </c>
      <c r="L21" s="106">
        <f t="shared" si="1"/>
        <v>0.73996974376066527</v>
      </c>
      <c r="M21" s="106">
        <f t="shared" si="1"/>
        <v>0.79783576835689252</v>
      </c>
      <c r="N21" s="106">
        <f t="shared" si="1"/>
        <v>0.79064304550554998</v>
      </c>
    </row>
    <row r="22" spans="2:14" x14ac:dyDescent="0.2">
      <c r="B22" s="179" t="s">
        <v>107</v>
      </c>
      <c r="C22" s="106">
        <f t="shared" si="1"/>
        <v>0.83290653707383666</v>
      </c>
      <c r="D22" s="106">
        <f t="shared" si="1"/>
        <v>0.77731742717880448</v>
      </c>
      <c r="E22" s="106">
        <f t="shared" si="1"/>
        <v>0.72858036722459818</v>
      </c>
      <c r="F22" s="106">
        <f t="shared" si="1"/>
        <v>0.97098033875211176</v>
      </c>
      <c r="G22" s="106">
        <f t="shared" si="1"/>
        <v>0.72572548672423876</v>
      </c>
      <c r="H22" s="106">
        <f t="shared" si="1"/>
        <v>0.67511046658776208</v>
      </c>
      <c r="I22" s="106">
        <f t="shared" si="1"/>
        <v>0.66444001431472099</v>
      </c>
      <c r="J22" s="106">
        <f t="shared" si="1"/>
        <v>0.67156164095132287</v>
      </c>
      <c r="K22" s="106">
        <f t="shared" si="1"/>
        <v>0.70874928060606512</v>
      </c>
      <c r="L22" s="106">
        <f t="shared" si="1"/>
        <v>0.66179297330109244</v>
      </c>
      <c r="M22" s="106">
        <f t="shared" si="1"/>
        <v>0.68554240549427936</v>
      </c>
      <c r="N22" s="106">
        <f t="shared" si="1"/>
        <v>0.69883887829719726</v>
      </c>
    </row>
    <row r="23" spans="2:14" x14ac:dyDescent="0.2">
      <c r="B23" s="179" t="s">
        <v>108</v>
      </c>
      <c r="C23" s="106">
        <f>C9*C14</f>
        <v>0.74319788983786572</v>
      </c>
      <c r="D23" s="106">
        <f t="shared" ref="D23:N24" si="2">D9*D14</f>
        <v>0.72895796586467176</v>
      </c>
      <c r="E23" s="106">
        <f t="shared" si="2"/>
        <v>0.73303747242010153</v>
      </c>
      <c r="F23" s="106">
        <f t="shared" si="2"/>
        <v>0.74403712222992846</v>
      </c>
      <c r="G23" s="106">
        <f t="shared" si="2"/>
        <v>0.73599884107331459</v>
      </c>
      <c r="H23" s="106">
        <f t="shared" si="2"/>
        <v>0.75271292022588043</v>
      </c>
      <c r="I23" s="106">
        <f t="shared" si="2"/>
        <v>0.7653808123779996</v>
      </c>
      <c r="J23" s="106">
        <f t="shared" si="2"/>
        <v>0.76941950907899681</v>
      </c>
      <c r="K23" s="106">
        <f t="shared" si="2"/>
        <v>0.76186074115798919</v>
      </c>
      <c r="L23" s="106">
        <f t="shared" si="2"/>
        <v>0.76412849079223732</v>
      </c>
      <c r="M23" s="106">
        <f t="shared" si="2"/>
        <v>0.74647585257637972</v>
      </c>
      <c r="N23" s="106">
        <f t="shared" si="2"/>
        <v>0.76722348498640114</v>
      </c>
    </row>
    <row r="24" spans="2:14" x14ac:dyDescent="0.2">
      <c r="B24" s="179" t="s">
        <v>109</v>
      </c>
      <c r="C24" s="106">
        <f>C10*C15</f>
        <v>0.71897300038386802</v>
      </c>
      <c r="D24" s="106">
        <f t="shared" si="2"/>
        <v>0.63680057489012276</v>
      </c>
      <c r="E24" s="106">
        <f t="shared" si="2"/>
        <v>0.72107734671518964</v>
      </c>
      <c r="F24" s="106">
        <f t="shared" si="2"/>
        <v>0.6938494718939715</v>
      </c>
      <c r="G24" s="106">
        <f t="shared" si="2"/>
        <v>0.69130264727772139</v>
      </c>
      <c r="H24" s="106">
        <f t="shared" si="2"/>
        <v>0.63578109978084818</v>
      </c>
      <c r="I24" s="106">
        <f t="shared" si="2"/>
        <v>0.69981216674397551</v>
      </c>
      <c r="J24" s="106">
        <f t="shared" si="2"/>
        <v>0.65342862896601306</v>
      </c>
      <c r="K24" s="106">
        <f t="shared" si="2"/>
        <v>0.63669848475345248</v>
      </c>
      <c r="L24" s="106">
        <f t="shared" si="2"/>
        <v>0.72737588867989122</v>
      </c>
      <c r="M24" s="106">
        <f t="shared" si="2"/>
        <v>0.66934939164276697</v>
      </c>
      <c r="N24" s="106">
        <f t="shared" si="2"/>
        <v>0.66800673889413087</v>
      </c>
    </row>
    <row r="25" spans="2:14" x14ac:dyDescent="0.2">
      <c r="B25" s="178"/>
    </row>
    <row r="26" spans="2:14" x14ac:dyDescent="0.2">
      <c r="B26" s="110" t="s">
        <v>320</v>
      </c>
    </row>
    <row r="27" spans="2:14" x14ac:dyDescent="0.2">
      <c r="B27" s="105" t="s">
        <v>321</v>
      </c>
      <c r="C27" s="105" t="s">
        <v>92</v>
      </c>
      <c r="D27" s="105" t="s">
        <v>93</v>
      </c>
      <c r="E27" s="105" t="s">
        <v>94</v>
      </c>
      <c r="F27" s="105" t="s">
        <v>95</v>
      </c>
      <c r="G27" s="105" t="s">
        <v>96</v>
      </c>
      <c r="H27" s="105" t="s">
        <v>97</v>
      </c>
      <c r="I27" s="105" t="s">
        <v>98</v>
      </c>
      <c r="J27" s="105" t="s">
        <v>99</v>
      </c>
      <c r="K27" s="105" t="s">
        <v>100</v>
      </c>
      <c r="L27" s="105" t="s">
        <v>101</v>
      </c>
      <c r="M27" s="105" t="s">
        <v>102</v>
      </c>
      <c r="N27" s="105" t="s">
        <v>103</v>
      </c>
    </row>
    <row r="28" spans="2:14" x14ac:dyDescent="0.2">
      <c r="B28" s="105" t="s">
        <v>104</v>
      </c>
      <c r="C28" s="106">
        <f>IF(C19&lt;=raw_materials!$D17,raw_materials!$C17,IF(C19&lt;=raw_materials!$F17,raw_materials!$E17,IF(C19&lt;=raw_materials!$H17,raw_materials!$G17,0)))</f>
        <v>1</v>
      </c>
      <c r="D28" s="106">
        <f>IF(D19&lt;=raw_materials!$D17,raw_materials!$C17,IF(D19&lt;=raw_materials!$F17,raw_materials!$E17,IF(D19&lt;=raw_materials!$H17,raw_materials!$G17,0)))</f>
        <v>1</v>
      </c>
      <c r="E28" s="106">
        <f>IF(E19&lt;=raw_materials!$D17,raw_materials!$C17,IF(E19&lt;=raw_materials!$F17,raw_materials!$E17,IF(E19&lt;=raw_materials!$H17,raw_materials!$G17,0)))</f>
        <v>1</v>
      </c>
      <c r="F28" s="106">
        <f>IF(F19&lt;=raw_materials!$D17,raw_materials!$C17,IF(F19&lt;=raw_materials!$F17,raw_materials!$E17,IF(F19&lt;=raw_materials!$H17,raw_materials!$G17,0)))</f>
        <v>1</v>
      </c>
      <c r="G28" s="106">
        <f>IF(G19&lt;=raw_materials!$D17,raw_materials!$C17,IF(G19&lt;=raw_materials!$F17,raw_materials!$E17,IF(G19&lt;=raw_materials!$H17,raw_materials!$G17,0)))</f>
        <v>1</v>
      </c>
      <c r="H28" s="106">
        <f>IF(H19&lt;=raw_materials!$D17,raw_materials!$C17,IF(H19&lt;=raw_materials!$F17,raw_materials!$E17,IF(H19&lt;=raw_materials!$H17,raw_materials!$G17,0)))</f>
        <v>1</v>
      </c>
      <c r="I28" s="106">
        <f>IF(I19&lt;=raw_materials!$D17,raw_materials!$C17,IF(I19&lt;=raw_materials!$F17,raw_materials!$E17,IF(I19&lt;=raw_materials!$H17,raw_materials!$G17,0)))</f>
        <v>1</v>
      </c>
      <c r="J28" s="106">
        <f>IF(J19&lt;=raw_materials!$D17,raw_materials!$C17,IF(J19&lt;=raw_materials!$F17,raw_materials!$E17,IF(J19&lt;=raw_materials!$H17,raw_materials!$G17,0)))</f>
        <v>1</v>
      </c>
      <c r="K28" s="106">
        <f>IF(K19&lt;=raw_materials!$D17,raw_materials!$C17,IF(K19&lt;=raw_materials!$F17,raw_materials!$E17,IF(K19&lt;=raw_materials!$H17,raw_materials!$G17,0)))</f>
        <v>1</v>
      </c>
      <c r="L28" s="106">
        <f>IF(L19&lt;=raw_materials!$D17,raw_materials!$C17,IF(L19&lt;=raw_materials!$F17,raw_materials!$E17,IF(L19&lt;=raw_materials!$H17,raw_materials!$G17,0)))</f>
        <v>1</v>
      </c>
      <c r="M28" s="106">
        <f>IF(M19&lt;=raw_materials!$D17,raw_materials!$C17,IF(M19&lt;=raw_materials!$F17,raw_materials!$E17,IF(M19&lt;=raw_materials!$H17,raw_materials!$G17,0)))</f>
        <v>1</v>
      </c>
      <c r="N28" s="106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05" t="s">
        <v>105</v>
      </c>
      <c r="C29" s="106">
        <f>IF(C20&lt;=raw_materials!$D18,raw_materials!$C18,IF(C20&lt;=raw_materials!$F18,raw_materials!$E18,IF(C20&lt;=raw_materials!$H18,raw_materials!$G18,0)))</f>
        <v>1</v>
      </c>
      <c r="D29" s="106">
        <f>IF(D20&lt;=raw_materials!$D18,raw_materials!$C18,IF(D20&lt;=raw_materials!$F18,raw_materials!$E18,IF(D20&lt;=raw_materials!$H18,raw_materials!$G18,0)))</f>
        <v>1</v>
      </c>
      <c r="E29" s="106">
        <f>IF(E20&lt;=raw_materials!$D18,raw_materials!$C18,IF(E20&lt;=raw_materials!$F18,raw_materials!$E18,IF(E20&lt;=raw_materials!$H18,raw_materials!$G18,0)))</f>
        <v>1</v>
      </c>
      <c r="F29" s="106">
        <f>IF(F20&lt;=raw_materials!$D18,raw_materials!$C18,IF(F20&lt;=raw_materials!$F18,raw_materials!$E18,IF(F20&lt;=raw_materials!$H18,raw_materials!$G18,0)))</f>
        <v>1</v>
      </c>
      <c r="G29" s="106">
        <f>IF(G20&lt;=raw_materials!$D18,raw_materials!$C18,IF(G20&lt;=raw_materials!$F18,raw_materials!$E18,IF(G20&lt;=raw_materials!$H18,raw_materials!$G18,0)))</f>
        <v>1</v>
      </c>
      <c r="H29" s="106">
        <f>IF(H20&lt;=raw_materials!$D18,raw_materials!$C18,IF(H20&lt;=raw_materials!$F18,raw_materials!$E18,IF(H20&lt;=raw_materials!$H18,raw_materials!$G18,0)))</f>
        <v>1</v>
      </c>
      <c r="I29" s="106">
        <f>IF(I20&lt;=raw_materials!$D18,raw_materials!$C18,IF(I20&lt;=raw_materials!$F18,raw_materials!$E18,IF(I20&lt;=raw_materials!$H18,raw_materials!$G18,0)))</f>
        <v>1</v>
      </c>
      <c r="J29" s="106">
        <f>IF(J20&lt;=raw_materials!$D18,raw_materials!$C18,IF(J20&lt;=raw_materials!$F18,raw_materials!$E18,IF(J20&lt;=raw_materials!$H18,raw_materials!$G18,0)))</f>
        <v>1</v>
      </c>
      <c r="K29" s="106">
        <f>IF(K20&lt;=raw_materials!$D18,raw_materials!$C18,IF(K20&lt;=raw_materials!$F18,raw_materials!$E18,IF(K20&lt;=raw_materials!$H18,raw_materials!$G18,0)))</f>
        <v>1</v>
      </c>
      <c r="L29" s="106">
        <f>IF(L20&lt;=raw_materials!$D18,raw_materials!$C18,IF(L20&lt;=raw_materials!$F18,raw_materials!$E18,IF(L20&lt;=raw_materials!$H18,raw_materials!$G18,0)))</f>
        <v>1</v>
      </c>
      <c r="M29" s="106">
        <f>IF(M20&lt;=raw_materials!$D18,raw_materials!$C18,IF(M20&lt;=raw_materials!$F18,raw_materials!$E18,IF(M20&lt;=raw_materials!$H18,raw_materials!$G18,0)))</f>
        <v>1</v>
      </c>
      <c r="N29" s="106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5" t="s">
        <v>106</v>
      </c>
      <c r="C30" s="106">
        <f>IF(C21&lt;=raw_materials!$D19,raw_materials!$C19,IF(C21&lt;=raw_materials!$F19,raw_materials!$E19,IF(C21&lt;=raw_materials!$H19,raw_materials!$G19,0)))</f>
        <v>1</v>
      </c>
      <c r="D30" s="106">
        <f>IF(D21&lt;=raw_materials!$D19,raw_materials!$C19,IF(D21&lt;=raw_materials!$F19,raw_materials!$E19,IF(D21&lt;=raw_materials!$H19,raw_materials!$G19,0)))</f>
        <v>1</v>
      </c>
      <c r="E30" s="106">
        <f>IF(E21&lt;=raw_materials!$D19,raw_materials!$C19,IF(E21&lt;=raw_materials!$F19,raw_materials!$E19,IF(E21&lt;=raw_materials!$H19,raw_materials!$G19,0)))</f>
        <v>1</v>
      </c>
      <c r="F30" s="106">
        <f>IF(F21&lt;=raw_materials!$D19,raw_materials!$C19,IF(F21&lt;=raw_materials!$F19,raw_materials!$E19,IF(F21&lt;=raw_materials!$H19,raw_materials!$G19,0)))</f>
        <v>1</v>
      </c>
      <c r="G30" s="106">
        <f>IF(G21&lt;=raw_materials!$D19,raw_materials!$C19,IF(G21&lt;=raw_materials!$F19,raw_materials!$E19,IF(G21&lt;=raw_materials!$H19,raw_materials!$G19,0)))</f>
        <v>1</v>
      </c>
      <c r="H30" s="106">
        <f>IF(H21&lt;=raw_materials!$D19,raw_materials!$C19,IF(H21&lt;=raw_materials!$F19,raw_materials!$E19,IF(H21&lt;=raw_materials!$H19,raw_materials!$G19,0)))</f>
        <v>1</v>
      </c>
      <c r="I30" s="106">
        <f>IF(I21&lt;=raw_materials!$D19,raw_materials!$C19,IF(I21&lt;=raw_materials!$F19,raw_materials!$E19,IF(I21&lt;=raw_materials!$H19,raw_materials!$G19,0)))</f>
        <v>1</v>
      </c>
      <c r="J30" s="106">
        <f>IF(J21&lt;=raw_materials!$D19,raw_materials!$C19,IF(J21&lt;=raw_materials!$F19,raw_materials!$E19,IF(J21&lt;=raw_materials!$H19,raw_materials!$G19,0)))</f>
        <v>1</v>
      </c>
      <c r="K30" s="106">
        <f>IF(K21&lt;=raw_materials!$D19,raw_materials!$C19,IF(K21&lt;=raw_materials!$F19,raw_materials!$E19,IF(K21&lt;=raw_materials!$H19,raw_materials!$G19,0)))</f>
        <v>1</v>
      </c>
      <c r="L30" s="106">
        <f>IF(L21&lt;=raw_materials!$D19,raw_materials!$C19,IF(L21&lt;=raw_materials!$F19,raw_materials!$E19,IF(L21&lt;=raw_materials!$H19,raw_materials!$G19,0)))</f>
        <v>1</v>
      </c>
      <c r="M30" s="106">
        <f>IF(M21&lt;=raw_materials!$D19,raw_materials!$C19,IF(M21&lt;=raw_materials!$F19,raw_materials!$E19,IF(M21&lt;=raw_materials!$H19,raw_materials!$G19,0)))</f>
        <v>1</v>
      </c>
      <c r="N30" s="106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5" t="s">
        <v>107</v>
      </c>
      <c r="C31" s="106">
        <f>IF(C22&lt;=raw_materials!$D20,raw_materials!$C20,IF(C22&lt;=raw_materials!$F20,raw_materials!$E20,IF(C22&lt;=raw_materials!$H20,raw_materials!$G20,0)))</f>
        <v>1</v>
      </c>
      <c r="D31" s="106">
        <f>IF(D22&lt;=raw_materials!$D20,raw_materials!$C20,IF(D22&lt;=raw_materials!$F20,raw_materials!$E20,IF(D22&lt;=raw_materials!$H20,raw_materials!$G20,0)))</f>
        <v>1</v>
      </c>
      <c r="E31" s="106">
        <f>IF(E22&lt;=raw_materials!$D20,raw_materials!$C20,IF(E22&lt;=raw_materials!$F20,raw_materials!$E20,IF(E22&lt;=raw_materials!$H20,raw_materials!$G20,0)))</f>
        <v>1</v>
      </c>
      <c r="F31" s="106">
        <f>IF(F22&lt;=raw_materials!$D20,raw_materials!$C20,IF(F22&lt;=raw_materials!$F20,raw_materials!$E20,IF(F22&lt;=raw_materials!$H20,raw_materials!$G20,0)))</f>
        <v>1</v>
      </c>
      <c r="G31" s="106">
        <f>IF(G22&lt;=raw_materials!$D20,raw_materials!$C20,IF(G22&lt;=raw_materials!$F20,raw_materials!$E20,IF(G22&lt;=raw_materials!$H20,raw_materials!$G20,0)))</f>
        <v>1</v>
      </c>
      <c r="H31" s="106">
        <f>IF(H22&lt;=raw_materials!$D20,raw_materials!$C20,IF(H22&lt;=raw_materials!$F20,raw_materials!$E20,IF(H22&lt;=raw_materials!$H20,raw_materials!$G20,0)))</f>
        <v>1</v>
      </c>
      <c r="I31" s="106">
        <f>IF(I22&lt;=raw_materials!$D20,raw_materials!$C20,IF(I22&lt;=raw_materials!$F20,raw_materials!$E20,IF(I22&lt;=raw_materials!$H20,raw_materials!$G20,0)))</f>
        <v>1</v>
      </c>
      <c r="J31" s="106">
        <f>IF(J22&lt;=raw_materials!$D20,raw_materials!$C20,IF(J22&lt;=raw_materials!$F20,raw_materials!$E20,IF(J22&lt;=raw_materials!$H20,raw_materials!$G20,0)))</f>
        <v>1</v>
      </c>
      <c r="K31" s="106">
        <f>IF(K22&lt;=raw_materials!$D20,raw_materials!$C20,IF(K22&lt;=raw_materials!$F20,raw_materials!$E20,IF(K22&lt;=raw_materials!$H20,raw_materials!$G20,0)))</f>
        <v>1</v>
      </c>
      <c r="L31" s="106">
        <f>IF(L22&lt;=raw_materials!$D20,raw_materials!$C20,IF(L22&lt;=raw_materials!$F20,raw_materials!$E20,IF(L22&lt;=raw_materials!$H20,raw_materials!$G20,0)))</f>
        <v>1</v>
      </c>
      <c r="M31" s="106">
        <f>IF(M22&lt;=raw_materials!$D20,raw_materials!$C20,IF(M22&lt;=raw_materials!$F20,raw_materials!$E20,IF(M22&lt;=raw_materials!$H20,raw_materials!$G20,0)))</f>
        <v>1</v>
      </c>
      <c r="N31" s="106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5" t="s">
        <v>108</v>
      </c>
      <c r="C32" s="106">
        <f>IF(C23&lt;=raw_materials!$D21,raw_materials!$C21,IF(C23&lt;=raw_materials!$F21,raw_materials!$E21,IF(C23&lt;=raw_materials!$H21,raw_materials!$G21,0)))</f>
        <v>1</v>
      </c>
      <c r="D32" s="106">
        <f>IF(D23&lt;=raw_materials!$D21,raw_materials!$C21,IF(D23&lt;=raw_materials!$F21,raw_materials!$E21,IF(D23&lt;=raw_materials!$H21,raw_materials!$G21,0)))</f>
        <v>1</v>
      </c>
      <c r="E32" s="106">
        <f>IF(E23&lt;=raw_materials!$D21,raw_materials!$C21,IF(E23&lt;=raw_materials!$F21,raw_materials!$E21,IF(E23&lt;=raw_materials!$H21,raw_materials!$G21,0)))</f>
        <v>1</v>
      </c>
      <c r="F32" s="106">
        <f>IF(F23&lt;=raw_materials!$D21,raw_materials!$C21,IF(F23&lt;=raw_materials!$F21,raw_materials!$E21,IF(F23&lt;=raw_materials!$H21,raw_materials!$G21,0)))</f>
        <v>1</v>
      </c>
      <c r="G32" s="106">
        <f>IF(G23&lt;=raw_materials!$D21,raw_materials!$C21,IF(G23&lt;=raw_materials!$F21,raw_materials!$E21,IF(G23&lt;=raw_materials!$H21,raw_materials!$G21,0)))</f>
        <v>1</v>
      </c>
      <c r="H32" s="106">
        <f>IF(H23&lt;=raw_materials!$D21,raw_materials!$C21,IF(H23&lt;=raw_materials!$F21,raw_materials!$E21,IF(H23&lt;=raw_materials!$H21,raw_materials!$G21,0)))</f>
        <v>1</v>
      </c>
      <c r="I32" s="106">
        <f>IF(I23&lt;=raw_materials!$D21,raw_materials!$C21,IF(I23&lt;=raw_materials!$F21,raw_materials!$E21,IF(I23&lt;=raw_materials!$H21,raw_materials!$G21,0)))</f>
        <v>1</v>
      </c>
      <c r="J32" s="106">
        <f>IF(J23&lt;=raw_materials!$D21,raw_materials!$C21,IF(J23&lt;=raw_materials!$F21,raw_materials!$E21,IF(J23&lt;=raw_materials!$H21,raw_materials!$G21,0)))</f>
        <v>1</v>
      </c>
      <c r="K32" s="106">
        <f>IF(K23&lt;=raw_materials!$D21,raw_materials!$C21,IF(K23&lt;=raw_materials!$F21,raw_materials!$E21,IF(K23&lt;=raw_materials!$H21,raw_materials!$G21,0)))</f>
        <v>1</v>
      </c>
      <c r="L32" s="106">
        <f>IF(L23&lt;=raw_materials!$D21,raw_materials!$C21,IF(L23&lt;=raw_materials!$F21,raw_materials!$E21,IF(L23&lt;=raw_materials!$H21,raw_materials!$G21,0)))</f>
        <v>1</v>
      </c>
      <c r="M32" s="106">
        <f>IF(M23&lt;=raw_materials!$D21,raw_materials!$C21,IF(M23&lt;=raw_materials!$F21,raw_materials!$E21,IF(M23&lt;=raw_materials!$H21,raw_materials!$G21,0)))</f>
        <v>1</v>
      </c>
      <c r="N32" s="106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5" t="s">
        <v>109</v>
      </c>
      <c r="C33" s="106">
        <f>IF(C24&lt;=raw_materials!$D22,raw_materials!$C22,IF(C24&lt;=raw_materials!$F22,raw_materials!$E22,IF(C24&lt;=raw_materials!$H22,raw_materials!$G22,0)))</f>
        <v>1</v>
      </c>
      <c r="D33" s="106">
        <f>IF(D24&lt;=raw_materials!$D22,raw_materials!$C22,IF(D24&lt;=raw_materials!$F22,raw_materials!$E22,IF(D24&lt;=raw_materials!$H22,raw_materials!$G22,0)))</f>
        <v>1</v>
      </c>
      <c r="E33" s="106">
        <f>IF(E24&lt;=raw_materials!$D22,raw_materials!$C22,IF(E24&lt;=raw_materials!$F22,raw_materials!$E22,IF(E24&lt;=raw_materials!$H22,raw_materials!$G22,0)))</f>
        <v>1</v>
      </c>
      <c r="F33" s="106">
        <f>IF(F24&lt;=raw_materials!$D22,raw_materials!$C22,IF(F24&lt;=raw_materials!$F22,raw_materials!$E22,IF(F24&lt;=raw_materials!$H22,raw_materials!$G22,0)))</f>
        <v>1</v>
      </c>
      <c r="G33" s="106">
        <f>IF(G24&lt;=raw_materials!$D22,raw_materials!$C22,IF(G24&lt;=raw_materials!$F22,raw_materials!$E22,IF(G24&lt;=raw_materials!$H22,raw_materials!$G22,0)))</f>
        <v>1</v>
      </c>
      <c r="H33" s="106">
        <f>IF(H24&lt;=raw_materials!$D22,raw_materials!$C22,IF(H24&lt;=raw_materials!$F22,raw_materials!$E22,IF(H24&lt;=raw_materials!$H22,raw_materials!$G22,0)))</f>
        <v>1</v>
      </c>
      <c r="I33" s="106">
        <f>IF(I24&lt;=raw_materials!$D22,raw_materials!$C22,IF(I24&lt;=raw_materials!$F22,raw_materials!$E22,IF(I24&lt;=raw_materials!$H22,raw_materials!$G22,0)))</f>
        <v>1</v>
      </c>
      <c r="J33" s="106">
        <f>IF(J24&lt;=raw_materials!$D22,raw_materials!$C22,IF(J24&lt;=raw_materials!$F22,raw_materials!$E22,IF(J24&lt;=raw_materials!$H22,raw_materials!$G22,0)))</f>
        <v>1</v>
      </c>
      <c r="K33" s="106">
        <f>IF(K24&lt;=raw_materials!$D22,raw_materials!$C22,IF(K24&lt;=raw_materials!$F22,raw_materials!$E22,IF(K24&lt;=raw_materials!$H22,raw_materials!$G22,0)))</f>
        <v>1</v>
      </c>
      <c r="L33" s="106">
        <f>IF(L24&lt;=raw_materials!$D22,raw_materials!$C22,IF(L24&lt;=raw_materials!$F22,raw_materials!$E22,IF(L24&lt;=raw_materials!$H22,raw_materials!$G22,0)))</f>
        <v>1</v>
      </c>
      <c r="M33" s="106">
        <f>IF(M24&lt;=raw_materials!$D22,raw_materials!$C22,IF(M24&lt;=raw_materials!$F22,raw_materials!$E22,IF(M24&lt;=raw_materials!$H22,raw_materials!$G22,0)))</f>
        <v>1</v>
      </c>
      <c r="N33" s="106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09" t="s">
        <v>322</v>
      </c>
    </row>
    <row r="36" spans="2:50" x14ac:dyDescent="0.2">
      <c r="B36" s="176" t="s">
        <v>274</v>
      </c>
      <c r="C36" s="176" t="s">
        <v>92</v>
      </c>
      <c r="D36" s="107"/>
      <c r="E36" s="107"/>
      <c r="F36" s="107"/>
      <c r="G36" s="176" t="s">
        <v>93</v>
      </c>
      <c r="H36" s="107"/>
      <c r="I36" s="107"/>
      <c r="J36" s="107"/>
      <c r="K36" s="176" t="s">
        <v>94</v>
      </c>
      <c r="L36" s="107"/>
      <c r="M36" s="107"/>
      <c r="N36" s="107"/>
      <c r="O36" s="176" t="s">
        <v>95</v>
      </c>
      <c r="P36" s="107"/>
      <c r="Q36" s="107"/>
      <c r="R36" s="107"/>
      <c r="S36" s="176" t="s">
        <v>96</v>
      </c>
      <c r="T36" s="107"/>
      <c r="U36" s="107"/>
      <c r="V36" s="107"/>
      <c r="W36" s="176" t="s">
        <v>97</v>
      </c>
      <c r="X36" s="107"/>
      <c r="Y36" s="107"/>
      <c r="Z36" s="107"/>
      <c r="AA36" s="176" t="s">
        <v>98</v>
      </c>
      <c r="AB36" s="107"/>
      <c r="AC36" s="107"/>
      <c r="AD36" s="107"/>
      <c r="AE36" s="176" t="s">
        <v>99</v>
      </c>
      <c r="AF36" s="107"/>
      <c r="AG36" s="107"/>
      <c r="AH36" s="107"/>
      <c r="AI36" s="176" t="s">
        <v>100</v>
      </c>
      <c r="AJ36" s="107"/>
      <c r="AK36" s="107"/>
      <c r="AL36" s="107"/>
      <c r="AM36" s="176" t="s">
        <v>101</v>
      </c>
      <c r="AN36" s="107"/>
      <c r="AO36" s="107"/>
      <c r="AP36" s="107"/>
      <c r="AQ36" s="176" t="s">
        <v>102</v>
      </c>
      <c r="AR36" s="107"/>
      <c r="AS36" s="107"/>
      <c r="AT36" s="107"/>
      <c r="AU36" s="176" t="s">
        <v>103</v>
      </c>
      <c r="AV36" s="107"/>
      <c r="AW36" s="107"/>
      <c r="AX36" s="107"/>
    </row>
    <row r="37" spans="2:50" x14ac:dyDescent="0.2">
      <c r="B37" s="176" t="s">
        <v>323</v>
      </c>
      <c r="C37" s="176">
        <v>1</v>
      </c>
      <c r="D37" s="176">
        <v>2</v>
      </c>
      <c r="E37" s="176">
        <v>3</v>
      </c>
      <c r="F37" s="176">
        <v>4</v>
      </c>
      <c r="G37" s="176">
        <v>1</v>
      </c>
      <c r="H37" s="176">
        <v>2</v>
      </c>
      <c r="I37" s="176">
        <v>3</v>
      </c>
      <c r="J37" s="176">
        <v>4</v>
      </c>
      <c r="K37" s="176">
        <v>1</v>
      </c>
      <c r="L37" s="176">
        <v>2</v>
      </c>
      <c r="M37" s="176">
        <v>3</v>
      </c>
      <c r="N37" s="176">
        <v>4</v>
      </c>
      <c r="O37" s="176">
        <v>1</v>
      </c>
      <c r="P37" s="176">
        <v>2</v>
      </c>
      <c r="Q37" s="176">
        <v>3</v>
      </c>
      <c r="R37" s="176">
        <v>4</v>
      </c>
      <c r="S37" s="176">
        <v>1</v>
      </c>
      <c r="T37" s="176">
        <v>2</v>
      </c>
      <c r="U37" s="176">
        <v>3</v>
      </c>
      <c r="V37" s="176">
        <v>4</v>
      </c>
      <c r="W37" s="176">
        <v>1</v>
      </c>
      <c r="X37" s="176">
        <v>2</v>
      </c>
      <c r="Y37" s="176">
        <v>3</v>
      </c>
      <c r="Z37" s="176">
        <v>4</v>
      </c>
      <c r="AA37" s="176">
        <v>1</v>
      </c>
      <c r="AB37" s="176">
        <v>2</v>
      </c>
      <c r="AC37" s="176">
        <v>3</v>
      </c>
      <c r="AD37" s="176">
        <v>4</v>
      </c>
      <c r="AE37" s="176">
        <v>1</v>
      </c>
      <c r="AF37" s="176">
        <v>2</v>
      </c>
      <c r="AG37" s="176">
        <v>3</v>
      </c>
      <c r="AH37" s="176">
        <v>4</v>
      </c>
      <c r="AI37" s="176">
        <v>1</v>
      </c>
      <c r="AJ37" s="176">
        <v>2</v>
      </c>
      <c r="AK37" s="176">
        <v>3</v>
      </c>
      <c r="AL37" s="176">
        <v>4</v>
      </c>
      <c r="AM37" s="176">
        <v>1</v>
      </c>
      <c r="AN37" s="176">
        <v>2</v>
      </c>
      <c r="AO37" s="176">
        <v>3</v>
      </c>
      <c r="AP37" s="176">
        <v>4</v>
      </c>
      <c r="AQ37" s="176">
        <v>1</v>
      </c>
      <c r="AR37" s="176">
        <v>2</v>
      </c>
      <c r="AS37" s="176">
        <v>3</v>
      </c>
      <c r="AT37" s="176">
        <v>4</v>
      </c>
      <c r="AU37" s="176">
        <v>1</v>
      </c>
      <c r="AV37" s="176">
        <v>2</v>
      </c>
      <c r="AW37" s="176">
        <v>3</v>
      </c>
      <c r="AX37" s="176">
        <v>4</v>
      </c>
    </row>
    <row r="38" spans="2:50" x14ac:dyDescent="0.2">
      <c r="B38" s="176" t="s">
        <v>104</v>
      </c>
      <c r="C38" s="106">
        <v>25054.902514011505</v>
      </c>
      <c r="D38" s="106">
        <v>25109.81675262624</v>
      </c>
      <c r="E38" s="106">
        <v>25164.733912812586</v>
      </c>
      <c r="F38" s="106">
        <v>17653.751630931863</v>
      </c>
      <c r="G38" s="106">
        <v>25274.541764850626</v>
      </c>
      <c r="H38" s="106">
        <v>17730.590384044619</v>
      </c>
      <c r="I38" s="106">
        <v>17768.978908664292</v>
      </c>
      <c r="J38" s="106">
        <v>25439.055203174696</v>
      </c>
      <c r="K38" s="106">
        <v>25493.804885647136</v>
      </c>
      <c r="L38" s="106">
        <v>25548.495829201689</v>
      </c>
      <c r="M38" s="106">
        <v>25603.119238151201</v>
      </c>
      <c r="N38" s="106">
        <v>25657.666324691218</v>
      </c>
      <c r="O38" s="106">
        <v>25712.128310447646</v>
      </c>
      <c r="P38" s="106">
        <v>25766.496428023554</v>
      </c>
      <c r="Q38" s="106">
        <v>25820.761922544945</v>
      </c>
      <c r="R38" s="106">
        <v>25874.916053205223</v>
      </c>
      <c r="S38" s="106">
        <v>10371.580037923221</v>
      </c>
      <c r="T38" s="106">
        <v>10393.142135723308</v>
      </c>
      <c r="U38" s="106">
        <v>10414.649238940299</v>
      </c>
      <c r="V38" s="106">
        <v>26090.24469980675</v>
      </c>
      <c r="W38" s="106">
        <v>26143.711499307632</v>
      </c>
      <c r="X38" s="106">
        <v>26197.014871775551</v>
      </c>
      <c r="Y38" s="106">
        <v>26250.146217950878</v>
      </c>
      <c r="Z38" s="106">
        <v>26303.096964916222</v>
      </c>
      <c r="AA38" s="106">
        <v>26355.858567616488</v>
      </c>
      <c r="AB38" s="106">
        <v>26408.422510375025</v>
      </c>
      <c r="AC38" s="106">
        <v>26460.780308405316</v>
      </c>
      <c r="AD38" s="106">
        <v>26512.923509318131</v>
      </c>
      <c r="AE38" s="106">
        <v>26564.8436946238</v>
      </c>
      <c r="AF38" s="106">
        <v>26616.532481229282</v>
      </c>
      <c r="AG38" s="106">
        <v>26667.981522929855</v>
      </c>
      <c r="AH38" s="106">
        <v>26719.182511895149</v>
      </c>
      <c r="AI38" s="106">
        <v>18739.089026104397</v>
      </c>
      <c r="AJ38" s="106">
        <v>18774.565110730822</v>
      </c>
      <c r="AK38" s="106">
        <v>18809.850283509291</v>
      </c>
      <c r="AL38" s="106">
        <v>18844.938846722496</v>
      </c>
      <c r="AM38" s="106">
        <v>18879.825134649927</v>
      </c>
      <c r="AN38" s="106">
        <v>27020.719306543244</v>
      </c>
      <c r="AO38" s="106">
        <v>27069.954839740756</v>
      </c>
      <c r="AP38" s="106">
        <v>27118.877415268147</v>
      </c>
      <c r="AQ38" s="106">
        <v>27167.47913646403</v>
      </c>
      <c r="AR38" s="106">
        <v>27215.752159530173</v>
      </c>
      <c r="AS38" s="106">
        <v>27263.688694937566</v>
      </c>
      <c r="AT38" s="106">
        <v>27311.281008823513</v>
      </c>
      <c r="AU38" s="106">
        <v>27358.521424379818</v>
      </c>
      <c r="AV38" s="106">
        <v>27405.40232323145</v>
      </c>
      <c r="AW38" s="106">
        <v>27451.916146805794</v>
      </c>
      <c r="AX38" s="106">
        <v>27498.055397691911</v>
      </c>
    </row>
    <row r="39" spans="2:50" x14ac:dyDescent="0.2">
      <c r="B39" s="176" t="s">
        <v>105</v>
      </c>
      <c r="C39" s="106">
        <v>15032.941508406904</v>
      </c>
      <c r="D39" s="106">
        <v>15065.890051575743</v>
      </c>
      <c r="E39" s="106">
        <v>15098.84034768755</v>
      </c>
      <c r="F39" s="106">
        <v>15131.787112227312</v>
      </c>
      <c r="G39" s="106">
        <v>15164.725058910377</v>
      </c>
      <c r="H39" s="106">
        <v>15197.648900609674</v>
      </c>
      <c r="I39" s="106">
        <v>15230.553350283679</v>
      </c>
      <c r="J39" s="106">
        <v>10684.403185333371</v>
      </c>
      <c r="K39" s="106">
        <v>15296.282931388283</v>
      </c>
      <c r="L39" s="106">
        <v>15329.097497521014</v>
      </c>
      <c r="M39" s="106">
        <v>15361.87154289072</v>
      </c>
      <c r="N39" s="106">
        <v>15394.599794814729</v>
      </c>
      <c r="O39" s="106">
        <v>1542.7276986268589</v>
      </c>
      <c r="P39" s="106">
        <v>15459.897856814132</v>
      </c>
      <c r="Q39" s="106">
        <v>15492.457153526968</v>
      </c>
      <c r="R39" s="106">
        <v>15524.949631923135</v>
      </c>
      <c r="S39" s="106">
        <v>6222.9480227539325</v>
      </c>
      <c r="T39" s="106">
        <v>15589.713203584963</v>
      </c>
      <c r="U39" s="106">
        <v>15621.973858410449</v>
      </c>
      <c r="V39" s="106">
        <v>15654.14681988405</v>
      </c>
      <c r="W39" s="106">
        <v>15686.226899584581</v>
      </c>
      <c r="X39" s="106">
        <v>15718.208923065331</v>
      </c>
      <c r="Y39" s="106">
        <v>15750.087730770527</v>
      </c>
      <c r="Z39" s="106">
        <v>15781.858178949733</v>
      </c>
      <c r="AA39" s="106">
        <v>15813.515140569893</v>
      </c>
      <c r="AB39" s="106">
        <v>15845.053506225015</v>
      </c>
      <c r="AC39" s="106">
        <v>6350.5872740172754</v>
      </c>
      <c r="AD39" s="106">
        <v>15907.754105590879</v>
      </c>
      <c r="AE39" s="106">
        <v>15938.90621677428</v>
      </c>
      <c r="AF39" s="106">
        <v>15969.919488737569</v>
      </c>
      <c r="AG39" s="106">
        <v>16000.788913757913</v>
      </c>
      <c r="AH39" s="106">
        <v>16031.509507137089</v>
      </c>
      <c r="AI39" s="106">
        <v>16062.076308089485</v>
      </c>
      <c r="AJ39" s="106">
        <v>16092.48438062642</v>
      </c>
      <c r="AK39" s="106">
        <v>16122.728814436536</v>
      </c>
      <c r="AL39" s="106">
        <v>16152.80472576214</v>
      </c>
      <c r="AM39" s="106">
        <v>16182.707258271368</v>
      </c>
      <c r="AN39" s="106">
        <v>16212.431583925947</v>
      </c>
      <c r="AO39" s="106">
        <v>16241.972903844453</v>
      </c>
      <c r="AP39" s="106">
        <v>16271.326449160888</v>
      </c>
      <c r="AQ39" s="106">
        <v>11410.341237314891</v>
      </c>
      <c r="AR39" s="106">
        <v>16329.451295718105</v>
      </c>
      <c r="AS39" s="106">
        <v>16358.213216962538</v>
      </c>
      <c r="AT39" s="106">
        <v>16386.768605294106</v>
      </c>
      <c r="AU39" s="106">
        <v>16415.112854627889</v>
      </c>
      <c r="AV39" s="106">
        <v>16443.241393938872</v>
      </c>
      <c r="AW39" s="106">
        <v>16471.149688083475</v>
      </c>
      <c r="AX39" s="106">
        <v>16498.833238615145</v>
      </c>
    </row>
    <row r="40" spans="2:50" x14ac:dyDescent="0.2">
      <c r="B40" s="176" t="s">
        <v>106</v>
      </c>
      <c r="C40" s="106">
        <v>3507.6863519616104</v>
      </c>
      <c r="D40" s="106">
        <v>5021.9633505252477</v>
      </c>
      <c r="E40" s="106">
        <v>5032.946782562517</v>
      </c>
      <c r="F40" s="106">
        <v>5043.9290374091042</v>
      </c>
      <c r="G40" s="106">
        <v>5054.9083529701256</v>
      </c>
      <c r="H40" s="106">
        <v>5065.8829668698918</v>
      </c>
      <c r="I40" s="106">
        <v>5076.851116761226</v>
      </c>
      <c r="J40" s="106">
        <v>5087.8110406349388</v>
      </c>
      <c r="K40" s="106">
        <v>5098.7609771294274</v>
      </c>
      <c r="L40" s="106">
        <v>5109.6991658403376</v>
      </c>
      <c r="M40" s="106">
        <v>5120.6238476302397</v>
      </c>
      <c r="N40" s="106">
        <v>5131.5332649382435</v>
      </c>
      <c r="O40" s="106">
        <v>5142.4256620895294</v>
      </c>
      <c r="P40" s="106">
        <v>5153.2992856047113</v>
      </c>
      <c r="Q40" s="106">
        <v>5164.1523845089887</v>
      </c>
      <c r="R40" s="106">
        <v>5174.9832106410449</v>
      </c>
      <c r="S40" s="106">
        <v>5185.7900189616103</v>
      </c>
      <c r="T40" s="106">
        <v>5196.5710678616542</v>
      </c>
      <c r="U40" s="106">
        <v>5207.3246194701496</v>
      </c>
      <c r="V40" s="106">
        <v>5218.0489399613498</v>
      </c>
      <c r="W40" s="106">
        <v>5228.7422998615266</v>
      </c>
      <c r="X40" s="106">
        <v>5239.40297435511</v>
      </c>
      <c r="Y40" s="106">
        <v>5250.0292435901756</v>
      </c>
      <c r="Z40" s="106">
        <v>5260.6193929832443</v>
      </c>
      <c r="AA40" s="106">
        <v>5271.1717135232975</v>
      </c>
      <c r="AB40" s="106">
        <v>5281.6845020750052</v>
      </c>
      <c r="AC40" s="106">
        <v>2116.8624246724253</v>
      </c>
      <c r="AD40" s="106">
        <v>5302.5847018636268</v>
      </c>
      <c r="AE40" s="106">
        <v>531.29687389247601</v>
      </c>
      <c r="AF40" s="106">
        <v>532.3306496245857</v>
      </c>
      <c r="AG40" s="106">
        <v>5333.5963045859717</v>
      </c>
      <c r="AH40" s="106">
        <v>5343.8365023790293</v>
      </c>
      <c r="AI40" s="106">
        <v>5354.0254360298286</v>
      </c>
      <c r="AJ40" s="106">
        <v>3754.9130221461646</v>
      </c>
      <c r="AK40" s="106">
        <v>5374.2429381455113</v>
      </c>
      <c r="AL40" s="106">
        <v>5384.2682419207131</v>
      </c>
      <c r="AM40" s="106">
        <v>3775.9650269299855</v>
      </c>
      <c r="AN40" s="106">
        <v>5404.1438613086484</v>
      </c>
      <c r="AO40" s="106">
        <v>5413.9909679481507</v>
      </c>
      <c r="AP40" s="106">
        <v>5423.7754830536296</v>
      </c>
      <c r="AQ40" s="106">
        <v>5433.4958272928061</v>
      </c>
      <c r="AR40" s="106">
        <v>544.31504319060355</v>
      </c>
      <c r="AS40" s="106">
        <v>5452.7377389875128</v>
      </c>
      <c r="AT40" s="106">
        <v>5462.2562017647024</v>
      </c>
      <c r="AU40" s="106">
        <v>5471.7042848759638</v>
      </c>
      <c r="AV40" s="106">
        <v>5481.0804646462902</v>
      </c>
      <c r="AW40" s="106">
        <v>2196.1532917444638</v>
      </c>
      <c r="AX40" s="106">
        <v>5499.611079538382</v>
      </c>
    </row>
    <row r="41" spans="2:50" x14ac:dyDescent="0.2">
      <c r="B41" s="176" t="s">
        <v>107</v>
      </c>
      <c r="C41" s="106">
        <v>3006.5883016813805</v>
      </c>
      <c r="D41" s="106">
        <v>3013.1780103151486</v>
      </c>
      <c r="E41" s="106">
        <v>301.97680695375101</v>
      </c>
      <c r="F41" s="106">
        <v>3026.3574224454624</v>
      </c>
      <c r="G41" s="106">
        <v>3032.9450117820752</v>
      </c>
      <c r="H41" s="106">
        <v>3039.5297801219349</v>
      </c>
      <c r="I41" s="106">
        <v>3046.1106700567357</v>
      </c>
      <c r="J41" s="106">
        <v>1221.0746497523855</v>
      </c>
      <c r="K41" s="106">
        <v>3059.2565862776564</v>
      </c>
      <c r="L41" s="106">
        <v>3065.8194995042027</v>
      </c>
      <c r="M41" s="106">
        <v>3072.3743085781439</v>
      </c>
      <c r="N41" s="106">
        <v>3078.9199589629461</v>
      </c>
      <c r="O41" s="106">
        <v>3085.4553972537178</v>
      </c>
      <c r="P41" s="106">
        <v>3091.9795713628264</v>
      </c>
      <c r="Q41" s="106">
        <v>309.84914307053936</v>
      </c>
      <c r="R41" s="106">
        <v>310.49899263846271</v>
      </c>
      <c r="S41" s="106">
        <v>3111.4740113769658</v>
      </c>
      <c r="T41" s="106">
        <v>3117.9426407169926</v>
      </c>
      <c r="U41" s="106">
        <v>3124.3947716820899</v>
      </c>
      <c r="V41" s="106">
        <v>3130.8293639768099</v>
      </c>
      <c r="W41" s="106">
        <v>3137.2453799169161</v>
      </c>
      <c r="X41" s="106">
        <v>3143.6417846130662</v>
      </c>
      <c r="Y41" s="106">
        <v>3150.0175461541053</v>
      </c>
      <c r="Z41" s="106">
        <v>3156.3716357899466</v>
      </c>
      <c r="AA41" s="106">
        <v>3162.7030281139782</v>
      </c>
      <c r="AB41" s="106">
        <v>3169.010701245003</v>
      </c>
      <c r="AC41" s="106">
        <v>3175.2936370086377</v>
      </c>
      <c r="AD41" s="106">
        <v>3181.5508211181759</v>
      </c>
      <c r="AE41" s="106">
        <v>3187.7812433548561</v>
      </c>
      <c r="AF41" s="106">
        <v>3193.9838977475138</v>
      </c>
      <c r="AG41" s="106">
        <v>3200.1577827515825</v>
      </c>
      <c r="AH41" s="106">
        <v>3206.3019014274178</v>
      </c>
      <c r="AI41" s="106">
        <v>3212.4152616178967</v>
      </c>
      <c r="AJ41" s="106">
        <v>3218.496876125284</v>
      </c>
      <c r="AK41" s="106">
        <v>3224.5457628873069</v>
      </c>
      <c r="AL41" s="106">
        <v>3230.5609451524278</v>
      </c>
      <c r="AM41" s="106">
        <v>3236.5414516542737</v>
      </c>
      <c r="AN41" s="106">
        <v>3242.486316785189</v>
      </c>
      <c r="AO41" s="106">
        <v>3248.3945807688906</v>
      </c>
      <c r="AP41" s="106">
        <v>3254.2652898321776</v>
      </c>
      <c r="AQ41" s="106">
        <v>3260.0974963756835</v>
      </c>
      <c r="AR41" s="106">
        <v>3265.8902591436208</v>
      </c>
      <c r="AS41" s="106">
        <v>3271.6426433925076</v>
      </c>
      <c r="AT41" s="106">
        <v>3277.3537210588215</v>
      </c>
      <c r="AU41" s="106">
        <v>3283.0225709255783</v>
      </c>
      <c r="AV41" s="106">
        <v>3288.648278787774</v>
      </c>
      <c r="AW41" s="106">
        <v>3294.2299376166952</v>
      </c>
      <c r="AX41" s="106">
        <v>3299.7666477230291</v>
      </c>
    </row>
    <row r="42" spans="2:50" x14ac:dyDescent="0.2">
      <c r="B42" s="176" t="s">
        <v>108</v>
      </c>
      <c r="C42" s="106">
        <v>10000000</v>
      </c>
      <c r="D42" s="106">
        <v>10000000</v>
      </c>
      <c r="E42" s="106">
        <v>10000000</v>
      </c>
      <c r="F42" s="106">
        <v>10000000</v>
      </c>
      <c r="G42" s="106">
        <v>10000000</v>
      </c>
      <c r="H42" s="106">
        <v>10000000</v>
      </c>
      <c r="I42" s="106">
        <v>10000000</v>
      </c>
      <c r="J42" s="106">
        <v>10000000</v>
      </c>
      <c r="K42" s="106">
        <v>10000000</v>
      </c>
      <c r="L42" s="106">
        <v>10000000</v>
      </c>
      <c r="M42" s="106">
        <v>10000000</v>
      </c>
      <c r="N42" s="106">
        <v>10000000</v>
      </c>
      <c r="O42" s="106">
        <v>10000000</v>
      </c>
      <c r="P42" s="106">
        <v>10000000</v>
      </c>
      <c r="Q42" s="106">
        <v>10000000</v>
      </c>
      <c r="R42" s="106">
        <v>10000000</v>
      </c>
      <c r="S42" s="106">
        <v>10000000</v>
      </c>
      <c r="T42" s="106">
        <v>10000000</v>
      </c>
      <c r="U42" s="106">
        <v>10000000</v>
      </c>
      <c r="V42" s="106">
        <v>10000000</v>
      </c>
      <c r="W42" s="106">
        <v>10000000</v>
      </c>
      <c r="X42" s="106">
        <v>10000000</v>
      </c>
      <c r="Y42" s="106">
        <v>10000000</v>
      </c>
      <c r="Z42" s="106">
        <v>10000000</v>
      </c>
      <c r="AA42" s="106">
        <v>10000000</v>
      </c>
      <c r="AB42" s="106">
        <v>10000000</v>
      </c>
      <c r="AC42" s="106">
        <v>10000000</v>
      </c>
      <c r="AD42" s="106">
        <v>10000000</v>
      </c>
      <c r="AE42" s="106">
        <v>10000000</v>
      </c>
      <c r="AF42" s="106">
        <v>10000000</v>
      </c>
      <c r="AG42" s="106">
        <v>10000000</v>
      </c>
      <c r="AH42" s="106">
        <v>10000000</v>
      </c>
      <c r="AI42" s="106">
        <v>10000000</v>
      </c>
      <c r="AJ42" s="106">
        <v>10000000</v>
      </c>
      <c r="AK42" s="106">
        <v>10000000</v>
      </c>
      <c r="AL42" s="106">
        <v>10000000</v>
      </c>
      <c r="AM42" s="106">
        <v>10000000</v>
      </c>
      <c r="AN42" s="106">
        <v>10000000</v>
      </c>
      <c r="AO42" s="106">
        <v>10000000</v>
      </c>
      <c r="AP42" s="106">
        <v>10000000</v>
      </c>
      <c r="AQ42" s="106">
        <v>10000000</v>
      </c>
      <c r="AR42" s="106">
        <v>10000000</v>
      </c>
      <c r="AS42" s="106">
        <v>10000000</v>
      </c>
      <c r="AT42" s="106">
        <v>10000000</v>
      </c>
      <c r="AU42" s="106">
        <v>10000000</v>
      </c>
      <c r="AV42" s="106">
        <v>10000000</v>
      </c>
      <c r="AW42" s="106">
        <v>10000000</v>
      </c>
      <c r="AX42" s="106">
        <v>10000000</v>
      </c>
    </row>
    <row r="43" spans="2:50" x14ac:dyDescent="0.2">
      <c r="B43" s="176" t="s">
        <v>109</v>
      </c>
      <c r="C43" s="106">
        <v>10000000</v>
      </c>
      <c r="D43" s="106">
        <v>10000000</v>
      </c>
      <c r="E43" s="106">
        <v>10000000</v>
      </c>
      <c r="F43" s="106">
        <v>10000000</v>
      </c>
      <c r="G43" s="106">
        <v>10000000</v>
      </c>
      <c r="H43" s="106">
        <v>10000000</v>
      </c>
      <c r="I43" s="106">
        <v>10000000</v>
      </c>
      <c r="J43" s="106">
        <v>10000000</v>
      </c>
      <c r="K43" s="106">
        <v>10000000</v>
      </c>
      <c r="L43" s="106">
        <v>10000000</v>
      </c>
      <c r="M43" s="106">
        <v>10000000</v>
      </c>
      <c r="N43" s="106">
        <v>10000000</v>
      </c>
      <c r="O43" s="106">
        <v>10000000</v>
      </c>
      <c r="P43" s="106">
        <v>10000000</v>
      </c>
      <c r="Q43" s="106">
        <v>10000000</v>
      </c>
      <c r="R43" s="106">
        <v>10000000</v>
      </c>
      <c r="S43" s="106">
        <v>10000000</v>
      </c>
      <c r="T43" s="106">
        <v>10000000</v>
      </c>
      <c r="U43" s="106">
        <v>10000000</v>
      </c>
      <c r="V43" s="106">
        <v>10000000</v>
      </c>
      <c r="W43" s="106">
        <v>10000000</v>
      </c>
      <c r="X43" s="106">
        <v>10000000</v>
      </c>
      <c r="Y43" s="106">
        <v>10000000</v>
      </c>
      <c r="Z43" s="106">
        <v>10000000</v>
      </c>
      <c r="AA43" s="106">
        <v>10000000</v>
      </c>
      <c r="AB43" s="106">
        <v>10000000</v>
      </c>
      <c r="AC43" s="106">
        <v>10000000</v>
      </c>
      <c r="AD43" s="106">
        <v>10000000</v>
      </c>
      <c r="AE43" s="106">
        <v>10000000</v>
      </c>
      <c r="AF43" s="106">
        <v>10000000</v>
      </c>
      <c r="AG43" s="106">
        <v>10000000</v>
      </c>
      <c r="AH43" s="106">
        <v>10000000</v>
      </c>
      <c r="AI43" s="106">
        <v>10000000</v>
      </c>
      <c r="AJ43" s="106">
        <v>10000000</v>
      </c>
      <c r="AK43" s="106">
        <v>10000000</v>
      </c>
      <c r="AL43" s="106">
        <v>10000000</v>
      </c>
      <c r="AM43" s="106">
        <v>10000000</v>
      </c>
      <c r="AN43" s="106">
        <v>10000000</v>
      </c>
      <c r="AO43" s="106">
        <v>10000000</v>
      </c>
      <c r="AP43" s="106">
        <v>10000000</v>
      </c>
      <c r="AQ43" s="106">
        <v>10000000</v>
      </c>
      <c r="AR43" s="106">
        <v>10000000</v>
      </c>
      <c r="AS43" s="106">
        <v>10000000</v>
      </c>
      <c r="AT43" s="106">
        <v>10000000</v>
      </c>
      <c r="AU43" s="106">
        <v>10000000</v>
      </c>
      <c r="AV43" s="106">
        <v>10000000</v>
      </c>
      <c r="AW43" s="106">
        <v>10000000</v>
      </c>
      <c r="AX43" s="106">
        <v>10000000</v>
      </c>
    </row>
    <row r="45" spans="2:50" x14ac:dyDescent="0.2">
      <c r="B45" s="109" t="s">
        <v>324</v>
      </c>
    </row>
    <row r="46" spans="2:50" x14ac:dyDescent="0.2">
      <c r="B46" s="105" t="s">
        <v>274</v>
      </c>
      <c r="C46" s="105" t="s">
        <v>92</v>
      </c>
      <c r="D46" s="107"/>
      <c r="E46" s="107"/>
      <c r="F46" s="107"/>
      <c r="G46" s="105" t="s">
        <v>93</v>
      </c>
      <c r="H46" s="107"/>
      <c r="I46" s="107"/>
      <c r="J46" s="107"/>
      <c r="K46" s="105" t="s">
        <v>94</v>
      </c>
      <c r="L46" s="107"/>
      <c r="M46" s="107"/>
      <c r="N46" s="107"/>
      <c r="O46" s="105" t="s">
        <v>95</v>
      </c>
      <c r="P46" s="107"/>
      <c r="Q46" s="107"/>
      <c r="R46" s="107"/>
      <c r="S46" s="105" t="s">
        <v>96</v>
      </c>
      <c r="T46" s="107"/>
      <c r="U46" s="107"/>
      <c r="V46" s="107"/>
      <c r="W46" s="105" t="s">
        <v>97</v>
      </c>
      <c r="X46" s="107"/>
      <c r="Y46" s="107"/>
      <c r="Z46" s="107"/>
      <c r="AA46" s="105" t="s">
        <v>98</v>
      </c>
      <c r="AB46" s="107"/>
      <c r="AC46" s="107"/>
      <c r="AD46" s="107"/>
      <c r="AE46" s="105" t="s">
        <v>99</v>
      </c>
      <c r="AF46" s="107"/>
      <c r="AG46" s="107"/>
      <c r="AH46" s="107"/>
      <c r="AI46" s="105" t="s">
        <v>100</v>
      </c>
      <c r="AJ46" s="107"/>
      <c r="AK46" s="107"/>
      <c r="AL46" s="107"/>
      <c r="AM46" s="105" t="s">
        <v>101</v>
      </c>
      <c r="AN46" s="107"/>
      <c r="AO46" s="107"/>
      <c r="AP46" s="107"/>
      <c r="AQ46" s="105" t="s">
        <v>102</v>
      </c>
      <c r="AR46" s="107"/>
      <c r="AS46" s="107"/>
      <c r="AT46" s="107"/>
      <c r="AU46" s="105" t="s">
        <v>103</v>
      </c>
      <c r="AV46" s="107"/>
      <c r="AW46" s="107"/>
    </row>
    <row r="47" spans="2:50" x14ac:dyDescent="0.2">
      <c r="B47" s="105" t="s">
        <v>325</v>
      </c>
      <c r="C47" s="105">
        <v>1</v>
      </c>
      <c r="D47" s="105">
        <v>2</v>
      </c>
      <c r="E47" s="105">
        <v>3</v>
      </c>
      <c r="F47" s="105">
        <v>4</v>
      </c>
      <c r="G47" s="105">
        <v>1</v>
      </c>
      <c r="H47" s="105">
        <v>2</v>
      </c>
      <c r="I47" s="105">
        <v>3</v>
      </c>
      <c r="J47" s="105">
        <v>4</v>
      </c>
      <c r="K47" s="105">
        <v>1</v>
      </c>
      <c r="L47" s="105">
        <v>2</v>
      </c>
      <c r="M47" s="105">
        <v>3</v>
      </c>
      <c r="N47" s="105">
        <v>4</v>
      </c>
      <c r="O47" s="105">
        <v>1</v>
      </c>
      <c r="P47" s="105">
        <v>2</v>
      </c>
      <c r="Q47" s="105">
        <v>3</v>
      </c>
      <c r="R47" s="105">
        <v>4</v>
      </c>
      <c r="S47" s="105">
        <v>1</v>
      </c>
      <c r="T47" s="105">
        <v>2</v>
      </c>
      <c r="U47" s="105">
        <v>3</v>
      </c>
      <c r="V47" s="105">
        <v>4</v>
      </c>
      <c r="W47" s="105">
        <v>1</v>
      </c>
      <c r="X47" s="105">
        <v>2</v>
      </c>
      <c r="Y47" s="105">
        <v>3</v>
      </c>
      <c r="Z47" s="105">
        <v>4</v>
      </c>
      <c r="AA47" s="105">
        <v>1</v>
      </c>
      <c r="AB47" s="105">
        <v>2</v>
      </c>
      <c r="AC47" s="105">
        <v>3</v>
      </c>
      <c r="AD47" s="105">
        <v>4</v>
      </c>
      <c r="AE47" s="105">
        <v>1</v>
      </c>
      <c r="AF47" s="105">
        <v>2</v>
      </c>
      <c r="AG47" s="105">
        <v>3</v>
      </c>
      <c r="AH47" s="105">
        <v>4</v>
      </c>
      <c r="AI47" s="105">
        <v>1</v>
      </c>
      <c r="AJ47" s="105">
        <v>2</v>
      </c>
      <c r="AK47" s="105">
        <v>3</v>
      </c>
      <c r="AL47" s="105">
        <v>4</v>
      </c>
      <c r="AM47" s="105">
        <v>1</v>
      </c>
      <c r="AN47" s="105">
        <v>2</v>
      </c>
      <c r="AO47" s="105">
        <v>3</v>
      </c>
      <c r="AP47" s="105">
        <v>4</v>
      </c>
      <c r="AQ47" s="105">
        <v>1</v>
      </c>
      <c r="AR47" s="105">
        <v>2</v>
      </c>
      <c r="AS47" s="105">
        <v>3</v>
      </c>
      <c r="AT47" s="105">
        <v>4</v>
      </c>
      <c r="AU47" s="105">
        <v>1</v>
      </c>
      <c r="AV47" s="105">
        <v>2</v>
      </c>
      <c r="AW47" s="105">
        <v>3</v>
      </c>
      <c r="AX47" s="105">
        <v>4</v>
      </c>
    </row>
    <row r="48" spans="2:50" x14ac:dyDescent="0.2">
      <c r="B48" s="105" t="s">
        <v>104</v>
      </c>
      <c r="C48" s="106">
        <v>0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</row>
    <row r="49" spans="2:51" x14ac:dyDescent="0.2">
      <c r="B49" s="105" t="s">
        <v>105</v>
      </c>
      <c r="C49" s="106">
        <v>3203.3999387586405</v>
      </c>
      <c r="D49" s="106">
        <v>3203.3999387586405</v>
      </c>
      <c r="E49" s="106">
        <v>3203.3999387586405</v>
      </c>
      <c r="F49" s="106">
        <v>3203.3999387586405</v>
      </c>
      <c r="G49" s="106">
        <v>3203.3999387586405</v>
      </c>
      <c r="H49" s="106">
        <v>3203.3999387586405</v>
      </c>
      <c r="I49" s="106">
        <v>3203.3999387586405</v>
      </c>
      <c r="J49" s="106">
        <v>3203.3999387586405</v>
      </c>
      <c r="K49" s="106">
        <v>3203.3999387586405</v>
      </c>
      <c r="L49" s="106">
        <v>3203.3999387586405</v>
      </c>
      <c r="M49" s="106">
        <v>3203.3999387586405</v>
      </c>
      <c r="N49" s="106">
        <v>3203.3999387586405</v>
      </c>
      <c r="O49" s="106">
        <v>1542.7276986268589</v>
      </c>
      <c r="P49" s="106">
        <v>3203.3999387586405</v>
      </c>
      <c r="Q49" s="106">
        <v>3203.3999387586405</v>
      </c>
      <c r="R49" s="106">
        <v>3203.3999387586405</v>
      </c>
      <c r="S49" s="106">
        <v>3203.3999387586405</v>
      </c>
      <c r="T49" s="106">
        <v>3203.3999387586405</v>
      </c>
      <c r="U49" s="106">
        <v>3203.3999387586405</v>
      </c>
      <c r="V49" s="106">
        <v>3203.3999387586405</v>
      </c>
      <c r="W49" s="106">
        <v>3203.3999387586405</v>
      </c>
      <c r="X49" s="106">
        <v>3203.3999387586405</v>
      </c>
      <c r="Y49" s="106">
        <v>3203.3999387586405</v>
      </c>
      <c r="Z49" s="106">
        <v>3203.3999387586405</v>
      </c>
      <c r="AA49" s="106">
        <v>3203.3999387586405</v>
      </c>
      <c r="AB49" s="106">
        <v>3203.3999387586405</v>
      </c>
      <c r="AC49" s="106">
        <v>3203.3999387586405</v>
      </c>
      <c r="AD49" s="106">
        <v>3203.3999387586405</v>
      </c>
      <c r="AE49" s="106">
        <v>3203.3999387586405</v>
      </c>
      <c r="AF49" s="106">
        <v>3203.3999387586405</v>
      </c>
      <c r="AG49" s="106">
        <v>3203.3999387586405</v>
      </c>
      <c r="AH49" s="106">
        <v>3203.3999387586405</v>
      </c>
      <c r="AI49" s="106">
        <v>3203.3999387586405</v>
      </c>
      <c r="AJ49" s="106">
        <v>3203.3999387586405</v>
      </c>
      <c r="AK49" s="106">
        <v>3203.3999387586405</v>
      </c>
      <c r="AL49" s="106">
        <v>3203.3999387586405</v>
      </c>
      <c r="AM49" s="106">
        <v>3203.3999387586405</v>
      </c>
      <c r="AN49" s="106">
        <v>3203.3999387586405</v>
      </c>
      <c r="AO49" s="106">
        <v>3203.3999387586405</v>
      </c>
      <c r="AP49" s="106">
        <v>3203.3999387586405</v>
      </c>
      <c r="AQ49" s="106">
        <v>3203.3999387586405</v>
      </c>
      <c r="AR49" s="106">
        <v>3203.3999387586405</v>
      </c>
      <c r="AS49" s="106">
        <v>3203.3999387586405</v>
      </c>
      <c r="AT49" s="106">
        <v>3203.3999387586405</v>
      </c>
      <c r="AU49" s="106">
        <v>3203.3999387586405</v>
      </c>
      <c r="AV49" s="106">
        <v>3203.3999387586405</v>
      </c>
      <c r="AW49" s="106">
        <v>3203.3999387586405</v>
      </c>
      <c r="AX49" s="106">
        <v>3203.3999387586405</v>
      </c>
    </row>
    <row r="50" spans="2:51" x14ac:dyDescent="0.2">
      <c r="B50" s="105" t="s">
        <v>106</v>
      </c>
      <c r="C50" s="106">
        <v>2958.1665880602222</v>
      </c>
      <c r="D50" s="106">
        <v>2958.1665880602222</v>
      </c>
      <c r="E50" s="106">
        <v>2958.1665880602222</v>
      </c>
      <c r="F50" s="106">
        <v>2958.1665880602222</v>
      </c>
      <c r="G50" s="106">
        <v>2958.1665880602222</v>
      </c>
      <c r="H50" s="106">
        <v>2958.1665880602222</v>
      </c>
      <c r="I50" s="106">
        <v>2958.1665880602222</v>
      </c>
      <c r="J50" s="106">
        <v>2958.1665880602222</v>
      </c>
      <c r="K50" s="106">
        <v>2958.1665880602222</v>
      </c>
      <c r="L50" s="106">
        <v>2958.1665880602222</v>
      </c>
      <c r="M50" s="106">
        <v>2958.1665880602222</v>
      </c>
      <c r="N50" s="106">
        <v>2958.1665880602222</v>
      </c>
      <c r="O50" s="106">
        <v>2958.1665880602222</v>
      </c>
      <c r="P50" s="106">
        <v>2958.1665880602222</v>
      </c>
      <c r="Q50" s="106">
        <v>2958.1665880602222</v>
      </c>
      <c r="R50" s="106">
        <v>2958.1665880602222</v>
      </c>
      <c r="S50" s="106">
        <v>2958.1665880602222</v>
      </c>
      <c r="T50" s="106">
        <v>2958.1665880602222</v>
      </c>
      <c r="U50" s="106">
        <v>2958.1665880602222</v>
      </c>
      <c r="V50" s="106">
        <v>2958.1665880602222</v>
      </c>
      <c r="W50" s="106">
        <v>2958.1665880602222</v>
      </c>
      <c r="X50" s="106">
        <v>2958.1665880602222</v>
      </c>
      <c r="Y50" s="106">
        <v>2958.1665880602222</v>
      </c>
      <c r="Z50" s="106">
        <v>2958.1665880602222</v>
      </c>
      <c r="AA50" s="106">
        <v>2958.1665880602222</v>
      </c>
      <c r="AB50" s="106">
        <v>2958.1665880602222</v>
      </c>
      <c r="AC50" s="106">
        <v>2116.8624246724253</v>
      </c>
      <c r="AD50" s="106">
        <v>2958.1665880602222</v>
      </c>
      <c r="AE50" s="106">
        <v>531.29687389247601</v>
      </c>
      <c r="AF50" s="106">
        <v>532.3306496245857</v>
      </c>
      <c r="AG50" s="106">
        <v>2958.1665880602222</v>
      </c>
      <c r="AH50" s="106">
        <v>2958.1665880602222</v>
      </c>
      <c r="AI50" s="106">
        <v>2958.1665880602222</v>
      </c>
      <c r="AJ50" s="106">
        <v>2958.1665880602222</v>
      </c>
      <c r="AK50" s="106">
        <v>2958.1665880602222</v>
      </c>
      <c r="AL50" s="106">
        <v>2958.1665880602222</v>
      </c>
      <c r="AM50" s="106">
        <v>2958.1665880602222</v>
      </c>
      <c r="AN50" s="106">
        <v>2958.1665880602222</v>
      </c>
      <c r="AO50" s="106">
        <v>2958.1665880602222</v>
      </c>
      <c r="AP50" s="106">
        <v>2958.1665880602222</v>
      </c>
      <c r="AQ50" s="106">
        <v>2958.1665880602222</v>
      </c>
      <c r="AR50" s="106">
        <v>544.31504319060355</v>
      </c>
      <c r="AS50" s="106">
        <v>2958.1665880602222</v>
      </c>
      <c r="AT50" s="106">
        <v>2958.1665880602222</v>
      </c>
      <c r="AU50" s="106">
        <v>2958.1665880602222</v>
      </c>
      <c r="AV50" s="106">
        <v>2958.1665880602222</v>
      </c>
      <c r="AW50" s="106">
        <v>2196.1532917444638</v>
      </c>
      <c r="AX50" s="106">
        <v>2958.1665880602222</v>
      </c>
      <c r="AY50" s="118"/>
    </row>
    <row r="51" spans="2:51" x14ac:dyDescent="0.2">
      <c r="B51" s="105" t="s">
        <v>107</v>
      </c>
      <c r="C51" s="106">
        <v>0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17"/>
    </row>
    <row r="52" spans="2:51" x14ac:dyDescent="0.2">
      <c r="B52" s="105" t="s">
        <v>108</v>
      </c>
      <c r="C52" s="106">
        <v>0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</row>
    <row r="53" spans="2:51" x14ac:dyDescent="0.2">
      <c r="B53" s="105" t="s">
        <v>109</v>
      </c>
      <c r="C53" s="106">
        <v>0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</row>
    <row r="55" spans="2:51" x14ac:dyDescent="0.2">
      <c r="B55" s="180" t="s">
        <v>326</v>
      </c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1"/>
      <c r="AQ55" s="181"/>
      <c r="AR55" s="181"/>
      <c r="AS55" s="181"/>
      <c r="AT55" s="181"/>
      <c r="AU55" s="181"/>
      <c r="AV55" s="181"/>
      <c r="AW55" s="181"/>
      <c r="AX55" s="181"/>
    </row>
    <row r="56" spans="2:51" x14ac:dyDescent="0.2">
      <c r="B56" s="111" t="s">
        <v>274</v>
      </c>
      <c r="C56" s="111" t="s">
        <v>92</v>
      </c>
      <c r="D56" s="107"/>
      <c r="E56" s="107"/>
      <c r="F56" s="107"/>
      <c r="G56" s="111" t="s">
        <v>93</v>
      </c>
      <c r="H56" s="107"/>
      <c r="I56" s="107"/>
      <c r="J56" s="107"/>
      <c r="K56" s="111" t="s">
        <v>94</v>
      </c>
      <c r="L56" s="107"/>
      <c r="M56" s="107"/>
      <c r="N56" s="107"/>
      <c r="O56" s="111" t="s">
        <v>95</v>
      </c>
      <c r="P56" s="107"/>
      <c r="Q56" s="107"/>
      <c r="R56" s="107"/>
      <c r="S56" s="111" t="s">
        <v>96</v>
      </c>
      <c r="T56" s="107"/>
      <c r="U56" s="107"/>
      <c r="V56" s="107"/>
      <c r="W56" s="111" t="s">
        <v>97</v>
      </c>
      <c r="X56" s="107"/>
      <c r="Y56" s="107"/>
      <c r="Z56" s="107"/>
      <c r="AA56" s="111" t="s">
        <v>98</v>
      </c>
      <c r="AB56" s="107"/>
      <c r="AC56" s="107"/>
      <c r="AD56" s="107"/>
      <c r="AE56" s="111" t="s">
        <v>99</v>
      </c>
      <c r="AF56" s="107"/>
      <c r="AG56" s="107"/>
      <c r="AH56" s="107"/>
      <c r="AI56" s="111" t="s">
        <v>100</v>
      </c>
      <c r="AJ56" s="107"/>
      <c r="AK56" s="107"/>
      <c r="AL56" s="107"/>
      <c r="AM56" s="111" t="s">
        <v>101</v>
      </c>
      <c r="AN56" s="107"/>
      <c r="AO56" s="107"/>
      <c r="AP56" s="107"/>
      <c r="AQ56" s="111" t="s">
        <v>102</v>
      </c>
      <c r="AR56" s="107"/>
      <c r="AS56" s="107"/>
      <c r="AT56" s="107"/>
      <c r="AU56" s="111" t="s">
        <v>103</v>
      </c>
      <c r="AV56" s="107"/>
      <c r="AW56" s="107"/>
    </row>
    <row r="57" spans="2:51" x14ac:dyDescent="0.2">
      <c r="B57" s="111" t="s">
        <v>325</v>
      </c>
      <c r="C57" s="111">
        <v>1</v>
      </c>
      <c r="D57" s="111">
        <v>2</v>
      </c>
      <c r="E57" s="111">
        <v>3</v>
      </c>
      <c r="F57" s="111">
        <v>4</v>
      </c>
      <c r="G57" s="111">
        <v>1</v>
      </c>
      <c r="H57" s="111">
        <v>2</v>
      </c>
      <c r="I57" s="111">
        <v>3</v>
      </c>
      <c r="J57" s="111">
        <v>4</v>
      </c>
      <c r="K57" s="111">
        <v>1</v>
      </c>
      <c r="L57" s="111">
        <v>2</v>
      </c>
      <c r="M57" s="111">
        <v>3</v>
      </c>
      <c r="N57" s="111">
        <v>4</v>
      </c>
      <c r="O57" s="111">
        <v>1</v>
      </c>
      <c r="P57" s="111">
        <v>2</v>
      </c>
      <c r="Q57" s="111">
        <v>3</v>
      </c>
      <c r="R57" s="111">
        <v>4</v>
      </c>
      <c r="S57" s="111">
        <v>1</v>
      </c>
      <c r="T57" s="111">
        <v>2</v>
      </c>
      <c r="U57" s="111">
        <v>3</v>
      </c>
      <c r="V57" s="111">
        <v>4</v>
      </c>
      <c r="W57" s="111">
        <v>1</v>
      </c>
      <c r="X57" s="111">
        <v>2</v>
      </c>
      <c r="Y57" s="111">
        <v>3</v>
      </c>
      <c r="Z57" s="111">
        <v>4</v>
      </c>
      <c r="AA57" s="111">
        <v>1</v>
      </c>
      <c r="AB57" s="111">
        <v>2</v>
      </c>
      <c r="AC57" s="111">
        <v>3</v>
      </c>
      <c r="AD57" s="111">
        <v>4</v>
      </c>
      <c r="AE57" s="111">
        <v>1</v>
      </c>
      <c r="AF57" s="111">
        <v>2</v>
      </c>
      <c r="AG57" s="111">
        <v>3</v>
      </c>
      <c r="AH57" s="111">
        <v>4</v>
      </c>
      <c r="AI57" s="111">
        <v>1</v>
      </c>
      <c r="AJ57" s="111">
        <v>2</v>
      </c>
      <c r="AK57" s="111">
        <v>3</v>
      </c>
      <c r="AL57" s="111">
        <v>4</v>
      </c>
      <c r="AM57" s="111">
        <v>1</v>
      </c>
      <c r="AN57" s="111">
        <v>2</v>
      </c>
      <c r="AO57" s="111">
        <v>3</v>
      </c>
      <c r="AP57" s="111">
        <v>4</v>
      </c>
      <c r="AQ57" s="111">
        <v>1</v>
      </c>
      <c r="AR57" s="111">
        <v>2</v>
      </c>
      <c r="AS57" s="111">
        <v>3</v>
      </c>
      <c r="AT57" s="111">
        <v>4</v>
      </c>
      <c r="AU57" s="111">
        <v>1</v>
      </c>
      <c r="AV57" s="111">
        <v>2</v>
      </c>
      <c r="AW57" s="111">
        <v>3</v>
      </c>
      <c r="AX57" s="111">
        <v>4</v>
      </c>
    </row>
    <row r="58" spans="2:51" x14ac:dyDescent="0.2">
      <c r="B58" s="111" t="s">
        <v>104</v>
      </c>
      <c r="C58" s="106">
        <v>0</v>
      </c>
      <c r="D58" s="106">
        <v>0</v>
      </c>
      <c r="E58" s="106">
        <v>0</v>
      </c>
      <c r="F58" s="106">
        <v>0</v>
      </c>
      <c r="G58" s="106">
        <v>0</v>
      </c>
      <c r="H58" s="106">
        <v>0</v>
      </c>
      <c r="I58" s="106">
        <v>0</v>
      </c>
      <c r="J58" s="106">
        <v>0</v>
      </c>
      <c r="K58" s="106">
        <v>0</v>
      </c>
      <c r="L58" s="106">
        <v>0</v>
      </c>
      <c r="M58" s="106">
        <v>0</v>
      </c>
      <c r="N58" s="106">
        <v>0</v>
      </c>
      <c r="O58" s="106">
        <v>0</v>
      </c>
      <c r="P58" s="106">
        <v>0</v>
      </c>
      <c r="Q58" s="106">
        <v>0</v>
      </c>
      <c r="R58" s="106">
        <v>0</v>
      </c>
      <c r="S58" s="106">
        <v>0</v>
      </c>
      <c r="T58" s="106">
        <v>0</v>
      </c>
      <c r="U58" s="106">
        <v>0</v>
      </c>
      <c r="V58" s="106">
        <v>0</v>
      </c>
      <c r="W58" s="106">
        <v>0</v>
      </c>
      <c r="X58" s="106">
        <v>0</v>
      </c>
      <c r="Y58" s="106">
        <v>0</v>
      </c>
      <c r="Z58" s="106">
        <v>0</v>
      </c>
      <c r="AA58" s="106">
        <v>0</v>
      </c>
      <c r="AB58" s="106">
        <v>0</v>
      </c>
      <c r="AC58" s="106">
        <v>0</v>
      </c>
      <c r="AD58" s="106">
        <v>0</v>
      </c>
      <c r="AE58" s="106">
        <v>0</v>
      </c>
      <c r="AF58" s="106">
        <v>0</v>
      </c>
      <c r="AG58" s="106">
        <v>0</v>
      </c>
      <c r="AH58" s="106">
        <v>0</v>
      </c>
      <c r="AI58" s="106">
        <v>0</v>
      </c>
      <c r="AJ58" s="106">
        <v>0</v>
      </c>
      <c r="AK58" s="106">
        <v>0</v>
      </c>
      <c r="AL58" s="106">
        <v>0</v>
      </c>
      <c r="AM58" s="106">
        <v>0</v>
      </c>
      <c r="AN58" s="106">
        <v>0</v>
      </c>
      <c r="AO58" s="106">
        <v>0</v>
      </c>
      <c r="AP58" s="106">
        <v>0</v>
      </c>
      <c r="AQ58" s="106">
        <v>0</v>
      </c>
      <c r="AR58" s="106">
        <v>0</v>
      </c>
      <c r="AS58" s="106">
        <v>0</v>
      </c>
      <c r="AT58" s="106">
        <v>0</v>
      </c>
      <c r="AU58" s="106">
        <v>0</v>
      </c>
      <c r="AV58" s="106">
        <v>0</v>
      </c>
      <c r="AW58" s="106">
        <v>0</v>
      </c>
      <c r="AX58" s="106">
        <v>0</v>
      </c>
    </row>
    <row r="59" spans="2:51" x14ac:dyDescent="0.2">
      <c r="B59" s="111" t="s">
        <v>105</v>
      </c>
      <c r="C59" s="106">
        <v>4184613.3568097414</v>
      </c>
      <c r="D59" s="106">
        <v>4184613.3568097414</v>
      </c>
      <c r="E59" s="106">
        <v>4184613.3568097414</v>
      </c>
      <c r="F59" s="106">
        <v>4184613.3568097414</v>
      </c>
      <c r="G59" s="106">
        <v>4525852.0414629793</v>
      </c>
      <c r="H59" s="106">
        <v>4525852.0414629793</v>
      </c>
      <c r="I59" s="106">
        <v>4525852.0414629793</v>
      </c>
      <c r="J59" s="106">
        <v>4525852.0414629793</v>
      </c>
      <c r="K59" s="106">
        <v>4522327.8105284264</v>
      </c>
      <c r="L59" s="106">
        <v>4522327.8105284264</v>
      </c>
      <c r="M59" s="106">
        <v>4522327.8105284264</v>
      </c>
      <c r="N59" s="106">
        <v>4522327.8105284264</v>
      </c>
      <c r="O59" s="106">
        <v>2413760.0291364766</v>
      </c>
      <c r="P59" s="106">
        <v>5012056.72031176</v>
      </c>
      <c r="Q59" s="106">
        <v>5012056.72031176</v>
      </c>
      <c r="R59" s="106">
        <v>5012056.72031176</v>
      </c>
      <c r="S59" s="106">
        <v>4619088.1381959729</v>
      </c>
      <c r="T59" s="106">
        <v>4619088.1381959729</v>
      </c>
      <c r="U59" s="106">
        <v>4619088.1381959729</v>
      </c>
      <c r="V59" s="106">
        <v>4619088.1381959729</v>
      </c>
      <c r="W59" s="106">
        <v>4553758.5844053393</v>
      </c>
      <c r="X59" s="106">
        <v>4553758.5844053393</v>
      </c>
      <c r="Y59" s="106">
        <v>4553758.5844053393</v>
      </c>
      <c r="Z59" s="106">
        <v>4553758.5844053393</v>
      </c>
      <c r="AA59" s="106">
        <v>4681315.2405841211</v>
      </c>
      <c r="AB59" s="106">
        <v>4681315.2405841211</v>
      </c>
      <c r="AC59" s="106">
        <v>4681315.2405841211</v>
      </c>
      <c r="AD59" s="106">
        <v>4681315.2405841211</v>
      </c>
      <c r="AE59" s="106">
        <v>4102283.9528259612</v>
      </c>
      <c r="AF59" s="106">
        <v>4102283.9528259612</v>
      </c>
      <c r="AG59" s="106">
        <v>4102283.9528259612</v>
      </c>
      <c r="AH59" s="106">
        <v>4102283.9528259612</v>
      </c>
      <c r="AI59" s="106">
        <v>4355388.3434931254</v>
      </c>
      <c r="AJ59" s="106">
        <v>4355388.3434931254</v>
      </c>
      <c r="AK59" s="106">
        <v>4355388.3434931254</v>
      </c>
      <c r="AL59" s="106">
        <v>4355388.3434931254</v>
      </c>
      <c r="AM59" s="106">
        <v>4238255.6499259537</v>
      </c>
      <c r="AN59" s="106">
        <v>4238255.6499259537</v>
      </c>
      <c r="AO59" s="106">
        <v>4238255.6499259537</v>
      </c>
      <c r="AP59" s="106">
        <v>4238255.6499259537</v>
      </c>
      <c r="AQ59" s="106">
        <v>4461177.385057359</v>
      </c>
      <c r="AR59" s="106">
        <v>4461177.385057359</v>
      </c>
      <c r="AS59" s="106">
        <v>4461177.385057359</v>
      </c>
      <c r="AT59" s="106">
        <v>4461177.385057359</v>
      </c>
      <c r="AU59" s="106">
        <v>4244159.8941994207</v>
      </c>
      <c r="AV59" s="106">
        <v>4244159.8941994207</v>
      </c>
      <c r="AW59" s="106">
        <v>4244159.8941994207</v>
      </c>
      <c r="AX59" s="106">
        <v>4244159.8941994207</v>
      </c>
    </row>
    <row r="60" spans="2:51" x14ac:dyDescent="0.2">
      <c r="B60" s="111" t="s">
        <v>106</v>
      </c>
      <c r="C60" s="106">
        <v>4344800.0601407252</v>
      </c>
      <c r="D60" s="106">
        <v>4344800.0601407252</v>
      </c>
      <c r="E60" s="106">
        <v>4344800.0601407252</v>
      </c>
      <c r="F60" s="106">
        <v>4344800.0601407252</v>
      </c>
      <c r="G60" s="106">
        <v>4427855.8099225909</v>
      </c>
      <c r="H60" s="106">
        <v>4427855.8099225909</v>
      </c>
      <c r="I60" s="106">
        <v>4427855.8099225909</v>
      </c>
      <c r="J60" s="106">
        <v>4427855.8099225909</v>
      </c>
      <c r="K60" s="106">
        <v>4197480.9632353298</v>
      </c>
      <c r="L60" s="106">
        <v>4197480.9632353298</v>
      </c>
      <c r="M60" s="106">
        <v>4197480.9632353298</v>
      </c>
      <c r="N60" s="106">
        <v>4197480.9632353298</v>
      </c>
      <c r="O60" s="106">
        <v>4064507.2712271167</v>
      </c>
      <c r="P60" s="106">
        <v>4064507.2712271167</v>
      </c>
      <c r="Q60" s="106">
        <v>4064507.2712271167</v>
      </c>
      <c r="R60" s="106">
        <v>4064507.2712271167</v>
      </c>
      <c r="S60" s="106">
        <v>4022830.4696077285</v>
      </c>
      <c r="T60" s="106">
        <v>4022830.4696077285</v>
      </c>
      <c r="U60" s="106">
        <v>4022830.4696077285</v>
      </c>
      <c r="V60" s="106">
        <v>4022830.4696077285</v>
      </c>
      <c r="W60" s="106">
        <v>4101517.0370108546</v>
      </c>
      <c r="X60" s="106">
        <v>4101517.0370108546</v>
      </c>
      <c r="Y60" s="106">
        <v>4101517.0370108546</v>
      </c>
      <c r="Z60" s="106">
        <v>4101517.0370108546</v>
      </c>
      <c r="AA60" s="106">
        <v>4532083.2414243482</v>
      </c>
      <c r="AB60" s="106">
        <v>4532083.2414243482</v>
      </c>
      <c r="AC60" s="106">
        <v>3243156.3381120511</v>
      </c>
      <c r="AD60" s="106">
        <v>4532083.2414243482</v>
      </c>
      <c r="AE60" s="106">
        <v>1050192.798748472</v>
      </c>
      <c r="AF60" s="106">
        <v>1052236.2209531399</v>
      </c>
      <c r="AG60" s="106">
        <v>5847286.8954013595</v>
      </c>
      <c r="AH60" s="106">
        <v>5847286.8954013595</v>
      </c>
      <c r="AI60" s="106">
        <v>4217162.6332191089</v>
      </c>
      <c r="AJ60" s="106">
        <v>4217162.6332191089</v>
      </c>
      <c r="AK60" s="106">
        <v>4217162.6332191089</v>
      </c>
      <c r="AL60" s="106">
        <v>4217162.6332191089</v>
      </c>
      <c r="AM60" s="106">
        <v>4377907.5443365686</v>
      </c>
      <c r="AN60" s="106">
        <v>4377907.5443365686</v>
      </c>
      <c r="AO60" s="106">
        <v>4377907.5443365686</v>
      </c>
      <c r="AP60" s="106">
        <v>4377907.5443365686</v>
      </c>
      <c r="AQ60" s="106">
        <v>4720262.2254254296</v>
      </c>
      <c r="AR60" s="106">
        <v>868548.0214243806</v>
      </c>
      <c r="AS60" s="106">
        <v>4720262.2254254296</v>
      </c>
      <c r="AT60" s="106">
        <v>4720262.2254254296</v>
      </c>
      <c r="AU60" s="106">
        <v>4677707.6805933919</v>
      </c>
      <c r="AV60" s="106">
        <v>4677707.6805933919</v>
      </c>
      <c r="AW60" s="106">
        <v>3472746.6539637633</v>
      </c>
      <c r="AX60" s="106">
        <v>4677707.6805933919</v>
      </c>
    </row>
    <row r="61" spans="2:51" x14ac:dyDescent="0.2">
      <c r="B61" s="111" t="s">
        <v>107</v>
      </c>
      <c r="C61" s="106">
        <v>0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</row>
    <row r="62" spans="2:51" x14ac:dyDescent="0.2">
      <c r="B62" s="111" t="s">
        <v>108</v>
      </c>
      <c r="C62" s="106">
        <v>0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</row>
    <row r="63" spans="2:51" x14ac:dyDescent="0.2">
      <c r="B63" s="111" t="s">
        <v>109</v>
      </c>
      <c r="C63" s="106">
        <v>0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</row>
    <row r="64" spans="2:51" x14ac:dyDescent="0.2">
      <c r="B64" s="107"/>
    </row>
    <row r="65" spans="1:14" x14ac:dyDescent="0.2">
      <c r="B65" s="110" t="s">
        <v>327</v>
      </c>
    </row>
    <row r="66" spans="1:14" x14ac:dyDescent="0.2">
      <c r="B66" s="105" t="s">
        <v>328</v>
      </c>
      <c r="C66" s="105" t="s">
        <v>92</v>
      </c>
      <c r="D66" s="105" t="s">
        <v>93</v>
      </c>
      <c r="E66" s="105" t="s">
        <v>94</v>
      </c>
      <c r="F66" s="105" t="s">
        <v>95</v>
      </c>
      <c r="G66" s="105" t="s">
        <v>96</v>
      </c>
      <c r="H66" s="105" t="s">
        <v>97</v>
      </c>
      <c r="I66" s="105" t="s">
        <v>98</v>
      </c>
      <c r="J66" s="105" t="s">
        <v>99</v>
      </c>
      <c r="K66" s="105" t="s">
        <v>100</v>
      </c>
      <c r="L66" s="105" t="s">
        <v>101</v>
      </c>
      <c r="M66" s="105" t="s">
        <v>102</v>
      </c>
      <c r="N66" s="105" t="s">
        <v>103</v>
      </c>
    </row>
    <row r="67" spans="1:14" x14ac:dyDescent="0.2">
      <c r="B67" s="105" t="s">
        <v>329</v>
      </c>
      <c r="C67" s="106">
        <v>0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</row>
    <row r="68" spans="1:14" x14ac:dyDescent="0.2">
      <c r="B68" s="105" t="s">
        <v>330</v>
      </c>
      <c r="C68" s="106">
        <v>108000</v>
      </c>
      <c r="D68" s="106">
        <v>96000</v>
      </c>
      <c r="E68" s="106">
        <v>96000</v>
      </c>
      <c r="F68" s="106">
        <v>108000</v>
      </c>
      <c r="G68" s="106">
        <v>96000</v>
      </c>
      <c r="H68" s="106">
        <v>96000</v>
      </c>
      <c r="I68" s="106">
        <v>108000</v>
      </c>
      <c r="J68" s="106">
        <v>96000</v>
      </c>
      <c r="K68" s="106">
        <v>96000</v>
      </c>
      <c r="L68" s="106">
        <v>108000</v>
      </c>
      <c r="M68" s="106">
        <v>96000</v>
      </c>
      <c r="N68" s="106">
        <v>96000</v>
      </c>
    </row>
    <row r="70" spans="1:14" x14ac:dyDescent="0.2">
      <c r="B70" s="110" t="s">
        <v>331</v>
      </c>
    </row>
    <row r="71" spans="1:14" x14ac:dyDescent="0.2">
      <c r="A71" s="111" t="s">
        <v>121</v>
      </c>
      <c r="B71" s="111" t="s">
        <v>332</v>
      </c>
      <c r="C71" s="111" t="s">
        <v>22</v>
      </c>
      <c r="D71" s="111" t="s">
        <v>59</v>
      </c>
    </row>
    <row r="72" spans="1:14" x14ac:dyDescent="0.2">
      <c r="A72" s="111" t="s">
        <v>104</v>
      </c>
      <c r="B72" s="111" t="s">
        <v>92</v>
      </c>
      <c r="C72" s="106">
        <v>3625326.0624440699</v>
      </c>
      <c r="D72" s="106">
        <v>24336885.112747744</v>
      </c>
    </row>
    <row r="73" spans="1:14" x14ac:dyDescent="0.2">
      <c r="B73" s="111" t="s">
        <v>93</v>
      </c>
      <c r="C73" s="106">
        <v>3222512.0555058396</v>
      </c>
      <c r="D73" s="106">
        <v>21632786.766886879</v>
      </c>
    </row>
    <row r="74" spans="1:14" x14ac:dyDescent="0.2">
      <c r="B74" s="111" t="s">
        <v>94</v>
      </c>
      <c r="C74" s="106">
        <v>3222512.0555058396</v>
      </c>
      <c r="D74" s="106">
        <v>21632786.766886879</v>
      </c>
    </row>
    <row r="75" spans="1:14" x14ac:dyDescent="0.2">
      <c r="B75" s="111" t="s">
        <v>95</v>
      </c>
      <c r="C75" s="106">
        <v>3625326.0624440699</v>
      </c>
      <c r="D75" s="106">
        <v>24336885.112747744</v>
      </c>
    </row>
    <row r="76" spans="1:14" x14ac:dyDescent="0.2">
      <c r="B76" s="111" t="s">
        <v>96</v>
      </c>
      <c r="C76" s="106">
        <v>3222512.0555058396</v>
      </c>
      <c r="D76" s="106">
        <v>21632786.766886879</v>
      </c>
    </row>
    <row r="77" spans="1:14" x14ac:dyDescent="0.2">
      <c r="B77" s="111" t="s">
        <v>97</v>
      </c>
      <c r="C77" s="106">
        <v>3222512.0555058396</v>
      </c>
      <c r="D77" s="106">
        <v>21632786.766886879</v>
      </c>
    </row>
    <row r="78" spans="1:14" x14ac:dyDescent="0.2">
      <c r="B78" s="111" t="s">
        <v>98</v>
      </c>
      <c r="C78" s="106">
        <v>3625326.0624440699</v>
      </c>
      <c r="D78" s="106">
        <v>24336885.112747744</v>
      </c>
    </row>
    <row r="79" spans="1:14" x14ac:dyDescent="0.2">
      <c r="B79" s="111" t="s">
        <v>99</v>
      </c>
      <c r="C79" s="106">
        <v>3222512.0555058396</v>
      </c>
      <c r="D79" s="106">
        <v>21632786.766886879</v>
      </c>
    </row>
    <row r="80" spans="1:14" x14ac:dyDescent="0.2">
      <c r="B80" s="111" t="s">
        <v>100</v>
      </c>
      <c r="C80" s="106">
        <v>3222512.0555058396</v>
      </c>
      <c r="D80" s="106">
        <v>21632786.766886879</v>
      </c>
    </row>
    <row r="81" spans="2:50" x14ac:dyDescent="0.2">
      <c r="B81" s="111" t="s">
        <v>101</v>
      </c>
      <c r="C81" s="106">
        <v>3625326.0624440699</v>
      </c>
      <c r="D81" s="106">
        <v>24336885.112747744</v>
      </c>
    </row>
    <row r="82" spans="2:50" x14ac:dyDescent="0.2">
      <c r="B82" s="111" t="s">
        <v>102</v>
      </c>
      <c r="C82" s="106">
        <v>3222512.0555058396</v>
      </c>
      <c r="D82" s="106">
        <v>21632786.766886879</v>
      </c>
    </row>
    <row r="83" spans="2:50" x14ac:dyDescent="0.2">
      <c r="B83" s="111" t="s">
        <v>103</v>
      </c>
      <c r="C83" s="106">
        <v>3222512.0555058396</v>
      </c>
      <c r="D83" s="106">
        <v>21632786.766886879</v>
      </c>
    </row>
    <row r="85" spans="2:50" x14ac:dyDescent="0.2">
      <c r="B85" s="109" t="s">
        <v>333</v>
      </c>
    </row>
    <row r="86" spans="2:50" x14ac:dyDescent="0.2">
      <c r="B86" s="105" t="s">
        <v>274</v>
      </c>
      <c r="C86" s="105" t="s">
        <v>92</v>
      </c>
      <c r="D86" s="107"/>
      <c r="E86" s="107"/>
      <c r="F86" s="107"/>
      <c r="G86" s="105" t="s">
        <v>93</v>
      </c>
      <c r="H86" s="107"/>
      <c r="I86" s="107"/>
      <c r="J86" s="107"/>
      <c r="K86" s="105" t="s">
        <v>94</v>
      </c>
      <c r="L86" s="107"/>
      <c r="M86" s="107"/>
      <c r="N86" s="107"/>
      <c r="O86" s="105" t="s">
        <v>95</v>
      </c>
      <c r="P86" s="107"/>
      <c r="Q86" s="107"/>
      <c r="R86" s="107"/>
      <c r="S86" s="105" t="s">
        <v>96</v>
      </c>
      <c r="T86" s="107"/>
      <c r="U86" s="107"/>
      <c r="V86" s="107"/>
      <c r="W86" s="105" t="s">
        <v>97</v>
      </c>
      <c r="X86" s="107"/>
      <c r="Y86" s="107"/>
      <c r="Z86" s="107"/>
      <c r="AA86" s="105" t="s">
        <v>98</v>
      </c>
      <c r="AB86" s="107"/>
      <c r="AC86" s="107"/>
      <c r="AD86" s="107"/>
      <c r="AE86" s="105" t="s">
        <v>99</v>
      </c>
      <c r="AF86" s="107"/>
      <c r="AG86" s="107"/>
      <c r="AH86" s="107"/>
      <c r="AI86" s="105" t="s">
        <v>100</v>
      </c>
      <c r="AJ86" s="107"/>
      <c r="AK86" s="107"/>
      <c r="AL86" s="107"/>
      <c r="AM86" s="105" t="s">
        <v>101</v>
      </c>
      <c r="AN86" s="107"/>
      <c r="AO86" s="107"/>
      <c r="AP86" s="107"/>
      <c r="AQ86" s="105" t="s">
        <v>102</v>
      </c>
      <c r="AR86" s="107"/>
      <c r="AS86" s="107"/>
      <c r="AT86" s="107"/>
      <c r="AU86" s="105" t="s">
        <v>103</v>
      </c>
      <c r="AV86" s="107"/>
      <c r="AW86" s="107"/>
    </row>
    <row r="87" spans="2:50" x14ac:dyDescent="0.2">
      <c r="B87" s="105" t="s">
        <v>334</v>
      </c>
      <c r="C87" s="105">
        <v>1</v>
      </c>
      <c r="D87" s="105">
        <v>2</v>
      </c>
      <c r="E87" s="105">
        <v>3</v>
      </c>
      <c r="F87" s="105">
        <v>4</v>
      </c>
      <c r="G87" s="105">
        <v>1</v>
      </c>
      <c r="H87" s="105">
        <v>2</v>
      </c>
      <c r="I87" s="105">
        <v>3</v>
      </c>
      <c r="J87" s="105">
        <v>4</v>
      </c>
      <c r="K87" s="105">
        <v>1</v>
      </c>
      <c r="L87" s="105">
        <v>2</v>
      </c>
      <c r="M87" s="105">
        <v>3</v>
      </c>
      <c r="N87" s="105">
        <v>4</v>
      </c>
      <c r="O87" s="105">
        <v>1</v>
      </c>
      <c r="P87" s="105">
        <v>2</v>
      </c>
      <c r="Q87" s="105">
        <v>3</v>
      </c>
      <c r="R87" s="105">
        <v>4</v>
      </c>
      <c r="S87" s="105">
        <v>1</v>
      </c>
      <c r="T87" s="105">
        <v>2</v>
      </c>
      <c r="U87" s="105">
        <v>3</v>
      </c>
      <c r="V87" s="105">
        <v>4</v>
      </c>
      <c r="W87" s="105">
        <v>1</v>
      </c>
      <c r="X87" s="105">
        <v>2</v>
      </c>
      <c r="Y87" s="105">
        <v>3</v>
      </c>
      <c r="Z87" s="105">
        <v>4</v>
      </c>
      <c r="AA87" s="105">
        <v>1</v>
      </c>
      <c r="AB87" s="105">
        <v>2</v>
      </c>
      <c r="AC87" s="105">
        <v>3</v>
      </c>
      <c r="AD87" s="105">
        <v>4</v>
      </c>
      <c r="AE87" s="105">
        <v>1</v>
      </c>
      <c r="AF87" s="105">
        <v>2</v>
      </c>
      <c r="AG87" s="105">
        <v>3</v>
      </c>
      <c r="AH87" s="105">
        <v>4</v>
      </c>
      <c r="AI87" s="105">
        <v>1</v>
      </c>
      <c r="AJ87" s="105">
        <v>2</v>
      </c>
      <c r="AK87" s="105">
        <v>3</v>
      </c>
      <c r="AL87" s="105">
        <v>4</v>
      </c>
      <c r="AM87" s="105">
        <v>1</v>
      </c>
      <c r="AN87" s="105">
        <v>2</v>
      </c>
      <c r="AO87" s="105">
        <v>3</v>
      </c>
      <c r="AP87" s="105">
        <v>4</v>
      </c>
      <c r="AQ87" s="105">
        <v>1</v>
      </c>
      <c r="AR87" s="105">
        <v>2</v>
      </c>
      <c r="AS87" s="105">
        <v>3</v>
      </c>
      <c r="AT87" s="105">
        <v>4</v>
      </c>
      <c r="AU87" s="105">
        <v>1</v>
      </c>
      <c r="AV87" s="105">
        <v>2</v>
      </c>
      <c r="AW87" s="105">
        <v>3</v>
      </c>
      <c r="AX87" s="105">
        <v>4</v>
      </c>
    </row>
    <row r="88" spans="2:50" x14ac:dyDescent="0.2">
      <c r="B88" s="105" t="s">
        <v>104</v>
      </c>
      <c r="C88" s="106">
        <f>C48+$C$67/4</f>
        <v>0</v>
      </c>
      <c r="D88" s="106">
        <f>D48+$C$67/4</f>
        <v>0</v>
      </c>
      <c r="E88" s="106">
        <f>E48+$C$67/4</f>
        <v>0</v>
      </c>
      <c r="F88" s="106">
        <f>F48+$C$67/4</f>
        <v>0</v>
      </c>
      <c r="G88" s="106">
        <f>G48+$D$67/4</f>
        <v>0</v>
      </c>
      <c r="H88" s="106">
        <f>H48+$D$67/4</f>
        <v>0</v>
      </c>
      <c r="I88" s="106">
        <f>I48+$D$67/4</f>
        <v>0</v>
      </c>
      <c r="J88" s="106">
        <f>J48+$D$67/4</f>
        <v>0</v>
      </c>
      <c r="K88" s="106">
        <f>K48+$E$67/4</f>
        <v>0</v>
      </c>
      <c r="L88" s="106">
        <f>L48+$E$67/4</f>
        <v>0</v>
      </c>
      <c r="M88" s="106">
        <f>M48+$E$67/4</f>
        <v>0</v>
      </c>
      <c r="N88" s="106">
        <f>N48+$E$67/4</f>
        <v>0</v>
      </c>
      <c r="O88" s="106">
        <f>O48+$F$67/4</f>
        <v>0</v>
      </c>
      <c r="P88" s="106">
        <f>P48+$F$67/4</f>
        <v>0</v>
      </c>
      <c r="Q88" s="106">
        <f>Q48+$F$67/4</f>
        <v>0</v>
      </c>
      <c r="R88" s="106">
        <f>R48+$F$67/4</f>
        <v>0</v>
      </c>
      <c r="S88" s="106">
        <f>S48+$G$67/4</f>
        <v>0</v>
      </c>
      <c r="T88" s="106">
        <f>T48+$G$67/4</f>
        <v>0</v>
      </c>
      <c r="U88" s="106">
        <f>U48+$G$67/4</f>
        <v>0</v>
      </c>
      <c r="V88" s="106">
        <f>V48+$G$67/4</f>
        <v>0</v>
      </c>
      <c r="W88" s="106">
        <f>W48+$H$67/4</f>
        <v>0</v>
      </c>
      <c r="X88" s="106">
        <f>X48+$H$67/4</f>
        <v>0</v>
      </c>
      <c r="Y88" s="106">
        <f>Y48+$H$67/4</f>
        <v>0</v>
      </c>
      <c r="Z88" s="106">
        <f>Z48+$H$67/4</f>
        <v>0</v>
      </c>
      <c r="AA88" s="106">
        <f>AA48+$I$67/4</f>
        <v>0</v>
      </c>
      <c r="AB88" s="106">
        <f>AB48+$I$67/4</f>
        <v>0</v>
      </c>
      <c r="AC88" s="106">
        <f>AC48+$I$67/4</f>
        <v>0</v>
      </c>
      <c r="AD88" s="106">
        <f>AD48+$I$67/4</f>
        <v>0</v>
      </c>
      <c r="AE88" s="106">
        <f>AE48+$J$67/4</f>
        <v>0</v>
      </c>
      <c r="AF88" s="106">
        <f>AF48+$J$67/4</f>
        <v>0</v>
      </c>
      <c r="AG88" s="106">
        <f>AG48+$J$67/4</f>
        <v>0</v>
      </c>
      <c r="AH88" s="106">
        <f>AH48+$J$67/4</f>
        <v>0</v>
      </c>
      <c r="AI88" s="106">
        <f>AI48+$K$67/4</f>
        <v>0</v>
      </c>
      <c r="AJ88" s="106">
        <f>AJ48+$K$67/4</f>
        <v>0</v>
      </c>
      <c r="AK88" s="106">
        <f>AK48+$K$67/4</f>
        <v>0</v>
      </c>
      <c r="AL88" s="106">
        <f>AL48+$K$67/4</f>
        <v>0</v>
      </c>
      <c r="AM88" s="106">
        <f>AM48+$L$67/4</f>
        <v>0</v>
      </c>
      <c r="AN88" s="106">
        <f>AN48+$L$67/4</f>
        <v>0</v>
      </c>
      <c r="AO88" s="106">
        <f>AO48+$L$67/4</f>
        <v>0</v>
      </c>
      <c r="AP88" s="106">
        <f>AP48+$L$67/4</f>
        <v>0</v>
      </c>
      <c r="AQ88" s="106">
        <f>AQ48+$M$67/4</f>
        <v>0</v>
      </c>
      <c r="AR88" s="106">
        <f>AR48+$M$67/4</f>
        <v>0</v>
      </c>
      <c r="AS88" s="106">
        <f>AS48+$M$67/4</f>
        <v>0</v>
      </c>
      <c r="AT88" s="106">
        <f>AT48+$M$67/4</f>
        <v>0</v>
      </c>
      <c r="AU88" s="106">
        <f>AU48+$N$67/4</f>
        <v>0</v>
      </c>
      <c r="AV88" s="106">
        <f>AV48+$N$67/4</f>
        <v>0</v>
      </c>
      <c r="AW88" s="106">
        <f>AW48+$N$67/4</f>
        <v>0</v>
      </c>
      <c r="AX88" s="106">
        <f>AX48+$N$67/4</f>
        <v>0</v>
      </c>
    </row>
    <row r="89" spans="2:50" x14ac:dyDescent="0.2">
      <c r="B89" s="105" t="s">
        <v>105</v>
      </c>
      <c r="C89" s="106">
        <f>C49</f>
        <v>3203.3999387586405</v>
      </c>
      <c r="D89" s="106">
        <f t="shared" ref="D89:AX93" si="3">D49</f>
        <v>3203.3999387586405</v>
      </c>
      <c r="E89" s="106">
        <f t="shared" si="3"/>
        <v>3203.3999387586405</v>
      </c>
      <c r="F89" s="106">
        <f t="shared" si="3"/>
        <v>3203.3999387586405</v>
      </c>
      <c r="G89" s="106">
        <f t="shared" si="3"/>
        <v>3203.3999387586405</v>
      </c>
      <c r="H89" s="106">
        <f t="shared" si="3"/>
        <v>3203.3999387586405</v>
      </c>
      <c r="I89" s="106">
        <f t="shared" si="3"/>
        <v>3203.3999387586405</v>
      </c>
      <c r="J89" s="106">
        <f t="shared" si="3"/>
        <v>3203.3999387586405</v>
      </c>
      <c r="K89" s="106">
        <f t="shared" si="3"/>
        <v>3203.3999387586405</v>
      </c>
      <c r="L89" s="106">
        <f t="shared" si="3"/>
        <v>3203.3999387586405</v>
      </c>
      <c r="M89" s="106">
        <f t="shared" si="3"/>
        <v>3203.3999387586405</v>
      </c>
      <c r="N89" s="106">
        <f t="shared" si="3"/>
        <v>3203.3999387586405</v>
      </c>
      <c r="O89" s="106">
        <f t="shared" si="3"/>
        <v>1542.7276986268589</v>
      </c>
      <c r="P89" s="106">
        <f t="shared" si="3"/>
        <v>3203.3999387586405</v>
      </c>
      <c r="Q89" s="106">
        <f t="shared" si="3"/>
        <v>3203.3999387586405</v>
      </c>
      <c r="R89" s="106">
        <f t="shared" si="3"/>
        <v>3203.3999387586405</v>
      </c>
      <c r="S89" s="106">
        <f t="shared" si="3"/>
        <v>3203.3999387586405</v>
      </c>
      <c r="T89" s="106">
        <f t="shared" si="3"/>
        <v>3203.3999387586405</v>
      </c>
      <c r="U89" s="106">
        <f t="shared" si="3"/>
        <v>3203.3999387586405</v>
      </c>
      <c r="V89" s="106">
        <f t="shared" si="3"/>
        <v>3203.3999387586405</v>
      </c>
      <c r="W89" s="106">
        <f t="shared" si="3"/>
        <v>3203.3999387586405</v>
      </c>
      <c r="X89" s="106">
        <f t="shared" si="3"/>
        <v>3203.3999387586405</v>
      </c>
      <c r="Y89" s="106">
        <f t="shared" si="3"/>
        <v>3203.3999387586405</v>
      </c>
      <c r="Z89" s="106">
        <f t="shared" si="3"/>
        <v>3203.3999387586405</v>
      </c>
      <c r="AA89" s="106">
        <f t="shared" si="3"/>
        <v>3203.3999387586405</v>
      </c>
      <c r="AB89" s="106">
        <f t="shared" si="3"/>
        <v>3203.3999387586405</v>
      </c>
      <c r="AC89" s="106">
        <f t="shared" si="3"/>
        <v>3203.3999387586405</v>
      </c>
      <c r="AD89" s="106">
        <f t="shared" si="3"/>
        <v>3203.3999387586405</v>
      </c>
      <c r="AE89" s="106">
        <f t="shared" si="3"/>
        <v>3203.3999387586405</v>
      </c>
      <c r="AF89" s="106">
        <f t="shared" si="3"/>
        <v>3203.3999387586405</v>
      </c>
      <c r="AG89" s="106">
        <f t="shared" si="3"/>
        <v>3203.3999387586405</v>
      </c>
      <c r="AH89" s="106">
        <f t="shared" si="3"/>
        <v>3203.3999387586405</v>
      </c>
      <c r="AI89" s="106">
        <f t="shared" si="3"/>
        <v>3203.3999387586405</v>
      </c>
      <c r="AJ89" s="106">
        <f t="shared" si="3"/>
        <v>3203.3999387586405</v>
      </c>
      <c r="AK89" s="106">
        <f t="shared" si="3"/>
        <v>3203.3999387586405</v>
      </c>
      <c r="AL89" s="106">
        <f t="shared" si="3"/>
        <v>3203.3999387586405</v>
      </c>
      <c r="AM89" s="106">
        <f t="shared" si="3"/>
        <v>3203.3999387586405</v>
      </c>
      <c r="AN89" s="106">
        <f t="shared" si="3"/>
        <v>3203.3999387586405</v>
      </c>
      <c r="AO89" s="106">
        <f t="shared" si="3"/>
        <v>3203.3999387586405</v>
      </c>
      <c r="AP89" s="106">
        <f t="shared" si="3"/>
        <v>3203.3999387586405</v>
      </c>
      <c r="AQ89" s="106">
        <f t="shared" si="3"/>
        <v>3203.3999387586405</v>
      </c>
      <c r="AR89" s="106">
        <f t="shared" si="3"/>
        <v>3203.3999387586405</v>
      </c>
      <c r="AS89" s="106">
        <f t="shared" si="3"/>
        <v>3203.3999387586405</v>
      </c>
      <c r="AT89" s="106">
        <f t="shared" si="3"/>
        <v>3203.3999387586405</v>
      </c>
      <c r="AU89" s="106">
        <f t="shared" si="3"/>
        <v>3203.3999387586405</v>
      </c>
      <c r="AV89" s="106">
        <f t="shared" si="3"/>
        <v>3203.3999387586405</v>
      </c>
      <c r="AW89" s="106">
        <f t="shared" si="3"/>
        <v>3203.3999387586405</v>
      </c>
      <c r="AX89" s="106">
        <f t="shared" si="3"/>
        <v>3203.3999387586405</v>
      </c>
    </row>
    <row r="90" spans="2:50" x14ac:dyDescent="0.2">
      <c r="B90" s="105" t="s">
        <v>106</v>
      </c>
      <c r="C90" s="106">
        <f t="shared" ref="C90:R93" si="4">C50</f>
        <v>2958.1665880602222</v>
      </c>
      <c r="D90" s="106">
        <f t="shared" si="4"/>
        <v>2958.1665880602222</v>
      </c>
      <c r="E90" s="106">
        <f t="shared" si="4"/>
        <v>2958.1665880602222</v>
      </c>
      <c r="F90" s="106">
        <f t="shared" si="4"/>
        <v>2958.1665880602222</v>
      </c>
      <c r="G90" s="106">
        <f t="shared" si="4"/>
        <v>2958.1665880602222</v>
      </c>
      <c r="H90" s="106">
        <f t="shared" si="4"/>
        <v>2958.1665880602222</v>
      </c>
      <c r="I90" s="106">
        <f t="shared" si="4"/>
        <v>2958.1665880602222</v>
      </c>
      <c r="J90" s="106">
        <f t="shared" si="4"/>
        <v>2958.1665880602222</v>
      </c>
      <c r="K90" s="106">
        <f t="shared" si="4"/>
        <v>2958.1665880602222</v>
      </c>
      <c r="L90" s="106">
        <f t="shared" si="4"/>
        <v>2958.1665880602222</v>
      </c>
      <c r="M90" s="106">
        <f t="shared" si="4"/>
        <v>2958.1665880602222</v>
      </c>
      <c r="N90" s="106">
        <f t="shared" si="4"/>
        <v>2958.1665880602222</v>
      </c>
      <c r="O90" s="106">
        <f t="shared" si="4"/>
        <v>2958.1665880602222</v>
      </c>
      <c r="P90" s="106">
        <f t="shared" si="4"/>
        <v>2958.1665880602222</v>
      </c>
      <c r="Q90" s="106">
        <f t="shared" si="4"/>
        <v>2958.1665880602222</v>
      </c>
      <c r="R90" s="106">
        <f t="shared" si="4"/>
        <v>2958.1665880602222</v>
      </c>
      <c r="S90" s="106">
        <f t="shared" si="3"/>
        <v>2958.1665880602222</v>
      </c>
      <c r="T90" s="106">
        <f t="shared" si="3"/>
        <v>2958.1665880602222</v>
      </c>
      <c r="U90" s="106">
        <f t="shared" si="3"/>
        <v>2958.1665880602222</v>
      </c>
      <c r="V90" s="106">
        <f t="shared" si="3"/>
        <v>2958.1665880602222</v>
      </c>
      <c r="W90" s="106">
        <f t="shared" si="3"/>
        <v>2958.1665880602222</v>
      </c>
      <c r="X90" s="106">
        <f t="shared" si="3"/>
        <v>2958.1665880602222</v>
      </c>
      <c r="Y90" s="106">
        <f t="shared" si="3"/>
        <v>2958.1665880602222</v>
      </c>
      <c r="Z90" s="106">
        <f t="shared" si="3"/>
        <v>2958.1665880602222</v>
      </c>
      <c r="AA90" s="106">
        <f t="shared" si="3"/>
        <v>2958.1665880602222</v>
      </c>
      <c r="AB90" s="106">
        <f t="shared" si="3"/>
        <v>2958.1665880602222</v>
      </c>
      <c r="AC90" s="106">
        <f t="shared" si="3"/>
        <v>2116.8624246724253</v>
      </c>
      <c r="AD90" s="106">
        <f t="shared" si="3"/>
        <v>2958.1665880602222</v>
      </c>
      <c r="AE90" s="106">
        <f t="shared" si="3"/>
        <v>531.29687389247601</v>
      </c>
      <c r="AF90" s="106">
        <f t="shared" si="3"/>
        <v>532.3306496245857</v>
      </c>
      <c r="AG90" s="106">
        <f t="shared" si="3"/>
        <v>2958.1665880602222</v>
      </c>
      <c r="AH90" s="106">
        <f t="shared" si="3"/>
        <v>2958.1665880602222</v>
      </c>
      <c r="AI90" s="106">
        <f t="shared" si="3"/>
        <v>2958.1665880602222</v>
      </c>
      <c r="AJ90" s="106">
        <f t="shared" si="3"/>
        <v>2958.1665880602222</v>
      </c>
      <c r="AK90" s="106">
        <f t="shared" si="3"/>
        <v>2958.1665880602222</v>
      </c>
      <c r="AL90" s="106">
        <f t="shared" si="3"/>
        <v>2958.1665880602222</v>
      </c>
      <c r="AM90" s="106">
        <f t="shared" si="3"/>
        <v>2958.1665880602222</v>
      </c>
      <c r="AN90" s="106">
        <f t="shared" si="3"/>
        <v>2958.1665880602222</v>
      </c>
      <c r="AO90" s="106">
        <f t="shared" si="3"/>
        <v>2958.1665880602222</v>
      </c>
      <c r="AP90" s="106">
        <f t="shared" si="3"/>
        <v>2958.1665880602222</v>
      </c>
      <c r="AQ90" s="106">
        <f t="shared" si="3"/>
        <v>2958.1665880602222</v>
      </c>
      <c r="AR90" s="106">
        <f t="shared" si="3"/>
        <v>544.31504319060355</v>
      </c>
      <c r="AS90" s="106">
        <f t="shared" si="3"/>
        <v>2958.1665880602222</v>
      </c>
      <c r="AT90" s="106">
        <f t="shared" si="3"/>
        <v>2958.1665880602222</v>
      </c>
      <c r="AU90" s="106">
        <f t="shared" si="3"/>
        <v>2958.1665880602222</v>
      </c>
      <c r="AV90" s="106">
        <f t="shared" si="3"/>
        <v>2958.1665880602222</v>
      </c>
      <c r="AW90" s="106">
        <f t="shared" si="3"/>
        <v>2196.1532917444638</v>
      </c>
      <c r="AX90" s="106">
        <f t="shared" si="3"/>
        <v>2958.1665880602222</v>
      </c>
    </row>
    <row r="91" spans="2:50" x14ac:dyDescent="0.2">
      <c r="B91" s="105" t="s">
        <v>107</v>
      </c>
      <c r="C91" s="106">
        <f t="shared" si="4"/>
        <v>0</v>
      </c>
      <c r="D91" s="106">
        <f t="shared" si="3"/>
        <v>0</v>
      </c>
      <c r="E91" s="106">
        <f t="shared" si="3"/>
        <v>0</v>
      </c>
      <c r="F91" s="106">
        <f t="shared" si="3"/>
        <v>0</v>
      </c>
      <c r="G91" s="106">
        <f t="shared" si="3"/>
        <v>0</v>
      </c>
      <c r="H91" s="106">
        <f t="shared" si="3"/>
        <v>0</v>
      </c>
      <c r="I91" s="106">
        <f t="shared" si="3"/>
        <v>0</v>
      </c>
      <c r="J91" s="106">
        <f t="shared" si="3"/>
        <v>0</v>
      </c>
      <c r="K91" s="106">
        <f t="shared" si="3"/>
        <v>0</v>
      </c>
      <c r="L91" s="106">
        <f t="shared" si="3"/>
        <v>0</v>
      </c>
      <c r="M91" s="106">
        <f t="shared" si="3"/>
        <v>0</v>
      </c>
      <c r="N91" s="106">
        <f t="shared" si="3"/>
        <v>0</v>
      </c>
      <c r="O91" s="106">
        <f t="shared" si="3"/>
        <v>0</v>
      </c>
      <c r="P91" s="106">
        <f t="shared" si="3"/>
        <v>0</v>
      </c>
      <c r="Q91" s="106">
        <f t="shared" si="3"/>
        <v>0</v>
      </c>
      <c r="R91" s="106">
        <f t="shared" si="3"/>
        <v>0</v>
      </c>
      <c r="S91" s="106">
        <f t="shared" si="3"/>
        <v>0</v>
      </c>
      <c r="T91" s="106">
        <f t="shared" si="3"/>
        <v>0</v>
      </c>
      <c r="U91" s="106">
        <f t="shared" si="3"/>
        <v>0</v>
      </c>
      <c r="V91" s="106">
        <f t="shared" si="3"/>
        <v>0</v>
      </c>
      <c r="W91" s="106">
        <f t="shared" si="3"/>
        <v>0</v>
      </c>
      <c r="X91" s="106">
        <f t="shared" si="3"/>
        <v>0</v>
      </c>
      <c r="Y91" s="106">
        <f t="shared" si="3"/>
        <v>0</v>
      </c>
      <c r="Z91" s="106">
        <f t="shared" si="3"/>
        <v>0</v>
      </c>
      <c r="AA91" s="106">
        <f t="shared" si="3"/>
        <v>0</v>
      </c>
      <c r="AB91" s="106">
        <f t="shared" si="3"/>
        <v>0</v>
      </c>
      <c r="AC91" s="106">
        <f t="shared" si="3"/>
        <v>0</v>
      </c>
      <c r="AD91" s="106">
        <f t="shared" si="3"/>
        <v>0</v>
      </c>
      <c r="AE91" s="106">
        <f t="shared" si="3"/>
        <v>0</v>
      </c>
      <c r="AF91" s="106">
        <f t="shared" si="3"/>
        <v>0</v>
      </c>
      <c r="AG91" s="106">
        <f t="shared" si="3"/>
        <v>0</v>
      </c>
      <c r="AH91" s="106">
        <f t="shared" si="3"/>
        <v>0</v>
      </c>
      <c r="AI91" s="106">
        <f t="shared" si="3"/>
        <v>0</v>
      </c>
      <c r="AJ91" s="106">
        <f t="shared" si="3"/>
        <v>0</v>
      </c>
      <c r="AK91" s="106">
        <f t="shared" si="3"/>
        <v>0</v>
      </c>
      <c r="AL91" s="106">
        <f t="shared" si="3"/>
        <v>0</v>
      </c>
      <c r="AM91" s="106">
        <f t="shared" si="3"/>
        <v>0</v>
      </c>
      <c r="AN91" s="106">
        <f t="shared" si="3"/>
        <v>0</v>
      </c>
      <c r="AO91" s="106">
        <f t="shared" si="3"/>
        <v>0</v>
      </c>
      <c r="AP91" s="106">
        <f t="shared" si="3"/>
        <v>0</v>
      </c>
      <c r="AQ91" s="106">
        <f t="shared" si="3"/>
        <v>0</v>
      </c>
      <c r="AR91" s="106">
        <f t="shared" si="3"/>
        <v>0</v>
      </c>
      <c r="AS91" s="106">
        <f t="shared" si="3"/>
        <v>0</v>
      </c>
      <c r="AT91" s="106">
        <f t="shared" si="3"/>
        <v>0</v>
      </c>
      <c r="AU91" s="106">
        <f t="shared" si="3"/>
        <v>0</v>
      </c>
      <c r="AV91" s="106">
        <f t="shared" si="3"/>
        <v>0</v>
      </c>
      <c r="AW91" s="106">
        <f t="shared" si="3"/>
        <v>0</v>
      </c>
      <c r="AX91" s="106">
        <f t="shared" si="3"/>
        <v>0</v>
      </c>
    </row>
    <row r="92" spans="2:50" x14ac:dyDescent="0.2">
      <c r="B92" s="105" t="s">
        <v>108</v>
      </c>
      <c r="C92" s="106">
        <f t="shared" si="4"/>
        <v>0</v>
      </c>
      <c r="D92" s="106">
        <f t="shared" si="4"/>
        <v>0</v>
      </c>
      <c r="E92" s="106">
        <f t="shared" si="4"/>
        <v>0</v>
      </c>
      <c r="F92" s="106">
        <f t="shared" si="4"/>
        <v>0</v>
      </c>
      <c r="G92" s="106">
        <f t="shared" si="4"/>
        <v>0</v>
      </c>
      <c r="H92" s="106">
        <f t="shared" si="4"/>
        <v>0</v>
      </c>
      <c r="I92" s="106">
        <f t="shared" si="4"/>
        <v>0</v>
      </c>
      <c r="J92" s="106">
        <f t="shared" si="4"/>
        <v>0</v>
      </c>
      <c r="K92" s="106">
        <f t="shared" si="4"/>
        <v>0</v>
      </c>
      <c r="L92" s="106">
        <f t="shared" si="4"/>
        <v>0</v>
      </c>
      <c r="M92" s="106">
        <f t="shared" si="4"/>
        <v>0</v>
      </c>
      <c r="N92" s="106">
        <f t="shared" si="4"/>
        <v>0</v>
      </c>
      <c r="O92" s="106">
        <f t="shared" si="4"/>
        <v>0</v>
      </c>
      <c r="P92" s="106">
        <f t="shared" si="4"/>
        <v>0</v>
      </c>
      <c r="Q92" s="106">
        <f t="shared" si="4"/>
        <v>0</v>
      </c>
      <c r="R92" s="106">
        <f t="shared" si="4"/>
        <v>0</v>
      </c>
      <c r="S92" s="106">
        <f t="shared" si="3"/>
        <v>0</v>
      </c>
      <c r="T92" s="106">
        <f t="shared" si="3"/>
        <v>0</v>
      </c>
      <c r="U92" s="106">
        <f t="shared" si="3"/>
        <v>0</v>
      </c>
      <c r="V92" s="106">
        <f t="shared" si="3"/>
        <v>0</v>
      </c>
      <c r="W92" s="106">
        <f t="shared" si="3"/>
        <v>0</v>
      </c>
      <c r="X92" s="106">
        <f t="shared" si="3"/>
        <v>0</v>
      </c>
      <c r="Y92" s="106">
        <f t="shared" si="3"/>
        <v>0</v>
      </c>
      <c r="Z92" s="106">
        <f t="shared" si="3"/>
        <v>0</v>
      </c>
      <c r="AA92" s="106">
        <f t="shared" si="3"/>
        <v>0</v>
      </c>
      <c r="AB92" s="106">
        <f t="shared" si="3"/>
        <v>0</v>
      </c>
      <c r="AC92" s="106">
        <f t="shared" si="3"/>
        <v>0</v>
      </c>
      <c r="AD92" s="106">
        <f t="shared" si="3"/>
        <v>0</v>
      </c>
      <c r="AE92" s="106">
        <f t="shared" si="3"/>
        <v>0</v>
      </c>
      <c r="AF92" s="106">
        <f t="shared" si="3"/>
        <v>0</v>
      </c>
      <c r="AG92" s="106">
        <f t="shared" si="3"/>
        <v>0</v>
      </c>
      <c r="AH92" s="106">
        <f t="shared" si="3"/>
        <v>0</v>
      </c>
      <c r="AI92" s="106">
        <f t="shared" si="3"/>
        <v>0</v>
      </c>
      <c r="AJ92" s="106">
        <f t="shared" si="3"/>
        <v>0</v>
      </c>
      <c r="AK92" s="106">
        <f t="shared" si="3"/>
        <v>0</v>
      </c>
      <c r="AL92" s="106">
        <f t="shared" si="3"/>
        <v>0</v>
      </c>
      <c r="AM92" s="106">
        <f t="shared" si="3"/>
        <v>0</v>
      </c>
      <c r="AN92" s="106">
        <f t="shared" si="3"/>
        <v>0</v>
      </c>
      <c r="AO92" s="106">
        <f t="shared" si="3"/>
        <v>0</v>
      </c>
      <c r="AP92" s="106">
        <f t="shared" si="3"/>
        <v>0</v>
      </c>
      <c r="AQ92" s="106">
        <f t="shared" si="3"/>
        <v>0</v>
      </c>
      <c r="AR92" s="106">
        <f t="shared" si="3"/>
        <v>0</v>
      </c>
      <c r="AS92" s="106">
        <f t="shared" si="3"/>
        <v>0</v>
      </c>
      <c r="AT92" s="106">
        <f t="shared" si="3"/>
        <v>0</v>
      </c>
      <c r="AU92" s="106">
        <f t="shared" si="3"/>
        <v>0</v>
      </c>
      <c r="AV92" s="106">
        <f t="shared" si="3"/>
        <v>0</v>
      </c>
      <c r="AW92" s="106">
        <f t="shared" si="3"/>
        <v>0</v>
      </c>
      <c r="AX92" s="106">
        <f t="shared" si="3"/>
        <v>0</v>
      </c>
    </row>
    <row r="93" spans="2:50" x14ac:dyDescent="0.2">
      <c r="B93" s="105" t="s">
        <v>109</v>
      </c>
      <c r="C93" s="106">
        <f t="shared" si="4"/>
        <v>0</v>
      </c>
      <c r="D93" s="106">
        <f t="shared" si="4"/>
        <v>0</v>
      </c>
      <c r="E93" s="106">
        <f t="shared" si="4"/>
        <v>0</v>
      </c>
      <c r="F93" s="106">
        <f t="shared" si="4"/>
        <v>0</v>
      </c>
      <c r="G93" s="106">
        <f t="shared" si="4"/>
        <v>0</v>
      </c>
      <c r="H93" s="106">
        <f t="shared" si="4"/>
        <v>0</v>
      </c>
      <c r="I93" s="106">
        <f t="shared" si="4"/>
        <v>0</v>
      </c>
      <c r="J93" s="106">
        <f t="shared" si="4"/>
        <v>0</v>
      </c>
      <c r="K93" s="106">
        <f t="shared" si="4"/>
        <v>0</v>
      </c>
      <c r="L93" s="106">
        <f t="shared" si="4"/>
        <v>0</v>
      </c>
      <c r="M93" s="106">
        <f t="shared" si="4"/>
        <v>0</v>
      </c>
      <c r="N93" s="106">
        <f t="shared" si="4"/>
        <v>0</v>
      </c>
      <c r="O93" s="106">
        <f t="shared" si="4"/>
        <v>0</v>
      </c>
      <c r="P93" s="106">
        <f t="shared" si="4"/>
        <v>0</v>
      </c>
      <c r="Q93" s="106">
        <f t="shared" si="4"/>
        <v>0</v>
      </c>
      <c r="R93" s="106">
        <f t="shared" si="4"/>
        <v>0</v>
      </c>
      <c r="S93" s="106">
        <f t="shared" si="3"/>
        <v>0</v>
      </c>
      <c r="T93" s="106">
        <f t="shared" si="3"/>
        <v>0</v>
      </c>
      <c r="U93" s="106">
        <f t="shared" si="3"/>
        <v>0</v>
      </c>
      <c r="V93" s="106">
        <f t="shared" si="3"/>
        <v>0</v>
      </c>
      <c r="W93" s="106">
        <f t="shared" si="3"/>
        <v>0</v>
      </c>
      <c r="X93" s="106">
        <f t="shared" si="3"/>
        <v>0</v>
      </c>
      <c r="Y93" s="106">
        <f t="shared" si="3"/>
        <v>0</v>
      </c>
      <c r="Z93" s="106">
        <f t="shared" si="3"/>
        <v>0</v>
      </c>
      <c r="AA93" s="106">
        <f t="shared" si="3"/>
        <v>0</v>
      </c>
      <c r="AB93" s="106">
        <f t="shared" si="3"/>
        <v>0</v>
      </c>
      <c r="AC93" s="106">
        <f t="shared" si="3"/>
        <v>0</v>
      </c>
      <c r="AD93" s="106">
        <f t="shared" si="3"/>
        <v>0</v>
      </c>
      <c r="AE93" s="106">
        <f t="shared" si="3"/>
        <v>0</v>
      </c>
      <c r="AF93" s="106">
        <f t="shared" si="3"/>
        <v>0</v>
      </c>
      <c r="AG93" s="106">
        <f t="shared" si="3"/>
        <v>0</v>
      </c>
      <c r="AH93" s="106">
        <f t="shared" si="3"/>
        <v>0</v>
      </c>
      <c r="AI93" s="106">
        <f t="shared" si="3"/>
        <v>0</v>
      </c>
      <c r="AJ93" s="106">
        <f t="shared" si="3"/>
        <v>0</v>
      </c>
      <c r="AK93" s="106">
        <f t="shared" si="3"/>
        <v>0</v>
      </c>
      <c r="AL93" s="106">
        <f t="shared" si="3"/>
        <v>0</v>
      </c>
      <c r="AM93" s="106">
        <f t="shared" si="3"/>
        <v>0</v>
      </c>
      <c r="AN93" s="106">
        <f t="shared" si="3"/>
        <v>0</v>
      </c>
      <c r="AO93" s="106">
        <f t="shared" si="3"/>
        <v>0</v>
      </c>
      <c r="AP93" s="106">
        <f t="shared" si="3"/>
        <v>0</v>
      </c>
      <c r="AQ93" s="106">
        <f t="shared" si="3"/>
        <v>0</v>
      </c>
      <c r="AR93" s="106">
        <f t="shared" si="3"/>
        <v>0</v>
      </c>
      <c r="AS93" s="106">
        <f t="shared" si="3"/>
        <v>0</v>
      </c>
      <c r="AT93" s="106">
        <f t="shared" si="3"/>
        <v>0</v>
      </c>
      <c r="AU93" s="106">
        <f t="shared" si="3"/>
        <v>0</v>
      </c>
      <c r="AV93" s="106">
        <f t="shared" si="3"/>
        <v>0</v>
      </c>
      <c r="AW93" s="106">
        <f t="shared" si="3"/>
        <v>0</v>
      </c>
      <c r="AX93" s="106">
        <f t="shared" si="3"/>
        <v>0</v>
      </c>
    </row>
    <row r="94" spans="2:50" x14ac:dyDescent="0.2">
      <c r="B94" s="107"/>
    </row>
    <row r="95" spans="2:50" x14ac:dyDescent="0.2">
      <c r="B95" s="180" t="s">
        <v>335</v>
      </c>
    </row>
    <row r="96" spans="2:50" x14ac:dyDescent="0.2">
      <c r="B96" s="181"/>
      <c r="C96" s="111" t="s">
        <v>92</v>
      </c>
      <c r="D96" s="107"/>
      <c r="E96" s="107"/>
      <c r="F96" s="107"/>
      <c r="G96" s="111" t="s">
        <v>93</v>
      </c>
      <c r="H96" s="107"/>
      <c r="I96" s="107"/>
      <c r="J96" s="107"/>
      <c r="K96" s="111" t="s">
        <v>94</v>
      </c>
      <c r="L96" s="107"/>
      <c r="M96" s="107"/>
      <c r="N96" s="107"/>
      <c r="O96" s="111" t="s">
        <v>95</v>
      </c>
      <c r="P96" s="107"/>
      <c r="Q96" s="107"/>
      <c r="R96" s="107"/>
      <c r="S96" s="111" t="s">
        <v>96</v>
      </c>
      <c r="T96" s="107"/>
      <c r="U96" s="107"/>
      <c r="V96" s="107"/>
      <c r="W96" s="111" t="s">
        <v>97</v>
      </c>
      <c r="X96" s="107"/>
      <c r="Y96" s="107"/>
      <c r="Z96" s="107"/>
      <c r="AA96" s="111" t="s">
        <v>98</v>
      </c>
      <c r="AB96" s="107"/>
      <c r="AC96" s="107"/>
      <c r="AD96" s="107"/>
      <c r="AE96" s="111" t="s">
        <v>99</v>
      </c>
      <c r="AF96" s="107"/>
      <c r="AG96" s="107"/>
      <c r="AH96" s="107"/>
      <c r="AI96" s="111" t="s">
        <v>100</v>
      </c>
      <c r="AJ96" s="107"/>
      <c r="AK96" s="107"/>
      <c r="AL96" s="107"/>
      <c r="AM96" s="111" t="s">
        <v>101</v>
      </c>
      <c r="AN96" s="107"/>
      <c r="AO96" s="107"/>
      <c r="AP96" s="107"/>
      <c r="AQ96" s="111" t="s">
        <v>102</v>
      </c>
      <c r="AR96" s="107"/>
      <c r="AS96" s="107"/>
      <c r="AT96" s="107"/>
      <c r="AU96" s="111" t="s">
        <v>103</v>
      </c>
      <c r="AV96" s="107"/>
      <c r="AW96" s="107"/>
    </row>
    <row r="97" spans="1:50" x14ac:dyDescent="0.2">
      <c r="A97" s="182" t="s">
        <v>121</v>
      </c>
      <c r="B97" s="182" t="s">
        <v>336</v>
      </c>
      <c r="C97" s="111">
        <v>1</v>
      </c>
      <c r="D97" s="111">
        <v>2</v>
      </c>
      <c r="E97" s="111">
        <v>3</v>
      </c>
      <c r="F97" s="111">
        <v>4</v>
      </c>
      <c r="G97" s="111">
        <v>1</v>
      </c>
      <c r="H97" s="111">
        <v>2</v>
      </c>
      <c r="I97" s="111">
        <v>3</v>
      </c>
      <c r="J97" s="111">
        <v>4</v>
      </c>
      <c r="K97" s="111">
        <v>1</v>
      </c>
      <c r="L97" s="111">
        <v>2</v>
      </c>
      <c r="M97" s="111">
        <v>3</v>
      </c>
      <c r="N97" s="111">
        <v>4</v>
      </c>
      <c r="O97" s="111">
        <v>1</v>
      </c>
      <c r="P97" s="111">
        <v>2</v>
      </c>
      <c r="Q97" s="111">
        <v>3</v>
      </c>
      <c r="R97" s="111">
        <v>4</v>
      </c>
      <c r="S97" s="111">
        <v>1</v>
      </c>
      <c r="T97" s="111">
        <v>2</v>
      </c>
      <c r="U97" s="111">
        <v>3</v>
      </c>
      <c r="V97" s="111">
        <v>4</v>
      </c>
      <c r="W97" s="111">
        <v>1</v>
      </c>
      <c r="X97" s="111">
        <v>2</v>
      </c>
      <c r="Y97" s="111">
        <v>3</v>
      </c>
      <c r="Z97" s="111">
        <v>4</v>
      </c>
      <c r="AA97" s="111">
        <v>1</v>
      </c>
      <c r="AB97" s="111">
        <v>2</v>
      </c>
      <c r="AC97" s="111">
        <v>3</v>
      </c>
      <c r="AD97" s="111">
        <v>4</v>
      </c>
      <c r="AE97" s="111">
        <v>1</v>
      </c>
      <c r="AF97" s="111">
        <v>2</v>
      </c>
      <c r="AG97" s="111">
        <v>3</v>
      </c>
      <c r="AH97" s="111">
        <v>4</v>
      </c>
      <c r="AI97" s="111">
        <v>1</v>
      </c>
      <c r="AJ97" s="111">
        <v>2</v>
      </c>
      <c r="AK97" s="111">
        <v>3</v>
      </c>
      <c r="AL97" s="111">
        <v>4</v>
      </c>
      <c r="AM97" s="111">
        <v>1</v>
      </c>
      <c r="AN97" s="111">
        <v>2</v>
      </c>
      <c r="AO97" s="111">
        <v>3</v>
      </c>
      <c r="AP97" s="111">
        <v>4</v>
      </c>
      <c r="AQ97" s="111">
        <v>1</v>
      </c>
      <c r="AR97" s="111">
        <v>2</v>
      </c>
      <c r="AS97" s="111">
        <v>3</v>
      </c>
      <c r="AT97" s="111">
        <v>4</v>
      </c>
      <c r="AU97" s="111">
        <v>1</v>
      </c>
      <c r="AV97" s="111">
        <v>2</v>
      </c>
      <c r="AW97" s="111">
        <v>3</v>
      </c>
      <c r="AX97" s="111">
        <v>4</v>
      </c>
    </row>
    <row r="98" spans="1:50" x14ac:dyDescent="0.2">
      <c r="A98" s="111" t="s">
        <v>104</v>
      </c>
      <c r="B98" s="111" t="s">
        <v>5</v>
      </c>
      <c r="C98" s="106">
        <v>0</v>
      </c>
      <c r="D98" s="106">
        <v>0</v>
      </c>
      <c r="E98" s="106">
        <v>0</v>
      </c>
      <c r="F98" s="106">
        <v>0</v>
      </c>
      <c r="G98" s="106">
        <v>0</v>
      </c>
      <c r="H98" s="106">
        <v>0</v>
      </c>
      <c r="I98" s="106">
        <v>0</v>
      </c>
      <c r="J98" s="106">
        <v>0</v>
      </c>
      <c r="K98" s="106">
        <v>0</v>
      </c>
      <c r="L98" s="106">
        <v>0</v>
      </c>
      <c r="M98" s="106">
        <v>0</v>
      </c>
      <c r="N98" s="106">
        <v>0</v>
      </c>
      <c r="O98" s="106">
        <v>0</v>
      </c>
      <c r="P98" s="106">
        <v>0</v>
      </c>
      <c r="Q98" s="106">
        <v>0</v>
      </c>
      <c r="R98" s="106">
        <v>0</v>
      </c>
      <c r="S98" s="106">
        <v>0</v>
      </c>
      <c r="T98" s="106">
        <v>0</v>
      </c>
      <c r="U98" s="106">
        <v>0</v>
      </c>
      <c r="V98" s="106">
        <v>0</v>
      </c>
      <c r="W98" s="106">
        <v>0</v>
      </c>
      <c r="X98" s="106">
        <v>0</v>
      </c>
      <c r="Y98" s="106">
        <v>0</v>
      </c>
      <c r="Z98" s="106">
        <v>0</v>
      </c>
      <c r="AA98" s="106">
        <v>0</v>
      </c>
      <c r="AB98" s="106">
        <v>0</v>
      </c>
      <c r="AC98" s="106">
        <v>0</v>
      </c>
      <c r="AD98" s="106">
        <v>0</v>
      </c>
      <c r="AE98" s="106">
        <v>0</v>
      </c>
      <c r="AF98" s="106">
        <v>0</v>
      </c>
      <c r="AG98" s="106">
        <v>0</v>
      </c>
      <c r="AH98" s="106">
        <v>0</v>
      </c>
      <c r="AI98" s="106">
        <v>0</v>
      </c>
      <c r="AJ98" s="106">
        <v>0</v>
      </c>
      <c r="AK98" s="106">
        <v>0</v>
      </c>
      <c r="AL98" s="106">
        <v>0</v>
      </c>
      <c r="AM98" s="106">
        <v>0</v>
      </c>
      <c r="AN98" s="106">
        <v>0</v>
      </c>
      <c r="AO98" s="106">
        <v>0</v>
      </c>
      <c r="AP98" s="106">
        <v>0</v>
      </c>
      <c r="AQ98" s="106">
        <v>0</v>
      </c>
      <c r="AR98" s="106">
        <v>0</v>
      </c>
      <c r="AS98" s="106">
        <v>0</v>
      </c>
      <c r="AT98" s="106">
        <v>0</v>
      </c>
      <c r="AU98" s="106">
        <v>0</v>
      </c>
      <c r="AV98" s="106">
        <v>0</v>
      </c>
      <c r="AW98" s="106">
        <v>0</v>
      </c>
      <c r="AX98" s="106">
        <v>0</v>
      </c>
    </row>
    <row r="99" spans="1:50" x14ac:dyDescent="0.2">
      <c r="B99" s="111" t="s">
        <v>10</v>
      </c>
      <c r="C99" s="106">
        <v>0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</row>
    <row r="100" spans="1:50" x14ac:dyDescent="0.2">
      <c r="B100" s="111" t="s">
        <v>12</v>
      </c>
      <c r="C100" s="106">
        <v>0</v>
      </c>
      <c r="D100" s="106">
        <v>0</v>
      </c>
      <c r="E100" s="106">
        <v>0</v>
      </c>
      <c r="F100" s="106">
        <v>0</v>
      </c>
      <c r="G100" s="106">
        <v>0</v>
      </c>
      <c r="H100" s="106">
        <v>0</v>
      </c>
      <c r="I100" s="106">
        <v>0</v>
      </c>
      <c r="J100" s="106">
        <v>0</v>
      </c>
      <c r="K100" s="106">
        <v>0</v>
      </c>
      <c r="L100" s="106">
        <v>0</v>
      </c>
      <c r="M100" s="106">
        <v>0</v>
      </c>
      <c r="N100" s="106">
        <v>0</v>
      </c>
      <c r="O100" s="106">
        <v>0</v>
      </c>
      <c r="P100" s="106">
        <v>0</v>
      </c>
      <c r="Q100" s="106">
        <v>0</v>
      </c>
      <c r="R100" s="106">
        <v>0</v>
      </c>
      <c r="S100" s="106">
        <v>0</v>
      </c>
      <c r="T100" s="106">
        <v>0</v>
      </c>
      <c r="U100" s="106">
        <v>0</v>
      </c>
      <c r="V100" s="106">
        <v>0</v>
      </c>
      <c r="W100" s="106">
        <v>0</v>
      </c>
      <c r="X100" s="106">
        <v>0</v>
      </c>
      <c r="Y100" s="106">
        <v>0</v>
      </c>
      <c r="Z100" s="106">
        <v>0</v>
      </c>
      <c r="AA100" s="106">
        <v>0</v>
      </c>
      <c r="AB100" s="106">
        <v>0</v>
      </c>
      <c r="AC100" s="106">
        <v>0</v>
      </c>
      <c r="AD100" s="106">
        <v>0</v>
      </c>
      <c r="AE100" s="106">
        <v>0</v>
      </c>
      <c r="AF100" s="106">
        <v>0</v>
      </c>
      <c r="AG100" s="106">
        <v>0</v>
      </c>
      <c r="AH100" s="106">
        <v>0</v>
      </c>
      <c r="AI100" s="106">
        <v>0</v>
      </c>
      <c r="AJ100" s="106">
        <v>0</v>
      </c>
      <c r="AK100" s="106">
        <v>0</v>
      </c>
      <c r="AL100" s="106">
        <v>0</v>
      </c>
      <c r="AM100" s="106">
        <v>0</v>
      </c>
      <c r="AN100" s="106">
        <v>0</v>
      </c>
      <c r="AO100" s="106">
        <v>0</v>
      </c>
      <c r="AP100" s="106">
        <v>0</v>
      </c>
      <c r="AQ100" s="106">
        <v>0</v>
      </c>
      <c r="AR100" s="106">
        <v>0</v>
      </c>
      <c r="AS100" s="106">
        <v>0</v>
      </c>
      <c r="AT100" s="106">
        <v>0</v>
      </c>
      <c r="AU100" s="106">
        <v>0</v>
      </c>
      <c r="AV100" s="106">
        <v>0</v>
      </c>
      <c r="AW100" s="106">
        <v>0</v>
      </c>
      <c r="AX100" s="106">
        <v>0</v>
      </c>
    </row>
    <row r="101" spans="1:50" x14ac:dyDescent="0.2">
      <c r="B101" s="111" t="s">
        <v>22</v>
      </c>
      <c r="C101" s="106">
        <v>0</v>
      </c>
      <c r="D101" s="106">
        <v>0</v>
      </c>
      <c r="E101" s="106">
        <v>0</v>
      </c>
      <c r="F101" s="106">
        <v>0</v>
      </c>
      <c r="G101" s="106">
        <v>0</v>
      </c>
      <c r="H101" s="106">
        <v>0</v>
      </c>
      <c r="I101" s="106">
        <v>0</v>
      </c>
      <c r="J101" s="106">
        <v>0</v>
      </c>
      <c r="K101" s="106">
        <v>0</v>
      </c>
      <c r="L101" s="106">
        <v>0</v>
      </c>
      <c r="M101" s="106">
        <v>0</v>
      </c>
      <c r="N101" s="106">
        <v>0</v>
      </c>
      <c r="O101" s="106">
        <v>0</v>
      </c>
      <c r="P101" s="106">
        <v>0</v>
      </c>
      <c r="Q101" s="106">
        <v>0</v>
      </c>
      <c r="R101" s="106">
        <v>0</v>
      </c>
      <c r="S101" s="106">
        <v>0</v>
      </c>
      <c r="T101" s="106">
        <v>0</v>
      </c>
      <c r="U101" s="106">
        <v>0</v>
      </c>
      <c r="V101" s="106">
        <v>0</v>
      </c>
      <c r="W101" s="106">
        <v>0</v>
      </c>
      <c r="X101" s="106">
        <v>0</v>
      </c>
      <c r="Y101" s="106">
        <v>0</v>
      </c>
      <c r="Z101" s="106">
        <v>0</v>
      </c>
      <c r="AA101" s="106">
        <v>0</v>
      </c>
      <c r="AB101" s="106">
        <v>0</v>
      </c>
      <c r="AC101" s="106">
        <v>0</v>
      </c>
      <c r="AD101" s="106">
        <v>0</v>
      </c>
      <c r="AE101" s="106">
        <v>0</v>
      </c>
      <c r="AF101" s="106">
        <v>0</v>
      </c>
      <c r="AG101" s="106">
        <v>0</v>
      </c>
      <c r="AH101" s="106">
        <v>0</v>
      </c>
      <c r="AI101" s="106">
        <v>0</v>
      </c>
      <c r="AJ101" s="106">
        <v>0</v>
      </c>
      <c r="AK101" s="106">
        <v>0</v>
      </c>
      <c r="AL101" s="106">
        <v>0</v>
      </c>
      <c r="AM101" s="106">
        <v>0</v>
      </c>
      <c r="AN101" s="106">
        <v>0</v>
      </c>
      <c r="AO101" s="106">
        <v>0</v>
      </c>
      <c r="AP101" s="106">
        <v>0</v>
      </c>
      <c r="AQ101" s="106">
        <v>0</v>
      </c>
      <c r="AR101" s="106">
        <v>0</v>
      </c>
      <c r="AS101" s="106">
        <v>0</v>
      </c>
      <c r="AT101" s="106">
        <v>0</v>
      </c>
      <c r="AU101" s="106">
        <v>0</v>
      </c>
      <c r="AV101" s="106">
        <v>0</v>
      </c>
      <c r="AW101" s="106">
        <v>0</v>
      </c>
      <c r="AX101" s="106">
        <v>0</v>
      </c>
    </row>
    <row r="102" spans="1:50" x14ac:dyDescent="0.2">
      <c r="B102" s="111" t="s">
        <v>59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</row>
    <row r="103" spans="1:50" x14ac:dyDescent="0.2">
      <c r="B103" s="106" t="s">
        <v>278</v>
      </c>
      <c r="C103" s="111">
        <f>SUM(C$98:C$102)</f>
        <v>0</v>
      </c>
      <c r="D103" s="111">
        <f t="shared" ref="D103:AX103" si="5">SUM(D$98:D$102)</f>
        <v>0</v>
      </c>
      <c r="E103" s="111">
        <f t="shared" si="5"/>
        <v>0</v>
      </c>
      <c r="F103" s="111">
        <f t="shared" si="5"/>
        <v>0</v>
      </c>
      <c r="G103" s="111">
        <f t="shared" si="5"/>
        <v>0</v>
      </c>
      <c r="H103" s="111">
        <f t="shared" si="5"/>
        <v>0</v>
      </c>
      <c r="I103" s="111">
        <f t="shared" si="5"/>
        <v>0</v>
      </c>
      <c r="J103" s="111">
        <f t="shared" si="5"/>
        <v>0</v>
      </c>
      <c r="K103" s="111">
        <f t="shared" si="5"/>
        <v>0</v>
      </c>
      <c r="L103" s="111">
        <f t="shared" si="5"/>
        <v>0</v>
      </c>
      <c r="M103" s="111">
        <f t="shared" si="5"/>
        <v>0</v>
      </c>
      <c r="N103" s="111">
        <f t="shared" si="5"/>
        <v>0</v>
      </c>
      <c r="O103" s="111">
        <f t="shared" si="5"/>
        <v>0</v>
      </c>
      <c r="P103" s="111">
        <f t="shared" si="5"/>
        <v>0</v>
      </c>
      <c r="Q103" s="111">
        <f t="shared" si="5"/>
        <v>0</v>
      </c>
      <c r="R103" s="111">
        <f t="shared" si="5"/>
        <v>0</v>
      </c>
      <c r="S103" s="111">
        <f t="shared" si="5"/>
        <v>0</v>
      </c>
      <c r="T103" s="111">
        <f t="shared" si="5"/>
        <v>0</v>
      </c>
      <c r="U103" s="111">
        <f t="shared" si="5"/>
        <v>0</v>
      </c>
      <c r="V103" s="111">
        <f t="shared" si="5"/>
        <v>0</v>
      </c>
      <c r="W103" s="111">
        <f t="shared" si="5"/>
        <v>0</v>
      </c>
      <c r="X103" s="111">
        <f t="shared" si="5"/>
        <v>0</v>
      </c>
      <c r="Y103" s="111">
        <f t="shared" si="5"/>
        <v>0</v>
      </c>
      <c r="Z103" s="111">
        <f t="shared" si="5"/>
        <v>0</v>
      </c>
      <c r="AA103" s="111">
        <f t="shared" si="5"/>
        <v>0</v>
      </c>
      <c r="AB103" s="111">
        <f t="shared" si="5"/>
        <v>0</v>
      </c>
      <c r="AC103" s="111">
        <f t="shared" si="5"/>
        <v>0</v>
      </c>
      <c r="AD103" s="111">
        <f t="shared" si="5"/>
        <v>0</v>
      </c>
      <c r="AE103" s="111">
        <f t="shared" si="5"/>
        <v>0</v>
      </c>
      <c r="AF103" s="111">
        <f t="shared" si="5"/>
        <v>0</v>
      </c>
      <c r="AG103" s="111">
        <f t="shared" si="5"/>
        <v>0</v>
      </c>
      <c r="AH103" s="111">
        <f t="shared" si="5"/>
        <v>0</v>
      </c>
      <c r="AI103" s="111">
        <f t="shared" si="5"/>
        <v>0</v>
      </c>
      <c r="AJ103" s="111">
        <f t="shared" si="5"/>
        <v>0</v>
      </c>
      <c r="AK103" s="111">
        <f t="shared" si="5"/>
        <v>0</v>
      </c>
      <c r="AL103" s="111">
        <f t="shared" si="5"/>
        <v>0</v>
      </c>
      <c r="AM103" s="111">
        <f t="shared" si="5"/>
        <v>0</v>
      </c>
      <c r="AN103" s="111">
        <f t="shared" si="5"/>
        <v>0</v>
      </c>
      <c r="AO103" s="111">
        <f t="shared" si="5"/>
        <v>0</v>
      </c>
      <c r="AP103" s="111">
        <f t="shared" si="5"/>
        <v>0</v>
      </c>
      <c r="AQ103" s="111">
        <f t="shared" si="5"/>
        <v>0</v>
      </c>
      <c r="AR103" s="111">
        <f t="shared" si="5"/>
        <v>0</v>
      </c>
      <c r="AS103" s="111">
        <f t="shared" si="5"/>
        <v>0</v>
      </c>
      <c r="AT103" s="111">
        <f t="shared" si="5"/>
        <v>0</v>
      </c>
      <c r="AU103" s="111">
        <f t="shared" si="5"/>
        <v>0</v>
      </c>
      <c r="AV103" s="111">
        <f t="shared" si="5"/>
        <v>0</v>
      </c>
      <c r="AW103" s="111">
        <f t="shared" si="5"/>
        <v>0</v>
      </c>
      <c r="AX103" s="111">
        <f t="shared" si="5"/>
        <v>0</v>
      </c>
    </row>
    <row r="104" spans="1:50" x14ac:dyDescent="0.2">
      <c r="A104" s="111" t="s">
        <v>105</v>
      </c>
      <c r="B104" s="111" t="s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</row>
    <row r="105" spans="1:50" x14ac:dyDescent="0.2">
      <c r="B105" s="111" t="s">
        <v>10</v>
      </c>
      <c r="C105" s="106">
        <v>72412.357484990862</v>
      </c>
      <c r="D105" s="106">
        <v>72412.357484990862</v>
      </c>
      <c r="E105" s="106">
        <v>72412.357484990862</v>
      </c>
      <c r="F105" s="106">
        <v>72412.357484990862</v>
      </c>
      <c r="G105" s="106">
        <v>72412.357484990862</v>
      </c>
      <c r="H105" s="106">
        <v>72412.357484990862</v>
      </c>
      <c r="I105" s="106">
        <v>72412.357484990862</v>
      </c>
      <c r="J105" s="106">
        <v>72412.357484990862</v>
      </c>
      <c r="K105" s="106">
        <v>72412.357484990862</v>
      </c>
      <c r="L105" s="106">
        <v>72412.357484990862</v>
      </c>
      <c r="M105" s="106">
        <v>72412.357484990862</v>
      </c>
      <c r="N105" s="106">
        <v>72412.357484990862</v>
      </c>
      <c r="O105" s="106">
        <v>34873.119732360181</v>
      </c>
      <c r="P105" s="106">
        <v>72412.357484990862</v>
      </c>
      <c r="Q105" s="106">
        <v>72412.357484990862</v>
      </c>
      <c r="R105" s="106">
        <v>72412.357484990862</v>
      </c>
      <c r="S105" s="106">
        <v>72412.357484990862</v>
      </c>
      <c r="T105" s="106">
        <v>72412.357484990862</v>
      </c>
      <c r="U105" s="106">
        <v>72412.357484990862</v>
      </c>
      <c r="V105" s="106">
        <v>72412.357484990862</v>
      </c>
      <c r="W105" s="106">
        <v>72412.357484990862</v>
      </c>
      <c r="X105" s="106">
        <v>72412.357484990862</v>
      </c>
      <c r="Y105" s="106">
        <v>72412.357484990862</v>
      </c>
      <c r="Z105" s="106">
        <v>72412.357484990862</v>
      </c>
      <c r="AA105" s="106">
        <v>72412.357484990862</v>
      </c>
      <c r="AB105" s="106">
        <v>72412.357484990862</v>
      </c>
      <c r="AC105" s="106">
        <v>72412.357484990862</v>
      </c>
      <c r="AD105" s="106">
        <v>72412.357484990862</v>
      </c>
      <c r="AE105" s="106">
        <v>72412.357484990862</v>
      </c>
      <c r="AF105" s="106">
        <v>72412.357484990862</v>
      </c>
      <c r="AG105" s="106">
        <v>72412.357484990862</v>
      </c>
      <c r="AH105" s="106">
        <v>72412.357484990862</v>
      </c>
      <c r="AI105" s="106">
        <v>72412.357484990862</v>
      </c>
      <c r="AJ105" s="106">
        <v>72412.357484990862</v>
      </c>
      <c r="AK105" s="106">
        <v>72412.357484990862</v>
      </c>
      <c r="AL105" s="106">
        <v>72412.357484990862</v>
      </c>
      <c r="AM105" s="106">
        <v>72412.357484990862</v>
      </c>
      <c r="AN105" s="106">
        <v>72412.357484990862</v>
      </c>
      <c r="AO105" s="106">
        <v>72412.357484990862</v>
      </c>
      <c r="AP105" s="106">
        <v>72412.357484990862</v>
      </c>
      <c r="AQ105" s="106">
        <v>72412.357484990862</v>
      </c>
      <c r="AR105" s="106">
        <v>72412.357484990862</v>
      </c>
      <c r="AS105" s="106">
        <v>72412.357484990862</v>
      </c>
      <c r="AT105" s="106">
        <v>72412.357484990862</v>
      </c>
      <c r="AU105" s="106">
        <v>72412.357484990862</v>
      </c>
      <c r="AV105" s="106">
        <v>72412.357484990862</v>
      </c>
      <c r="AW105" s="106">
        <v>72412.357484990862</v>
      </c>
      <c r="AX105" s="106">
        <v>72412.357484990862</v>
      </c>
    </row>
    <row r="106" spans="1:50" x14ac:dyDescent="0.2">
      <c r="B106" s="111" t="s">
        <v>12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</row>
    <row r="107" spans="1:50" x14ac:dyDescent="0.2">
      <c r="B107" s="111" t="s">
        <v>22</v>
      </c>
      <c r="C107" s="106">
        <v>57426.278346636958</v>
      </c>
      <c r="D107" s="106">
        <v>57426.278346636958</v>
      </c>
      <c r="E107" s="106">
        <v>57426.278346636958</v>
      </c>
      <c r="F107" s="106">
        <v>57426.278346636958</v>
      </c>
      <c r="G107" s="106">
        <v>57426.278346636958</v>
      </c>
      <c r="H107" s="106">
        <v>57426.278346636958</v>
      </c>
      <c r="I107" s="106">
        <v>57426.278346636958</v>
      </c>
      <c r="J107" s="106">
        <v>57426.278346636958</v>
      </c>
      <c r="K107" s="106">
        <v>57426.278346636958</v>
      </c>
      <c r="L107" s="106">
        <v>57426.278346636958</v>
      </c>
      <c r="M107" s="106">
        <v>57426.278346636958</v>
      </c>
      <c r="N107" s="106">
        <v>57426.278346636958</v>
      </c>
      <c r="O107" s="106">
        <v>27655.963016826321</v>
      </c>
      <c r="P107" s="106">
        <v>57426.278346636958</v>
      </c>
      <c r="Q107" s="106">
        <v>57426.278346636958</v>
      </c>
      <c r="R107" s="106">
        <v>57426.278346636958</v>
      </c>
      <c r="S107" s="106">
        <v>57426.278346636958</v>
      </c>
      <c r="T107" s="106">
        <v>57426.278346636958</v>
      </c>
      <c r="U107" s="106">
        <v>57426.278346636958</v>
      </c>
      <c r="V107" s="106">
        <v>57426.278346636958</v>
      </c>
      <c r="W107" s="106">
        <v>57426.278346636958</v>
      </c>
      <c r="X107" s="106">
        <v>57426.278346636958</v>
      </c>
      <c r="Y107" s="106">
        <v>57426.278346636958</v>
      </c>
      <c r="Z107" s="106">
        <v>57426.278346636958</v>
      </c>
      <c r="AA107" s="106">
        <v>57426.278346636958</v>
      </c>
      <c r="AB107" s="106">
        <v>57426.278346636958</v>
      </c>
      <c r="AC107" s="106">
        <v>57426.278346636958</v>
      </c>
      <c r="AD107" s="106">
        <v>57426.278346636958</v>
      </c>
      <c r="AE107" s="106">
        <v>57426.278346636958</v>
      </c>
      <c r="AF107" s="106">
        <v>57426.278346636958</v>
      </c>
      <c r="AG107" s="106">
        <v>57426.278346636958</v>
      </c>
      <c r="AH107" s="106">
        <v>57426.278346636958</v>
      </c>
      <c r="AI107" s="106">
        <v>57426.278346636958</v>
      </c>
      <c r="AJ107" s="106">
        <v>57426.278346636958</v>
      </c>
      <c r="AK107" s="106">
        <v>57426.278346636958</v>
      </c>
      <c r="AL107" s="106">
        <v>57426.278346636958</v>
      </c>
      <c r="AM107" s="106">
        <v>57426.278346636958</v>
      </c>
      <c r="AN107" s="106">
        <v>57426.278346636958</v>
      </c>
      <c r="AO107" s="106">
        <v>57426.278346636958</v>
      </c>
      <c r="AP107" s="106">
        <v>57426.278346636958</v>
      </c>
      <c r="AQ107" s="106">
        <v>57426.278346636958</v>
      </c>
      <c r="AR107" s="106">
        <v>57426.278346636958</v>
      </c>
      <c r="AS107" s="106">
        <v>57426.278346636958</v>
      </c>
      <c r="AT107" s="106">
        <v>57426.278346636958</v>
      </c>
      <c r="AU107" s="106">
        <v>57426.278346636958</v>
      </c>
      <c r="AV107" s="106">
        <v>57426.278346636958</v>
      </c>
      <c r="AW107" s="106">
        <v>57426.278346636958</v>
      </c>
      <c r="AX107" s="106">
        <v>57426.278346636958</v>
      </c>
    </row>
    <row r="108" spans="1:50" x14ac:dyDescent="0.2">
      <c r="B108" s="111" t="s">
        <v>59</v>
      </c>
      <c r="C108" s="106">
        <v>1231990.4634140832</v>
      </c>
      <c r="D108" s="106">
        <v>1231990.4634140832</v>
      </c>
      <c r="E108" s="106">
        <v>1231990.4634140832</v>
      </c>
      <c r="F108" s="106">
        <v>1231990.4634140832</v>
      </c>
      <c r="G108" s="106">
        <v>1231990.4634140832</v>
      </c>
      <c r="H108" s="106">
        <v>1231990.4634140832</v>
      </c>
      <c r="I108" s="106">
        <v>1231990.4634140832</v>
      </c>
      <c r="J108" s="106">
        <v>1231990.4634140832</v>
      </c>
      <c r="K108" s="106">
        <v>1231990.4634140832</v>
      </c>
      <c r="L108" s="106">
        <v>1231990.4634140832</v>
      </c>
      <c r="M108" s="106">
        <v>1231990.4634140832</v>
      </c>
      <c r="N108" s="106">
        <v>1231990.4634140832</v>
      </c>
      <c r="O108" s="106">
        <v>593315.18033604138</v>
      </c>
      <c r="P108" s="106">
        <v>1231990.4634140832</v>
      </c>
      <c r="Q108" s="106">
        <v>1231990.4634140832</v>
      </c>
      <c r="R108" s="106">
        <v>1231990.4634140832</v>
      </c>
      <c r="S108" s="106">
        <v>1231990.4634140832</v>
      </c>
      <c r="T108" s="106">
        <v>1231990.4634140832</v>
      </c>
      <c r="U108" s="106">
        <v>1231990.4634140832</v>
      </c>
      <c r="V108" s="106">
        <v>1231990.4634140832</v>
      </c>
      <c r="W108" s="106">
        <v>1231990.4634140832</v>
      </c>
      <c r="X108" s="106">
        <v>1231990.4634140832</v>
      </c>
      <c r="Y108" s="106">
        <v>1231990.4634140832</v>
      </c>
      <c r="Z108" s="106">
        <v>1231990.4634140832</v>
      </c>
      <c r="AA108" s="106">
        <v>1231990.4634140832</v>
      </c>
      <c r="AB108" s="106">
        <v>1231990.4634140832</v>
      </c>
      <c r="AC108" s="106">
        <v>1231990.4634140832</v>
      </c>
      <c r="AD108" s="106">
        <v>1231990.4634140832</v>
      </c>
      <c r="AE108" s="106">
        <v>1231990.4634140832</v>
      </c>
      <c r="AF108" s="106">
        <v>1231990.4634140832</v>
      </c>
      <c r="AG108" s="106">
        <v>1231990.4634140832</v>
      </c>
      <c r="AH108" s="106">
        <v>1231990.4634140832</v>
      </c>
      <c r="AI108" s="106">
        <v>1231990.4634140832</v>
      </c>
      <c r="AJ108" s="106">
        <v>1231990.4634140832</v>
      </c>
      <c r="AK108" s="106">
        <v>1231990.4634140832</v>
      </c>
      <c r="AL108" s="106">
        <v>1231990.4634140832</v>
      </c>
      <c r="AM108" s="106">
        <v>1231990.4634140832</v>
      </c>
      <c r="AN108" s="106">
        <v>1231990.4634140832</v>
      </c>
      <c r="AO108" s="106">
        <v>1231990.4634140832</v>
      </c>
      <c r="AP108" s="106">
        <v>1231990.4634140832</v>
      </c>
      <c r="AQ108" s="106">
        <v>1231990.4634140832</v>
      </c>
      <c r="AR108" s="106">
        <v>1231990.4634140832</v>
      </c>
      <c r="AS108" s="106">
        <v>1231990.4634140832</v>
      </c>
      <c r="AT108" s="106">
        <v>1231990.4634140832</v>
      </c>
      <c r="AU108" s="106">
        <v>1231990.4634140832</v>
      </c>
      <c r="AV108" s="106">
        <v>1231990.4634140832</v>
      </c>
      <c r="AW108" s="106">
        <v>1231990.4634140832</v>
      </c>
      <c r="AX108" s="106">
        <v>1231990.4634140832</v>
      </c>
    </row>
    <row r="109" spans="1:50" x14ac:dyDescent="0.2">
      <c r="B109" s="107" t="s">
        <v>278</v>
      </c>
      <c r="C109" s="111">
        <f>SUM(C$104:C$108)</f>
        <v>1361829.099245711</v>
      </c>
      <c r="D109" s="111">
        <f t="shared" ref="D109:AX109" si="6">SUM(D$104:D$108)</f>
        <v>1361829.099245711</v>
      </c>
      <c r="E109" s="111">
        <f t="shared" si="6"/>
        <v>1361829.099245711</v>
      </c>
      <c r="F109" s="111">
        <f t="shared" si="6"/>
        <v>1361829.099245711</v>
      </c>
      <c r="G109" s="111">
        <f t="shared" si="6"/>
        <v>1361829.099245711</v>
      </c>
      <c r="H109" s="111">
        <f t="shared" si="6"/>
        <v>1361829.099245711</v>
      </c>
      <c r="I109" s="111">
        <f t="shared" si="6"/>
        <v>1361829.099245711</v>
      </c>
      <c r="J109" s="111">
        <f t="shared" si="6"/>
        <v>1361829.099245711</v>
      </c>
      <c r="K109" s="111">
        <f t="shared" si="6"/>
        <v>1361829.099245711</v>
      </c>
      <c r="L109" s="111">
        <f t="shared" si="6"/>
        <v>1361829.099245711</v>
      </c>
      <c r="M109" s="111">
        <f t="shared" si="6"/>
        <v>1361829.099245711</v>
      </c>
      <c r="N109" s="111">
        <f t="shared" si="6"/>
        <v>1361829.099245711</v>
      </c>
      <c r="O109" s="111">
        <f t="shared" si="6"/>
        <v>655844.26308522793</v>
      </c>
      <c r="P109" s="111">
        <f t="shared" si="6"/>
        <v>1361829.099245711</v>
      </c>
      <c r="Q109" s="111">
        <f t="shared" si="6"/>
        <v>1361829.099245711</v>
      </c>
      <c r="R109" s="111">
        <f t="shared" si="6"/>
        <v>1361829.099245711</v>
      </c>
      <c r="S109" s="111">
        <f t="shared" si="6"/>
        <v>1361829.099245711</v>
      </c>
      <c r="T109" s="111">
        <f t="shared" si="6"/>
        <v>1361829.099245711</v>
      </c>
      <c r="U109" s="111">
        <f t="shared" si="6"/>
        <v>1361829.099245711</v>
      </c>
      <c r="V109" s="111">
        <f t="shared" si="6"/>
        <v>1361829.099245711</v>
      </c>
      <c r="W109" s="111">
        <f t="shared" si="6"/>
        <v>1361829.099245711</v>
      </c>
      <c r="X109" s="111">
        <f t="shared" si="6"/>
        <v>1361829.099245711</v>
      </c>
      <c r="Y109" s="111">
        <f t="shared" si="6"/>
        <v>1361829.099245711</v>
      </c>
      <c r="Z109" s="111">
        <f t="shared" si="6"/>
        <v>1361829.099245711</v>
      </c>
      <c r="AA109" s="111">
        <f t="shared" si="6"/>
        <v>1361829.099245711</v>
      </c>
      <c r="AB109" s="111">
        <f t="shared" si="6"/>
        <v>1361829.099245711</v>
      </c>
      <c r="AC109" s="111">
        <f t="shared" si="6"/>
        <v>1361829.099245711</v>
      </c>
      <c r="AD109" s="111">
        <f t="shared" si="6"/>
        <v>1361829.099245711</v>
      </c>
      <c r="AE109" s="111">
        <f t="shared" si="6"/>
        <v>1361829.099245711</v>
      </c>
      <c r="AF109" s="111">
        <f t="shared" si="6"/>
        <v>1361829.099245711</v>
      </c>
      <c r="AG109" s="111">
        <f t="shared" si="6"/>
        <v>1361829.099245711</v>
      </c>
      <c r="AH109" s="111">
        <f t="shared" si="6"/>
        <v>1361829.099245711</v>
      </c>
      <c r="AI109" s="111">
        <f t="shared" si="6"/>
        <v>1361829.099245711</v>
      </c>
      <c r="AJ109" s="111">
        <f t="shared" si="6"/>
        <v>1361829.099245711</v>
      </c>
      <c r="AK109" s="111">
        <f t="shared" si="6"/>
        <v>1361829.099245711</v>
      </c>
      <c r="AL109" s="111">
        <f t="shared" si="6"/>
        <v>1361829.099245711</v>
      </c>
      <c r="AM109" s="111">
        <f t="shared" si="6"/>
        <v>1361829.099245711</v>
      </c>
      <c r="AN109" s="111">
        <f t="shared" si="6"/>
        <v>1361829.099245711</v>
      </c>
      <c r="AO109" s="111">
        <f t="shared" si="6"/>
        <v>1361829.099245711</v>
      </c>
      <c r="AP109" s="111">
        <f t="shared" si="6"/>
        <v>1361829.099245711</v>
      </c>
      <c r="AQ109" s="111">
        <f t="shared" si="6"/>
        <v>1361829.099245711</v>
      </c>
      <c r="AR109" s="111">
        <f t="shared" si="6"/>
        <v>1361829.099245711</v>
      </c>
      <c r="AS109" s="111">
        <f t="shared" si="6"/>
        <v>1361829.099245711</v>
      </c>
      <c r="AT109" s="111">
        <f t="shared" si="6"/>
        <v>1361829.099245711</v>
      </c>
      <c r="AU109" s="111">
        <f t="shared" si="6"/>
        <v>1361829.099245711</v>
      </c>
      <c r="AV109" s="111">
        <f t="shared" si="6"/>
        <v>1361829.099245711</v>
      </c>
      <c r="AW109" s="111">
        <f t="shared" si="6"/>
        <v>1361829.099245711</v>
      </c>
      <c r="AX109" s="111">
        <f t="shared" si="6"/>
        <v>1361829.099245711</v>
      </c>
    </row>
    <row r="110" spans="1:50" x14ac:dyDescent="0.2">
      <c r="A110" s="111" t="s">
        <v>106</v>
      </c>
      <c r="B110" s="111" t="s">
        <v>5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</row>
    <row r="111" spans="1:50" x14ac:dyDescent="0.2">
      <c r="B111" s="111" t="s">
        <v>10</v>
      </c>
      <c r="C111" s="106">
        <v>104911.02748708996</v>
      </c>
      <c r="D111" s="106">
        <v>104911.02748708996</v>
      </c>
      <c r="E111" s="106">
        <v>104911.02748708996</v>
      </c>
      <c r="F111" s="106">
        <v>104911.02748708996</v>
      </c>
      <c r="G111" s="106">
        <v>104911.02748708996</v>
      </c>
      <c r="H111" s="106">
        <v>104911.02748708996</v>
      </c>
      <c r="I111" s="106">
        <v>104911.02748708996</v>
      </c>
      <c r="J111" s="106">
        <v>104911.02748708996</v>
      </c>
      <c r="K111" s="106">
        <v>104911.02748708996</v>
      </c>
      <c r="L111" s="106">
        <v>104911.02748708996</v>
      </c>
      <c r="M111" s="106">
        <v>104911.02748708996</v>
      </c>
      <c r="N111" s="106">
        <v>104911.02748708996</v>
      </c>
      <c r="O111" s="106">
        <v>104911.02748708996</v>
      </c>
      <c r="P111" s="106">
        <v>104911.02748708996</v>
      </c>
      <c r="Q111" s="106">
        <v>104911.02748708996</v>
      </c>
      <c r="R111" s="106">
        <v>104911.02748708996</v>
      </c>
      <c r="S111" s="106">
        <v>104911.02748708996</v>
      </c>
      <c r="T111" s="106">
        <v>104911.02748708996</v>
      </c>
      <c r="U111" s="106">
        <v>104911.02748708996</v>
      </c>
      <c r="V111" s="106">
        <v>104911.02748708996</v>
      </c>
      <c r="W111" s="106">
        <v>104911.02748708996</v>
      </c>
      <c r="X111" s="106">
        <v>104911.02748708996</v>
      </c>
      <c r="Y111" s="106">
        <v>104911.02748708996</v>
      </c>
      <c r="Z111" s="106">
        <v>104911.02748708996</v>
      </c>
      <c r="AA111" s="106">
        <v>104911.02748708996</v>
      </c>
      <c r="AB111" s="106">
        <v>104911.02748708996</v>
      </c>
      <c r="AC111" s="106">
        <v>75074.275031557336</v>
      </c>
      <c r="AD111" s="106">
        <v>104911.02748708996</v>
      </c>
      <c r="AE111" s="106">
        <v>18842.380671092818</v>
      </c>
      <c r="AF111" s="106">
        <v>18879.04340492417</v>
      </c>
      <c r="AG111" s="106">
        <v>104911.02748708996</v>
      </c>
      <c r="AH111" s="106">
        <v>104911.02748708996</v>
      </c>
      <c r="AI111" s="106">
        <v>104911.02748708996</v>
      </c>
      <c r="AJ111" s="106">
        <v>104911.02748708996</v>
      </c>
      <c r="AK111" s="106">
        <v>104911.02748708996</v>
      </c>
      <c r="AL111" s="106">
        <v>104911.02748708996</v>
      </c>
      <c r="AM111" s="106">
        <v>104911.02748708996</v>
      </c>
      <c r="AN111" s="106">
        <v>104911.02748708996</v>
      </c>
      <c r="AO111" s="106">
        <v>104911.02748708996</v>
      </c>
      <c r="AP111" s="106">
        <v>104911.02748708996</v>
      </c>
      <c r="AQ111" s="106">
        <v>104911.02748708996</v>
      </c>
      <c r="AR111" s="106">
        <v>19304.068502528648</v>
      </c>
      <c r="AS111" s="106">
        <v>104911.02748708996</v>
      </c>
      <c r="AT111" s="106">
        <v>104911.02748708996</v>
      </c>
      <c r="AU111" s="106">
        <v>104911.02748708996</v>
      </c>
      <c r="AV111" s="106">
        <v>104911.02748708996</v>
      </c>
      <c r="AW111" s="106">
        <v>77886.316235877937</v>
      </c>
      <c r="AX111" s="106">
        <v>104911.02748708996</v>
      </c>
    </row>
    <row r="112" spans="1:50" x14ac:dyDescent="0.2">
      <c r="B112" s="111" t="s">
        <v>12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</row>
    <row r="113" spans="1:50" x14ac:dyDescent="0.2">
      <c r="B113" s="111" t="s">
        <v>22</v>
      </c>
      <c r="C113" s="106">
        <v>25629.323466382564</v>
      </c>
      <c r="D113" s="106">
        <v>25629.323466382564</v>
      </c>
      <c r="E113" s="106">
        <v>25629.323466382564</v>
      </c>
      <c r="F113" s="106">
        <v>25629.323466382564</v>
      </c>
      <c r="G113" s="106">
        <v>25629.323466382564</v>
      </c>
      <c r="H113" s="106">
        <v>25629.323466382564</v>
      </c>
      <c r="I113" s="106">
        <v>25629.323466382564</v>
      </c>
      <c r="J113" s="106">
        <v>25629.323466382564</v>
      </c>
      <c r="K113" s="106">
        <v>25629.323466382564</v>
      </c>
      <c r="L113" s="106">
        <v>25629.323466382564</v>
      </c>
      <c r="M113" s="106">
        <v>25629.323466382564</v>
      </c>
      <c r="N113" s="106">
        <v>25629.323466382564</v>
      </c>
      <c r="O113" s="106">
        <v>25629.323466382564</v>
      </c>
      <c r="P113" s="106">
        <v>25629.323466382564</v>
      </c>
      <c r="Q113" s="106">
        <v>25629.323466382564</v>
      </c>
      <c r="R113" s="106">
        <v>25629.323466382564</v>
      </c>
      <c r="S113" s="106">
        <v>25629.323466382564</v>
      </c>
      <c r="T113" s="106">
        <v>25629.323466382564</v>
      </c>
      <c r="U113" s="106">
        <v>25629.323466382564</v>
      </c>
      <c r="V113" s="106">
        <v>25629.323466382564</v>
      </c>
      <c r="W113" s="106">
        <v>25629.323466382564</v>
      </c>
      <c r="X113" s="106">
        <v>25629.323466382564</v>
      </c>
      <c r="Y113" s="106">
        <v>25629.323466382564</v>
      </c>
      <c r="Z113" s="106">
        <v>25629.323466382564</v>
      </c>
      <c r="AA113" s="106">
        <v>25629.323466382564</v>
      </c>
      <c r="AB113" s="106">
        <v>25629.323466382564</v>
      </c>
      <c r="AC113" s="106">
        <v>18340.330133786229</v>
      </c>
      <c r="AD113" s="106">
        <v>25629.323466382564</v>
      </c>
      <c r="AE113" s="106">
        <v>4603.1144738867306</v>
      </c>
      <c r="AF113" s="106">
        <v>4612.0710258053659</v>
      </c>
      <c r="AG113" s="106">
        <v>25629.323466382564</v>
      </c>
      <c r="AH113" s="106">
        <v>25629.323466382564</v>
      </c>
      <c r="AI113" s="106">
        <v>25629.323466382564</v>
      </c>
      <c r="AJ113" s="106">
        <v>25629.323466382564</v>
      </c>
      <c r="AK113" s="106">
        <v>25629.323466382564</v>
      </c>
      <c r="AL113" s="106">
        <v>25629.323466382564</v>
      </c>
      <c r="AM113" s="106">
        <v>25629.323466382564</v>
      </c>
      <c r="AN113" s="106">
        <v>25629.323466382564</v>
      </c>
      <c r="AO113" s="106">
        <v>25629.323466382564</v>
      </c>
      <c r="AP113" s="106">
        <v>25629.323466382564</v>
      </c>
      <c r="AQ113" s="106">
        <v>25629.323466382564</v>
      </c>
      <c r="AR113" s="106">
        <v>4715.9028723591182</v>
      </c>
      <c r="AS113" s="106">
        <v>25629.323466382564</v>
      </c>
      <c r="AT113" s="106">
        <v>25629.323466382564</v>
      </c>
      <c r="AU113" s="106">
        <v>25629.323466382564</v>
      </c>
      <c r="AV113" s="106">
        <v>25629.323466382564</v>
      </c>
      <c r="AW113" s="106">
        <v>19027.299991508738</v>
      </c>
      <c r="AX113" s="106">
        <v>25629.323466382564</v>
      </c>
    </row>
    <row r="114" spans="1:50" x14ac:dyDescent="0.2">
      <c r="B114" s="111" t="s">
        <v>59</v>
      </c>
      <c r="C114" s="106">
        <v>478777.59742139117</v>
      </c>
      <c r="D114" s="106">
        <v>478777.59742139117</v>
      </c>
      <c r="E114" s="106">
        <v>478777.59742139117</v>
      </c>
      <c r="F114" s="106">
        <v>478777.59742139117</v>
      </c>
      <c r="G114" s="106">
        <v>478777.59742139117</v>
      </c>
      <c r="H114" s="106">
        <v>478777.59742139117</v>
      </c>
      <c r="I114" s="106">
        <v>478777.59742139117</v>
      </c>
      <c r="J114" s="106">
        <v>478777.59742139117</v>
      </c>
      <c r="K114" s="106">
        <v>478777.59742139117</v>
      </c>
      <c r="L114" s="106">
        <v>478777.59742139117</v>
      </c>
      <c r="M114" s="106">
        <v>478777.59742139117</v>
      </c>
      <c r="N114" s="106">
        <v>478777.59742139117</v>
      </c>
      <c r="O114" s="106">
        <v>478777.59742139117</v>
      </c>
      <c r="P114" s="106">
        <v>478777.59742139117</v>
      </c>
      <c r="Q114" s="106">
        <v>478777.59742139117</v>
      </c>
      <c r="R114" s="106">
        <v>478777.59742139117</v>
      </c>
      <c r="S114" s="106">
        <v>478777.59742139117</v>
      </c>
      <c r="T114" s="106">
        <v>478777.59742139117</v>
      </c>
      <c r="U114" s="106">
        <v>478777.59742139117</v>
      </c>
      <c r="V114" s="106">
        <v>478777.59742139117</v>
      </c>
      <c r="W114" s="106">
        <v>478777.59742139117</v>
      </c>
      <c r="X114" s="106">
        <v>478777.59742139117</v>
      </c>
      <c r="Y114" s="106">
        <v>478777.59742139117</v>
      </c>
      <c r="Z114" s="106">
        <v>478777.59742139117</v>
      </c>
      <c r="AA114" s="106">
        <v>478777.59742139117</v>
      </c>
      <c r="AB114" s="106">
        <v>478777.59742139117</v>
      </c>
      <c r="AC114" s="106">
        <v>342612.99206305936</v>
      </c>
      <c r="AD114" s="106">
        <v>478777.59742139117</v>
      </c>
      <c r="AE114" s="106">
        <v>85990.100025616601</v>
      </c>
      <c r="AF114" s="106">
        <v>86157.416046049577</v>
      </c>
      <c r="AG114" s="106">
        <v>478777.59742139117</v>
      </c>
      <c r="AH114" s="106">
        <v>478777.59742139117</v>
      </c>
      <c r="AI114" s="106">
        <v>478777.59742139117</v>
      </c>
      <c r="AJ114" s="106">
        <v>478777.59742139117</v>
      </c>
      <c r="AK114" s="106">
        <v>478777.59742139117</v>
      </c>
      <c r="AL114" s="106">
        <v>478777.59742139117</v>
      </c>
      <c r="AM114" s="106">
        <v>478777.59742139117</v>
      </c>
      <c r="AN114" s="106">
        <v>478777.59742139117</v>
      </c>
      <c r="AO114" s="106">
        <v>478777.59742139117</v>
      </c>
      <c r="AP114" s="106">
        <v>478777.59742139117</v>
      </c>
      <c r="AQ114" s="106">
        <v>478777.59742139117</v>
      </c>
      <c r="AR114" s="106">
        <v>88097.083399892872</v>
      </c>
      <c r="AS114" s="106">
        <v>478777.59742139117</v>
      </c>
      <c r="AT114" s="106">
        <v>478777.59742139117</v>
      </c>
      <c r="AU114" s="106">
        <v>478777.59742139117</v>
      </c>
      <c r="AV114" s="106">
        <v>478777.59742139117</v>
      </c>
      <c r="AW114" s="106">
        <v>355446.17427376885</v>
      </c>
      <c r="AX114" s="106">
        <v>478777.59742139117</v>
      </c>
    </row>
    <row r="115" spans="1:50" x14ac:dyDescent="0.2">
      <c r="B115" s="106" t="s">
        <v>278</v>
      </c>
      <c r="C115" s="111">
        <f>SUM(C$110:C$114)</f>
        <v>609317.94837486371</v>
      </c>
      <c r="D115" s="111">
        <f t="shared" ref="D115:AX115" si="7">SUM(D$110:D$114)</f>
        <v>609317.94837486371</v>
      </c>
      <c r="E115" s="111">
        <f t="shared" si="7"/>
        <v>609317.94837486371</v>
      </c>
      <c r="F115" s="111">
        <f t="shared" si="7"/>
        <v>609317.94837486371</v>
      </c>
      <c r="G115" s="111">
        <f t="shared" si="7"/>
        <v>609317.94837486371</v>
      </c>
      <c r="H115" s="111">
        <f t="shared" si="7"/>
        <v>609317.94837486371</v>
      </c>
      <c r="I115" s="111">
        <f t="shared" si="7"/>
        <v>609317.94837486371</v>
      </c>
      <c r="J115" s="111">
        <f t="shared" si="7"/>
        <v>609317.94837486371</v>
      </c>
      <c r="K115" s="111">
        <f t="shared" si="7"/>
        <v>609317.94837486371</v>
      </c>
      <c r="L115" s="111">
        <f t="shared" si="7"/>
        <v>609317.94837486371</v>
      </c>
      <c r="M115" s="111">
        <f t="shared" si="7"/>
        <v>609317.94837486371</v>
      </c>
      <c r="N115" s="111">
        <f t="shared" si="7"/>
        <v>609317.94837486371</v>
      </c>
      <c r="O115" s="111">
        <f t="shared" si="7"/>
        <v>609317.94837486371</v>
      </c>
      <c r="P115" s="111">
        <f t="shared" si="7"/>
        <v>609317.94837486371</v>
      </c>
      <c r="Q115" s="111">
        <f t="shared" si="7"/>
        <v>609317.94837486371</v>
      </c>
      <c r="R115" s="111">
        <f t="shared" si="7"/>
        <v>609317.94837486371</v>
      </c>
      <c r="S115" s="111">
        <f t="shared" si="7"/>
        <v>609317.94837486371</v>
      </c>
      <c r="T115" s="111">
        <f t="shared" si="7"/>
        <v>609317.94837486371</v>
      </c>
      <c r="U115" s="111">
        <f t="shared" si="7"/>
        <v>609317.94837486371</v>
      </c>
      <c r="V115" s="111">
        <f t="shared" si="7"/>
        <v>609317.94837486371</v>
      </c>
      <c r="W115" s="111">
        <f t="shared" si="7"/>
        <v>609317.94837486371</v>
      </c>
      <c r="X115" s="111">
        <f t="shared" si="7"/>
        <v>609317.94837486371</v>
      </c>
      <c r="Y115" s="111">
        <f t="shared" si="7"/>
        <v>609317.94837486371</v>
      </c>
      <c r="Z115" s="111">
        <f t="shared" si="7"/>
        <v>609317.94837486371</v>
      </c>
      <c r="AA115" s="111">
        <f t="shared" si="7"/>
        <v>609317.94837486371</v>
      </c>
      <c r="AB115" s="111">
        <f t="shared" si="7"/>
        <v>609317.94837486371</v>
      </c>
      <c r="AC115" s="111">
        <f t="shared" si="7"/>
        <v>436027.59722840291</v>
      </c>
      <c r="AD115" s="111">
        <f t="shared" si="7"/>
        <v>609317.94837486371</v>
      </c>
      <c r="AE115" s="111">
        <f t="shared" si="7"/>
        <v>109435.59517059615</v>
      </c>
      <c r="AF115" s="111">
        <f t="shared" si="7"/>
        <v>109648.53047677911</v>
      </c>
      <c r="AG115" s="111">
        <f t="shared" si="7"/>
        <v>609317.94837486371</v>
      </c>
      <c r="AH115" s="111">
        <f t="shared" si="7"/>
        <v>609317.94837486371</v>
      </c>
      <c r="AI115" s="111">
        <f t="shared" si="7"/>
        <v>609317.94837486371</v>
      </c>
      <c r="AJ115" s="111">
        <f t="shared" si="7"/>
        <v>609317.94837486371</v>
      </c>
      <c r="AK115" s="111">
        <f t="shared" si="7"/>
        <v>609317.94837486371</v>
      </c>
      <c r="AL115" s="111">
        <f t="shared" si="7"/>
        <v>609317.94837486371</v>
      </c>
      <c r="AM115" s="111">
        <f t="shared" si="7"/>
        <v>609317.94837486371</v>
      </c>
      <c r="AN115" s="111">
        <f t="shared" si="7"/>
        <v>609317.94837486371</v>
      </c>
      <c r="AO115" s="111">
        <f t="shared" si="7"/>
        <v>609317.94837486371</v>
      </c>
      <c r="AP115" s="111">
        <f t="shared" si="7"/>
        <v>609317.94837486371</v>
      </c>
      <c r="AQ115" s="111">
        <f t="shared" si="7"/>
        <v>609317.94837486371</v>
      </c>
      <c r="AR115" s="111">
        <f t="shared" si="7"/>
        <v>112117.05477478064</v>
      </c>
      <c r="AS115" s="111">
        <f t="shared" si="7"/>
        <v>609317.94837486371</v>
      </c>
      <c r="AT115" s="111">
        <f t="shared" si="7"/>
        <v>609317.94837486371</v>
      </c>
      <c r="AU115" s="111">
        <f t="shared" si="7"/>
        <v>609317.94837486371</v>
      </c>
      <c r="AV115" s="111">
        <f t="shared" si="7"/>
        <v>609317.94837486371</v>
      </c>
      <c r="AW115" s="111">
        <f t="shared" si="7"/>
        <v>452359.79050115554</v>
      </c>
      <c r="AX115" s="111">
        <f t="shared" si="7"/>
        <v>609317.94837486371</v>
      </c>
    </row>
    <row r="116" spans="1:50" x14ac:dyDescent="0.2">
      <c r="A116" s="111" t="s">
        <v>107</v>
      </c>
      <c r="B116" s="111" t="s">
        <v>5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</row>
    <row r="117" spans="1:50" x14ac:dyDescent="0.2">
      <c r="B117" s="111" t="s">
        <v>10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</row>
    <row r="118" spans="1:50" x14ac:dyDescent="0.2">
      <c r="B118" s="111" t="s">
        <v>12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</row>
    <row r="119" spans="1:50" x14ac:dyDescent="0.2">
      <c r="B119" s="111" t="s">
        <v>22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</row>
    <row r="120" spans="1:50" x14ac:dyDescent="0.2">
      <c r="B120" s="111" t="s">
        <v>59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</row>
    <row r="121" spans="1:50" x14ac:dyDescent="0.2">
      <c r="B121" s="106" t="s">
        <v>278</v>
      </c>
      <c r="C121" s="111">
        <f>SUM(C$116:C$120)</f>
        <v>0</v>
      </c>
      <c r="D121" s="111">
        <f t="shared" ref="D121:AX121" si="8">SUM(D$116:D$120)</f>
        <v>0</v>
      </c>
      <c r="E121" s="111">
        <f t="shared" si="8"/>
        <v>0</v>
      </c>
      <c r="F121" s="111">
        <f t="shared" si="8"/>
        <v>0</v>
      </c>
      <c r="G121" s="111">
        <f t="shared" si="8"/>
        <v>0</v>
      </c>
      <c r="H121" s="111">
        <f t="shared" si="8"/>
        <v>0</v>
      </c>
      <c r="I121" s="111">
        <f t="shared" si="8"/>
        <v>0</v>
      </c>
      <c r="J121" s="111">
        <f t="shared" si="8"/>
        <v>0</v>
      </c>
      <c r="K121" s="111">
        <f t="shared" si="8"/>
        <v>0</v>
      </c>
      <c r="L121" s="111">
        <f t="shared" si="8"/>
        <v>0</v>
      </c>
      <c r="M121" s="111">
        <f t="shared" si="8"/>
        <v>0</v>
      </c>
      <c r="N121" s="111">
        <f t="shared" si="8"/>
        <v>0</v>
      </c>
      <c r="O121" s="111">
        <f t="shared" si="8"/>
        <v>0</v>
      </c>
      <c r="P121" s="111">
        <f t="shared" si="8"/>
        <v>0</v>
      </c>
      <c r="Q121" s="111">
        <f t="shared" si="8"/>
        <v>0</v>
      </c>
      <c r="R121" s="111">
        <f t="shared" si="8"/>
        <v>0</v>
      </c>
      <c r="S121" s="111">
        <f t="shared" si="8"/>
        <v>0</v>
      </c>
      <c r="T121" s="111">
        <f t="shared" si="8"/>
        <v>0</v>
      </c>
      <c r="U121" s="111">
        <f t="shared" si="8"/>
        <v>0</v>
      </c>
      <c r="V121" s="111">
        <f t="shared" si="8"/>
        <v>0</v>
      </c>
      <c r="W121" s="111">
        <f t="shared" si="8"/>
        <v>0</v>
      </c>
      <c r="X121" s="111">
        <f t="shared" si="8"/>
        <v>0</v>
      </c>
      <c r="Y121" s="111">
        <f t="shared" si="8"/>
        <v>0</v>
      </c>
      <c r="Z121" s="111">
        <f t="shared" si="8"/>
        <v>0</v>
      </c>
      <c r="AA121" s="111">
        <f t="shared" si="8"/>
        <v>0</v>
      </c>
      <c r="AB121" s="111">
        <f t="shared" si="8"/>
        <v>0</v>
      </c>
      <c r="AC121" s="111">
        <f t="shared" si="8"/>
        <v>0</v>
      </c>
      <c r="AD121" s="111">
        <f t="shared" si="8"/>
        <v>0</v>
      </c>
      <c r="AE121" s="111">
        <f t="shared" si="8"/>
        <v>0</v>
      </c>
      <c r="AF121" s="111">
        <f t="shared" si="8"/>
        <v>0</v>
      </c>
      <c r="AG121" s="111">
        <f t="shared" si="8"/>
        <v>0</v>
      </c>
      <c r="AH121" s="111">
        <f t="shared" si="8"/>
        <v>0</v>
      </c>
      <c r="AI121" s="111">
        <f t="shared" si="8"/>
        <v>0</v>
      </c>
      <c r="AJ121" s="111">
        <f t="shared" si="8"/>
        <v>0</v>
      </c>
      <c r="AK121" s="111">
        <f t="shared" si="8"/>
        <v>0</v>
      </c>
      <c r="AL121" s="111">
        <f t="shared" si="8"/>
        <v>0</v>
      </c>
      <c r="AM121" s="111">
        <f t="shared" si="8"/>
        <v>0</v>
      </c>
      <c r="AN121" s="111">
        <f t="shared" si="8"/>
        <v>0</v>
      </c>
      <c r="AO121" s="111">
        <f t="shared" si="8"/>
        <v>0</v>
      </c>
      <c r="AP121" s="111">
        <f t="shared" si="8"/>
        <v>0</v>
      </c>
      <c r="AQ121" s="111">
        <f t="shared" si="8"/>
        <v>0</v>
      </c>
      <c r="AR121" s="111">
        <f t="shared" si="8"/>
        <v>0</v>
      </c>
      <c r="AS121" s="111">
        <f t="shared" si="8"/>
        <v>0</v>
      </c>
      <c r="AT121" s="111">
        <f t="shared" si="8"/>
        <v>0</v>
      </c>
      <c r="AU121" s="111">
        <f t="shared" si="8"/>
        <v>0</v>
      </c>
      <c r="AV121" s="111">
        <f t="shared" si="8"/>
        <v>0</v>
      </c>
      <c r="AW121" s="111">
        <f t="shared" si="8"/>
        <v>0</v>
      </c>
      <c r="AX121" s="111">
        <f t="shared" si="8"/>
        <v>0</v>
      </c>
    </row>
    <row r="122" spans="1:50" x14ac:dyDescent="0.2">
      <c r="A122" s="111" t="s">
        <v>108</v>
      </c>
      <c r="B122" s="111" t="s">
        <v>5</v>
      </c>
      <c r="C122" s="106">
        <v>0</v>
      </c>
      <c r="D122" s="106">
        <v>0</v>
      </c>
      <c r="E122" s="106">
        <v>0</v>
      </c>
      <c r="F122" s="106">
        <v>0</v>
      </c>
      <c r="G122" s="106">
        <v>0</v>
      </c>
      <c r="H122" s="106">
        <v>0</v>
      </c>
      <c r="I122" s="106">
        <v>0</v>
      </c>
      <c r="J122" s="106">
        <v>0</v>
      </c>
      <c r="K122" s="106">
        <v>0</v>
      </c>
      <c r="L122" s="106">
        <v>0</v>
      </c>
      <c r="M122" s="106">
        <v>0</v>
      </c>
      <c r="N122" s="106">
        <v>0</v>
      </c>
      <c r="O122" s="106">
        <v>0</v>
      </c>
      <c r="P122" s="106">
        <v>0</v>
      </c>
      <c r="Q122" s="106">
        <v>0</v>
      </c>
      <c r="R122" s="106">
        <v>0</v>
      </c>
      <c r="S122" s="106">
        <v>0</v>
      </c>
      <c r="T122" s="106">
        <v>0</v>
      </c>
      <c r="U122" s="106">
        <v>0</v>
      </c>
      <c r="V122" s="106">
        <v>0</v>
      </c>
      <c r="W122" s="106">
        <v>0</v>
      </c>
      <c r="X122" s="106">
        <v>0</v>
      </c>
      <c r="Y122" s="106">
        <v>0</v>
      </c>
      <c r="Z122" s="106">
        <v>0</v>
      </c>
      <c r="AA122" s="106">
        <v>0</v>
      </c>
      <c r="AB122" s="106">
        <v>0</v>
      </c>
      <c r="AC122" s="106">
        <v>0</v>
      </c>
      <c r="AD122" s="106">
        <v>0</v>
      </c>
      <c r="AE122" s="106">
        <v>0</v>
      </c>
      <c r="AF122" s="106">
        <v>0</v>
      </c>
      <c r="AG122" s="106">
        <v>0</v>
      </c>
      <c r="AH122" s="106">
        <v>0</v>
      </c>
      <c r="AI122" s="106">
        <v>0</v>
      </c>
      <c r="AJ122" s="106">
        <v>0</v>
      </c>
      <c r="AK122" s="106">
        <v>0</v>
      </c>
      <c r="AL122" s="106">
        <v>0</v>
      </c>
      <c r="AM122" s="106">
        <v>0</v>
      </c>
      <c r="AN122" s="106">
        <v>0</v>
      </c>
      <c r="AO122" s="106">
        <v>0</v>
      </c>
      <c r="AP122" s="106">
        <v>0</v>
      </c>
      <c r="AQ122" s="106">
        <v>0</v>
      </c>
      <c r="AR122" s="106">
        <v>0</v>
      </c>
      <c r="AS122" s="106">
        <v>0</v>
      </c>
      <c r="AT122" s="106">
        <v>0</v>
      </c>
      <c r="AU122" s="106">
        <v>0</v>
      </c>
      <c r="AV122" s="106">
        <v>0</v>
      </c>
      <c r="AW122" s="106">
        <v>0</v>
      </c>
      <c r="AX122" s="106">
        <v>0</v>
      </c>
    </row>
    <row r="123" spans="1:50" x14ac:dyDescent="0.2">
      <c r="B123" s="111" t="s">
        <v>10</v>
      </c>
      <c r="C123" s="106">
        <v>0</v>
      </c>
      <c r="D123" s="106">
        <v>0</v>
      </c>
      <c r="E123" s="106">
        <v>0</v>
      </c>
      <c r="F123" s="106">
        <v>0</v>
      </c>
      <c r="G123" s="106">
        <v>0</v>
      </c>
      <c r="H123" s="106">
        <v>0</v>
      </c>
      <c r="I123" s="106">
        <v>0</v>
      </c>
      <c r="J123" s="106">
        <v>0</v>
      </c>
      <c r="K123" s="106">
        <v>0</v>
      </c>
      <c r="L123" s="106">
        <v>0</v>
      </c>
      <c r="M123" s="106">
        <v>0</v>
      </c>
      <c r="N123" s="106">
        <v>0</v>
      </c>
      <c r="O123" s="106">
        <v>0</v>
      </c>
      <c r="P123" s="106">
        <v>0</v>
      </c>
      <c r="Q123" s="106">
        <v>0</v>
      </c>
      <c r="R123" s="106">
        <v>0</v>
      </c>
      <c r="S123" s="106">
        <v>0</v>
      </c>
      <c r="T123" s="106">
        <v>0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0</v>
      </c>
      <c r="AI123" s="106">
        <v>0</v>
      </c>
      <c r="AJ123" s="106">
        <v>0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0</v>
      </c>
      <c r="AU123" s="106">
        <v>0</v>
      </c>
      <c r="AV123" s="106">
        <v>0</v>
      </c>
      <c r="AW123" s="106">
        <v>0</v>
      </c>
      <c r="AX123" s="106">
        <v>0</v>
      </c>
    </row>
    <row r="124" spans="1:50" x14ac:dyDescent="0.2">
      <c r="B124" s="111" t="s">
        <v>12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</row>
    <row r="125" spans="1:50" x14ac:dyDescent="0.2">
      <c r="B125" s="111" t="s">
        <v>22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</row>
    <row r="126" spans="1:50" x14ac:dyDescent="0.2">
      <c r="B126" s="111" t="s">
        <v>59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</row>
    <row r="127" spans="1:50" x14ac:dyDescent="0.2">
      <c r="B127" s="106" t="s">
        <v>278</v>
      </c>
      <c r="C127" s="111">
        <f>SUM(C$122:C$126)</f>
        <v>0</v>
      </c>
      <c r="D127" s="111">
        <f t="shared" ref="D127:AX127" si="9">SUM(D$122:D$126)</f>
        <v>0</v>
      </c>
      <c r="E127" s="111">
        <f t="shared" si="9"/>
        <v>0</v>
      </c>
      <c r="F127" s="111">
        <f t="shared" si="9"/>
        <v>0</v>
      </c>
      <c r="G127" s="111">
        <f t="shared" si="9"/>
        <v>0</v>
      </c>
      <c r="H127" s="111">
        <f t="shared" si="9"/>
        <v>0</v>
      </c>
      <c r="I127" s="111">
        <f t="shared" si="9"/>
        <v>0</v>
      </c>
      <c r="J127" s="111">
        <f t="shared" si="9"/>
        <v>0</v>
      </c>
      <c r="K127" s="111">
        <f t="shared" si="9"/>
        <v>0</v>
      </c>
      <c r="L127" s="111">
        <f t="shared" si="9"/>
        <v>0</v>
      </c>
      <c r="M127" s="111">
        <f t="shared" si="9"/>
        <v>0</v>
      </c>
      <c r="N127" s="111">
        <f t="shared" si="9"/>
        <v>0</v>
      </c>
      <c r="O127" s="111">
        <f t="shared" si="9"/>
        <v>0</v>
      </c>
      <c r="P127" s="111">
        <f t="shared" si="9"/>
        <v>0</v>
      </c>
      <c r="Q127" s="111">
        <f t="shared" si="9"/>
        <v>0</v>
      </c>
      <c r="R127" s="111">
        <f t="shared" si="9"/>
        <v>0</v>
      </c>
      <c r="S127" s="111">
        <f t="shared" si="9"/>
        <v>0</v>
      </c>
      <c r="T127" s="111">
        <f t="shared" si="9"/>
        <v>0</v>
      </c>
      <c r="U127" s="111">
        <f t="shared" si="9"/>
        <v>0</v>
      </c>
      <c r="V127" s="111">
        <f t="shared" si="9"/>
        <v>0</v>
      </c>
      <c r="W127" s="111">
        <f t="shared" si="9"/>
        <v>0</v>
      </c>
      <c r="X127" s="111">
        <f t="shared" si="9"/>
        <v>0</v>
      </c>
      <c r="Y127" s="111">
        <f t="shared" si="9"/>
        <v>0</v>
      </c>
      <c r="Z127" s="111">
        <f t="shared" si="9"/>
        <v>0</v>
      </c>
      <c r="AA127" s="111">
        <f t="shared" si="9"/>
        <v>0</v>
      </c>
      <c r="AB127" s="111">
        <f t="shared" si="9"/>
        <v>0</v>
      </c>
      <c r="AC127" s="111">
        <f t="shared" si="9"/>
        <v>0</v>
      </c>
      <c r="AD127" s="111">
        <f t="shared" si="9"/>
        <v>0</v>
      </c>
      <c r="AE127" s="111">
        <f t="shared" si="9"/>
        <v>0</v>
      </c>
      <c r="AF127" s="111">
        <f t="shared" si="9"/>
        <v>0</v>
      </c>
      <c r="AG127" s="111">
        <f t="shared" si="9"/>
        <v>0</v>
      </c>
      <c r="AH127" s="111">
        <f t="shared" si="9"/>
        <v>0</v>
      </c>
      <c r="AI127" s="111">
        <f t="shared" si="9"/>
        <v>0</v>
      </c>
      <c r="AJ127" s="111">
        <f t="shared" si="9"/>
        <v>0</v>
      </c>
      <c r="AK127" s="111">
        <f t="shared" si="9"/>
        <v>0</v>
      </c>
      <c r="AL127" s="111">
        <f t="shared" si="9"/>
        <v>0</v>
      </c>
      <c r="AM127" s="111">
        <f t="shared" si="9"/>
        <v>0</v>
      </c>
      <c r="AN127" s="111">
        <f t="shared" si="9"/>
        <v>0</v>
      </c>
      <c r="AO127" s="111">
        <f t="shared" si="9"/>
        <v>0</v>
      </c>
      <c r="AP127" s="111">
        <f t="shared" si="9"/>
        <v>0</v>
      </c>
      <c r="AQ127" s="111">
        <f t="shared" si="9"/>
        <v>0</v>
      </c>
      <c r="AR127" s="111">
        <f t="shared" si="9"/>
        <v>0</v>
      </c>
      <c r="AS127" s="111">
        <f t="shared" si="9"/>
        <v>0</v>
      </c>
      <c r="AT127" s="111">
        <f t="shared" si="9"/>
        <v>0</v>
      </c>
      <c r="AU127" s="111">
        <f t="shared" si="9"/>
        <v>0</v>
      </c>
      <c r="AV127" s="111">
        <f t="shared" si="9"/>
        <v>0</v>
      </c>
      <c r="AW127" s="111">
        <f t="shared" si="9"/>
        <v>0</v>
      </c>
      <c r="AX127" s="111">
        <f t="shared" si="9"/>
        <v>0</v>
      </c>
    </row>
    <row r="128" spans="1:50" x14ac:dyDescent="0.2">
      <c r="A128" s="111" t="s">
        <v>109</v>
      </c>
      <c r="B128" s="111" t="s">
        <v>5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</row>
    <row r="129" spans="2:50" x14ac:dyDescent="0.2">
      <c r="B129" s="111" t="s">
        <v>10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</row>
    <row r="130" spans="2:50" x14ac:dyDescent="0.2">
      <c r="B130" s="111" t="s">
        <v>12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</row>
    <row r="131" spans="2:50" x14ac:dyDescent="0.2">
      <c r="B131" s="111" t="s">
        <v>22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</row>
    <row r="132" spans="2:50" x14ac:dyDescent="0.2">
      <c r="B132" s="111" t="s">
        <v>59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</row>
    <row r="133" spans="2:50" x14ac:dyDescent="0.2">
      <c r="B133" s="106" t="s">
        <v>278</v>
      </c>
      <c r="C133" s="111">
        <f>SUM(C$128:C$132)</f>
        <v>0</v>
      </c>
      <c r="D133" s="111">
        <f t="shared" ref="D133:AX133" si="10">SUM(D$128:D$132)</f>
        <v>0</v>
      </c>
      <c r="E133" s="111">
        <f t="shared" si="10"/>
        <v>0</v>
      </c>
      <c r="F133" s="111">
        <f t="shared" si="10"/>
        <v>0</v>
      </c>
      <c r="G133" s="111">
        <f t="shared" si="10"/>
        <v>0</v>
      </c>
      <c r="H133" s="111">
        <f t="shared" si="10"/>
        <v>0</v>
      </c>
      <c r="I133" s="111">
        <f t="shared" si="10"/>
        <v>0</v>
      </c>
      <c r="J133" s="111">
        <f t="shared" si="10"/>
        <v>0</v>
      </c>
      <c r="K133" s="111">
        <f t="shared" si="10"/>
        <v>0</v>
      </c>
      <c r="L133" s="111">
        <f t="shared" si="10"/>
        <v>0</v>
      </c>
      <c r="M133" s="111">
        <f t="shared" si="10"/>
        <v>0</v>
      </c>
      <c r="N133" s="111">
        <f t="shared" si="10"/>
        <v>0</v>
      </c>
      <c r="O133" s="111">
        <f t="shared" si="10"/>
        <v>0</v>
      </c>
      <c r="P133" s="111">
        <f t="shared" si="10"/>
        <v>0</v>
      </c>
      <c r="Q133" s="111">
        <f t="shared" si="10"/>
        <v>0</v>
      </c>
      <c r="R133" s="111">
        <f t="shared" si="10"/>
        <v>0</v>
      </c>
      <c r="S133" s="111">
        <f t="shared" si="10"/>
        <v>0</v>
      </c>
      <c r="T133" s="111">
        <f t="shared" si="10"/>
        <v>0</v>
      </c>
      <c r="U133" s="111">
        <f t="shared" si="10"/>
        <v>0</v>
      </c>
      <c r="V133" s="111">
        <f t="shared" si="10"/>
        <v>0</v>
      </c>
      <c r="W133" s="111">
        <f t="shared" si="10"/>
        <v>0</v>
      </c>
      <c r="X133" s="111">
        <f t="shared" si="10"/>
        <v>0</v>
      </c>
      <c r="Y133" s="111">
        <f t="shared" si="10"/>
        <v>0</v>
      </c>
      <c r="Z133" s="111">
        <f t="shared" si="10"/>
        <v>0</v>
      </c>
      <c r="AA133" s="111">
        <f t="shared" si="10"/>
        <v>0</v>
      </c>
      <c r="AB133" s="111">
        <f t="shared" si="10"/>
        <v>0</v>
      </c>
      <c r="AC133" s="111">
        <f t="shared" si="10"/>
        <v>0</v>
      </c>
      <c r="AD133" s="111">
        <f t="shared" si="10"/>
        <v>0</v>
      </c>
      <c r="AE133" s="111">
        <f t="shared" si="10"/>
        <v>0</v>
      </c>
      <c r="AF133" s="111">
        <f t="shared" si="10"/>
        <v>0</v>
      </c>
      <c r="AG133" s="111">
        <f t="shared" si="10"/>
        <v>0</v>
      </c>
      <c r="AH133" s="111">
        <f t="shared" si="10"/>
        <v>0</v>
      </c>
      <c r="AI133" s="111">
        <f t="shared" si="10"/>
        <v>0</v>
      </c>
      <c r="AJ133" s="111">
        <f t="shared" si="10"/>
        <v>0</v>
      </c>
      <c r="AK133" s="111">
        <f t="shared" si="10"/>
        <v>0</v>
      </c>
      <c r="AL133" s="111">
        <f t="shared" si="10"/>
        <v>0</v>
      </c>
      <c r="AM133" s="111">
        <f t="shared" si="10"/>
        <v>0</v>
      </c>
      <c r="AN133" s="111">
        <f t="shared" si="10"/>
        <v>0</v>
      </c>
      <c r="AO133" s="111">
        <f t="shared" si="10"/>
        <v>0</v>
      </c>
      <c r="AP133" s="111">
        <f t="shared" si="10"/>
        <v>0</v>
      </c>
      <c r="AQ133" s="111">
        <f t="shared" si="10"/>
        <v>0</v>
      </c>
      <c r="AR133" s="111">
        <f t="shared" si="10"/>
        <v>0</v>
      </c>
      <c r="AS133" s="111">
        <f t="shared" si="10"/>
        <v>0</v>
      </c>
      <c r="AT133" s="111">
        <f t="shared" si="10"/>
        <v>0</v>
      </c>
      <c r="AU133" s="111">
        <f t="shared" si="10"/>
        <v>0</v>
      </c>
      <c r="AV133" s="111">
        <f t="shared" si="10"/>
        <v>0</v>
      </c>
      <c r="AW133" s="111">
        <f t="shared" si="10"/>
        <v>0</v>
      </c>
      <c r="AX133" s="111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5</v>
      </c>
      <c r="E2" s="116"/>
    </row>
    <row r="3" spans="1:52" x14ac:dyDescent="0.2">
      <c r="A3" s="106" t="s">
        <v>286</v>
      </c>
      <c r="B3" s="113">
        <v>471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0">
        <v>0</v>
      </c>
      <c r="AA7" s="150">
        <v>0</v>
      </c>
      <c r="AB7" s="150">
        <v>0</v>
      </c>
      <c r="AC7" s="150">
        <v>0</v>
      </c>
      <c r="AD7" s="150">
        <v>0</v>
      </c>
      <c r="AE7" s="150">
        <v>0</v>
      </c>
      <c r="AF7" s="150">
        <v>0</v>
      </c>
      <c r="AG7" s="150">
        <v>0</v>
      </c>
      <c r="AH7" s="150">
        <v>0</v>
      </c>
      <c r="AI7" s="150">
        <v>0</v>
      </c>
      <c r="AJ7" s="150">
        <v>0</v>
      </c>
      <c r="AK7" s="150">
        <v>0</v>
      </c>
      <c r="AL7" s="150">
        <v>0</v>
      </c>
      <c r="AM7" s="150">
        <v>0</v>
      </c>
      <c r="AN7" s="150">
        <v>0</v>
      </c>
      <c r="AO7" s="150">
        <v>0</v>
      </c>
      <c r="AP7" s="150">
        <v>0</v>
      </c>
      <c r="AQ7" s="150">
        <v>0</v>
      </c>
      <c r="AR7" s="150">
        <v>0</v>
      </c>
      <c r="AS7" s="150">
        <v>0</v>
      </c>
      <c r="AT7" s="150">
        <v>0</v>
      </c>
      <c r="AU7" s="150">
        <v>0</v>
      </c>
      <c r="AV7" s="150">
        <v>0</v>
      </c>
      <c r="AW7" s="150">
        <v>0</v>
      </c>
      <c r="AX7" s="150">
        <v>0</v>
      </c>
      <c r="AY7" s="150">
        <v>0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0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0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0</v>
      </c>
      <c r="D13" s="144">
        <f t="shared" ref="D13:AY13" si="1">D$7-D$10</f>
        <v>0</v>
      </c>
      <c r="E13" s="144">
        <f t="shared" si="1"/>
        <v>0</v>
      </c>
      <c r="F13" s="144">
        <f t="shared" si="1"/>
        <v>0</v>
      </c>
      <c r="G13" s="144">
        <f t="shared" si="1"/>
        <v>0</v>
      </c>
      <c r="H13" s="144">
        <f t="shared" si="1"/>
        <v>0</v>
      </c>
      <c r="I13" s="144">
        <f t="shared" si="1"/>
        <v>0</v>
      </c>
      <c r="J13" s="144">
        <f t="shared" si="1"/>
        <v>0</v>
      </c>
      <c r="K13" s="144">
        <f t="shared" si="1"/>
        <v>0</v>
      </c>
      <c r="L13" s="144">
        <f t="shared" si="1"/>
        <v>0</v>
      </c>
      <c r="M13" s="144">
        <f t="shared" si="1"/>
        <v>0</v>
      </c>
      <c r="N13" s="144">
        <f t="shared" si="1"/>
        <v>0</v>
      </c>
      <c r="O13" s="144">
        <f t="shared" si="1"/>
        <v>0</v>
      </c>
      <c r="P13" s="144">
        <f t="shared" si="1"/>
        <v>0</v>
      </c>
      <c r="Q13" s="144">
        <f t="shared" si="1"/>
        <v>0</v>
      </c>
      <c r="R13" s="144">
        <f t="shared" si="1"/>
        <v>0</v>
      </c>
      <c r="S13" s="144">
        <f t="shared" si="1"/>
        <v>0</v>
      </c>
      <c r="T13" s="144">
        <f t="shared" si="1"/>
        <v>0</v>
      </c>
      <c r="U13" s="144">
        <f t="shared" si="1"/>
        <v>0</v>
      </c>
      <c r="V13" s="144">
        <f t="shared" si="1"/>
        <v>0</v>
      </c>
      <c r="W13" s="144">
        <f t="shared" si="1"/>
        <v>0</v>
      </c>
      <c r="X13" s="144">
        <f t="shared" si="1"/>
        <v>0</v>
      </c>
      <c r="Y13" s="144">
        <f t="shared" si="1"/>
        <v>0</v>
      </c>
      <c r="Z13" s="144">
        <f t="shared" si="1"/>
        <v>0</v>
      </c>
      <c r="AA13" s="144">
        <f t="shared" si="1"/>
        <v>0</v>
      </c>
      <c r="AB13" s="144">
        <f t="shared" si="1"/>
        <v>0</v>
      </c>
      <c r="AC13" s="144">
        <f t="shared" si="1"/>
        <v>0</v>
      </c>
      <c r="AD13" s="144">
        <f t="shared" si="1"/>
        <v>0</v>
      </c>
      <c r="AE13" s="144">
        <f t="shared" si="1"/>
        <v>0</v>
      </c>
      <c r="AF13" s="144">
        <f t="shared" si="1"/>
        <v>0</v>
      </c>
      <c r="AG13" s="144">
        <f t="shared" si="1"/>
        <v>0</v>
      </c>
      <c r="AH13" s="144">
        <f t="shared" si="1"/>
        <v>0</v>
      </c>
      <c r="AI13" s="144">
        <f t="shared" si="1"/>
        <v>0</v>
      </c>
      <c r="AJ13" s="144">
        <f t="shared" si="1"/>
        <v>0</v>
      </c>
      <c r="AK13" s="144">
        <f t="shared" si="1"/>
        <v>0</v>
      </c>
      <c r="AL13" s="144">
        <f t="shared" si="1"/>
        <v>0</v>
      </c>
      <c r="AM13" s="144">
        <f t="shared" si="1"/>
        <v>0</v>
      </c>
      <c r="AN13" s="144">
        <f t="shared" si="1"/>
        <v>0</v>
      </c>
      <c r="AO13" s="144">
        <f t="shared" si="1"/>
        <v>0</v>
      </c>
      <c r="AP13" s="144">
        <f t="shared" si="1"/>
        <v>0</v>
      </c>
      <c r="AQ13" s="144">
        <f t="shared" si="1"/>
        <v>0</v>
      </c>
      <c r="AR13" s="144">
        <f t="shared" si="1"/>
        <v>0</v>
      </c>
      <c r="AS13" s="144">
        <f t="shared" si="1"/>
        <v>0</v>
      </c>
      <c r="AT13" s="144">
        <f t="shared" si="1"/>
        <v>0</v>
      </c>
      <c r="AU13" s="144">
        <f t="shared" si="1"/>
        <v>0</v>
      </c>
      <c r="AV13" s="144">
        <f t="shared" si="1"/>
        <v>0</v>
      </c>
      <c r="AW13" s="144">
        <f t="shared" si="1"/>
        <v>0</v>
      </c>
      <c r="AX13" s="144">
        <f t="shared" si="1"/>
        <v>0</v>
      </c>
      <c r="AY13" s="144">
        <f t="shared" si="1"/>
        <v>0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 t="s">
        <v>339</v>
      </c>
      <c r="AE20" s="123"/>
      <c r="AF20" s="123"/>
      <c r="AG20" s="123"/>
      <c r="AH20" s="123" t="s">
        <v>339</v>
      </c>
      <c r="AI20" s="123"/>
      <c r="AJ20" s="123" t="s">
        <v>339</v>
      </c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shipping_manufacturing!$C$19/100</f>
        <v>1</v>
      </c>
      <c r="C21" s="162" t="s">
        <v>293</v>
      </c>
      <c r="D21" s="112">
        <f>IF(C$20="Yes",0,SUM(C$13:C$16)*$B$21)</f>
        <v>0</v>
      </c>
      <c r="E21" s="112">
        <f t="shared" ref="E21:AY21" si="3">IF(D$20="Yes",0,SUM(D$13:D$16)*$B$21)</f>
        <v>0</v>
      </c>
      <c r="F21" s="112">
        <f t="shared" si="3"/>
        <v>0</v>
      </c>
      <c r="G21" s="112">
        <f t="shared" si="3"/>
        <v>0</v>
      </c>
      <c r="H21" s="112">
        <f t="shared" si="3"/>
        <v>0</v>
      </c>
      <c r="I21" s="112">
        <f t="shared" si="3"/>
        <v>0</v>
      </c>
      <c r="J21" s="112">
        <f t="shared" si="3"/>
        <v>0</v>
      </c>
      <c r="K21" s="112">
        <f t="shared" si="3"/>
        <v>0</v>
      </c>
      <c r="L21" s="112">
        <f t="shared" si="3"/>
        <v>0</v>
      </c>
      <c r="M21" s="112">
        <f t="shared" si="3"/>
        <v>0</v>
      </c>
      <c r="N21" s="112">
        <f t="shared" si="3"/>
        <v>0</v>
      </c>
      <c r="O21" s="112">
        <f t="shared" si="3"/>
        <v>0</v>
      </c>
      <c r="P21" s="112">
        <f t="shared" si="3"/>
        <v>0</v>
      </c>
      <c r="Q21" s="112">
        <f t="shared" si="3"/>
        <v>0</v>
      </c>
      <c r="R21" s="112">
        <f t="shared" si="3"/>
        <v>0</v>
      </c>
      <c r="S21" s="112">
        <f t="shared" si="3"/>
        <v>0</v>
      </c>
      <c r="T21" s="112">
        <f t="shared" si="3"/>
        <v>0</v>
      </c>
      <c r="U21" s="112">
        <f t="shared" si="3"/>
        <v>0</v>
      </c>
      <c r="V21" s="112">
        <f t="shared" si="3"/>
        <v>0</v>
      </c>
      <c r="W21" s="112">
        <f t="shared" si="3"/>
        <v>0</v>
      </c>
      <c r="X21" s="112">
        <f t="shared" si="3"/>
        <v>0</v>
      </c>
      <c r="Y21" s="112">
        <f t="shared" si="3"/>
        <v>0</v>
      </c>
      <c r="Z21" s="112">
        <f t="shared" si="3"/>
        <v>0</v>
      </c>
      <c r="AA21" s="112">
        <f t="shared" si="3"/>
        <v>0</v>
      </c>
      <c r="AB21" s="112">
        <f t="shared" si="3"/>
        <v>0</v>
      </c>
      <c r="AC21" s="112">
        <f t="shared" si="3"/>
        <v>0</v>
      </c>
      <c r="AD21" s="112">
        <f t="shared" si="3"/>
        <v>0</v>
      </c>
      <c r="AE21" s="112">
        <f t="shared" si="3"/>
        <v>0</v>
      </c>
      <c r="AF21" s="112">
        <f t="shared" si="3"/>
        <v>0</v>
      </c>
      <c r="AG21" s="112">
        <f t="shared" si="3"/>
        <v>0</v>
      </c>
      <c r="AH21" s="112">
        <f t="shared" si="3"/>
        <v>0</v>
      </c>
      <c r="AI21" s="112">
        <f t="shared" si="3"/>
        <v>0</v>
      </c>
      <c r="AJ21" s="112">
        <f t="shared" si="3"/>
        <v>0</v>
      </c>
      <c r="AK21" s="112">
        <f t="shared" si="3"/>
        <v>0</v>
      </c>
      <c r="AL21" s="112">
        <f t="shared" si="3"/>
        <v>0</v>
      </c>
      <c r="AM21" s="112">
        <f t="shared" si="3"/>
        <v>0</v>
      </c>
      <c r="AN21" s="112">
        <f t="shared" si="3"/>
        <v>0</v>
      </c>
      <c r="AO21" s="112">
        <f t="shared" si="3"/>
        <v>0</v>
      </c>
      <c r="AP21" s="112">
        <f t="shared" si="3"/>
        <v>0</v>
      </c>
      <c r="AQ21" s="112">
        <f t="shared" si="3"/>
        <v>0</v>
      </c>
      <c r="AR21" s="112">
        <f t="shared" si="3"/>
        <v>0</v>
      </c>
      <c r="AS21" s="112">
        <f t="shared" si="3"/>
        <v>0</v>
      </c>
      <c r="AT21" s="112">
        <f t="shared" si="3"/>
        <v>0</v>
      </c>
      <c r="AU21" s="112">
        <f t="shared" si="3"/>
        <v>0</v>
      </c>
      <c r="AV21" s="112">
        <f t="shared" si="3"/>
        <v>0</v>
      </c>
      <c r="AW21" s="112">
        <f t="shared" si="3"/>
        <v>0</v>
      </c>
      <c r="AX21" s="112">
        <f t="shared" si="3"/>
        <v>0</v>
      </c>
      <c r="AY21" s="112">
        <f t="shared" si="3"/>
        <v>0</v>
      </c>
      <c r="AZ21" s="163">
        <f>SUM($D21:$AY21)</f>
        <v>0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0</v>
      </c>
      <c r="E23" s="106">
        <f t="shared" ref="E23:AY23" si="6">E$21*$B$23</f>
        <v>0</v>
      </c>
      <c r="F23" s="106">
        <f t="shared" si="6"/>
        <v>0</v>
      </c>
      <c r="G23" s="106">
        <f t="shared" si="6"/>
        <v>0</v>
      </c>
      <c r="H23" s="106">
        <f t="shared" si="6"/>
        <v>0</v>
      </c>
      <c r="I23" s="106">
        <f t="shared" si="6"/>
        <v>0</v>
      </c>
      <c r="J23" s="106">
        <f t="shared" si="6"/>
        <v>0</v>
      </c>
      <c r="K23" s="106">
        <f t="shared" si="6"/>
        <v>0</v>
      </c>
      <c r="L23" s="106">
        <f t="shared" si="6"/>
        <v>0</v>
      </c>
      <c r="M23" s="106">
        <f t="shared" si="6"/>
        <v>0</v>
      </c>
      <c r="N23" s="106">
        <f t="shared" si="6"/>
        <v>0</v>
      </c>
      <c r="O23" s="106">
        <f t="shared" si="6"/>
        <v>0</v>
      </c>
      <c r="P23" s="106">
        <f t="shared" si="6"/>
        <v>0</v>
      </c>
      <c r="Q23" s="106">
        <f t="shared" si="6"/>
        <v>0</v>
      </c>
      <c r="R23" s="106">
        <f t="shared" si="6"/>
        <v>0</v>
      </c>
      <c r="S23" s="106">
        <f t="shared" si="6"/>
        <v>0</v>
      </c>
      <c r="T23" s="106">
        <f t="shared" si="6"/>
        <v>0</v>
      </c>
      <c r="U23" s="106">
        <f t="shared" si="6"/>
        <v>0</v>
      </c>
      <c r="V23" s="106">
        <f t="shared" si="6"/>
        <v>0</v>
      </c>
      <c r="W23" s="106">
        <f t="shared" si="6"/>
        <v>0</v>
      </c>
      <c r="X23" s="106">
        <f t="shared" si="6"/>
        <v>0</v>
      </c>
      <c r="Y23" s="106">
        <f t="shared" si="6"/>
        <v>0</v>
      </c>
      <c r="Z23" s="106">
        <f t="shared" si="6"/>
        <v>0</v>
      </c>
      <c r="AA23" s="106">
        <f t="shared" si="6"/>
        <v>0</v>
      </c>
      <c r="AB23" s="106">
        <f t="shared" si="6"/>
        <v>0</v>
      </c>
      <c r="AC23" s="106">
        <f t="shared" si="6"/>
        <v>0</v>
      </c>
      <c r="AD23" s="106">
        <f t="shared" si="6"/>
        <v>0</v>
      </c>
      <c r="AE23" s="106">
        <f t="shared" si="6"/>
        <v>0</v>
      </c>
      <c r="AF23" s="106">
        <f t="shared" si="6"/>
        <v>0</v>
      </c>
      <c r="AG23" s="106">
        <f t="shared" si="6"/>
        <v>0</v>
      </c>
      <c r="AH23" s="106">
        <f t="shared" si="6"/>
        <v>0</v>
      </c>
      <c r="AI23" s="106">
        <f t="shared" si="6"/>
        <v>0</v>
      </c>
      <c r="AJ23" s="106">
        <f t="shared" si="6"/>
        <v>0</v>
      </c>
      <c r="AK23" s="106">
        <f t="shared" si="6"/>
        <v>0</v>
      </c>
      <c r="AL23" s="106">
        <f t="shared" si="6"/>
        <v>0</v>
      </c>
      <c r="AM23" s="106">
        <f t="shared" si="6"/>
        <v>0</v>
      </c>
      <c r="AN23" s="106">
        <f t="shared" si="6"/>
        <v>0</v>
      </c>
      <c r="AO23" s="106">
        <f t="shared" si="6"/>
        <v>0</v>
      </c>
      <c r="AP23" s="106">
        <f t="shared" si="6"/>
        <v>0</v>
      </c>
      <c r="AQ23" s="106">
        <f t="shared" si="6"/>
        <v>0</v>
      </c>
      <c r="AR23" s="106">
        <f t="shared" si="6"/>
        <v>0</v>
      </c>
      <c r="AS23" s="106">
        <f t="shared" si="6"/>
        <v>0</v>
      </c>
      <c r="AT23" s="106">
        <f t="shared" si="6"/>
        <v>0</v>
      </c>
      <c r="AU23" s="106">
        <f t="shared" si="6"/>
        <v>0</v>
      </c>
      <c r="AV23" s="106">
        <f t="shared" si="6"/>
        <v>0</v>
      </c>
      <c r="AW23" s="106">
        <f t="shared" si="6"/>
        <v>0</v>
      </c>
      <c r="AX23" s="106">
        <f t="shared" si="6"/>
        <v>0</v>
      </c>
      <c r="AY23" s="106">
        <f t="shared" si="6"/>
        <v>0</v>
      </c>
      <c r="AZ23" s="145">
        <f t="shared" si="5"/>
        <v>0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11</v>
      </c>
      <c r="D27" s="130">
        <f>C$27-C$28+C$29</f>
        <v>11</v>
      </c>
      <c r="E27" s="130">
        <f t="shared" ref="E27:AY27" si="8">D27-D28+D29</f>
        <v>11</v>
      </c>
      <c r="F27" s="130">
        <f t="shared" si="8"/>
        <v>11</v>
      </c>
      <c r="G27" s="130">
        <f t="shared" si="8"/>
        <v>11</v>
      </c>
      <c r="H27" s="130">
        <f t="shared" si="8"/>
        <v>11</v>
      </c>
      <c r="I27" s="130">
        <f t="shared" si="8"/>
        <v>11</v>
      </c>
      <c r="J27" s="130">
        <f t="shared" si="8"/>
        <v>11</v>
      </c>
      <c r="K27" s="130">
        <f t="shared" si="8"/>
        <v>11</v>
      </c>
      <c r="L27" s="130">
        <f t="shared" si="8"/>
        <v>11</v>
      </c>
      <c r="M27" s="130">
        <f t="shared" si="8"/>
        <v>11</v>
      </c>
      <c r="N27" s="130">
        <f t="shared" si="8"/>
        <v>11</v>
      </c>
      <c r="O27" s="130">
        <f t="shared" si="8"/>
        <v>11</v>
      </c>
      <c r="P27" s="130">
        <f t="shared" si="8"/>
        <v>11</v>
      </c>
      <c r="Q27" s="130">
        <f t="shared" si="8"/>
        <v>11</v>
      </c>
      <c r="R27" s="130">
        <f t="shared" si="8"/>
        <v>11</v>
      </c>
      <c r="S27" s="130">
        <f t="shared" si="8"/>
        <v>11</v>
      </c>
      <c r="T27" s="130">
        <f t="shared" si="8"/>
        <v>11</v>
      </c>
      <c r="U27" s="130">
        <f t="shared" si="8"/>
        <v>11</v>
      </c>
      <c r="V27" s="130">
        <f t="shared" si="8"/>
        <v>11</v>
      </c>
      <c r="W27" s="130">
        <f t="shared" si="8"/>
        <v>11</v>
      </c>
      <c r="X27" s="130">
        <f t="shared" si="8"/>
        <v>11</v>
      </c>
      <c r="Y27" s="130">
        <f t="shared" si="8"/>
        <v>11</v>
      </c>
      <c r="Z27" s="130">
        <f t="shared" si="8"/>
        <v>11</v>
      </c>
      <c r="AA27" s="130">
        <f t="shared" si="8"/>
        <v>11</v>
      </c>
      <c r="AB27" s="130">
        <f t="shared" si="8"/>
        <v>11</v>
      </c>
      <c r="AC27" s="130">
        <f t="shared" si="8"/>
        <v>11</v>
      </c>
      <c r="AD27" s="130">
        <f t="shared" si="8"/>
        <v>11</v>
      </c>
      <c r="AE27" s="130">
        <f t="shared" si="8"/>
        <v>11</v>
      </c>
      <c r="AF27" s="130">
        <f t="shared" si="8"/>
        <v>11</v>
      </c>
      <c r="AG27" s="130">
        <f t="shared" si="8"/>
        <v>11</v>
      </c>
      <c r="AH27" s="130">
        <f t="shared" si="8"/>
        <v>11</v>
      </c>
      <c r="AI27" s="130">
        <f t="shared" si="8"/>
        <v>11</v>
      </c>
      <c r="AJ27" s="130">
        <f t="shared" si="8"/>
        <v>11</v>
      </c>
      <c r="AK27" s="130">
        <f t="shared" si="8"/>
        <v>11</v>
      </c>
      <c r="AL27" s="130">
        <f t="shared" si="8"/>
        <v>11</v>
      </c>
      <c r="AM27" s="130">
        <f t="shared" si="8"/>
        <v>11</v>
      </c>
      <c r="AN27" s="130">
        <f t="shared" si="8"/>
        <v>11</v>
      </c>
      <c r="AO27" s="130">
        <f t="shared" si="8"/>
        <v>11</v>
      </c>
      <c r="AP27" s="130">
        <f t="shared" si="8"/>
        <v>11</v>
      </c>
      <c r="AQ27" s="130">
        <f t="shared" si="8"/>
        <v>11</v>
      </c>
      <c r="AR27" s="130">
        <f t="shared" si="8"/>
        <v>11</v>
      </c>
      <c r="AS27" s="130">
        <f t="shared" si="8"/>
        <v>11</v>
      </c>
      <c r="AT27" s="130">
        <f t="shared" si="8"/>
        <v>11</v>
      </c>
      <c r="AU27" s="130">
        <f t="shared" si="8"/>
        <v>11</v>
      </c>
      <c r="AV27" s="130">
        <f t="shared" si="8"/>
        <v>11</v>
      </c>
      <c r="AW27" s="130">
        <f t="shared" si="8"/>
        <v>11</v>
      </c>
      <c r="AX27" s="130">
        <f t="shared" si="8"/>
        <v>11</v>
      </c>
      <c r="AY27" s="170">
        <f t="shared" si="8"/>
        <v>11</v>
      </c>
      <c r="AZ27" s="112"/>
    </row>
    <row r="28" spans="1:52" x14ac:dyDescent="0.2">
      <c r="B28" s="171" t="s">
        <v>310</v>
      </c>
      <c r="C28" s="116">
        <v>0</v>
      </c>
      <c r="D28" s="116">
        <v>0</v>
      </c>
      <c r="E28" s="116">
        <v>0</v>
      </c>
      <c r="F28" s="116">
        <v>0</v>
      </c>
      <c r="G28" s="116">
        <v>0</v>
      </c>
      <c r="H28" s="116">
        <v>0</v>
      </c>
      <c r="I28" s="116">
        <v>0</v>
      </c>
      <c r="J28" s="116">
        <v>0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72">
        <v>0</v>
      </c>
      <c r="AZ28" s="112"/>
    </row>
    <row r="29" spans="1:52" x14ac:dyDescent="0.2">
      <c r="B29" s="142" t="s">
        <v>311</v>
      </c>
      <c r="C29" s="131">
        <v>0</v>
      </c>
      <c r="D29" s="131">
        <f>C$28</f>
        <v>0</v>
      </c>
      <c r="E29" s="131">
        <f t="shared" ref="E29:AY29" si="9">D$28</f>
        <v>0</v>
      </c>
      <c r="F29" s="131">
        <f t="shared" si="9"/>
        <v>0</v>
      </c>
      <c r="G29" s="131">
        <f t="shared" si="9"/>
        <v>0</v>
      </c>
      <c r="H29" s="131">
        <f t="shared" si="9"/>
        <v>0</v>
      </c>
      <c r="I29" s="131">
        <f t="shared" si="9"/>
        <v>0</v>
      </c>
      <c r="J29" s="131">
        <f t="shared" si="9"/>
        <v>0</v>
      </c>
      <c r="K29" s="131">
        <f t="shared" si="9"/>
        <v>0</v>
      </c>
      <c r="L29" s="131">
        <f t="shared" si="9"/>
        <v>0</v>
      </c>
      <c r="M29" s="131">
        <f t="shared" si="9"/>
        <v>0</v>
      </c>
      <c r="N29" s="131">
        <f t="shared" si="9"/>
        <v>0</v>
      </c>
      <c r="O29" s="131">
        <f t="shared" si="9"/>
        <v>0</v>
      </c>
      <c r="P29" s="131">
        <f t="shared" si="9"/>
        <v>0</v>
      </c>
      <c r="Q29" s="131">
        <f t="shared" si="9"/>
        <v>0</v>
      </c>
      <c r="R29" s="131">
        <f t="shared" si="9"/>
        <v>0</v>
      </c>
      <c r="S29" s="131">
        <f t="shared" si="9"/>
        <v>0</v>
      </c>
      <c r="T29" s="131">
        <f t="shared" si="9"/>
        <v>0</v>
      </c>
      <c r="U29" s="131">
        <f t="shared" si="9"/>
        <v>0</v>
      </c>
      <c r="V29" s="131">
        <f t="shared" si="9"/>
        <v>0</v>
      </c>
      <c r="W29" s="131">
        <f t="shared" si="9"/>
        <v>0</v>
      </c>
      <c r="X29" s="131">
        <f t="shared" si="9"/>
        <v>0</v>
      </c>
      <c r="Y29" s="131">
        <f t="shared" si="9"/>
        <v>0</v>
      </c>
      <c r="Z29" s="131">
        <f t="shared" si="9"/>
        <v>0</v>
      </c>
      <c r="AA29" s="131">
        <f t="shared" si="9"/>
        <v>0</v>
      </c>
      <c r="AB29" s="131">
        <f t="shared" si="9"/>
        <v>0</v>
      </c>
      <c r="AC29" s="131">
        <f t="shared" si="9"/>
        <v>0</v>
      </c>
      <c r="AD29" s="131">
        <f t="shared" si="9"/>
        <v>0</v>
      </c>
      <c r="AE29" s="131">
        <f t="shared" si="9"/>
        <v>0</v>
      </c>
      <c r="AF29" s="131">
        <f t="shared" si="9"/>
        <v>0</v>
      </c>
      <c r="AG29" s="131">
        <f t="shared" si="9"/>
        <v>0</v>
      </c>
      <c r="AH29" s="131">
        <f t="shared" si="9"/>
        <v>0</v>
      </c>
      <c r="AI29" s="131">
        <f t="shared" si="9"/>
        <v>0</v>
      </c>
      <c r="AJ29" s="131">
        <f t="shared" si="9"/>
        <v>0</v>
      </c>
      <c r="AK29" s="131">
        <f t="shared" si="9"/>
        <v>0</v>
      </c>
      <c r="AL29" s="131">
        <f t="shared" si="9"/>
        <v>0</v>
      </c>
      <c r="AM29" s="131">
        <f t="shared" si="9"/>
        <v>0</v>
      </c>
      <c r="AN29" s="131">
        <f t="shared" si="9"/>
        <v>0</v>
      </c>
      <c r="AO29" s="131">
        <f t="shared" si="9"/>
        <v>0</v>
      </c>
      <c r="AP29" s="131">
        <f t="shared" si="9"/>
        <v>0</v>
      </c>
      <c r="AQ29" s="131">
        <f t="shared" si="9"/>
        <v>0</v>
      </c>
      <c r="AR29" s="131">
        <f t="shared" si="9"/>
        <v>0</v>
      </c>
      <c r="AS29" s="131">
        <f t="shared" si="9"/>
        <v>0</v>
      </c>
      <c r="AT29" s="131">
        <f t="shared" si="9"/>
        <v>0</v>
      </c>
      <c r="AU29" s="131">
        <f t="shared" si="9"/>
        <v>0</v>
      </c>
      <c r="AV29" s="131">
        <f t="shared" si="9"/>
        <v>0</v>
      </c>
      <c r="AW29" s="131">
        <f t="shared" si="9"/>
        <v>0</v>
      </c>
      <c r="AX29" s="131">
        <f t="shared" si="9"/>
        <v>0</v>
      </c>
      <c r="AY29" s="173">
        <f t="shared" si="9"/>
        <v>0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110</v>
      </c>
      <c r="E30" s="123">
        <f t="shared" ref="E30:AY30" si="10">E$27*$B$30</f>
        <v>110</v>
      </c>
      <c r="F30" s="123">
        <f t="shared" si="10"/>
        <v>110</v>
      </c>
      <c r="G30" s="123">
        <f t="shared" si="10"/>
        <v>110</v>
      </c>
      <c r="H30" s="123">
        <f t="shared" si="10"/>
        <v>110</v>
      </c>
      <c r="I30" s="123">
        <f t="shared" si="10"/>
        <v>110</v>
      </c>
      <c r="J30" s="123">
        <f t="shared" si="10"/>
        <v>110</v>
      </c>
      <c r="K30" s="123">
        <f t="shared" si="10"/>
        <v>110</v>
      </c>
      <c r="L30" s="123">
        <f t="shared" si="10"/>
        <v>110</v>
      </c>
      <c r="M30" s="123">
        <f t="shared" si="10"/>
        <v>110</v>
      </c>
      <c r="N30" s="123">
        <f t="shared" si="10"/>
        <v>110</v>
      </c>
      <c r="O30" s="123">
        <f t="shared" si="10"/>
        <v>110</v>
      </c>
      <c r="P30" s="123">
        <f t="shared" si="10"/>
        <v>110</v>
      </c>
      <c r="Q30" s="123">
        <f t="shared" si="10"/>
        <v>110</v>
      </c>
      <c r="R30" s="123">
        <f>R$27*$B$30</f>
        <v>110</v>
      </c>
      <c r="S30" s="123">
        <f t="shared" si="10"/>
        <v>110</v>
      </c>
      <c r="T30" s="123">
        <f t="shared" si="10"/>
        <v>110</v>
      </c>
      <c r="U30" s="123">
        <f t="shared" si="10"/>
        <v>110</v>
      </c>
      <c r="V30" s="123">
        <f t="shared" si="10"/>
        <v>110</v>
      </c>
      <c r="W30" s="123">
        <f t="shared" si="10"/>
        <v>110</v>
      </c>
      <c r="X30" s="123">
        <f t="shared" si="10"/>
        <v>110</v>
      </c>
      <c r="Y30" s="123">
        <f t="shared" si="10"/>
        <v>110</v>
      </c>
      <c r="Z30" s="123">
        <f t="shared" si="10"/>
        <v>110</v>
      </c>
      <c r="AA30" s="123">
        <f t="shared" si="10"/>
        <v>110</v>
      </c>
      <c r="AB30" s="123">
        <f t="shared" si="10"/>
        <v>110</v>
      </c>
      <c r="AC30" s="123">
        <f t="shared" si="10"/>
        <v>110</v>
      </c>
      <c r="AD30" s="123">
        <f t="shared" si="10"/>
        <v>110</v>
      </c>
      <c r="AE30" s="123">
        <f>AE$27*$B$30</f>
        <v>110</v>
      </c>
      <c r="AF30" s="123">
        <f t="shared" si="10"/>
        <v>110</v>
      </c>
      <c r="AG30" s="123">
        <f t="shared" si="10"/>
        <v>110</v>
      </c>
      <c r="AH30" s="123">
        <f t="shared" si="10"/>
        <v>110</v>
      </c>
      <c r="AI30" s="123">
        <f t="shared" si="10"/>
        <v>110</v>
      </c>
      <c r="AJ30" s="123">
        <f t="shared" si="10"/>
        <v>110</v>
      </c>
      <c r="AK30" s="123">
        <f t="shared" si="10"/>
        <v>110</v>
      </c>
      <c r="AL30" s="123">
        <f t="shared" si="10"/>
        <v>110</v>
      </c>
      <c r="AM30" s="123">
        <f t="shared" si="10"/>
        <v>110</v>
      </c>
      <c r="AN30" s="123">
        <f t="shared" si="10"/>
        <v>110</v>
      </c>
      <c r="AO30" s="123">
        <f t="shared" si="10"/>
        <v>110</v>
      </c>
      <c r="AP30" s="123">
        <f t="shared" si="10"/>
        <v>110</v>
      </c>
      <c r="AQ30" s="123">
        <f t="shared" si="10"/>
        <v>110</v>
      </c>
      <c r="AR30" s="123">
        <f t="shared" si="10"/>
        <v>110</v>
      </c>
      <c r="AS30" s="123">
        <f t="shared" si="10"/>
        <v>110</v>
      </c>
      <c r="AT30" s="123">
        <f t="shared" si="10"/>
        <v>110</v>
      </c>
      <c r="AU30" s="123">
        <f t="shared" si="10"/>
        <v>110</v>
      </c>
      <c r="AV30" s="123">
        <f t="shared" si="10"/>
        <v>110</v>
      </c>
      <c r="AW30" s="123">
        <f t="shared" si="10"/>
        <v>110</v>
      </c>
      <c r="AX30" s="123">
        <f t="shared" si="10"/>
        <v>110</v>
      </c>
      <c r="AY30" s="123">
        <f t="shared" si="10"/>
        <v>110</v>
      </c>
      <c r="AZ30" s="147">
        <f t="shared" si="5"/>
        <v>5280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D$21*shipping_manufacturing!$D$27/100</f>
        <v>0</v>
      </c>
      <c r="E33" s="130">
        <f>E$21*shipping_manufacturing!$D$27/100</f>
        <v>0</v>
      </c>
      <c r="F33" s="130">
        <f>F$21*shipping_manufacturing!$D$27/100</f>
        <v>0</v>
      </c>
      <c r="G33" s="130">
        <f>G$21*shipping_manufacturing!$D$27/100</f>
        <v>0</v>
      </c>
      <c r="H33" s="130">
        <f>H$21*shipping_manufacturing!$D$27/100</f>
        <v>0</v>
      </c>
      <c r="I33" s="130">
        <f>I$21*shipping_manufacturing!$D$27/100</f>
        <v>0</v>
      </c>
      <c r="J33" s="130">
        <f>J$21*shipping_manufacturing!$D$27/100</f>
        <v>0</v>
      </c>
      <c r="K33" s="130">
        <f>K$21*shipping_manufacturing!$D$27/100</f>
        <v>0</v>
      </c>
      <c r="L33" s="130">
        <f>L$21*shipping_manufacturing!$D$27/100</f>
        <v>0</v>
      </c>
      <c r="M33" s="130">
        <f>M$21*shipping_manufacturing!$D$27/100</f>
        <v>0</v>
      </c>
      <c r="N33" s="130">
        <f>N$21*shipping_manufacturing!$D$27/100</f>
        <v>0</v>
      </c>
      <c r="O33" s="130">
        <f>O$21*shipping_manufacturing!$D$27/100</f>
        <v>0</v>
      </c>
      <c r="P33" s="130">
        <f>P$21*shipping_manufacturing!$D$27/100</f>
        <v>0</v>
      </c>
      <c r="Q33" s="130">
        <f>Q$21*shipping_manufacturing!$D$27/100</f>
        <v>0</v>
      </c>
      <c r="R33" s="130">
        <f>R$21*shipping_manufacturing!$D$27/100</f>
        <v>0</v>
      </c>
      <c r="S33" s="130">
        <f>S$21*shipping_manufacturing!$D$27/100</f>
        <v>0</v>
      </c>
      <c r="T33" s="130">
        <f>T$21*shipping_manufacturing!$D$27/100</f>
        <v>0</v>
      </c>
      <c r="U33" s="130">
        <f>U$21*shipping_manufacturing!$D$27/100</f>
        <v>0</v>
      </c>
      <c r="V33" s="130">
        <f>V$21*shipping_manufacturing!$D$27/100</f>
        <v>0</v>
      </c>
      <c r="W33" s="130">
        <f>W$21*shipping_manufacturing!$D$27/100</f>
        <v>0</v>
      </c>
      <c r="X33" s="130">
        <f>X$21*shipping_manufacturing!$D$27/100</f>
        <v>0</v>
      </c>
      <c r="Y33" s="130">
        <f>Y$21*shipping_manufacturing!$D$27/100</f>
        <v>0</v>
      </c>
      <c r="Z33" s="130">
        <f>Z$21*shipping_manufacturing!$D$27/100</f>
        <v>0</v>
      </c>
      <c r="AA33" s="130">
        <f>AA$21*shipping_manufacturing!$D$27/100</f>
        <v>0</v>
      </c>
      <c r="AB33" s="130">
        <f>AB$21*shipping_manufacturing!$D$27/100</f>
        <v>0</v>
      </c>
      <c r="AC33" s="130">
        <f>AC$21*shipping_manufacturing!$D$27/100</f>
        <v>0</v>
      </c>
      <c r="AD33" s="130">
        <f>AD$21*shipping_manufacturing!$D$27/100</f>
        <v>0</v>
      </c>
      <c r="AE33" s="130">
        <f>AE$21*shipping_manufacturing!$D$27/100</f>
        <v>0</v>
      </c>
      <c r="AF33" s="130">
        <f>AF$21*shipping_manufacturing!$D$27/100</f>
        <v>0</v>
      </c>
      <c r="AG33" s="130">
        <f>AG$21*shipping_manufacturing!$D$27/100</f>
        <v>0</v>
      </c>
      <c r="AH33" s="130">
        <f>AH$21*shipping_manufacturing!$D$27/100</f>
        <v>0</v>
      </c>
      <c r="AI33" s="130">
        <f>AI$21*shipping_manufacturing!$D$27/100</f>
        <v>0</v>
      </c>
      <c r="AJ33" s="130">
        <f>AJ$21*shipping_manufacturing!$D$27/100</f>
        <v>0</v>
      </c>
      <c r="AK33" s="130">
        <f>AK$21*shipping_manufacturing!$D$27/100</f>
        <v>0</v>
      </c>
      <c r="AL33" s="130">
        <f>AL$21*shipping_manufacturing!$D$27/100</f>
        <v>0</v>
      </c>
      <c r="AM33" s="130">
        <f>AM$21*shipping_manufacturing!$D$27/100</f>
        <v>0</v>
      </c>
      <c r="AN33" s="130">
        <f>AN$21*shipping_manufacturing!$D$27/100</f>
        <v>0</v>
      </c>
      <c r="AO33" s="130">
        <f>AO$21*shipping_manufacturing!$D$27/100</f>
        <v>0</v>
      </c>
      <c r="AP33" s="130">
        <f>AP$21*shipping_manufacturing!$D$27/100</f>
        <v>0</v>
      </c>
      <c r="AQ33" s="130">
        <f>AQ$21*shipping_manufacturing!$D$27/100</f>
        <v>0</v>
      </c>
      <c r="AR33" s="130">
        <f>AR$21*shipping_manufacturing!$D$27/100</f>
        <v>0</v>
      </c>
      <c r="AS33" s="130">
        <f>AS$21*shipping_manufacturing!$D$27/100</f>
        <v>0</v>
      </c>
      <c r="AT33" s="130">
        <f>AT$21*shipping_manufacturing!$D$27/100</f>
        <v>0</v>
      </c>
      <c r="AU33" s="130">
        <f>AU$21*shipping_manufacturing!$D$27/100</f>
        <v>0</v>
      </c>
      <c r="AV33" s="130">
        <f>AV$21*shipping_manufacturing!$D$27/100</f>
        <v>0</v>
      </c>
      <c r="AW33" s="130">
        <f>AW$21*shipping_manufacturing!$D$27/100</f>
        <v>0</v>
      </c>
      <c r="AX33" s="130">
        <f>AX$21*shipping_manufacturing!$D$27/100</f>
        <v>0</v>
      </c>
      <c r="AY33" s="130">
        <f>AY$21*shipping_manufacturing!$D$27/100</f>
        <v>0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D$22*shipping_manufacturing!$E$27/100</f>
        <v>0</v>
      </c>
      <c r="E34" s="116">
        <f>E$22*shipping_manufacturing!$E$27/100</f>
        <v>0</v>
      </c>
      <c r="F34" s="116">
        <f>F$22*shipping_manufacturing!$E$27/100</f>
        <v>0</v>
      </c>
      <c r="G34" s="116">
        <f>G$22*shipping_manufacturing!$E$27/100</f>
        <v>0</v>
      </c>
      <c r="H34" s="116">
        <f>H$22*shipping_manufacturing!$E$27/100</f>
        <v>0</v>
      </c>
      <c r="I34" s="116">
        <f>I$22*shipping_manufacturing!$E$27/100</f>
        <v>0</v>
      </c>
      <c r="J34" s="116">
        <f>J$22*shipping_manufacturing!$E$27/100</f>
        <v>0</v>
      </c>
      <c r="K34" s="116">
        <f>K$22*shipping_manufacturing!$E$27/100</f>
        <v>0</v>
      </c>
      <c r="L34" s="116">
        <f>L$22*shipping_manufacturing!$E$27/100</f>
        <v>0</v>
      </c>
      <c r="M34" s="116">
        <f>M$22*shipping_manufacturing!$E$27/100</f>
        <v>0</v>
      </c>
      <c r="N34" s="116">
        <f>N$22*shipping_manufacturing!$E$27/100</f>
        <v>0</v>
      </c>
      <c r="O34" s="116">
        <f>O$22*shipping_manufacturing!$E$27/100</f>
        <v>0</v>
      </c>
      <c r="P34" s="116">
        <f>P$22*shipping_manufacturing!$E$27/100</f>
        <v>0</v>
      </c>
      <c r="Q34" s="116">
        <f>Q$22*shipping_manufacturing!$E$27/100</f>
        <v>0</v>
      </c>
      <c r="R34" s="116">
        <f>R$22*shipping_manufacturing!$E$27/100</f>
        <v>0</v>
      </c>
      <c r="S34" s="116">
        <f>S$22*shipping_manufacturing!$E$27/100</f>
        <v>0</v>
      </c>
      <c r="T34" s="116">
        <f>T$22*shipping_manufacturing!$E$27/100</f>
        <v>0</v>
      </c>
      <c r="U34" s="116">
        <f>U$22*shipping_manufacturing!$E$27/100</f>
        <v>0</v>
      </c>
      <c r="V34" s="116">
        <f>V$22*shipping_manufacturing!$E$27/100</f>
        <v>0</v>
      </c>
      <c r="W34" s="116">
        <f>W$22*shipping_manufacturing!$E$27/100</f>
        <v>0</v>
      </c>
      <c r="X34" s="116">
        <f>X$22*shipping_manufacturing!$E$27/100</f>
        <v>0</v>
      </c>
      <c r="Y34" s="116">
        <f>Y$22*shipping_manufacturing!$E$27/100</f>
        <v>0</v>
      </c>
      <c r="Z34" s="116">
        <f>Z$22*shipping_manufacturing!$E$27/100</f>
        <v>0</v>
      </c>
      <c r="AA34" s="116">
        <f>AA$22*shipping_manufacturing!$E$27/100</f>
        <v>0</v>
      </c>
      <c r="AB34" s="116">
        <f>AB$22*shipping_manufacturing!$E$27/100</f>
        <v>0</v>
      </c>
      <c r="AC34" s="116">
        <f>AC$22*shipping_manufacturing!$E$27/100</f>
        <v>0</v>
      </c>
      <c r="AD34" s="116">
        <f>AD$22*shipping_manufacturing!$E$27/100</f>
        <v>0</v>
      </c>
      <c r="AE34" s="116">
        <f>AE$22*shipping_manufacturing!$E$27/100</f>
        <v>0</v>
      </c>
      <c r="AF34" s="116">
        <f>AF$22*shipping_manufacturing!$E$27/100</f>
        <v>0</v>
      </c>
      <c r="AG34" s="116">
        <f>AG$22*shipping_manufacturing!$E$27/100</f>
        <v>0</v>
      </c>
      <c r="AH34" s="116">
        <f>AH$22*shipping_manufacturing!$E$27/100</f>
        <v>0</v>
      </c>
      <c r="AI34" s="116">
        <f>AI$22*shipping_manufacturing!$E$27/100</f>
        <v>0</v>
      </c>
      <c r="AJ34" s="116">
        <f>AJ$22*shipping_manufacturing!$E$27/100</f>
        <v>0</v>
      </c>
      <c r="AK34" s="116">
        <f>AK$22*shipping_manufacturing!$E$27/100</f>
        <v>0</v>
      </c>
      <c r="AL34" s="116">
        <f>AL$22*shipping_manufacturing!$E$27/100</f>
        <v>0</v>
      </c>
      <c r="AM34" s="116">
        <f>AM$22*shipping_manufacturing!$E$27/100</f>
        <v>0</v>
      </c>
      <c r="AN34" s="116">
        <f>AN$22*shipping_manufacturing!$E$27/100</f>
        <v>0</v>
      </c>
      <c r="AO34" s="116">
        <f>AO$22*shipping_manufacturing!$E$27/100</f>
        <v>0</v>
      </c>
      <c r="AP34" s="116">
        <f>AP$22*shipping_manufacturing!$E$27/100</f>
        <v>0</v>
      </c>
      <c r="AQ34" s="116">
        <f>AQ$22*shipping_manufacturing!$E$27/100</f>
        <v>0</v>
      </c>
      <c r="AR34" s="116">
        <f>AR$22*shipping_manufacturing!$E$27/100</f>
        <v>0</v>
      </c>
      <c r="AS34" s="116">
        <f>AS$22*shipping_manufacturing!$E$27/100</f>
        <v>0</v>
      </c>
      <c r="AT34" s="116">
        <f>AT$22*shipping_manufacturing!$E$27/100</f>
        <v>0</v>
      </c>
      <c r="AU34" s="116">
        <f>AU$22*shipping_manufacturing!$E$27/100</f>
        <v>0</v>
      </c>
      <c r="AV34" s="116">
        <f>AV$22*shipping_manufacturing!$E$27/100</f>
        <v>0</v>
      </c>
      <c r="AW34" s="116">
        <f>AW$22*shipping_manufacturing!$E$27/100</f>
        <v>0</v>
      </c>
      <c r="AX34" s="116">
        <f>AX$22*shipping_manufacturing!$E$27/100</f>
        <v>0</v>
      </c>
      <c r="AY34" s="116">
        <f>AY$22*shipping_manufacturing!$E$27/100</f>
        <v>0</v>
      </c>
    </row>
    <row r="35" spans="1:52" x14ac:dyDescent="0.2">
      <c r="A35" s="116">
        <v>1335</v>
      </c>
      <c r="B35" s="171" t="s">
        <v>343</v>
      </c>
      <c r="C35" s="116"/>
      <c r="D35" s="116">
        <f>SUM(D33:D34)</f>
        <v>0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344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345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346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2</v>
      </c>
      <c r="E41" s="116">
        <v>1</v>
      </c>
      <c r="F41" s="116">
        <v>1</v>
      </c>
      <c r="G41" s="116">
        <v>1</v>
      </c>
      <c r="H41" s="116">
        <v>1</v>
      </c>
      <c r="I41" s="116">
        <v>2</v>
      </c>
      <c r="J41" s="116">
        <v>1</v>
      </c>
      <c r="K41" s="116">
        <v>1</v>
      </c>
      <c r="L41" s="116">
        <v>1</v>
      </c>
      <c r="M41" s="116">
        <v>1</v>
      </c>
      <c r="N41" s="116">
        <v>2</v>
      </c>
      <c r="O41" s="116">
        <v>3</v>
      </c>
      <c r="P41" s="116">
        <v>1</v>
      </c>
      <c r="Q41" s="116">
        <v>1</v>
      </c>
      <c r="R41" s="116">
        <v>1</v>
      </c>
      <c r="S41" s="116">
        <v>1</v>
      </c>
      <c r="T41" s="116">
        <v>2</v>
      </c>
      <c r="U41" s="116">
        <v>1</v>
      </c>
      <c r="V41" s="116">
        <v>2</v>
      </c>
      <c r="W41" s="116">
        <v>1</v>
      </c>
      <c r="X41" s="116">
        <v>1</v>
      </c>
      <c r="Y41" s="116">
        <v>1</v>
      </c>
      <c r="Z41" s="116">
        <v>1</v>
      </c>
      <c r="AA41" s="116">
        <v>1</v>
      </c>
      <c r="AB41" s="116">
        <v>1</v>
      </c>
      <c r="AC41" s="116">
        <v>1</v>
      </c>
      <c r="AD41" s="116">
        <v>1</v>
      </c>
      <c r="AE41" s="116">
        <v>1</v>
      </c>
      <c r="AF41" s="116">
        <v>2</v>
      </c>
      <c r="AG41" s="116">
        <v>1</v>
      </c>
      <c r="AH41" s="116">
        <v>1</v>
      </c>
      <c r="AI41" s="116">
        <v>3</v>
      </c>
      <c r="AJ41" s="116">
        <v>1</v>
      </c>
      <c r="AK41" s="116">
        <v>1</v>
      </c>
      <c r="AL41" s="116">
        <v>1</v>
      </c>
      <c r="AM41" s="116">
        <v>1</v>
      </c>
      <c r="AN41" s="116">
        <v>1</v>
      </c>
      <c r="AO41" s="116">
        <v>2</v>
      </c>
      <c r="AP41" s="116">
        <v>1</v>
      </c>
      <c r="AQ41" s="116">
        <v>1</v>
      </c>
      <c r="AR41" s="116">
        <v>1</v>
      </c>
      <c r="AS41" s="116">
        <v>2</v>
      </c>
      <c r="AT41" s="116">
        <v>1</v>
      </c>
      <c r="AU41" s="116">
        <v>2</v>
      </c>
      <c r="AV41" s="116">
        <v>1</v>
      </c>
      <c r="AW41" s="116">
        <v>1</v>
      </c>
      <c r="AX41" s="116">
        <v>2</v>
      </c>
      <c r="AY41" s="116">
        <v>1</v>
      </c>
    </row>
    <row r="42" spans="1:52" x14ac:dyDescent="0.2">
      <c r="A42" s="116"/>
      <c r="B42" s="184" t="s">
        <v>350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351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D$21*shipping_manufacturing!$D$28/100</f>
        <v>0</v>
      </c>
      <c r="E44" s="130">
        <f>E$21*shipping_manufacturing!$D$28/100</f>
        <v>0</v>
      </c>
      <c r="F44" s="130">
        <f>F$21*shipping_manufacturing!$D$28/100</f>
        <v>0</v>
      </c>
      <c r="G44" s="130">
        <f>G$21*shipping_manufacturing!$D$28/100</f>
        <v>0</v>
      </c>
      <c r="H44" s="130">
        <f>H$21*shipping_manufacturing!$D$28/100</f>
        <v>0</v>
      </c>
      <c r="I44" s="130">
        <f>I$21*shipping_manufacturing!$D$28/100</f>
        <v>0</v>
      </c>
      <c r="J44" s="130">
        <f>J$21*shipping_manufacturing!$D$28/100</f>
        <v>0</v>
      </c>
      <c r="K44" s="130">
        <f>K$21*shipping_manufacturing!$D$28/100</f>
        <v>0</v>
      </c>
      <c r="L44" s="130">
        <f>L$21*shipping_manufacturing!$D$28/100</f>
        <v>0</v>
      </c>
      <c r="M44" s="130">
        <f>M$21*shipping_manufacturing!$D$28/100</f>
        <v>0</v>
      </c>
      <c r="N44" s="130">
        <f>N$21*shipping_manufacturing!$D$28/100</f>
        <v>0</v>
      </c>
      <c r="O44" s="130">
        <f>O$21*shipping_manufacturing!$D$28/100</f>
        <v>0</v>
      </c>
      <c r="P44" s="130">
        <f>P$21*shipping_manufacturing!$D$28/100</f>
        <v>0</v>
      </c>
      <c r="Q44" s="130">
        <f>Q$21*shipping_manufacturing!$D$28/100</f>
        <v>0</v>
      </c>
      <c r="R44" s="130">
        <f>R$21*shipping_manufacturing!$D$28/100</f>
        <v>0</v>
      </c>
      <c r="S44" s="130">
        <f>S$21*shipping_manufacturing!$D$28/100</f>
        <v>0</v>
      </c>
      <c r="T44" s="130">
        <f>T$21*shipping_manufacturing!$D$28/100</f>
        <v>0</v>
      </c>
      <c r="U44" s="130">
        <f>U$21*shipping_manufacturing!$D$28/100</f>
        <v>0</v>
      </c>
      <c r="V44" s="130">
        <f>V$21*shipping_manufacturing!$D$28/100</f>
        <v>0</v>
      </c>
      <c r="W44" s="130">
        <f>W$21*shipping_manufacturing!$D$28/100</f>
        <v>0</v>
      </c>
      <c r="X44" s="130">
        <f>X$21*shipping_manufacturing!$D$28/100</f>
        <v>0</v>
      </c>
      <c r="Y44" s="130">
        <f>Y$21*shipping_manufacturing!$D$28/100</f>
        <v>0</v>
      </c>
      <c r="Z44" s="130">
        <f>Z$21*shipping_manufacturing!$D$28/100</f>
        <v>0</v>
      </c>
      <c r="AA44" s="130">
        <f>AA$21*shipping_manufacturing!$D$28/100</f>
        <v>0</v>
      </c>
      <c r="AB44" s="130">
        <f>AB$21*shipping_manufacturing!$D$28/100</f>
        <v>0</v>
      </c>
      <c r="AC44" s="130">
        <f>AC$21*shipping_manufacturing!$D$28/100</f>
        <v>0</v>
      </c>
      <c r="AD44" s="130">
        <f>AD$21*shipping_manufacturing!$D$28/100</f>
        <v>0</v>
      </c>
      <c r="AE44" s="130">
        <f>AE$21*shipping_manufacturing!$D$28/100</f>
        <v>0</v>
      </c>
      <c r="AF44" s="130">
        <f>AF$21*shipping_manufacturing!$D$28/100</f>
        <v>0</v>
      </c>
      <c r="AG44" s="130">
        <f>AG$21*shipping_manufacturing!$D$28/100</f>
        <v>0</v>
      </c>
      <c r="AH44" s="130">
        <f>AH$21*shipping_manufacturing!$D$28/100</f>
        <v>0</v>
      </c>
      <c r="AI44" s="130">
        <f>AI$21*shipping_manufacturing!$D$28/100</f>
        <v>0</v>
      </c>
      <c r="AJ44" s="130">
        <f>AJ$21*shipping_manufacturing!$D$28/100</f>
        <v>0</v>
      </c>
      <c r="AK44" s="130">
        <f>AK$21*shipping_manufacturing!$D$28/100</f>
        <v>0</v>
      </c>
      <c r="AL44" s="130">
        <f>AL$21*shipping_manufacturing!$D$28/100</f>
        <v>0</v>
      </c>
      <c r="AM44" s="130">
        <f>AM$21*shipping_manufacturing!$D$28/100</f>
        <v>0</v>
      </c>
      <c r="AN44" s="130">
        <f>AN$21*shipping_manufacturing!$D$28/100</f>
        <v>0</v>
      </c>
      <c r="AO44" s="130">
        <f>AO$21*shipping_manufacturing!$D$28/100</f>
        <v>0</v>
      </c>
      <c r="AP44" s="130">
        <f>AP$21*shipping_manufacturing!$D$28/100</f>
        <v>0</v>
      </c>
      <c r="AQ44" s="130">
        <f>AQ$21*shipping_manufacturing!$D$28/100</f>
        <v>0</v>
      </c>
      <c r="AR44" s="130">
        <f>AR$21*shipping_manufacturing!$D$28/100</f>
        <v>0</v>
      </c>
      <c r="AS44" s="130">
        <f>AS$21*shipping_manufacturing!$D$28/100</f>
        <v>0</v>
      </c>
      <c r="AT44" s="130">
        <f>AT$21*shipping_manufacturing!$D$28/100</f>
        <v>0</v>
      </c>
      <c r="AU44" s="130">
        <f>AU$21*shipping_manufacturing!$D$28/100</f>
        <v>0</v>
      </c>
      <c r="AV44" s="130">
        <f>AV$21*shipping_manufacturing!$D$28/100</f>
        <v>0</v>
      </c>
      <c r="AW44" s="130">
        <f>AW$21*shipping_manufacturing!$D$28/100</f>
        <v>0</v>
      </c>
      <c r="AX44" s="130">
        <f>AX$21*shipping_manufacturing!$D$28/100</f>
        <v>0</v>
      </c>
      <c r="AY44" s="130">
        <f>AY$21*shipping_manufacturing!$D$28/100</f>
        <v>0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D$22*shipping_manufacturing!$E$28/100</f>
        <v>0</v>
      </c>
      <c r="E45" s="116">
        <f>E$22*shipping_manufacturing!$E$28/100</f>
        <v>0</v>
      </c>
      <c r="F45" s="116">
        <f>F$22*shipping_manufacturing!$E$28/100</f>
        <v>0</v>
      </c>
      <c r="G45" s="116">
        <f>G$22*shipping_manufacturing!$E$28/100</f>
        <v>0</v>
      </c>
      <c r="H45" s="116">
        <f>H$22*shipping_manufacturing!$E$28/100</f>
        <v>0</v>
      </c>
      <c r="I45" s="116">
        <f>I$22*shipping_manufacturing!$E$28/100</f>
        <v>0</v>
      </c>
      <c r="J45" s="116">
        <f>J$22*shipping_manufacturing!$E$28/100</f>
        <v>0</v>
      </c>
      <c r="K45" s="116">
        <f>K$22*shipping_manufacturing!$E$28/100</f>
        <v>0</v>
      </c>
      <c r="L45" s="116">
        <f>L$22*shipping_manufacturing!$E$28/100</f>
        <v>0</v>
      </c>
      <c r="M45" s="116">
        <f>M$22*shipping_manufacturing!$E$28/100</f>
        <v>0</v>
      </c>
      <c r="N45" s="116">
        <f>N$22*shipping_manufacturing!$E$28/100</f>
        <v>0</v>
      </c>
      <c r="O45" s="116">
        <f>O$22*shipping_manufacturing!$E$28/100</f>
        <v>0</v>
      </c>
      <c r="P45" s="116">
        <f>P$22*shipping_manufacturing!$E$28/100</f>
        <v>0</v>
      </c>
      <c r="Q45" s="116">
        <f>Q$22*shipping_manufacturing!$E$28/100</f>
        <v>0</v>
      </c>
      <c r="R45" s="116">
        <f>R$22*shipping_manufacturing!$E$28/100</f>
        <v>0</v>
      </c>
      <c r="S45" s="116">
        <f>S$22*shipping_manufacturing!$E$28/100</f>
        <v>0</v>
      </c>
      <c r="T45" s="116">
        <f>T$22*shipping_manufacturing!$E$28/100</f>
        <v>0</v>
      </c>
      <c r="U45" s="116">
        <f>U$22*shipping_manufacturing!$E$28/100</f>
        <v>0</v>
      </c>
      <c r="V45" s="116">
        <f>V$22*shipping_manufacturing!$E$28/100</f>
        <v>0</v>
      </c>
      <c r="W45" s="116">
        <f>W$22*shipping_manufacturing!$E$28/100</f>
        <v>0</v>
      </c>
      <c r="X45" s="116">
        <f>X$22*shipping_manufacturing!$E$28/100</f>
        <v>0</v>
      </c>
      <c r="Y45" s="116">
        <f>Y$22*shipping_manufacturing!$E$28/100</f>
        <v>0</v>
      </c>
      <c r="Z45" s="116">
        <f>Z$22*shipping_manufacturing!$E$28/100</f>
        <v>0</v>
      </c>
      <c r="AA45" s="116">
        <f>AA$22*shipping_manufacturing!$E$28/100</f>
        <v>0</v>
      </c>
      <c r="AB45" s="116">
        <f>AB$22*shipping_manufacturing!$E$28/100</f>
        <v>0</v>
      </c>
      <c r="AC45" s="116">
        <f>AC$22*shipping_manufacturing!$E$28/100</f>
        <v>0</v>
      </c>
      <c r="AD45" s="116">
        <f>AD$22*shipping_manufacturing!$E$28/100</f>
        <v>0</v>
      </c>
      <c r="AE45" s="116">
        <f>AE$22*shipping_manufacturing!$E$28/100</f>
        <v>0</v>
      </c>
      <c r="AF45" s="116">
        <f>AF$22*shipping_manufacturing!$E$28/100</f>
        <v>0</v>
      </c>
      <c r="AG45" s="116">
        <f>AG$22*shipping_manufacturing!$E$28/100</f>
        <v>0</v>
      </c>
      <c r="AH45" s="116">
        <f>AH$22*shipping_manufacturing!$E$28/100</f>
        <v>0</v>
      </c>
      <c r="AI45" s="116">
        <f>AI$22*shipping_manufacturing!$E$28/100</f>
        <v>0</v>
      </c>
      <c r="AJ45" s="116">
        <f>AJ$22*shipping_manufacturing!$E$28/100</f>
        <v>0</v>
      </c>
      <c r="AK45" s="116">
        <f>AK$22*shipping_manufacturing!$E$28/100</f>
        <v>0</v>
      </c>
      <c r="AL45" s="116">
        <f>AL$22*shipping_manufacturing!$E$28/100</f>
        <v>0</v>
      </c>
      <c r="AM45" s="116">
        <f>AM$22*shipping_manufacturing!$E$28/100</f>
        <v>0</v>
      </c>
      <c r="AN45" s="116">
        <f>AN$22*shipping_manufacturing!$E$28/100</f>
        <v>0</v>
      </c>
      <c r="AO45" s="116">
        <f>AO$22*shipping_manufacturing!$E$28/100</f>
        <v>0</v>
      </c>
      <c r="AP45" s="116">
        <f>AP$22*shipping_manufacturing!$E$28/100</f>
        <v>0</v>
      </c>
      <c r="AQ45" s="116">
        <f>AQ$22*shipping_manufacturing!$E$28/100</f>
        <v>0</v>
      </c>
      <c r="AR45" s="116">
        <f>AR$22*shipping_manufacturing!$E$28/100</f>
        <v>0</v>
      </c>
      <c r="AS45" s="116">
        <f>AS$22*shipping_manufacturing!$E$28/100</f>
        <v>0</v>
      </c>
      <c r="AT45" s="116">
        <f>AT$22*shipping_manufacturing!$E$28/100</f>
        <v>0</v>
      </c>
      <c r="AU45" s="116">
        <f>AU$22*shipping_manufacturing!$E$28/100</f>
        <v>0</v>
      </c>
      <c r="AV45" s="116">
        <f>AV$22*shipping_manufacturing!$E$28/100</f>
        <v>0</v>
      </c>
      <c r="AW45" s="116">
        <f>AW$22*shipping_manufacturing!$E$28/100</f>
        <v>0</v>
      </c>
      <c r="AX45" s="116">
        <f>AX$22*shipping_manufacturing!$E$28/100</f>
        <v>0</v>
      </c>
      <c r="AY45" s="116">
        <f>AY$22*shipping_manufacturing!$E$28/100</f>
        <v>0</v>
      </c>
    </row>
    <row r="46" spans="1:52" x14ac:dyDescent="0.2">
      <c r="A46" s="116">
        <v>718</v>
      </c>
      <c r="B46" s="171" t="s">
        <v>343</v>
      </c>
      <c r="C46" s="116"/>
      <c r="D46" s="116">
        <f>SUM(D44:D45)</f>
        <v>0</v>
      </c>
      <c r="E46" s="116">
        <f t="shared" ref="E46:AY46" si="14">SUM(E44:E45)</f>
        <v>0</v>
      </c>
      <c r="F46" s="116">
        <f t="shared" si="14"/>
        <v>0</v>
      </c>
      <c r="G46" s="116">
        <f t="shared" si="14"/>
        <v>0</v>
      </c>
      <c r="H46" s="116">
        <f t="shared" si="14"/>
        <v>0</v>
      </c>
      <c r="I46" s="116">
        <f t="shared" si="14"/>
        <v>0</v>
      </c>
      <c r="J46" s="116">
        <f t="shared" si="14"/>
        <v>0</v>
      </c>
      <c r="K46" s="116">
        <f t="shared" si="14"/>
        <v>0</v>
      </c>
      <c r="L46" s="116">
        <f t="shared" si="14"/>
        <v>0</v>
      </c>
      <c r="M46" s="116">
        <f t="shared" si="14"/>
        <v>0</v>
      </c>
      <c r="N46" s="116">
        <f t="shared" si="14"/>
        <v>0</v>
      </c>
      <c r="O46" s="116">
        <f t="shared" si="14"/>
        <v>0</v>
      </c>
      <c r="P46" s="116">
        <f t="shared" si="14"/>
        <v>0</v>
      </c>
      <c r="Q46" s="116">
        <f t="shared" si="14"/>
        <v>0</v>
      </c>
      <c r="R46" s="116">
        <f t="shared" si="14"/>
        <v>0</v>
      </c>
      <c r="S46" s="116">
        <f t="shared" si="14"/>
        <v>0</v>
      </c>
      <c r="T46" s="116">
        <f t="shared" si="14"/>
        <v>0</v>
      </c>
      <c r="U46" s="116">
        <f t="shared" si="14"/>
        <v>0</v>
      </c>
      <c r="V46" s="116">
        <f t="shared" si="14"/>
        <v>0</v>
      </c>
      <c r="W46" s="116">
        <f t="shared" si="14"/>
        <v>0</v>
      </c>
      <c r="X46" s="116">
        <f t="shared" si="14"/>
        <v>0</v>
      </c>
      <c r="Y46" s="116">
        <f t="shared" si="14"/>
        <v>0</v>
      </c>
      <c r="Z46" s="116">
        <f t="shared" si="14"/>
        <v>0</v>
      </c>
      <c r="AA46" s="116">
        <f t="shared" si="14"/>
        <v>0</v>
      </c>
      <c r="AB46" s="116">
        <f t="shared" si="14"/>
        <v>0</v>
      </c>
      <c r="AC46" s="116">
        <f t="shared" si="14"/>
        <v>0</v>
      </c>
      <c r="AD46" s="116">
        <f t="shared" si="14"/>
        <v>0</v>
      </c>
      <c r="AE46" s="116">
        <f t="shared" si="14"/>
        <v>0</v>
      </c>
      <c r="AF46" s="116">
        <f t="shared" si="14"/>
        <v>0</v>
      </c>
      <c r="AG46" s="116">
        <f t="shared" si="14"/>
        <v>0</v>
      </c>
      <c r="AH46" s="116">
        <f t="shared" si="14"/>
        <v>0</v>
      </c>
      <c r="AI46" s="116">
        <f t="shared" si="14"/>
        <v>0</v>
      </c>
      <c r="AJ46" s="116">
        <f t="shared" si="14"/>
        <v>0</v>
      </c>
      <c r="AK46" s="116">
        <f t="shared" si="14"/>
        <v>0</v>
      </c>
      <c r="AL46" s="116">
        <f t="shared" si="14"/>
        <v>0</v>
      </c>
      <c r="AM46" s="116">
        <f t="shared" si="14"/>
        <v>0</v>
      </c>
      <c r="AN46" s="116">
        <f t="shared" si="14"/>
        <v>0</v>
      </c>
      <c r="AO46" s="116">
        <f t="shared" si="14"/>
        <v>0</v>
      </c>
      <c r="AP46" s="116">
        <f t="shared" si="14"/>
        <v>0</v>
      </c>
      <c r="AQ46" s="116">
        <f t="shared" si="14"/>
        <v>0</v>
      </c>
      <c r="AR46" s="116">
        <f t="shared" si="14"/>
        <v>0</v>
      </c>
      <c r="AS46" s="116">
        <f t="shared" si="14"/>
        <v>0</v>
      </c>
      <c r="AT46" s="116">
        <f t="shared" si="14"/>
        <v>0</v>
      </c>
      <c r="AU46" s="116">
        <f t="shared" si="14"/>
        <v>0</v>
      </c>
      <c r="AV46" s="116">
        <f t="shared" si="14"/>
        <v>0</v>
      </c>
      <c r="AW46" s="116">
        <f t="shared" si="14"/>
        <v>0</v>
      </c>
      <c r="AX46" s="116">
        <f t="shared" si="14"/>
        <v>0</v>
      </c>
      <c r="AY46" s="116">
        <f t="shared" si="14"/>
        <v>0</v>
      </c>
    </row>
    <row r="47" spans="1:52" x14ac:dyDescent="0.2">
      <c r="A47" s="116"/>
      <c r="B47" s="171" t="s">
        <v>344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345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346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347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1</v>
      </c>
      <c r="E52" s="116">
        <v>2</v>
      </c>
      <c r="F52" s="116">
        <v>2</v>
      </c>
      <c r="G52" s="116">
        <v>2</v>
      </c>
      <c r="H52" s="116">
        <v>1</v>
      </c>
      <c r="I52" s="116">
        <v>1</v>
      </c>
      <c r="J52" s="116">
        <v>2</v>
      </c>
      <c r="K52" s="116">
        <v>1</v>
      </c>
      <c r="L52" s="116">
        <v>2</v>
      </c>
      <c r="M52" s="116">
        <v>1</v>
      </c>
      <c r="N52" s="116">
        <v>1</v>
      </c>
      <c r="O52" s="116">
        <v>1</v>
      </c>
      <c r="P52" s="116">
        <v>1</v>
      </c>
      <c r="Q52" s="116">
        <v>2</v>
      </c>
      <c r="R52" s="116">
        <v>2</v>
      </c>
      <c r="S52" s="116">
        <v>1</v>
      </c>
      <c r="T52" s="116">
        <v>1</v>
      </c>
      <c r="U52" s="116">
        <v>1</v>
      </c>
      <c r="V52" s="116">
        <v>1</v>
      </c>
      <c r="W52" s="116">
        <v>1</v>
      </c>
      <c r="X52" s="116">
        <v>2</v>
      </c>
      <c r="Y52" s="116">
        <v>1</v>
      </c>
      <c r="Z52" s="116">
        <v>1</v>
      </c>
      <c r="AA52" s="116">
        <v>1</v>
      </c>
      <c r="AB52" s="116">
        <v>1</v>
      </c>
      <c r="AC52" s="116">
        <v>3</v>
      </c>
      <c r="AD52" s="116">
        <v>1</v>
      </c>
      <c r="AE52" s="116">
        <v>2</v>
      </c>
      <c r="AF52" s="116">
        <v>1</v>
      </c>
      <c r="AG52" s="116">
        <v>1</v>
      </c>
      <c r="AH52" s="116">
        <v>1</v>
      </c>
      <c r="AI52" s="116">
        <v>2</v>
      </c>
      <c r="AJ52" s="116">
        <v>1</v>
      </c>
      <c r="AK52" s="116">
        <v>3</v>
      </c>
      <c r="AL52" s="116">
        <v>3</v>
      </c>
      <c r="AM52" s="116">
        <v>1</v>
      </c>
      <c r="AN52" s="116">
        <v>2</v>
      </c>
      <c r="AO52" s="116">
        <v>1</v>
      </c>
      <c r="AP52" s="116">
        <v>1</v>
      </c>
      <c r="AQ52" s="116">
        <v>1</v>
      </c>
      <c r="AR52" s="116">
        <v>1</v>
      </c>
      <c r="AS52" s="116">
        <v>2</v>
      </c>
      <c r="AT52" s="116">
        <v>1</v>
      </c>
      <c r="AU52" s="116">
        <v>2</v>
      </c>
      <c r="AV52" s="116">
        <v>1</v>
      </c>
      <c r="AW52" s="116">
        <v>1</v>
      </c>
      <c r="AX52" s="116">
        <v>1</v>
      </c>
      <c r="AY52" s="116">
        <v>1</v>
      </c>
    </row>
    <row r="53" spans="1:52" x14ac:dyDescent="0.2">
      <c r="A53" s="116"/>
      <c r="B53" s="184" t="s">
        <v>350</v>
      </c>
      <c r="C53" s="116"/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0</v>
      </c>
    </row>
    <row r="54" spans="1:52" x14ac:dyDescent="0.2">
      <c r="A54" s="131"/>
      <c r="B54" s="146" t="s">
        <v>351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10</v>
      </c>
      <c r="E2" s="116"/>
    </row>
    <row r="3" spans="1:52" x14ac:dyDescent="0.2">
      <c r="A3" s="106" t="s">
        <v>286</v>
      </c>
      <c r="B3" s="113">
        <v>313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1331.5215673033081</v>
      </c>
      <c r="E7" s="150">
        <v>1331.5215673033081</v>
      </c>
      <c r="F7" s="150">
        <v>1331.5215673033081</v>
      </c>
      <c r="G7" s="150">
        <v>1331.5215673033081</v>
      </c>
      <c r="H7" s="150">
        <v>1331.5215673033081</v>
      </c>
      <c r="I7" s="150">
        <v>1331.5215673033081</v>
      </c>
      <c r="J7" s="150">
        <v>1331.5215673033081</v>
      </c>
      <c r="K7" s="150">
        <v>1331.5215673033081</v>
      </c>
      <c r="L7" s="150">
        <v>1331.5215673033081</v>
      </c>
      <c r="M7" s="150">
        <v>1331.5215673033081</v>
      </c>
      <c r="N7" s="150">
        <v>1331.5215673033081</v>
      </c>
      <c r="O7" s="150">
        <v>1331.5215673033081</v>
      </c>
      <c r="P7" s="150">
        <v>845.38795227312573</v>
      </c>
      <c r="Q7" s="150">
        <v>1331.5215673033081</v>
      </c>
      <c r="R7" s="150">
        <v>1331.5215673033081</v>
      </c>
      <c r="S7" s="150">
        <v>1331.5215673033081</v>
      </c>
      <c r="T7" s="150">
        <v>1331.5215673033081</v>
      </c>
      <c r="U7" s="150">
        <v>1331.5215673033081</v>
      </c>
      <c r="V7" s="150">
        <v>1331.5215673033081</v>
      </c>
      <c r="W7" s="150">
        <v>1331.5215673033081</v>
      </c>
      <c r="X7" s="150">
        <v>1331.5215673033081</v>
      </c>
      <c r="Y7" s="150">
        <v>1331.5215673033081</v>
      </c>
      <c r="Z7" s="150">
        <v>1331.5215673033081</v>
      </c>
      <c r="AA7" s="150">
        <v>1331.5215673033081</v>
      </c>
      <c r="AB7" s="150">
        <v>1331.5215673033081</v>
      </c>
      <c r="AC7" s="150">
        <v>1331.5215673033081</v>
      </c>
      <c r="AD7" s="150">
        <v>1219.5301535373271</v>
      </c>
      <c r="AE7" s="150">
        <v>1331.5215673033081</v>
      </c>
      <c r="AF7" s="150">
        <v>1008.4653147096697</v>
      </c>
      <c r="AG7" s="150">
        <v>1008.6029272531399</v>
      </c>
      <c r="AH7" s="150">
        <v>1331.5215673033081</v>
      </c>
      <c r="AI7" s="150">
        <v>1331.5215673033081</v>
      </c>
      <c r="AJ7" s="150">
        <v>1331.5215673033081</v>
      </c>
      <c r="AK7" s="150">
        <v>1331.5215673033081</v>
      </c>
      <c r="AL7" s="150">
        <v>1331.5215673033081</v>
      </c>
      <c r="AM7" s="150">
        <v>1331.5215673033081</v>
      </c>
      <c r="AN7" s="150">
        <v>1331.5215673033081</v>
      </c>
      <c r="AO7" s="150">
        <v>1331.5215673033081</v>
      </c>
      <c r="AP7" s="150">
        <v>1331.5215673033081</v>
      </c>
      <c r="AQ7" s="150">
        <v>1331.5215673033081</v>
      </c>
      <c r="AR7" s="150">
        <v>1331.5215673033081</v>
      </c>
      <c r="AS7" s="150">
        <v>1010.1982470399595</v>
      </c>
      <c r="AT7" s="150">
        <v>1331.5215673033081</v>
      </c>
      <c r="AU7" s="150">
        <v>1331.5215673033081</v>
      </c>
      <c r="AV7" s="150">
        <v>1331.5215673033081</v>
      </c>
      <c r="AW7" s="150">
        <v>1331.5215673033081</v>
      </c>
      <c r="AX7" s="150">
        <v>1230.0850713525085</v>
      </c>
      <c r="AY7" s="150">
        <v>1331.5215673033081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1018.5215673033081</v>
      </c>
      <c r="E10" s="150">
        <f t="shared" si="0"/>
        <v>1018.5215673033081</v>
      </c>
      <c r="F10" s="150">
        <f t="shared" si="0"/>
        <v>1018.5215673033081</v>
      </c>
      <c r="G10" s="150">
        <f t="shared" si="0"/>
        <v>1018.5215673033081</v>
      </c>
      <c r="H10" s="150">
        <f t="shared" si="0"/>
        <v>1018.5215673033081</v>
      </c>
      <c r="I10" s="150">
        <f t="shared" si="0"/>
        <v>1018.5215673033081</v>
      </c>
      <c r="J10" s="150">
        <f t="shared" si="0"/>
        <v>1018.5215673033081</v>
      </c>
      <c r="K10" s="150">
        <f t="shared" si="0"/>
        <v>1018.5215673033081</v>
      </c>
      <c r="L10" s="150">
        <f t="shared" si="0"/>
        <v>1018.5215673033081</v>
      </c>
      <c r="M10" s="150">
        <f t="shared" si="0"/>
        <v>1018.5215673033081</v>
      </c>
      <c r="N10" s="150">
        <f t="shared" si="0"/>
        <v>1018.5215673033081</v>
      </c>
      <c r="O10" s="150">
        <f t="shared" si="0"/>
        <v>1018.5215673033081</v>
      </c>
      <c r="P10" s="150">
        <f t="shared" si="0"/>
        <v>532.38795227312573</v>
      </c>
      <c r="Q10" s="150">
        <f t="shared" si="0"/>
        <v>1018.5215673033081</v>
      </c>
      <c r="R10" s="150">
        <f t="shared" si="0"/>
        <v>1018.5215673033081</v>
      </c>
      <c r="S10" s="150">
        <f t="shared" si="0"/>
        <v>1018.5215673033081</v>
      </c>
      <c r="T10" s="150">
        <f t="shared" si="0"/>
        <v>1018.5215673033081</v>
      </c>
      <c r="U10" s="150">
        <f t="shared" si="0"/>
        <v>1018.5215673033081</v>
      </c>
      <c r="V10" s="150">
        <f t="shared" si="0"/>
        <v>1018.5215673033081</v>
      </c>
      <c r="W10" s="150">
        <f t="shared" si="0"/>
        <v>1018.5215673033081</v>
      </c>
      <c r="X10" s="150">
        <f t="shared" si="0"/>
        <v>1018.5215673033081</v>
      </c>
      <c r="Y10" s="150">
        <f t="shared" si="0"/>
        <v>1018.5215673033081</v>
      </c>
      <c r="Z10" s="150">
        <f t="shared" si="0"/>
        <v>1018.5215673033081</v>
      </c>
      <c r="AA10" s="150">
        <f t="shared" si="0"/>
        <v>1018.5215673033081</v>
      </c>
      <c r="AB10" s="150">
        <f t="shared" si="0"/>
        <v>1018.5215673033081</v>
      </c>
      <c r="AC10" s="150">
        <f t="shared" si="0"/>
        <v>1018.5215673033081</v>
      </c>
      <c r="AD10" s="150">
        <f t="shared" si="0"/>
        <v>906.53015353732712</v>
      </c>
      <c r="AE10" s="150">
        <f t="shared" si="0"/>
        <v>1018.5215673033081</v>
      </c>
      <c r="AF10" s="150">
        <f t="shared" si="0"/>
        <v>695.46531470966966</v>
      </c>
      <c r="AG10" s="150">
        <f t="shared" si="0"/>
        <v>695.60292725313991</v>
      </c>
      <c r="AH10" s="150">
        <f t="shared" si="0"/>
        <v>1331.5215673033081</v>
      </c>
      <c r="AI10" s="150">
        <f t="shared" si="0"/>
        <v>1018.5215673033081</v>
      </c>
      <c r="AJ10" s="150">
        <f t="shared" si="0"/>
        <v>1018.5215673033081</v>
      </c>
      <c r="AK10" s="150">
        <f t="shared" si="0"/>
        <v>1018.5215673033081</v>
      </c>
      <c r="AL10" s="150">
        <f t="shared" si="0"/>
        <v>1018.5215673033081</v>
      </c>
      <c r="AM10" s="150">
        <f t="shared" si="0"/>
        <v>1018.5215673033081</v>
      </c>
      <c r="AN10" s="150">
        <f t="shared" si="0"/>
        <v>1018.5215673033081</v>
      </c>
      <c r="AO10" s="150">
        <f t="shared" si="0"/>
        <v>1018.5215673033081</v>
      </c>
      <c r="AP10" s="150">
        <f t="shared" si="0"/>
        <v>1018.5215673033081</v>
      </c>
      <c r="AQ10" s="150">
        <f t="shared" si="0"/>
        <v>1018.5215673033081</v>
      </c>
      <c r="AR10" s="150">
        <f t="shared" si="0"/>
        <v>1018.5215673033081</v>
      </c>
      <c r="AS10" s="150">
        <f t="shared" si="0"/>
        <v>1010.1982470399594</v>
      </c>
      <c r="AT10" s="150">
        <f t="shared" si="0"/>
        <v>1018.5215673033081</v>
      </c>
      <c r="AU10" s="150">
        <f t="shared" si="0"/>
        <v>1018.5215673033081</v>
      </c>
      <c r="AV10" s="150">
        <f t="shared" si="0"/>
        <v>1331.5215673033081</v>
      </c>
      <c r="AW10" s="150">
        <f t="shared" si="0"/>
        <v>1018.5215673033081</v>
      </c>
      <c r="AX10" s="150">
        <f t="shared" si="0"/>
        <v>917.08507135250852</v>
      </c>
      <c r="AY10" s="150">
        <f t="shared" si="0"/>
        <v>1018.5215673033081</v>
      </c>
      <c r="AZ10" s="157">
        <f>SUM($D10:$AY10)</f>
        <v>48161.175492904695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913</v>
      </c>
      <c r="D13" s="144">
        <f t="shared" ref="D13:AY13" si="1">D$7-D$10</f>
        <v>313</v>
      </c>
      <c r="E13" s="144">
        <f t="shared" si="1"/>
        <v>313</v>
      </c>
      <c r="F13" s="144">
        <f t="shared" si="1"/>
        <v>313</v>
      </c>
      <c r="G13" s="144">
        <f t="shared" si="1"/>
        <v>313</v>
      </c>
      <c r="H13" s="144">
        <f t="shared" si="1"/>
        <v>313</v>
      </c>
      <c r="I13" s="144">
        <f t="shared" si="1"/>
        <v>313</v>
      </c>
      <c r="J13" s="144">
        <f t="shared" si="1"/>
        <v>313</v>
      </c>
      <c r="K13" s="144">
        <f t="shared" si="1"/>
        <v>313</v>
      </c>
      <c r="L13" s="144">
        <f t="shared" si="1"/>
        <v>313</v>
      </c>
      <c r="M13" s="144">
        <f t="shared" si="1"/>
        <v>313</v>
      </c>
      <c r="N13" s="144">
        <f t="shared" si="1"/>
        <v>313</v>
      </c>
      <c r="O13" s="144">
        <f t="shared" si="1"/>
        <v>313</v>
      </c>
      <c r="P13" s="144">
        <f t="shared" si="1"/>
        <v>313</v>
      </c>
      <c r="Q13" s="144">
        <f t="shared" si="1"/>
        <v>313</v>
      </c>
      <c r="R13" s="144">
        <f t="shared" si="1"/>
        <v>313</v>
      </c>
      <c r="S13" s="144">
        <f t="shared" si="1"/>
        <v>313</v>
      </c>
      <c r="T13" s="144">
        <f t="shared" si="1"/>
        <v>313</v>
      </c>
      <c r="U13" s="144">
        <f t="shared" si="1"/>
        <v>313</v>
      </c>
      <c r="V13" s="144">
        <f t="shared" si="1"/>
        <v>313</v>
      </c>
      <c r="W13" s="144">
        <f t="shared" si="1"/>
        <v>313</v>
      </c>
      <c r="X13" s="144">
        <f t="shared" si="1"/>
        <v>313</v>
      </c>
      <c r="Y13" s="144">
        <f t="shared" si="1"/>
        <v>313</v>
      </c>
      <c r="Z13" s="144">
        <f t="shared" si="1"/>
        <v>313</v>
      </c>
      <c r="AA13" s="144">
        <f t="shared" si="1"/>
        <v>313</v>
      </c>
      <c r="AB13" s="144">
        <f t="shared" si="1"/>
        <v>313</v>
      </c>
      <c r="AC13" s="144">
        <f t="shared" si="1"/>
        <v>313</v>
      </c>
      <c r="AD13" s="144">
        <f t="shared" si="1"/>
        <v>313</v>
      </c>
      <c r="AE13" s="144">
        <f t="shared" si="1"/>
        <v>313</v>
      </c>
      <c r="AF13" s="144">
        <f t="shared" si="1"/>
        <v>313</v>
      </c>
      <c r="AG13" s="144">
        <f t="shared" si="1"/>
        <v>313</v>
      </c>
      <c r="AH13" s="144">
        <f t="shared" si="1"/>
        <v>0</v>
      </c>
      <c r="AI13" s="144">
        <f t="shared" si="1"/>
        <v>313</v>
      </c>
      <c r="AJ13" s="144">
        <f t="shared" si="1"/>
        <v>313</v>
      </c>
      <c r="AK13" s="144">
        <f t="shared" si="1"/>
        <v>313</v>
      </c>
      <c r="AL13" s="144">
        <f t="shared" si="1"/>
        <v>313</v>
      </c>
      <c r="AM13" s="144">
        <f t="shared" si="1"/>
        <v>313</v>
      </c>
      <c r="AN13" s="144">
        <f t="shared" si="1"/>
        <v>313</v>
      </c>
      <c r="AO13" s="144">
        <f t="shared" si="1"/>
        <v>313</v>
      </c>
      <c r="AP13" s="144">
        <f t="shared" si="1"/>
        <v>313</v>
      </c>
      <c r="AQ13" s="144">
        <f t="shared" si="1"/>
        <v>313</v>
      </c>
      <c r="AR13" s="144">
        <f t="shared" si="1"/>
        <v>313</v>
      </c>
      <c r="AS13" s="144">
        <f t="shared" si="1"/>
        <v>0</v>
      </c>
      <c r="AT13" s="144">
        <f t="shared" si="1"/>
        <v>313</v>
      </c>
      <c r="AU13" s="144">
        <f t="shared" si="1"/>
        <v>313</v>
      </c>
      <c r="AV13" s="144">
        <f t="shared" si="1"/>
        <v>0</v>
      </c>
      <c r="AW13" s="144">
        <f t="shared" si="1"/>
        <v>313</v>
      </c>
      <c r="AX13" s="144">
        <f t="shared" si="1"/>
        <v>313</v>
      </c>
      <c r="AY13" s="144">
        <f t="shared" si="1"/>
        <v>313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313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313</v>
      </c>
      <c r="AT14" s="112">
        <f t="shared" si="2"/>
        <v>0</v>
      </c>
      <c r="AU14" s="112">
        <f t="shared" si="2"/>
        <v>0</v>
      </c>
      <c r="AV14" s="112">
        <f t="shared" si="2"/>
        <v>313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 t="s">
        <v>339</v>
      </c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 t="s">
        <v>339</v>
      </c>
      <c r="AS20" s="123"/>
      <c r="AT20" s="123"/>
      <c r="AU20" s="123" t="s">
        <v>339</v>
      </c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shipping_manufacturing!$E$19/100</f>
        <v>1</v>
      </c>
      <c r="C21" s="162" t="s">
        <v>293</v>
      </c>
      <c r="D21" s="112">
        <f>IF(C$20="Yes",0,SUM(C$13:C$16)*$B$21)</f>
        <v>913</v>
      </c>
      <c r="E21" s="112">
        <f t="shared" ref="E21:AY21" si="3">IF(D$20="Yes",0,SUM(D$13:D$16)*$B$21)</f>
        <v>313</v>
      </c>
      <c r="F21" s="112">
        <f t="shared" si="3"/>
        <v>313</v>
      </c>
      <c r="G21" s="112">
        <f t="shared" si="3"/>
        <v>313</v>
      </c>
      <c r="H21" s="112">
        <f t="shared" si="3"/>
        <v>313</v>
      </c>
      <c r="I21" s="112">
        <f t="shared" si="3"/>
        <v>313</v>
      </c>
      <c r="J21" s="112">
        <f t="shared" si="3"/>
        <v>313</v>
      </c>
      <c r="K21" s="112">
        <f t="shared" si="3"/>
        <v>313</v>
      </c>
      <c r="L21" s="112">
        <f t="shared" si="3"/>
        <v>313</v>
      </c>
      <c r="M21" s="112">
        <f t="shared" si="3"/>
        <v>313</v>
      </c>
      <c r="N21" s="112">
        <f t="shared" si="3"/>
        <v>313</v>
      </c>
      <c r="O21" s="112">
        <f t="shared" si="3"/>
        <v>313</v>
      </c>
      <c r="P21" s="112">
        <f t="shared" si="3"/>
        <v>313</v>
      </c>
      <c r="Q21" s="112">
        <f t="shared" si="3"/>
        <v>313</v>
      </c>
      <c r="R21" s="112">
        <f t="shared" si="3"/>
        <v>313</v>
      </c>
      <c r="S21" s="112">
        <f t="shared" si="3"/>
        <v>313</v>
      </c>
      <c r="T21" s="112">
        <f t="shared" si="3"/>
        <v>313</v>
      </c>
      <c r="U21" s="112">
        <f t="shared" si="3"/>
        <v>313</v>
      </c>
      <c r="V21" s="112">
        <f t="shared" si="3"/>
        <v>313</v>
      </c>
      <c r="W21" s="112">
        <f t="shared" si="3"/>
        <v>313</v>
      </c>
      <c r="X21" s="112">
        <f t="shared" si="3"/>
        <v>313</v>
      </c>
      <c r="Y21" s="112">
        <f t="shared" si="3"/>
        <v>313</v>
      </c>
      <c r="Z21" s="112">
        <f t="shared" si="3"/>
        <v>313</v>
      </c>
      <c r="AA21" s="112">
        <f t="shared" si="3"/>
        <v>313</v>
      </c>
      <c r="AB21" s="112">
        <f t="shared" si="3"/>
        <v>313</v>
      </c>
      <c r="AC21" s="112">
        <f t="shared" si="3"/>
        <v>313</v>
      </c>
      <c r="AD21" s="112">
        <f t="shared" si="3"/>
        <v>313</v>
      </c>
      <c r="AE21" s="112">
        <f t="shared" si="3"/>
        <v>313</v>
      </c>
      <c r="AF21" s="112">
        <f t="shared" si="3"/>
        <v>313</v>
      </c>
      <c r="AG21" s="112">
        <f t="shared" si="3"/>
        <v>313</v>
      </c>
      <c r="AH21" s="112">
        <f t="shared" si="3"/>
        <v>0</v>
      </c>
      <c r="AI21" s="112">
        <f t="shared" si="3"/>
        <v>313</v>
      </c>
      <c r="AJ21" s="112">
        <f t="shared" si="3"/>
        <v>313</v>
      </c>
      <c r="AK21" s="112">
        <f t="shared" si="3"/>
        <v>313</v>
      </c>
      <c r="AL21" s="112">
        <f t="shared" si="3"/>
        <v>313</v>
      </c>
      <c r="AM21" s="112">
        <f t="shared" si="3"/>
        <v>313</v>
      </c>
      <c r="AN21" s="112">
        <f t="shared" si="3"/>
        <v>313</v>
      </c>
      <c r="AO21" s="112">
        <f t="shared" si="3"/>
        <v>313</v>
      </c>
      <c r="AP21" s="112">
        <f t="shared" si="3"/>
        <v>313</v>
      </c>
      <c r="AQ21" s="112">
        <f t="shared" si="3"/>
        <v>313</v>
      </c>
      <c r="AR21" s="112">
        <f t="shared" si="3"/>
        <v>313</v>
      </c>
      <c r="AS21" s="112">
        <f t="shared" si="3"/>
        <v>0</v>
      </c>
      <c r="AT21" s="112">
        <f t="shared" si="3"/>
        <v>313</v>
      </c>
      <c r="AU21" s="112">
        <f t="shared" si="3"/>
        <v>313</v>
      </c>
      <c r="AV21" s="112">
        <f t="shared" si="3"/>
        <v>0</v>
      </c>
      <c r="AW21" s="112">
        <f t="shared" si="3"/>
        <v>313</v>
      </c>
      <c r="AX21" s="112">
        <f t="shared" si="3"/>
        <v>313</v>
      </c>
      <c r="AY21" s="112">
        <f t="shared" si="3"/>
        <v>313</v>
      </c>
      <c r="AZ21" s="163">
        <f>SUM($D21:$AY21)</f>
        <v>14685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1826000</v>
      </c>
      <c r="E23" s="106">
        <f t="shared" ref="E23:AY23" si="6">E$21*$B$23</f>
        <v>626000</v>
      </c>
      <c r="F23" s="106">
        <f t="shared" si="6"/>
        <v>626000</v>
      </c>
      <c r="G23" s="106">
        <f t="shared" si="6"/>
        <v>626000</v>
      </c>
      <c r="H23" s="106">
        <f t="shared" si="6"/>
        <v>626000</v>
      </c>
      <c r="I23" s="106">
        <f t="shared" si="6"/>
        <v>626000</v>
      </c>
      <c r="J23" s="106">
        <f t="shared" si="6"/>
        <v>626000</v>
      </c>
      <c r="K23" s="106">
        <f t="shared" si="6"/>
        <v>626000</v>
      </c>
      <c r="L23" s="106">
        <f t="shared" si="6"/>
        <v>626000</v>
      </c>
      <c r="M23" s="106">
        <f t="shared" si="6"/>
        <v>626000</v>
      </c>
      <c r="N23" s="106">
        <f t="shared" si="6"/>
        <v>626000</v>
      </c>
      <c r="O23" s="106">
        <f t="shared" si="6"/>
        <v>626000</v>
      </c>
      <c r="P23" s="106">
        <f t="shared" si="6"/>
        <v>626000</v>
      </c>
      <c r="Q23" s="106">
        <f t="shared" si="6"/>
        <v>626000</v>
      </c>
      <c r="R23" s="106">
        <f t="shared" si="6"/>
        <v>626000</v>
      </c>
      <c r="S23" s="106">
        <f t="shared" si="6"/>
        <v>626000</v>
      </c>
      <c r="T23" s="106">
        <f t="shared" si="6"/>
        <v>626000</v>
      </c>
      <c r="U23" s="106">
        <f t="shared" si="6"/>
        <v>626000</v>
      </c>
      <c r="V23" s="106">
        <f t="shared" si="6"/>
        <v>626000</v>
      </c>
      <c r="W23" s="106">
        <f t="shared" si="6"/>
        <v>626000</v>
      </c>
      <c r="X23" s="106">
        <f t="shared" si="6"/>
        <v>626000</v>
      </c>
      <c r="Y23" s="106">
        <f t="shared" si="6"/>
        <v>626000</v>
      </c>
      <c r="Z23" s="106">
        <f t="shared" si="6"/>
        <v>626000</v>
      </c>
      <c r="AA23" s="106">
        <f t="shared" si="6"/>
        <v>626000</v>
      </c>
      <c r="AB23" s="106">
        <f t="shared" si="6"/>
        <v>626000</v>
      </c>
      <c r="AC23" s="106">
        <f t="shared" si="6"/>
        <v>626000</v>
      </c>
      <c r="AD23" s="106">
        <f t="shared" si="6"/>
        <v>626000</v>
      </c>
      <c r="AE23" s="106">
        <f t="shared" si="6"/>
        <v>626000</v>
      </c>
      <c r="AF23" s="106">
        <f t="shared" si="6"/>
        <v>626000</v>
      </c>
      <c r="AG23" s="106">
        <f t="shared" si="6"/>
        <v>626000</v>
      </c>
      <c r="AH23" s="106">
        <f t="shared" si="6"/>
        <v>0</v>
      </c>
      <c r="AI23" s="106">
        <f t="shared" si="6"/>
        <v>626000</v>
      </c>
      <c r="AJ23" s="106">
        <f t="shared" si="6"/>
        <v>626000</v>
      </c>
      <c r="AK23" s="106">
        <f t="shared" si="6"/>
        <v>626000</v>
      </c>
      <c r="AL23" s="106">
        <f t="shared" si="6"/>
        <v>626000</v>
      </c>
      <c r="AM23" s="106">
        <f t="shared" si="6"/>
        <v>626000</v>
      </c>
      <c r="AN23" s="106">
        <f t="shared" si="6"/>
        <v>626000</v>
      </c>
      <c r="AO23" s="106">
        <f t="shared" si="6"/>
        <v>626000</v>
      </c>
      <c r="AP23" s="106">
        <f t="shared" si="6"/>
        <v>626000</v>
      </c>
      <c r="AQ23" s="106">
        <f t="shared" si="6"/>
        <v>626000</v>
      </c>
      <c r="AR23" s="106">
        <f t="shared" si="6"/>
        <v>626000</v>
      </c>
      <c r="AS23" s="106">
        <f t="shared" si="6"/>
        <v>0</v>
      </c>
      <c r="AT23" s="106">
        <f t="shared" si="6"/>
        <v>626000</v>
      </c>
      <c r="AU23" s="106">
        <f t="shared" si="6"/>
        <v>626000</v>
      </c>
      <c r="AV23" s="106">
        <f t="shared" si="6"/>
        <v>0</v>
      </c>
      <c r="AW23" s="106">
        <f t="shared" si="6"/>
        <v>626000</v>
      </c>
      <c r="AX23" s="106">
        <f t="shared" si="6"/>
        <v>626000</v>
      </c>
      <c r="AY23" s="106">
        <f t="shared" si="6"/>
        <v>626000</v>
      </c>
      <c r="AZ23" s="145">
        <f t="shared" si="5"/>
        <v>29370000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-15</v>
      </c>
      <c r="D27" s="130">
        <f>C$27-C$28+C$29</f>
        <v>14</v>
      </c>
      <c r="E27" s="130">
        <f t="shared" ref="E27:AY27" si="8">D27-D28+D29</f>
        <v>0</v>
      </c>
      <c r="F27" s="130">
        <f t="shared" si="8"/>
        <v>14</v>
      </c>
      <c r="G27" s="130">
        <f t="shared" si="8"/>
        <v>3</v>
      </c>
      <c r="H27" s="130">
        <f t="shared" si="8"/>
        <v>11</v>
      </c>
      <c r="I27" s="130">
        <f t="shared" si="8"/>
        <v>3</v>
      </c>
      <c r="J27" s="130">
        <f t="shared" si="8"/>
        <v>11</v>
      </c>
      <c r="K27" s="130">
        <f t="shared" si="8"/>
        <v>3</v>
      </c>
      <c r="L27" s="130">
        <f t="shared" si="8"/>
        <v>11</v>
      </c>
      <c r="M27" s="130">
        <f t="shared" si="8"/>
        <v>3</v>
      </c>
      <c r="N27" s="130">
        <f t="shared" si="8"/>
        <v>11</v>
      </c>
      <c r="O27" s="130">
        <f t="shared" si="8"/>
        <v>3</v>
      </c>
      <c r="P27" s="130">
        <f t="shared" si="8"/>
        <v>11</v>
      </c>
      <c r="Q27" s="130">
        <f t="shared" si="8"/>
        <v>3</v>
      </c>
      <c r="R27" s="130">
        <f t="shared" si="8"/>
        <v>11</v>
      </c>
      <c r="S27" s="130">
        <f t="shared" si="8"/>
        <v>3</v>
      </c>
      <c r="T27" s="130">
        <f t="shared" si="8"/>
        <v>11</v>
      </c>
      <c r="U27" s="130">
        <f t="shared" si="8"/>
        <v>3</v>
      </c>
      <c r="V27" s="130">
        <f t="shared" si="8"/>
        <v>11</v>
      </c>
      <c r="W27" s="130">
        <f t="shared" si="8"/>
        <v>3</v>
      </c>
      <c r="X27" s="130">
        <f t="shared" si="8"/>
        <v>11</v>
      </c>
      <c r="Y27" s="130">
        <f t="shared" si="8"/>
        <v>3</v>
      </c>
      <c r="Z27" s="130">
        <f t="shared" si="8"/>
        <v>11</v>
      </c>
      <c r="AA27" s="130">
        <f t="shared" si="8"/>
        <v>3</v>
      </c>
      <c r="AB27" s="130">
        <f t="shared" si="8"/>
        <v>11</v>
      </c>
      <c r="AC27" s="130">
        <f t="shared" si="8"/>
        <v>3</v>
      </c>
      <c r="AD27" s="130">
        <f t="shared" si="8"/>
        <v>11</v>
      </c>
      <c r="AE27" s="130">
        <f t="shared" si="8"/>
        <v>3</v>
      </c>
      <c r="AF27" s="130">
        <f t="shared" si="8"/>
        <v>11</v>
      </c>
      <c r="AG27" s="130">
        <f t="shared" si="8"/>
        <v>3</v>
      </c>
      <c r="AH27" s="130">
        <f t="shared" si="8"/>
        <v>11</v>
      </c>
      <c r="AI27" s="130">
        <f t="shared" si="8"/>
        <v>14</v>
      </c>
      <c r="AJ27" s="130">
        <f t="shared" si="8"/>
        <v>3</v>
      </c>
      <c r="AK27" s="130">
        <f t="shared" si="8"/>
        <v>11</v>
      </c>
      <c r="AL27" s="130">
        <f t="shared" si="8"/>
        <v>3</v>
      </c>
      <c r="AM27" s="130">
        <f t="shared" si="8"/>
        <v>11</v>
      </c>
      <c r="AN27" s="130">
        <f t="shared" si="8"/>
        <v>3</v>
      </c>
      <c r="AO27" s="130">
        <f t="shared" si="8"/>
        <v>11</v>
      </c>
      <c r="AP27" s="130">
        <f t="shared" si="8"/>
        <v>3</v>
      </c>
      <c r="AQ27" s="130">
        <f t="shared" si="8"/>
        <v>11</v>
      </c>
      <c r="AR27" s="130">
        <f t="shared" si="8"/>
        <v>3</v>
      </c>
      <c r="AS27" s="130">
        <f t="shared" si="8"/>
        <v>11</v>
      </c>
      <c r="AT27" s="130">
        <f t="shared" si="8"/>
        <v>14</v>
      </c>
      <c r="AU27" s="130">
        <f t="shared" si="8"/>
        <v>3</v>
      </c>
      <c r="AV27" s="130">
        <f t="shared" si="8"/>
        <v>11</v>
      </c>
      <c r="AW27" s="130">
        <f t="shared" si="8"/>
        <v>14</v>
      </c>
      <c r="AX27" s="130">
        <f t="shared" si="8"/>
        <v>3</v>
      </c>
      <c r="AY27" s="170">
        <f t="shared" si="8"/>
        <v>11</v>
      </c>
      <c r="AZ27" s="112"/>
    </row>
    <row r="28" spans="1:52" x14ac:dyDescent="0.2">
      <c r="B28" s="171" t="s">
        <v>310</v>
      </c>
      <c r="C28" s="116">
        <v>0</v>
      </c>
      <c r="D28" s="116">
        <v>14</v>
      </c>
      <c r="E28" s="116">
        <v>0</v>
      </c>
      <c r="F28" s="116">
        <v>11</v>
      </c>
      <c r="G28" s="116">
        <v>3</v>
      </c>
      <c r="H28" s="116">
        <v>11</v>
      </c>
      <c r="I28" s="116">
        <v>3</v>
      </c>
      <c r="J28" s="116">
        <v>11</v>
      </c>
      <c r="K28" s="116">
        <v>3</v>
      </c>
      <c r="L28" s="116">
        <v>11</v>
      </c>
      <c r="M28" s="116">
        <v>3</v>
      </c>
      <c r="N28" s="116">
        <v>11</v>
      </c>
      <c r="O28" s="116">
        <v>3</v>
      </c>
      <c r="P28" s="116">
        <v>11</v>
      </c>
      <c r="Q28" s="116">
        <v>3</v>
      </c>
      <c r="R28" s="116">
        <v>11</v>
      </c>
      <c r="S28" s="116">
        <v>3</v>
      </c>
      <c r="T28" s="116">
        <v>11</v>
      </c>
      <c r="U28" s="116">
        <v>3</v>
      </c>
      <c r="V28" s="116">
        <v>11</v>
      </c>
      <c r="W28" s="116">
        <v>3</v>
      </c>
      <c r="X28" s="116">
        <v>11</v>
      </c>
      <c r="Y28" s="116">
        <v>3</v>
      </c>
      <c r="Z28" s="116">
        <v>11</v>
      </c>
      <c r="AA28" s="116">
        <v>3</v>
      </c>
      <c r="AB28" s="116">
        <v>11</v>
      </c>
      <c r="AC28" s="116">
        <v>3</v>
      </c>
      <c r="AD28" s="116">
        <v>11</v>
      </c>
      <c r="AE28" s="116">
        <v>3</v>
      </c>
      <c r="AF28" s="116">
        <v>11</v>
      </c>
      <c r="AG28" s="116">
        <v>3</v>
      </c>
      <c r="AH28" s="116">
        <v>0</v>
      </c>
      <c r="AI28" s="116">
        <v>11</v>
      </c>
      <c r="AJ28" s="116">
        <v>3</v>
      </c>
      <c r="AK28" s="116">
        <v>11</v>
      </c>
      <c r="AL28" s="116">
        <v>3</v>
      </c>
      <c r="AM28" s="116">
        <v>11</v>
      </c>
      <c r="AN28" s="116">
        <v>3</v>
      </c>
      <c r="AO28" s="116">
        <v>11</v>
      </c>
      <c r="AP28" s="116">
        <v>3</v>
      </c>
      <c r="AQ28" s="116">
        <v>11</v>
      </c>
      <c r="AR28" s="116">
        <v>3</v>
      </c>
      <c r="AS28" s="116">
        <v>0</v>
      </c>
      <c r="AT28" s="116">
        <v>11</v>
      </c>
      <c r="AU28" s="116">
        <v>3</v>
      </c>
      <c r="AV28" s="116">
        <v>0</v>
      </c>
      <c r="AW28" s="116">
        <v>11</v>
      </c>
      <c r="AX28" s="116">
        <v>3</v>
      </c>
      <c r="AY28" s="172">
        <v>11</v>
      </c>
      <c r="AZ28" s="112"/>
    </row>
    <row r="29" spans="1:52" x14ac:dyDescent="0.2">
      <c r="B29" s="142" t="s">
        <v>311</v>
      </c>
      <c r="C29" s="131">
        <v>29</v>
      </c>
      <c r="D29" s="131">
        <f>C$28</f>
        <v>0</v>
      </c>
      <c r="E29" s="131">
        <f t="shared" ref="E29:AY29" si="9">D$28</f>
        <v>14</v>
      </c>
      <c r="F29" s="131">
        <f t="shared" si="9"/>
        <v>0</v>
      </c>
      <c r="G29" s="131">
        <f t="shared" si="9"/>
        <v>11</v>
      </c>
      <c r="H29" s="131">
        <f t="shared" si="9"/>
        <v>3</v>
      </c>
      <c r="I29" s="131">
        <f t="shared" si="9"/>
        <v>11</v>
      </c>
      <c r="J29" s="131">
        <f t="shared" si="9"/>
        <v>3</v>
      </c>
      <c r="K29" s="131">
        <f t="shared" si="9"/>
        <v>11</v>
      </c>
      <c r="L29" s="131">
        <f t="shared" si="9"/>
        <v>3</v>
      </c>
      <c r="M29" s="131">
        <f t="shared" si="9"/>
        <v>11</v>
      </c>
      <c r="N29" s="131">
        <f t="shared" si="9"/>
        <v>3</v>
      </c>
      <c r="O29" s="131">
        <f t="shared" si="9"/>
        <v>11</v>
      </c>
      <c r="P29" s="131">
        <f t="shared" si="9"/>
        <v>3</v>
      </c>
      <c r="Q29" s="131">
        <f t="shared" si="9"/>
        <v>11</v>
      </c>
      <c r="R29" s="131">
        <f t="shared" si="9"/>
        <v>3</v>
      </c>
      <c r="S29" s="131">
        <f t="shared" si="9"/>
        <v>11</v>
      </c>
      <c r="T29" s="131">
        <f t="shared" si="9"/>
        <v>3</v>
      </c>
      <c r="U29" s="131">
        <f t="shared" si="9"/>
        <v>11</v>
      </c>
      <c r="V29" s="131">
        <f t="shared" si="9"/>
        <v>3</v>
      </c>
      <c r="W29" s="131">
        <f t="shared" si="9"/>
        <v>11</v>
      </c>
      <c r="X29" s="131">
        <f t="shared" si="9"/>
        <v>3</v>
      </c>
      <c r="Y29" s="131">
        <f t="shared" si="9"/>
        <v>11</v>
      </c>
      <c r="Z29" s="131">
        <f t="shared" si="9"/>
        <v>3</v>
      </c>
      <c r="AA29" s="131">
        <f t="shared" si="9"/>
        <v>11</v>
      </c>
      <c r="AB29" s="131">
        <f t="shared" si="9"/>
        <v>3</v>
      </c>
      <c r="AC29" s="131">
        <f t="shared" si="9"/>
        <v>11</v>
      </c>
      <c r="AD29" s="131">
        <f t="shared" si="9"/>
        <v>3</v>
      </c>
      <c r="AE29" s="131">
        <f t="shared" si="9"/>
        <v>11</v>
      </c>
      <c r="AF29" s="131">
        <f t="shared" si="9"/>
        <v>3</v>
      </c>
      <c r="AG29" s="131">
        <f t="shared" si="9"/>
        <v>11</v>
      </c>
      <c r="AH29" s="131">
        <f t="shared" si="9"/>
        <v>3</v>
      </c>
      <c r="AI29" s="131">
        <f t="shared" si="9"/>
        <v>0</v>
      </c>
      <c r="AJ29" s="131">
        <f t="shared" si="9"/>
        <v>11</v>
      </c>
      <c r="AK29" s="131">
        <f t="shared" si="9"/>
        <v>3</v>
      </c>
      <c r="AL29" s="131">
        <f t="shared" si="9"/>
        <v>11</v>
      </c>
      <c r="AM29" s="131">
        <f t="shared" si="9"/>
        <v>3</v>
      </c>
      <c r="AN29" s="131">
        <f t="shared" si="9"/>
        <v>11</v>
      </c>
      <c r="AO29" s="131">
        <f t="shared" si="9"/>
        <v>3</v>
      </c>
      <c r="AP29" s="131">
        <f t="shared" si="9"/>
        <v>11</v>
      </c>
      <c r="AQ29" s="131">
        <f t="shared" si="9"/>
        <v>3</v>
      </c>
      <c r="AR29" s="131">
        <f t="shared" si="9"/>
        <v>11</v>
      </c>
      <c r="AS29" s="131">
        <f t="shared" si="9"/>
        <v>3</v>
      </c>
      <c r="AT29" s="131">
        <f t="shared" si="9"/>
        <v>0</v>
      </c>
      <c r="AU29" s="131">
        <f t="shared" si="9"/>
        <v>11</v>
      </c>
      <c r="AV29" s="131">
        <f t="shared" si="9"/>
        <v>3</v>
      </c>
      <c r="AW29" s="131">
        <f t="shared" si="9"/>
        <v>0</v>
      </c>
      <c r="AX29" s="131">
        <f t="shared" si="9"/>
        <v>11</v>
      </c>
      <c r="AY29" s="173">
        <f t="shared" si="9"/>
        <v>3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140</v>
      </c>
      <c r="E30" s="123">
        <f t="shared" ref="E30:AY30" si="10">E$27*$B$30</f>
        <v>0</v>
      </c>
      <c r="F30" s="123">
        <f t="shared" si="10"/>
        <v>140</v>
      </c>
      <c r="G30" s="123">
        <f t="shared" si="10"/>
        <v>30</v>
      </c>
      <c r="H30" s="123">
        <f t="shared" si="10"/>
        <v>110</v>
      </c>
      <c r="I30" s="123">
        <f t="shared" si="10"/>
        <v>30</v>
      </c>
      <c r="J30" s="123">
        <f t="shared" si="10"/>
        <v>110</v>
      </c>
      <c r="K30" s="123">
        <f t="shared" si="10"/>
        <v>30</v>
      </c>
      <c r="L30" s="123">
        <f t="shared" si="10"/>
        <v>110</v>
      </c>
      <c r="M30" s="123">
        <f t="shared" si="10"/>
        <v>30</v>
      </c>
      <c r="N30" s="123">
        <f t="shared" si="10"/>
        <v>110</v>
      </c>
      <c r="O30" s="123">
        <f t="shared" si="10"/>
        <v>30</v>
      </c>
      <c r="P30" s="123">
        <f t="shared" si="10"/>
        <v>110</v>
      </c>
      <c r="Q30" s="123">
        <f t="shared" si="10"/>
        <v>30</v>
      </c>
      <c r="R30" s="123">
        <f>R$27*$B$30</f>
        <v>110</v>
      </c>
      <c r="S30" s="123">
        <f t="shared" si="10"/>
        <v>30</v>
      </c>
      <c r="T30" s="123">
        <f t="shared" si="10"/>
        <v>110</v>
      </c>
      <c r="U30" s="123">
        <f t="shared" si="10"/>
        <v>30</v>
      </c>
      <c r="V30" s="123">
        <f t="shared" si="10"/>
        <v>110</v>
      </c>
      <c r="W30" s="123">
        <f t="shared" si="10"/>
        <v>30</v>
      </c>
      <c r="X30" s="123">
        <f t="shared" si="10"/>
        <v>110</v>
      </c>
      <c r="Y30" s="123">
        <f t="shared" si="10"/>
        <v>30</v>
      </c>
      <c r="Z30" s="123">
        <f t="shared" si="10"/>
        <v>110</v>
      </c>
      <c r="AA30" s="123">
        <f t="shared" si="10"/>
        <v>30</v>
      </c>
      <c r="AB30" s="123">
        <f t="shared" si="10"/>
        <v>110</v>
      </c>
      <c r="AC30" s="123">
        <f t="shared" si="10"/>
        <v>30</v>
      </c>
      <c r="AD30" s="123">
        <f t="shared" si="10"/>
        <v>110</v>
      </c>
      <c r="AE30" s="123">
        <f>AE$27*$B$30</f>
        <v>30</v>
      </c>
      <c r="AF30" s="123">
        <f t="shared" si="10"/>
        <v>110</v>
      </c>
      <c r="AG30" s="123">
        <f t="shared" si="10"/>
        <v>30</v>
      </c>
      <c r="AH30" s="123">
        <f t="shared" si="10"/>
        <v>110</v>
      </c>
      <c r="AI30" s="123">
        <f t="shared" si="10"/>
        <v>140</v>
      </c>
      <c r="AJ30" s="123">
        <f t="shared" si="10"/>
        <v>30</v>
      </c>
      <c r="AK30" s="123">
        <f t="shared" si="10"/>
        <v>110</v>
      </c>
      <c r="AL30" s="123">
        <f t="shared" si="10"/>
        <v>30</v>
      </c>
      <c r="AM30" s="123">
        <f t="shared" si="10"/>
        <v>110</v>
      </c>
      <c r="AN30" s="123">
        <f t="shared" si="10"/>
        <v>30</v>
      </c>
      <c r="AO30" s="123">
        <f t="shared" si="10"/>
        <v>110</v>
      </c>
      <c r="AP30" s="123">
        <f t="shared" si="10"/>
        <v>30</v>
      </c>
      <c r="AQ30" s="123">
        <f t="shared" si="10"/>
        <v>110</v>
      </c>
      <c r="AR30" s="123">
        <f t="shared" si="10"/>
        <v>30</v>
      </c>
      <c r="AS30" s="123">
        <f t="shared" si="10"/>
        <v>110</v>
      </c>
      <c r="AT30" s="123">
        <f t="shared" si="10"/>
        <v>140</v>
      </c>
      <c r="AU30" s="123">
        <f t="shared" si="10"/>
        <v>30</v>
      </c>
      <c r="AV30" s="123">
        <f t="shared" si="10"/>
        <v>110</v>
      </c>
      <c r="AW30" s="123">
        <f t="shared" si="10"/>
        <v>140</v>
      </c>
      <c r="AX30" s="123">
        <f t="shared" si="10"/>
        <v>30</v>
      </c>
      <c r="AY30" s="123">
        <f t="shared" si="10"/>
        <v>110</v>
      </c>
      <c r="AZ30" s="147">
        <f t="shared" si="5"/>
        <v>3640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D$21*shipping_manufacturing!$F$27/100</f>
        <v>0</v>
      </c>
      <c r="E33" s="130">
        <f>E$21*shipping_manufacturing!$F$27/100</f>
        <v>0</v>
      </c>
      <c r="F33" s="130">
        <f>F$21*shipping_manufacturing!$F$27/100</f>
        <v>0</v>
      </c>
      <c r="G33" s="130">
        <f>G$21*shipping_manufacturing!$F$27/100</f>
        <v>0</v>
      </c>
      <c r="H33" s="130">
        <f>H$21*shipping_manufacturing!$F$27/100</f>
        <v>0</v>
      </c>
      <c r="I33" s="130">
        <f>I$21*shipping_manufacturing!$F$27/100</f>
        <v>0</v>
      </c>
      <c r="J33" s="130">
        <f>J$21*shipping_manufacturing!$F$27/100</f>
        <v>0</v>
      </c>
      <c r="K33" s="130">
        <f>K$21*shipping_manufacturing!$F$27/100</f>
        <v>0</v>
      </c>
      <c r="L33" s="130">
        <f>L$21*shipping_manufacturing!$F$27/100</f>
        <v>0</v>
      </c>
      <c r="M33" s="130">
        <f>M$21*shipping_manufacturing!$F$27/100</f>
        <v>0</v>
      </c>
      <c r="N33" s="130">
        <f>N$21*shipping_manufacturing!$F$27/100</f>
        <v>0</v>
      </c>
      <c r="O33" s="130">
        <f>O$21*shipping_manufacturing!$F$27/100</f>
        <v>0</v>
      </c>
      <c r="P33" s="130">
        <f>P$21*shipping_manufacturing!$F$27/100</f>
        <v>0</v>
      </c>
      <c r="Q33" s="130">
        <f>Q$21*shipping_manufacturing!$F$27/100</f>
        <v>0</v>
      </c>
      <c r="R33" s="130">
        <f>R$21*shipping_manufacturing!$F$27/100</f>
        <v>0</v>
      </c>
      <c r="S33" s="130">
        <f>S$21*shipping_manufacturing!$F$27/100</f>
        <v>0</v>
      </c>
      <c r="T33" s="130">
        <f>T$21*shipping_manufacturing!$F$27/100</f>
        <v>0</v>
      </c>
      <c r="U33" s="130">
        <f>U$21*shipping_manufacturing!$F$27/100</f>
        <v>0</v>
      </c>
      <c r="V33" s="130">
        <f>V$21*shipping_manufacturing!$F$27/100</f>
        <v>0</v>
      </c>
      <c r="W33" s="130">
        <f>W$21*shipping_manufacturing!$F$27/100</f>
        <v>0</v>
      </c>
      <c r="X33" s="130">
        <f>X$21*shipping_manufacturing!$F$27/100</f>
        <v>0</v>
      </c>
      <c r="Y33" s="130">
        <f>Y$21*shipping_manufacturing!$F$27/100</f>
        <v>0</v>
      </c>
      <c r="Z33" s="130">
        <f>Z$21*shipping_manufacturing!$F$27/100</f>
        <v>0</v>
      </c>
      <c r="AA33" s="130">
        <f>AA$21*shipping_manufacturing!$F$27/100</f>
        <v>0</v>
      </c>
      <c r="AB33" s="130">
        <f>AB$21*shipping_manufacturing!$F$27/100</f>
        <v>0</v>
      </c>
      <c r="AC33" s="130">
        <f>AC$21*shipping_manufacturing!$F$27/100</f>
        <v>0</v>
      </c>
      <c r="AD33" s="130">
        <f>AD$21*shipping_manufacturing!$F$27/100</f>
        <v>0</v>
      </c>
      <c r="AE33" s="130">
        <f>AE$21*shipping_manufacturing!$F$27/100</f>
        <v>0</v>
      </c>
      <c r="AF33" s="130">
        <f>AF$21*shipping_manufacturing!$F$27/100</f>
        <v>0</v>
      </c>
      <c r="AG33" s="130">
        <f>AG$21*shipping_manufacturing!$F$27/100</f>
        <v>0</v>
      </c>
      <c r="AH33" s="130">
        <f>AH$21*shipping_manufacturing!$F$27/100</f>
        <v>0</v>
      </c>
      <c r="AI33" s="130">
        <f>AI$21*shipping_manufacturing!$F$27/100</f>
        <v>0</v>
      </c>
      <c r="AJ33" s="130">
        <f>AJ$21*shipping_manufacturing!$F$27/100</f>
        <v>0</v>
      </c>
      <c r="AK33" s="130">
        <f>AK$21*shipping_manufacturing!$F$27/100</f>
        <v>0</v>
      </c>
      <c r="AL33" s="130">
        <f>AL$21*shipping_manufacturing!$F$27/100</f>
        <v>0</v>
      </c>
      <c r="AM33" s="130">
        <f>AM$21*shipping_manufacturing!$F$27/100</f>
        <v>0</v>
      </c>
      <c r="AN33" s="130">
        <f>AN$21*shipping_manufacturing!$F$27/100</f>
        <v>0</v>
      </c>
      <c r="AO33" s="130">
        <f>AO$21*shipping_manufacturing!$F$27/100</f>
        <v>0</v>
      </c>
      <c r="AP33" s="130">
        <f>AP$21*shipping_manufacturing!$F$27/100</f>
        <v>0</v>
      </c>
      <c r="AQ33" s="130">
        <f>AQ$21*shipping_manufacturing!$F$27/100</f>
        <v>0</v>
      </c>
      <c r="AR33" s="130">
        <f>AR$21*shipping_manufacturing!$F$27/100</f>
        <v>0</v>
      </c>
      <c r="AS33" s="130">
        <f>AS$21*shipping_manufacturing!$F$27/100</f>
        <v>0</v>
      </c>
      <c r="AT33" s="130">
        <f>AT$21*shipping_manufacturing!$F$27/100</f>
        <v>0</v>
      </c>
      <c r="AU33" s="130">
        <f>AU$21*shipping_manufacturing!$F$27/100</f>
        <v>0</v>
      </c>
      <c r="AV33" s="130">
        <f>AV$21*shipping_manufacturing!$F$27/100</f>
        <v>0</v>
      </c>
      <c r="AW33" s="130">
        <f>AW$21*shipping_manufacturing!$F$27/100</f>
        <v>0</v>
      </c>
      <c r="AX33" s="130">
        <f>AX$21*shipping_manufacturing!$F$27/100</f>
        <v>0</v>
      </c>
      <c r="AY33" s="130">
        <f>AY$21*shipping_manufacturing!$F$27/100</f>
        <v>0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D$22*shipping_manufacturing!$G$27/100</f>
        <v>0</v>
      </c>
      <c r="E34" s="116">
        <f>E$22*shipping_manufacturing!$G$27/100</f>
        <v>0</v>
      </c>
      <c r="F34" s="116">
        <f>F$22*shipping_manufacturing!$G$27/100</f>
        <v>0</v>
      </c>
      <c r="G34" s="116">
        <f>G$22*shipping_manufacturing!$G$27/100</f>
        <v>0</v>
      </c>
      <c r="H34" s="116">
        <f>H$22*shipping_manufacturing!$G$27/100</f>
        <v>0</v>
      </c>
      <c r="I34" s="116">
        <f>I$22*shipping_manufacturing!$G$27/100</f>
        <v>0</v>
      </c>
      <c r="J34" s="116">
        <f>J$22*shipping_manufacturing!$G$27/100</f>
        <v>0</v>
      </c>
      <c r="K34" s="116">
        <f>K$22*shipping_manufacturing!$G$27/100</f>
        <v>0</v>
      </c>
      <c r="L34" s="116">
        <f>L$22*shipping_manufacturing!$G$27/100</f>
        <v>0</v>
      </c>
      <c r="M34" s="116">
        <f>M$22*shipping_manufacturing!$G$27/100</f>
        <v>0</v>
      </c>
      <c r="N34" s="116">
        <f>N$22*shipping_manufacturing!$G$27/100</f>
        <v>0</v>
      </c>
      <c r="O34" s="116">
        <f>O$22*shipping_manufacturing!$G$27/100</f>
        <v>0</v>
      </c>
      <c r="P34" s="116">
        <f>P$22*shipping_manufacturing!$G$27/100</f>
        <v>0</v>
      </c>
      <c r="Q34" s="116">
        <f>Q$22*shipping_manufacturing!$G$27/100</f>
        <v>0</v>
      </c>
      <c r="R34" s="116">
        <f>R$22*shipping_manufacturing!$G$27/100</f>
        <v>0</v>
      </c>
      <c r="S34" s="116">
        <f>S$22*shipping_manufacturing!$G$27/100</f>
        <v>0</v>
      </c>
      <c r="T34" s="116">
        <f>T$22*shipping_manufacturing!$G$27/100</f>
        <v>0</v>
      </c>
      <c r="U34" s="116">
        <f>U$22*shipping_manufacturing!$G$27/100</f>
        <v>0</v>
      </c>
      <c r="V34" s="116">
        <f>V$22*shipping_manufacturing!$G$27/100</f>
        <v>0</v>
      </c>
      <c r="W34" s="116">
        <f>W$22*shipping_manufacturing!$G$27/100</f>
        <v>0</v>
      </c>
      <c r="X34" s="116">
        <f>X$22*shipping_manufacturing!$G$27/100</f>
        <v>0</v>
      </c>
      <c r="Y34" s="116">
        <f>Y$22*shipping_manufacturing!$G$27/100</f>
        <v>0</v>
      </c>
      <c r="Z34" s="116">
        <f>Z$22*shipping_manufacturing!$G$27/100</f>
        <v>0</v>
      </c>
      <c r="AA34" s="116">
        <f>AA$22*shipping_manufacturing!$G$27/100</f>
        <v>0</v>
      </c>
      <c r="AB34" s="116">
        <f>AB$22*shipping_manufacturing!$G$27/100</f>
        <v>0</v>
      </c>
      <c r="AC34" s="116">
        <f>AC$22*shipping_manufacturing!$G$27/100</f>
        <v>0</v>
      </c>
      <c r="AD34" s="116">
        <f>AD$22*shipping_manufacturing!$G$27/100</f>
        <v>0</v>
      </c>
      <c r="AE34" s="116">
        <f>AE$22*shipping_manufacturing!$G$27/100</f>
        <v>0</v>
      </c>
      <c r="AF34" s="116">
        <f>AF$22*shipping_manufacturing!$G$27/100</f>
        <v>0</v>
      </c>
      <c r="AG34" s="116">
        <f>AG$22*shipping_manufacturing!$G$27/100</f>
        <v>0</v>
      </c>
      <c r="AH34" s="116">
        <f>AH$22*shipping_manufacturing!$G$27/100</f>
        <v>0</v>
      </c>
      <c r="AI34" s="116">
        <f>AI$22*shipping_manufacturing!$G$27/100</f>
        <v>0</v>
      </c>
      <c r="AJ34" s="116">
        <f>AJ$22*shipping_manufacturing!$G$27/100</f>
        <v>0</v>
      </c>
      <c r="AK34" s="116">
        <f>AK$22*shipping_manufacturing!$G$27/100</f>
        <v>0</v>
      </c>
      <c r="AL34" s="116">
        <f>AL$22*shipping_manufacturing!$G$27/100</f>
        <v>0</v>
      </c>
      <c r="AM34" s="116">
        <f>AM$22*shipping_manufacturing!$G$27/100</f>
        <v>0</v>
      </c>
      <c r="AN34" s="116">
        <f>AN$22*shipping_manufacturing!$G$27/100</f>
        <v>0</v>
      </c>
      <c r="AO34" s="116">
        <f>AO$22*shipping_manufacturing!$G$27/100</f>
        <v>0</v>
      </c>
      <c r="AP34" s="116">
        <f>AP$22*shipping_manufacturing!$G$27/100</f>
        <v>0</v>
      </c>
      <c r="AQ34" s="116">
        <f>AQ$22*shipping_manufacturing!$G$27/100</f>
        <v>0</v>
      </c>
      <c r="AR34" s="116">
        <f>AR$22*shipping_manufacturing!$G$27/100</f>
        <v>0</v>
      </c>
      <c r="AS34" s="116">
        <f>AS$22*shipping_manufacturing!$G$27/100</f>
        <v>0</v>
      </c>
      <c r="AT34" s="116">
        <f>AT$22*shipping_manufacturing!$G$27/100</f>
        <v>0</v>
      </c>
      <c r="AU34" s="116">
        <f>AU$22*shipping_manufacturing!$G$27/100</f>
        <v>0</v>
      </c>
      <c r="AV34" s="116">
        <f>AV$22*shipping_manufacturing!$G$27/100</f>
        <v>0</v>
      </c>
      <c r="AW34" s="116">
        <f>AW$22*shipping_manufacturing!$G$27/100</f>
        <v>0</v>
      </c>
      <c r="AX34" s="116">
        <f>AX$22*shipping_manufacturing!$G$27/100</f>
        <v>0</v>
      </c>
      <c r="AY34" s="116">
        <f>AY$22*shipping_manufacturing!$G$27/100</f>
        <v>0</v>
      </c>
    </row>
    <row r="35" spans="1:52" x14ac:dyDescent="0.2">
      <c r="A35" s="116">
        <v>1225</v>
      </c>
      <c r="B35" s="171" t="s">
        <v>343</v>
      </c>
      <c r="C35" s="116"/>
      <c r="D35" s="116">
        <f>SUM(D33:D34)</f>
        <v>0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344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345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346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2</v>
      </c>
      <c r="E41" s="116">
        <v>2</v>
      </c>
      <c r="F41" s="116">
        <v>2</v>
      </c>
      <c r="G41" s="116">
        <v>2</v>
      </c>
      <c r="H41" s="116">
        <v>2</v>
      </c>
      <c r="I41" s="116">
        <v>2</v>
      </c>
      <c r="J41" s="116">
        <v>1</v>
      </c>
      <c r="K41" s="116">
        <v>1</v>
      </c>
      <c r="L41" s="116">
        <v>2</v>
      </c>
      <c r="M41" s="116">
        <v>1</v>
      </c>
      <c r="N41" s="116">
        <v>1</v>
      </c>
      <c r="O41" s="116">
        <v>2</v>
      </c>
      <c r="P41" s="116">
        <v>2</v>
      </c>
      <c r="Q41" s="116">
        <v>1</v>
      </c>
      <c r="R41" s="116">
        <v>1</v>
      </c>
      <c r="S41" s="116">
        <v>2</v>
      </c>
      <c r="T41" s="116">
        <v>1</v>
      </c>
      <c r="U41" s="116">
        <v>1</v>
      </c>
      <c r="V41" s="116">
        <v>1</v>
      </c>
      <c r="W41" s="116">
        <v>1</v>
      </c>
      <c r="X41" s="116">
        <v>1</v>
      </c>
      <c r="Y41" s="116">
        <v>3</v>
      </c>
      <c r="Z41" s="116">
        <v>1</v>
      </c>
      <c r="AA41" s="116">
        <v>2</v>
      </c>
      <c r="AB41" s="116">
        <v>2</v>
      </c>
      <c r="AC41" s="116">
        <v>1</v>
      </c>
      <c r="AD41" s="116">
        <v>1</v>
      </c>
      <c r="AE41" s="116">
        <v>1</v>
      </c>
      <c r="AF41" s="116">
        <v>2</v>
      </c>
      <c r="AG41" s="116">
        <v>1</v>
      </c>
      <c r="AH41" s="116">
        <v>1</v>
      </c>
      <c r="AI41" s="116">
        <v>3</v>
      </c>
      <c r="AJ41" s="116">
        <v>1</v>
      </c>
      <c r="AK41" s="116">
        <v>1</v>
      </c>
      <c r="AL41" s="116">
        <v>2</v>
      </c>
      <c r="AM41" s="116">
        <v>1</v>
      </c>
      <c r="AN41" s="116">
        <v>1</v>
      </c>
      <c r="AO41" s="116">
        <v>1</v>
      </c>
      <c r="AP41" s="116">
        <v>2</v>
      </c>
      <c r="AQ41" s="116">
        <v>3</v>
      </c>
      <c r="AR41" s="116">
        <v>1</v>
      </c>
      <c r="AS41" s="116">
        <v>2</v>
      </c>
      <c r="AT41" s="116">
        <v>1</v>
      </c>
      <c r="AU41" s="116">
        <v>1</v>
      </c>
      <c r="AV41" s="116">
        <v>1</v>
      </c>
      <c r="AW41" s="116">
        <v>1</v>
      </c>
      <c r="AX41" s="116">
        <v>2</v>
      </c>
      <c r="AY41" s="116">
        <v>2</v>
      </c>
    </row>
    <row r="42" spans="1:52" x14ac:dyDescent="0.2">
      <c r="A42" s="116"/>
      <c r="B42" s="184" t="s">
        <v>350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351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D$21*shipping_manufacturing!$F$28/100</f>
        <v>913</v>
      </c>
      <c r="E44" s="130">
        <f>E$21*shipping_manufacturing!$F$28/100</f>
        <v>313</v>
      </c>
      <c r="F44" s="130">
        <f>F$21*shipping_manufacturing!$F$28/100</f>
        <v>313</v>
      </c>
      <c r="G44" s="130">
        <f>G$21*shipping_manufacturing!$F$28/100</f>
        <v>313</v>
      </c>
      <c r="H44" s="130">
        <f>H$21*shipping_manufacturing!$F$28/100</f>
        <v>313</v>
      </c>
      <c r="I44" s="130">
        <f>I$21*shipping_manufacturing!$F$28/100</f>
        <v>313</v>
      </c>
      <c r="J44" s="130">
        <f>J$21*shipping_manufacturing!$F$28/100</f>
        <v>313</v>
      </c>
      <c r="K44" s="130">
        <f>K$21*shipping_manufacturing!$F$28/100</f>
        <v>313</v>
      </c>
      <c r="L44" s="130">
        <f>L$21*shipping_manufacturing!$F$28/100</f>
        <v>313</v>
      </c>
      <c r="M44" s="130">
        <f>M$21*shipping_manufacturing!$F$28/100</f>
        <v>313</v>
      </c>
      <c r="N44" s="130">
        <f>N$21*shipping_manufacturing!$F$28/100</f>
        <v>313</v>
      </c>
      <c r="O44" s="130">
        <f>O$21*shipping_manufacturing!$F$28/100</f>
        <v>313</v>
      </c>
      <c r="P44" s="130">
        <f>P$21*shipping_manufacturing!$F$28/100</f>
        <v>313</v>
      </c>
      <c r="Q44" s="130">
        <f>Q$21*shipping_manufacturing!$F$28/100</f>
        <v>313</v>
      </c>
      <c r="R44" s="130">
        <f>R$21*shipping_manufacturing!$F$28/100</f>
        <v>313</v>
      </c>
      <c r="S44" s="130">
        <f>S$21*shipping_manufacturing!$F$28/100</f>
        <v>313</v>
      </c>
      <c r="T44" s="130">
        <f>T$21*shipping_manufacturing!$F$28/100</f>
        <v>313</v>
      </c>
      <c r="U44" s="130">
        <f>U$21*shipping_manufacturing!$F$28/100</f>
        <v>313</v>
      </c>
      <c r="V44" s="130">
        <f>V$21*shipping_manufacturing!$F$28/100</f>
        <v>313</v>
      </c>
      <c r="W44" s="130">
        <f>W$21*shipping_manufacturing!$F$28/100</f>
        <v>313</v>
      </c>
      <c r="X44" s="130">
        <f>X$21*shipping_manufacturing!$F$28/100</f>
        <v>313</v>
      </c>
      <c r="Y44" s="130">
        <f>Y$21*shipping_manufacturing!$F$28/100</f>
        <v>313</v>
      </c>
      <c r="Z44" s="130">
        <f>Z$21*shipping_manufacturing!$F$28/100</f>
        <v>313</v>
      </c>
      <c r="AA44" s="130">
        <f>AA$21*shipping_manufacturing!$F$28/100</f>
        <v>313</v>
      </c>
      <c r="AB44" s="130">
        <f>AB$21*shipping_manufacturing!$F$28/100</f>
        <v>313</v>
      </c>
      <c r="AC44" s="130">
        <f>AC$21*shipping_manufacturing!$F$28/100</f>
        <v>313</v>
      </c>
      <c r="AD44" s="130">
        <f>AD$21*shipping_manufacturing!$F$28/100</f>
        <v>313</v>
      </c>
      <c r="AE44" s="130">
        <f>AE$21*shipping_manufacturing!$F$28/100</f>
        <v>313</v>
      </c>
      <c r="AF44" s="130">
        <f>AF$21*shipping_manufacturing!$F$28/100</f>
        <v>313</v>
      </c>
      <c r="AG44" s="130">
        <f>AG$21*shipping_manufacturing!$F$28/100</f>
        <v>313</v>
      </c>
      <c r="AH44" s="130">
        <f>AH$21*shipping_manufacturing!$F$28/100</f>
        <v>0</v>
      </c>
      <c r="AI44" s="130">
        <f>AI$21*shipping_manufacturing!$F$28/100</f>
        <v>313</v>
      </c>
      <c r="AJ44" s="130">
        <f>AJ$21*shipping_manufacturing!$F$28/100</f>
        <v>313</v>
      </c>
      <c r="AK44" s="130">
        <f>AK$21*shipping_manufacturing!$F$28/100</f>
        <v>313</v>
      </c>
      <c r="AL44" s="130">
        <f>AL$21*shipping_manufacturing!$F$28/100</f>
        <v>313</v>
      </c>
      <c r="AM44" s="130">
        <f>AM$21*shipping_manufacturing!$F$28/100</f>
        <v>313</v>
      </c>
      <c r="AN44" s="130">
        <f>AN$21*shipping_manufacturing!$F$28/100</f>
        <v>313</v>
      </c>
      <c r="AO44" s="130">
        <f>AO$21*shipping_manufacturing!$F$28/100</f>
        <v>313</v>
      </c>
      <c r="AP44" s="130">
        <f>AP$21*shipping_manufacturing!$F$28/100</f>
        <v>313</v>
      </c>
      <c r="AQ44" s="130">
        <f>AQ$21*shipping_manufacturing!$F$28/100</f>
        <v>313</v>
      </c>
      <c r="AR44" s="130">
        <f>AR$21*shipping_manufacturing!$F$28/100</f>
        <v>313</v>
      </c>
      <c r="AS44" s="130">
        <f>AS$21*shipping_manufacturing!$F$28/100</f>
        <v>0</v>
      </c>
      <c r="AT44" s="130">
        <f>AT$21*shipping_manufacturing!$F$28/100</f>
        <v>313</v>
      </c>
      <c r="AU44" s="130">
        <f>AU$21*shipping_manufacturing!$F$28/100</f>
        <v>313</v>
      </c>
      <c r="AV44" s="130">
        <f>AV$21*shipping_manufacturing!$F$28/100</f>
        <v>0</v>
      </c>
      <c r="AW44" s="130">
        <f>AW$21*shipping_manufacturing!$F$28/100</f>
        <v>313</v>
      </c>
      <c r="AX44" s="130">
        <f>AX$21*shipping_manufacturing!$F$28/100</f>
        <v>313</v>
      </c>
      <c r="AY44" s="130">
        <f>AY$21*shipping_manufacturing!$F$28/100</f>
        <v>313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D$22*shipping_manufacturing!$G$28/100</f>
        <v>0</v>
      </c>
      <c r="E45" s="116">
        <f>E$22*shipping_manufacturing!$G$28/100</f>
        <v>0</v>
      </c>
      <c r="F45" s="116">
        <f>F$22*shipping_manufacturing!$G$28/100</f>
        <v>0</v>
      </c>
      <c r="G45" s="116">
        <f>G$22*shipping_manufacturing!$G$28/100</f>
        <v>0</v>
      </c>
      <c r="H45" s="116">
        <f>H$22*shipping_manufacturing!$G$28/100</f>
        <v>0</v>
      </c>
      <c r="I45" s="116">
        <f>I$22*shipping_manufacturing!$G$28/100</f>
        <v>0</v>
      </c>
      <c r="J45" s="116">
        <f>J$22*shipping_manufacturing!$G$28/100</f>
        <v>0</v>
      </c>
      <c r="K45" s="116">
        <f>K$22*shipping_manufacturing!$G$28/100</f>
        <v>0</v>
      </c>
      <c r="L45" s="116">
        <f>L$22*shipping_manufacturing!$G$28/100</f>
        <v>0</v>
      </c>
      <c r="M45" s="116">
        <f>M$22*shipping_manufacturing!$G$28/100</f>
        <v>0</v>
      </c>
      <c r="N45" s="116">
        <f>N$22*shipping_manufacturing!$G$28/100</f>
        <v>0</v>
      </c>
      <c r="O45" s="116">
        <f>O$22*shipping_manufacturing!$G$28/100</f>
        <v>0</v>
      </c>
      <c r="P45" s="116">
        <f>P$22*shipping_manufacturing!$G$28/100</f>
        <v>0</v>
      </c>
      <c r="Q45" s="116">
        <f>Q$22*shipping_manufacturing!$G$28/100</f>
        <v>0</v>
      </c>
      <c r="R45" s="116">
        <f>R$22*shipping_manufacturing!$G$28/100</f>
        <v>0</v>
      </c>
      <c r="S45" s="116">
        <f>S$22*shipping_manufacturing!$G$28/100</f>
        <v>0</v>
      </c>
      <c r="T45" s="116">
        <f>T$22*shipping_manufacturing!$G$28/100</f>
        <v>0</v>
      </c>
      <c r="U45" s="116">
        <f>U$22*shipping_manufacturing!$G$28/100</f>
        <v>0</v>
      </c>
      <c r="V45" s="116">
        <f>V$22*shipping_manufacturing!$G$28/100</f>
        <v>0</v>
      </c>
      <c r="W45" s="116">
        <f>W$22*shipping_manufacturing!$G$28/100</f>
        <v>0</v>
      </c>
      <c r="X45" s="116">
        <f>X$22*shipping_manufacturing!$G$28/100</f>
        <v>0</v>
      </c>
      <c r="Y45" s="116">
        <f>Y$22*shipping_manufacturing!$G$28/100</f>
        <v>0</v>
      </c>
      <c r="Z45" s="116">
        <f>Z$22*shipping_manufacturing!$G$28/100</f>
        <v>0</v>
      </c>
      <c r="AA45" s="116">
        <f>AA$22*shipping_manufacturing!$G$28/100</f>
        <v>0</v>
      </c>
      <c r="AB45" s="116">
        <f>AB$22*shipping_manufacturing!$G$28/100</f>
        <v>0</v>
      </c>
      <c r="AC45" s="116">
        <f>AC$22*shipping_manufacturing!$G$28/100</f>
        <v>0</v>
      </c>
      <c r="AD45" s="116">
        <f>AD$22*shipping_manufacturing!$G$28/100</f>
        <v>0</v>
      </c>
      <c r="AE45" s="116">
        <f>AE$22*shipping_manufacturing!$G$28/100</f>
        <v>0</v>
      </c>
      <c r="AF45" s="116">
        <f>AF$22*shipping_manufacturing!$G$28/100</f>
        <v>0</v>
      </c>
      <c r="AG45" s="116">
        <f>AG$22*shipping_manufacturing!$G$28/100</f>
        <v>0</v>
      </c>
      <c r="AH45" s="116">
        <f>AH$22*shipping_manufacturing!$G$28/100</f>
        <v>0</v>
      </c>
      <c r="AI45" s="116">
        <f>AI$22*shipping_manufacturing!$G$28/100</f>
        <v>0</v>
      </c>
      <c r="AJ45" s="116">
        <f>AJ$22*shipping_manufacturing!$G$28/100</f>
        <v>0</v>
      </c>
      <c r="AK45" s="116">
        <f>AK$22*shipping_manufacturing!$G$28/100</f>
        <v>0</v>
      </c>
      <c r="AL45" s="116">
        <f>AL$22*shipping_manufacturing!$G$28/100</f>
        <v>0</v>
      </c>
      <c r="AM45" s="116">
        <f>AM$22*shipping_manufacturing!$G$28/100</f>
        <v>0</v>
      </c>
      <c r="AN45" s="116">
        <f>AN$22*shipping_manufacturing!$G$28/100</f>
        <v>0</v>
      </c>
      <c r="AO45" s="116">
        <f>AO$22*shipping_manufacturing!$G$28/100</f>
        <v>0</v>
      </c>
      <c r="AP45" s="116">
        <f>AP$22*shipping_manufacturing!$G$28/100</f>
        <v>0</v>
      </c>
      <c r="AQ45" s="116">
        <f>AQ$22*shipping_manufacturing!$G$28/100</f>
        <v>0</v>
      </c>
      <c r="AR45" s="116">
        <f>AR$22*shipping_manufacturing!$G$28/100</f>
        <v>0</v>
      </c>
      <c r="AS45" s="116">
        <f>AS$22*shipping_manufacturing!$G$28/100</f>
        <v>0</v>
      </c>
      <c r="AT45" s="116">
        <f>AT$22*shipping_manufacturing!$G$28/100</f>
        <v>0</v>
      </c>
      <c r="AU45" s="116">
        <f>AU$22*shipping_manufacturing!$G$28/100</f>
        <v>0</v>
      </c>
      <c r="AV45" s="116">
        <f>AV$22*shipping_manufacturing!$G$28/100</f>
        <v>0</v>
      </c>
      <c r="AW45" s="116">
        <f>AW$22*shipping_manufacturing!$G$28/100</f>
        <v>0</v>
      </c>
      <c r="AX45" s="116">
        <f>AX$22*shipping_manufacturing!$G$28/100</f>
        <v>0</v>
      </c>
      <c r="AY45" s="116">
        <f>AY$22*shipping_manufacturing!$G$28/100</f>
        <v>0</v>
      </c>
    </row>
    <row r="46" spans="1:52" x14ac:dyDescent="0.2">
      <c r="A46" s="116">
        <v>2339</v>
      </c>
      <c r="B46" s="171" t="s">
        <v>343</v>
      </c>
      <c r="C46" s="116"/>
      <c r="D46" s="116">
        <f>SUM(D44:D45)</f>
        <v>913</v>
      </c>
      <c r="E46" s="116">
        <f t="shared" ref="E46:AY46" si="14">SUM(E44:E45)</f>
        <v>313</v>
      </c>
      <c r="F46" s="116">
        <f t="shared" si="14"/>
        <v>313</v>
      </c>
      <c r="G46" s="116">
        <f t="shared" si="14"/>
        <v>313</v>
      </c>
      <c r="H46" s="116">
        <f t="shared" si="14"/>
        <v>313</v>
      </c>
      <c r="I46" s="116">
        <f t="shared" si="14"/>
        <v>313</v>
      </c>
      <c r="J46" s="116">
        <f t="shared" si="14"/>
        <v>313</v>
      </c>
      <c r="K46" s="116">
        <f t="shared" si="14"/>
        <v>313</v>
      </c>
      <c r="L46" s="116">
        <f t="shared" si="14"/>
        <v>313</v>
      </c>
      <c r="M46" s="116">
        <f t="shared" si="14"/>
        <v>313</v>
      </c>
      <c r="N46" s="116">
        <f t="shared" si="14"/>
        <v>313</v>
      </c>
      <c r="O46" s="116">
        <f t="shared" si="14"/>
        <v>313</v>
      </c>
      <c r="P46" s="116">
        <f t="shared" si="14"/>
        <v>313</v>
      </c>
      <c r="Q46" s="116">
        <f t="shared" si="14"/>
        <v>313</v>
      </c>
      <c r="R46" s="116">
        <f t="shared" si="14"/>
        <v>313</v>
      </c>
      <c r="S46" s="116">
        <f t="shared" si="14"/>
        <v>313</v>
      </c>
      <c r="T46" s="116">
        <f t="shared" si="14"/>
        <v>313</v>
      </c>
      <c r="U46" s="116">
        <f t="shared" si="14"/>
        <v>313</v>
      </c>
      <c r="V46" s="116">
        <f t="shared" si="14"/>
        <v>313</v>
      </c>
      <c r="W46" s="116">
        <f t="shared" si="14"/>
        <v>313</v>
      </c>
      <c r="X46" s="116">
        <f t="shared" si="14"/>
        <v>313</v>
      </c>
      <c r="Y46" s="116">
        <f t="shared" si="14"/>
        <v>313</v>
      </c>
      <c r="Z46" s="116">
        <f t="shared" si="14"/>
        <v>313</v>
      </c>
      <c r="AA46" s="116">
        <f t="shared" si="14"/>
        <v>313</v>
      </c>
      <c r="AB46" s="116">
        <f t="shared" si="14"/>
        <v>313</v>
      </c>
      <c r="AC46" s="116">
        <f t="shared" si="14"/>
        <v>313</v>
      </c>
      <c r="AD46" s="116">
        <f t="shared" si="14"/>
        <v>313</v>
      </c>
      <c r="AE46" s="116">
        <f t="shared" si="14"/>
        <v>313</v>
      </c>
      <c r="AF46" s="116">
        <f t="shared" si="14"/>
        <v>313</v>
      </c>
      <c r="AG46" s="116">
        <f t="shared" si="14"/>
        <v>313</v>
      </c>
      <c r="AH46" s="116">
        <f t="shared" si="14"/>
        <v>0</v>
      </c>
      <c r="AI46" s="116">
        <f t="shared" si="14"/>
        <v>313</v>
      </c>
      <c r="AJ46" s="116">
        <f t="shared" si="14"/>
        <v>313</v>
      </c>
      <c r="AK46" s="116">
        <f t="shared" si="14"/>
        <v>313</v>
      </c>
      <c r="AL46" s="116">
        <f t="shared" si="14"/>
        <v>313</v>
      </c>
      <c r="AM46" s="116">
        <f t="shared" si="14"/>
        <v>313</v>
      </c>
      <c r="AN46" s="116">
        <f t="shared" si="14"/>
        <v>313</v>
      </c>
      <c r="AO46" s="116">
        <f t="shared" si="14"/>
        <v>313</v>
      </c>
      <c r="AP46" s="116">
        <f t="shared" si="14"/>
        <v>313</v>
      </c>
      <c r="AQ46" s="116">
        <f t="shared" si="14"/>
        <v>313</v>
      </c>
      <c r="AR46" s="116">
        <f t="shared" si="14"/>
        <v>313</v>
      </c>
      <c r="AS46" s="116">
        <f t="shared" si="14"/>
        <v>0</v>
      </c>
      <c r="AT46" s="116">
        <f t="shared" si="14"/>
        <v>313</v>
      </c>
      <c r="AU46" s="116">
        <f t="shared" si="14"/>
        <v>313</v>
      </c>
      <c r="AV46" s="116">
        <f t="shared" si="14"/>
        <v>0</v>
      </c>
      <c r="AW46" s="116">
        <f t="shared" si="14"/>
        <v>313</v>
      </c>
      <c r="AX46" s="116">
        <f t="shared" si="14"/>
        <v>313</v>
      </c>
      <c r="AY46" s="116">
        <f t="shared" si="14"/>
        <v>313</v>
      </c>
    </row>
    <row r="47" spans="1:52" x14ac:dyDescent="0.2">
      <c r="A47" s="116"/>
      <c r="B47" s="171" t="s">
        <v>344</v>
      </c>
      <c r="C47" s="116"/>
      <c r="D47" s="116">
        <v>420</v>
      </c>
      <c r="E47" s="116"/>
      <c r="F47" s="116">
        <v>313</v>
      </c>
      <c r="G47" s="116">
        <v>90</v>
      </c>
      <c r="H47" s="116">
        <v>313</v>
      </c>
      <c r="I47" s="116">
        <v>90</v>
      </c>
      <c r="J47" s="116">
        <v>313</v>
      </c>
      <c r="K47" s="116">
        <v>90</v>
      </c>
      <c r="L47" s="116">
        <v>313</v>
      </c>
      <c r="M47" s="116">
        <v>90</v>
      </c>
      <c r="N47" s="116">
        <v>313</v>
      </c>
      <c r="O47" s="116">
        <v>90</v>
      </c>
      <c r="P47" s="116">
        <v>313</v>
      </c>
      <c r="Q47" s="116">
        <v>90</v>
      </c>
      <c r="R47" s="116">
        <v>313</v>
      </c>
      <c r="S47" s="116">
        <v>90</v>
      </c>
      <c r="T47" s="116">
        <v>313</v>
      </c>
      <c r="U47" s="116">
        <v>90</v>
      </c>
      <c r="V47" s="116">
        <v>313</v>
      </c>
      <c r="W47" s="116">
        <v>90</v>
      </c>
      <c r="X47" s="116">
        <v>313</v>
      </c>
      <c r="Y47" s="116">
        <v>90</v>
      </c>
      <c r="Z47" s="116">
        <v>313</v>
      </c>
      <c r="AA47" s="116">
        <v>90</v>
      </c>
      <c r="AB47" s="116">
        <v>313</v>
      </c>
      <c r="AC47" s="116">
        <v>90</v>
      </c>
      <c r="AD47" s="116">
        <v>313</v>
      </c>
      <c r="AE47" s="116">
        <v>90</v>
      </c>
      <c r="AF47" s="116">
        <v>313</v>
      </c>
      <c r="AG47" s="116">
        <v>90</v>
      </c>
      <c r="AH47" s="116"/>
      <c r="AI47" s="116">
        <v>313</v>
      </c>
      <c r="AJ47" s="116">
        <v>90</v>
      </c>
      <c r="AK47" s="116">
        <v>313</v>
      </c>
      <c r="AL47" s="116">
        <v>90</v>
      </c>
      <c r="AM47" s="116">
        <v>313</v>
      </c>
      <c r="AN47" s="116">
        <v>90</v>
      </c>
      <c r="AO47" s="116">
        <v>313</v>
      </c>
      <c r="AP47" s="116">
        <v>90</v>
      </c>
      <c r="AQ47" s="116">
        <v>313</v>
      </c>
      <c r="AR47" s="116">
        <v>90</v>
      </c>
      <c r="AS47" s="116"/>
      <c r="AT47" s="116">
        <v>313</v>
      </c>
      <c r="AU47" s="116">
        <v>90</v>
      </c>
      <c r="AV47" s="116"/>
      <c r="AW47" s="116">
        <v>313</v>
      </c>
      <c r="AX47" s="116">
        <v>90</v>
      </c>
      <c r="AY47" s="116">
        <v>313</v>
      </c>
    </row>
    <row r="48" spans="1:52" x14ac:dyDescent="0.2">
      <c r="A48" s="116"/>
      <c r="B48" s="171" t="s">
        <v>345</v>
      </c>
      <c r="C48" s="116"/>
      <c r="D48" s="116">
        <v>0</v>
      </c>
      <c r="E48" s="116"/>
      <c r="F48" s="116">
        <v>0</v>
      </c>
      <c r="G48" s="116">
        <v>0</v>
      </c>
      <c r="H48" s="116">
        <v>0</v>
      </c>
      <c r="I48" s="116">
        <v>0</v>
      </c>
      <c r="J48" s="116">
        <v>0</v>
      </c>
      <c r="K48" s="116">
        <v>0</v>
      </c>
      <c r="L48" s="116">
        <v>0</v>
      </c>
      <c r="M48" s="116">
        <v>0</v>
      </c>
      <c r="N48" s="116">
        <v>0</v>
      </c>
      <c r="O48" s="116">
        <v>0</v>
      </c>
      <c r="P48" s="116">
        <v>0</v>
      </c>
      <c r="Q48" s="116">
        <v>0</v>
      </c>
      <c r="R48" s="116">
        <v>0</v>
      </c>
      <c r="S48" s="116">
        <v>0</v>
      </c>
      <c r="T48" s="116">
        <v>0</v>
      </c>
      <c r="U48" s="116">
        <v>0</v>
      </c>
      <c r="V48" s="116">
        <v>0</v>
      </c>
      <c r="W48" s="116">
        <v>0</v>
      </c>
      <c r="X48" s="116">
        <v>0</v>
      </c>
      <c r="Y48" s="116">
        <v>0</v>
      </c>
      <c r="Z48" s="116">
        <v>0</v>
      </c>
      <c r="AA48" s="116">
        <v>0</v>
      </c>
      <c r="AB48" s="116">
        <v>0</v>
      </c>
      <c r="AC48" s="116">
        <v>0</v>
      </c>
      <c r="AD48" s="116">
        <v>0</v>
      </c>
      <c r="AE48" s="116">
        <v>0</v>
      </c>
      <c r="AF48" s="116">
        <v>0</v>
      </c>
      <c r="AG48" s="116">
        <v>0</v>
      </c>
      <c r="AH48" s="116"/>
      <c r="AI48" s="116">
        <v>0</v>
      </c>
      <c r="AJ48" s="116">
        <v>0</v>
      </c>
      <c r="AK48" s="116">
        <v>0</v>
      </c>
      <c r="AL48" s="116">
        <v>0</v>
      </c>
      <c r="AM48" s="116">
        <v>0</v>
      </c>
      <c r="AN48" s="116">
        <v>0</v>
      </c>
      <c r="AO48" s="116">
        <v>0</v>
      </c>
      <c r="AP48" s="116">
        <v>0</v>
      </c>
      <c r="AQ48" s="116">
        <v>0</v>
      </c>
      <c r="AR48" s="116">
        <v>0</v>
      </c>
      <c r="AS48" s="116"/>
      <c r="AT48" s="116">
        <v>0</v>
      </c>
      <c r="AU48" s="116">
        <v>0</v>
      </c>
      <c r="AV48" s="116"/>
      <c r="AW48" s="116">
        <v>0</v>
      </c>
      <c r="AX48" s="116">
        <v>0</v>
      </c>
      <c r="AY48" s="116">
        <v>0</v>
      </c>
    </row>
    <row r="49" spans="1:52" x14ac:dyDescent="0.2">
      <c r="A49" s="116"/>
      <c r="B49" s="171" t="s">
        <v>346</v>
      </c>
      <c r="C49" s="116"/>
      <c r="D49" s="116">
        <v>14</v>
      </c>
      <c r="E49" s="116"/>
      <c r="F49" s="116">
        <v>11</v>
      </c>
      <c r="G49" s="116">
        <v>3</v>
      </c>
      <c r="H49" s="116">
        <v>11</v>
      </c>
      <c r="I49" s="116">
        <v>3</v>
      </c>
      <c r="J49" s="116">
        <v>11</v>
      </c>
      <c r="K49" s="116">
        <v>3</v>
      </c>
      <c r="L49" s="116">
        <v>11</v>
      </c>
      <c r="M49" s="116">
        <v>3</v>
      </c>
      <c r="N49" s="116">
        <v>11</v>
      </c>
      <c r="O49" s="116">
        <v>3</v>
      </c>
      <c r="P49" s="116">
        <v>11</v>
      </c>
      <c r="Q49" s="116">
        <v>3</v>
      </c>
      <c r="R49" s="116">
        <v>11</v>
      </c>
      <c r="S49" s="116">
        <v>3</v>
      </c>
      <c r="T49" s="116">
        <v>11</v>
      </c>
      <c r="U49" s="116">
        <v>3</v>
      </c>
      <c r="V49" s="116">
        <v>11</v>
      </c>
      <c r="W49" s="116">
        <v>3</v>
      </c>
      <c r="X49" s="116">
        <v>11</v>
      </c>
      <c r="Y49" s="116">
        <v>3</v>
      </c>
      <c r="Z49" s="116">
        <v>11</v>
      </c>
      <c r="AA49" s="116">
        <v>3</v>
      </c>
      <c r="AB49" s="116">
        <v>11</v>
      </c>
      <c r="AC49" s="116">
        <v>3</v>
      </c>
      <c r="AD49" s="116">
        <v>11</v>
      </c>
      <c r="AE49" s="116">
        <v>3</v>
      </c>
      <c r="AF49" s="116">
        <v>11</v>
      </c>
      <c r="AG49" s="116">
        <v>3</v>
      </c>
      <c r="AH49" s="116"/>
      <c r="AI49" s="116">
        <v>11</v>
      </c>
      <c r="AJ49" s="116">
        <v>3</v>
      </c>
      <c r="AK49" s="116">
        <v>11</v>
      </c>
      <c r="AL49" s="116">
        <v>3</v>
      </c>
      <c r="AM49" s="116">
        <v>11</v>
      </c>
      <c r="AN49" s="116">
        <v>3</v>
      </c>
      <c r="AO49" s="116">
        <v>11</v>
      </c>
      <c r="AP49" s="116">
        <v>3</v>
      </c>
      <c r="AQ49" s="116">
        <v>11</v>
      </c>
      <c r="AR49" s="116">
        <v>3</v>
      </c>
      <c r="AS49" s="116"/>
      <c r="AT49" s="116">
        <v>11</v>
      </c>
      <c r="AU49" s="116">
        <v>3</v>
      </c>
      <c r="AV49" s="116"/>
      <c r="AW49" s="116">
        <v>11</v>
      </c>
      <c r="AX49" s="116">
        <v>3</v>
      </c>
      <c r="AY49" s="116">
        <v>11</v>
      </c>
    </row>
    <row r="50" spans="1:52" x14ac:dyDescent="0.2">
      <c r="A50" s="116"/>
      <c r="B50" s="171" t="s">
        <v>347</v>
      </c>
      <c r="C50" s="116"/>
      <c r="D50" s="116">
        <f>D44-D47</f>
        <v>493</v>
      </c>
      <c r="E50" s="116">
        <f t="shared" ref="E50:AY50" si="15">E44-E47</f>
        <v>313</v>
      </c>
      <c r="F50" s="116">
        <f t="shared" si="15"/>
        <v>0</v>
      </c>
      <c r="G50" s="116">
        <f t="shared" si="15"/>
        <v>223</v>
      </c>
      <c r="H50" s="116">
        <f t="shared" si="15"/>
        <v>0</v>
      </c>
      <c r="I50" s="116">
        <f t="shared" si="15"/>
        <v>223</v>
      </c>
      <c r="J50" s="116">
        <f t="shared" si="15"/>
        <v>0</v>
      </c>
      <c r="K50" s="116">
        <f t="shared" si="15"/>
        <v>223</v>
      </c>
      <c r="L50" s="116">
        <f t="shared" si="15"/>
        <v>0</v>
      </c>
      <c r="M50" s="116">
        <f t="shared" si="15"/>
        <v>223</v>
      </c>
      <c r="N50" s="116">
        <f t="shared" si="15"/>
        <v>0</v>
      </c>
      <c r="O50" s="116">
        <f t="shared" si="15"/>
        <v>223</v>
      </c>
      <c r="P50" s="116">
        <f t="shared" si="15"/>
        <v>0</v>
      </c>
      <c r="Q50" s="116">
        <f t="shared" si="15"/>
        <v>223</v>
      </c>
      <c r="R50" s="116">
        <f t="shared" si="15"/>
        <v>0</v>
      </c>
      <c r="S50" s="116">
        <f t="shared" si="15"/>
        <v>223</v>
      </c>
      <c r="T50" s="116">
        <f t="shared" si="15"/>
        <v>0</v>
      </c>
      <c r="U50" s="116">
        <f t="shared" si="15"/>
        <v>223</v>
      </c>
      <c r="V50" s="116">
        <f t="shared" si="15"/>
        <v>0</v>
      </c>
      <c r="W50" s="116">
        <f t="shared" si="15"/>
        <v>223</v>
      </c>
      <c r="X50" s="116">
        <f t="shared" si="15"/>
        <v>0</v>
      </c>
      <c r="Y50" s="116">
        <f t="shared" si="15"/>
        <v>223</v>
      </c>
      <c r="Z50" s="116">
        <f t="shared" si="15"/>
        <v>0</v>
      </c>
      <c r="AA50" s="116">
        <f t="shared" si="15"/>
        <v>223</v>
      </c>
      <c r="AB50" s="116">
        <f t="shared" si="15"/>
        <v>0</v>
      </c>
      <c r="AC50" s="116">
        <f t="shared" si="15"/>
        <v>223</v>
      </c>
      <c r="AD50" s="116">
        <f t="shared" si="15"/>
        <v>0</v>
      </c>
      <c r="AE50" s="116">
        <f t="shared" si="15"/>
        <v>223</v>
      </c>
      <c r="AF50" s="116">
        <f t="shared" si="15"/>
        <v>0</v>
      </c>
      <c r="AG50" s="116">
        <f t="shared" si="15"/>
        <v>223</v>
      </c>
      <c r="AH50" s="116">
        <f t="shared" si="15"/>
        <v>0</v>
      </c>
      <c r="AI50" s="116">
        <f t="shared" si="15"/>
        <v>0</v>
      </c>
      <c r="AJ50" s="116">
        <f t="shared" si="15"/>
        <v>223</v>
      </c>
      <c r="AK50" s="116">
        <f t="shared" si="15"/>
        <v>0</v>
      </c>
      <c r="AL50" s="116">
        <f t="shared" si="15"/>
        <v>223</v>
      </c>
      <c r="AM50" s="116">
        <f t="shared" si="15"/>
        <v>0</v>
      </c>
      <c r="AN50" s="116">
        <f t="shared" si="15"/>
        <v>223</v>
      </c>
      <c r="AO50" s="116">
        <f t="shared" si="15"/>
        <v>0</v>
      </c>
      <c r="AP50" s="116">
        <f t="shared" si="15"/>
        <v>223</v>
      </c>
      <c r="AQ50" s="116">
        <f t="shared" si="15"/>
        <v>0</v>
      </c>
      <c r="AR50" s="116">
        <f t="shared" si="15"/>
        <v>223</v>
      </c>
      <c r="AS50" s="116">
        <f t="shared" si="15"/>
        <v>0</v>
      </c>
      <c r="AT50" s="116">
        <f t="shared" si="15"/>
        <v>0</v>
      </c>
      <c r="AU50" s="116">
        <f t="shared" si="15"/>
        <v>223</v>
      </c>
      <c r="AV50" s="116">
        <f t="shared" si="15"/>
        <v>0</v>
      </c>
      <c r="AW50" s="116">
        <f t="shared" si="15"/>
        <v>0</v>
      </c>
      <c r="AX50" s="116">
        <f t="shared" si="15"/>
        <v>223</v>
      </c>
      <c r="AY50" s="116">
        <f t="shared" si="15"/>
        <v>0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2</v>
      </c>
      <c r="E52" s="116">
        <v>2</v>
      </c>
      <c r="F52" s="116">
        <v>2</v>
      </c>
      <c r="G52" s="116">
        <v>2</v>
      </c>
      <c r="H52" s="116">
        <v>2</v>
      </c>
      <c r="I52" s="116">
        <v>3</v>
      </c>
      <c r="J52" s="116">
        <v>2</v>
      </c>
      <c r="K52" s="116">
        <v>2</v>
      </c>
      <c r="L52" s="116">
        <v>3</v>
      </c>
      <c r="M52" s="116">
        <v>2</v>
      </c>
      <c r="N52" s="116">
        <v>3</v>
      </c>
      <c r="O52" s="116">
        <v>3</v>
      </c>
      <c r="P52" s="116">
        <v>4</v>
      </c>
      <c r="Q52" s="116">
        <v>3</v>
      </c>
      <c r="R52" s="116">
        <v>2</v>
      </c>
      <c r="S52" s="116">
        <v>2</v>
      </c>
      <c r="T52" s="116">
        <v>2</v>
      </c>
      <c r="U52" s="116">
        <v>3</v>
      </c>
      <c r="V52" s="116">
        <v>2</v>
      </c>
      <c r="W52" s="116">
        <v>3</v>
      </c>
      <c r="X52" s="116">
        <v>3</v>
      </c>
      <c r="Y52" s="116">
        <v>4</v>
      </c>
      <c r="Z52" s="116">
        <v>2</v>
      </c>
      <c r="AA52" s="116">
        <v>2</v>
      </c>
      <c r="AB52" s="116">
        <v>3</v>
      </c>
      <c r="AC52" s="116">
        <v>2</v>
      </c>
      <c r="AD52" s="116">
        <v>2</v>
      </c>
      <c r="AE52" s="116">
        <v>2</v>
      </c>
      <c r="AF52" s="116">
        <v>4</v>
      </c>
      <c r="AG52" s="116">
        <v>3</v>
      </c>
      <c r="AH52" s="116">
        <v>3</v>
      </c>
      <c r="AI52" s="116">
        <v>3</v>
      </c>
      <c r="AJ52" s="116">
        <v>2</v>
      </c>
      <c r="AK52" s="116">
        <v>3</v>
      </c>
      <c r="AL52" s="116">
        <v>2</v>
      </c>
      <c r="AM52" s="116">
        <v>2</v>
      </c>
      <c r="AN52" s="116">
        <v>2</v>
      </c>
      <c r="AO52" s="116">
        <v>2</v>
      </c>
      <c r="AP52" s="116">
        <v>3</v>
      </c>
      <c r="AQ52" s="116">
        <v>4</v>
      </c>
      <c r="AR52" s="116">
        <v>2</v>
      </c>
      <c r="AS52" s="116">
        <v>3</v>
      </c>
      <c r="AT52" s="116">
        <v>2</v>
      </c>
      <c r="AU52" s="116">
        <v>2</v>
      </c>
      <c r="AV52" s="116">
        <v>3</v>
      </c>
      <c r="AW52" s="116">
        <v>2</v>
      </c>
      <c r="AX52" s="116">
        <v>2</v>
      </c>
      <c r="AY52" s="116">
        <v>2</v>
      </c>
    </row>
    <row r="53" spans="1:52" x14ac:dyDescent="0.2">
      <c r="A53" s="116"/>
      <c r="B53" s="184" t="s">
        <v>350</v>
      </c>
      <c r="C53" s="116"/>
      <c r="D53" s="116">
        <v>1178856</v>
      </c>
      <c r="E53" s="116">
        <v>0</v>
      </c>
      <c r="F53" s="116">
        <v>926244</v>
      </c>
      <c r="G53" s="116">
        <v>252612</v>
      </c>
      <c r="H53" s="116">
        <v>926244</v>
      </c>
      <c r="I53" s="116">
        <v>252612</v>
      </c>
      <c r="J53" s="116">
        <v>926244</v>
      </c>
      <c r="K53" s="116">
        <v>252612</v>
      </c>
      <c r="L53" s="116">
        <v>926244</v>
      </c>
      <c r="M53" s="116">
        <v>252612</v>
      </c>
      <c r="N53" s="116">
        <v>926244</v>
      </c>
      <c r="O53" s="116">
        <v>252612</v>
      </c>
      <c r="P53" s="116">
        <v>926244</v>
      </c>
      <c r="Q53" s="116">
        <v>252612</v>
      </c>
      <c r="R53" s="116">
        <v>926244</v>
      </c>
      <c r="S53" s="116">
        <v>252612</v>
      </c>
      <c r="T53" s="116">
        <v>926244</v>
      </c>
      <c r="U53" s="116">
        <v>252612</v>
      </c>
      <c r="V53" s="116">
        <v>926244</v>
      </c>
      <c r="W53" s="116">
        <v>252612</v>
      </c>
      <c r="X53" s="116">
        <v>926244</v>
      </c>
      <c r="Y53" s="116">
        <v>252612</v>
      </c>
      <c r="Z53" s="116">
        <v>926244</v>
      </c>
      <c r="AA53" s="116">
        <v>252612</v>
      </c>
      <c r="AB53" s="116">
        <v>926244</v>
      </c>
      <c r="AC53" s="116">
        <v>252612</v>
      </c>
      <c r="AD53" s="116">
        <v>926244</v>
      </c>
      <c r="AE53" s="116">
        <v>252612</v>
      </c>
      <c r="AF53" s="116">
        <v>926244</v>
      </c>
      <c r="AG53" s="116">
        <v>252612</v>
      </c>
      <c r="AH53" s="116">
        <v>0</v>
      </c>
      <c r="AI53" s="116">
        <v>926244</v>
      </c>
      <c r="AJ53" s="116">
        <v>252612</v>
      </c>
      <c r="AK53" s="116">
        <v>926244</v>
      </c>
      <c r="AL53" s="116">
        <v>252612</v>
      </c>
      <c r="AM53" s="116">
        <v>926244</v>
      </c>
      <c r="AN53" s="116">
        <v>252612</v>
      </c>
      <c r="AO53" s="116">
        <v>926244</v>
      </c>
      <c r="AP53" s="116">
        <v>252612</v>
      </c>
      <c r="AQ53" s="116">
        <v>926244</v>
      </c>
      <c r="AR53" s="116">
        <v>252612</v>
      </c>
      <c r="AS53" s="116">
        <v>0</v>
      </c>
      <c r="AT53" s="116">
        <v>926244</v>
      </c>
      <c r="AU53" s="116">
        <v>252612</v>
      </c>
      <c r="AV53" s="116">
        <v>0</v>
      </c>
      <c r="AW53" s="116">
        <v>926244</v>
      </c>
      <c r="AX53" s="116">
        <v>252612</v>
      </c>
      <c r="AY53" s="116">
        <v>926244</v>
      </c>
      <c r="AZ53" s="106">
        <f>SUM($D$53:$AY$53)</f>
        <v>26861076</v>
      </c>
    </row>
    <row r="54" spans="1:52" x14ac:dyDescent="0.2">
      <c r="A54" s="131"/>
      <c r="B54" s="146" t="s">
        <v>351</v>
      </c>
      <c r="C54" s="131"/>
      <c r="D54" s="131">
        <v>749532.55</v>
      </c>
      <c r="E54" s="131">
        <v>475869.55</v>
      </c>
      <c r="F54" s="131">
        <v>0</v>
      </c>
      <c r="G54" s="131">
        <v>339038.05</v>
      </c>
      <c r="H54" s="131">
        <v>0</v>
      </c>
      <c r="I54" s="131">
        <v>339038.05</v>
      </c>
      <c r="J54" s="131">
        <v>0</v>
      </c>
      <c r="K54" s="131">
        <v>339038.05</v>
      </c>
      <c r="L54" s="131">
        <v>0</v>
      </c>
      <c r="M54" s="131">
        <v>339038.05</v>
      </c>
      <c r="N54" s="131">
        <v>0</v>
      </c>
      <c r="O54" s="131">
        <v>339038.05</v>
      </c>
      <c r="P54" s="131">
        <v>0</v>
      </c>
      <c r="Q54" s="131">
        <v>339038.05</v>
      </c>
      <c r="R54" s="131">
        <v>0</v>
      </c>
      <c r="S54" s="131">
        <v>339038.05</v>
      </c>
      <c r="T54" s="131">
        <v>0</v>
      </c>
      <c r="U54" s="131">
        <v>339038.05</v>
      </c>
      <c r="V54" s="131">
        <v>0</v>
      </c>
      <c r="W54" s="131">
        <v>339038.05</v>
      </c>
      <c r="X54" s="131">
        <v>0</v>
      </c>
      <c r="Y54" s="131">
        <v>339038.05</v>
      </c>
      <c r="Z54" s="131">
        <v>0</v>
      </c>
      <c r="AA54" s="131">
        <v>339038.05</v>
      </c>
      <c r="AB54" s="131">
        <v>0</v>
      </c>
      <c r="AC54" s="131">
        <v>339038.05</v>
      </c>
      <c r="AD54" s="131">
        <v>0</v>
      </c>
      <c r="AE54" s="131">
        <v>339038.05</v>
      </c>
      <c r="AF54" s="131">
        <v>0</v>
      </c>
      <c r="AG54" s="131">
        <v>339038.05</v>
      </c>
      <c r="AH54" s="131">
        <v>0</v>
      </c>
      <c r="AI54" s="131">
        <v>0</v>
      </c>
      <c r="AJ54" s="131">
        <v>339038.05</v>
      </c>
      <c r="AK54" s="131">
        <v>0</v>
      </c>
      <c r="AL54" s="131">
        <v>339038.05</v>
      </c>
      <c r="AM54" s="131">
        <v>0</v>
      </c>
      <c r="AN54" s="131">
        <v>339038.05</v>
      </c>
      <c r="AO54" s="131">
        <v>0</v>
      </c>
      <c r="AP54" s="131">
        <v>339038.05</v>
      </c>
      <c r="AQ54" s="131">
        <v>0</v>
      </c>
      <c r="AR54" s="131">
        <v>339038.05</v>
      </c>
      <c r="AS54" s="131">
        <v>0</v>
      </c>
      <c r="AT54" s="131">
        <v>0</v>
      </c>
      <c r="AU54" s="131">
        <v>339038.05</v>
      </c>
      <c r="AV54" s="131">
        <v>0</v>
      </c>
      <c r="AW54" s="131">
        <v>0</v>
      </c>
      <c r="AX54" s="131">
        <v>339038.05</v>
      </c>
      <c r="AY54" s="131">
        <v>0</v>
      </c>
      <c r="AZ54" s="106">
        <f>SUM($D$54:$AY$54)</f>
        <v>8345201.1499999966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12</v>
      </c>
      <c r="E2" s="116"/>
    </row>
    <row r="3" spans="1:52" x14ac:dyDescent="0.2">
      <c r="A3" s="106" t="s">
        <v>286</v>
      </c>
      <c r="B3" s="113">
        <v>4689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0">
        <v>0</v>
      </c>
      <c r="AA7" s="150">
        <v>0</v>
      </c>
      <c r="AB7" s="150">
        <v>0</v>
      </c>
      <c r="AC7" s="150">
        <v>0</v>
      </c>
      <c r="AD7" s="150">
        <v>0</v>
      </c>
      <c r="AE7" s="150">
        <v>0</v>
      </c>
      <c r="AF7" s="150">
        <v>0</v>
      </c>
      <c r="AG7" s="150">
        <v>0</v>
      </c>
      <c r="AH7" s="150">
        <v>0</v>
      </c>
      <c r="AI7" s="150">
        <v>0</v>
      </c>
      <c r="AJ7" s="150">
        <v>0</v>
      </c>
      <c r="AK7" s="150">
        <v>0</v>
      </c>
      <c r="AL7" s="150">
        <v>0</v>
      </c>
      <c r="AM7" s="150">
        <v>0</v>
      </c>
      <c r="AN7" s="150">
        <v>0</v>
      </c>
      <c r="AO7" s="150">
        <v>0</v>
      </c>
      <c r="AP7" s="150">
        <v>0</v>
      </c>
      <c r="AQ7" s="150">
        <v>0</v>
      </c>
      <c r="AR7" s="150">
        <v>0</v>
      </c>
      <c r="AS7" s="150">
        <v>0</v>
      </c>
      <c r="AT7" s="150">
        <v>0</v>
      </c>
      <c r="AU7" s="150">
        <v>0</v>
      </c>
      <c r="AV7" s="150">
        <v>0</v>
      </c>
      <c r="AW7" s="150">
        <v>0</v>
      </c>
      <c r="AX7" s="150">
        <v>0</v>
      </c>
      <c r="AY7" s="150">
        <v>0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0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0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0</v>
      </c>
      <c r="D13" s="144">
        <f t="shared" ref="D13:AY13" si="1">D$7-D$10</f>
        <v>0</v>
      </c>
      <c r="E13" s="144">
        <f t="shared" si="1"/>
        <v>0</v>
      </c>
      <c r="F13" s="144">
        <f t="shared" si="1"/>
        <v>0</v>
      </c>
      <c r="G13" s="144">
        <f t="shared" si="1"/>
        <v>0</v>
      </c>
      <c r="H13" s="144">
        <f t="shared" si="1"/>
        <v>0</v>
      </c>
      <c r="I13" s="144">
        <f t="shared" si="1"/>
        <v>0</v>
      </c>
      <c r="J13" s="144">
        <f t="shared" si="1"/>
        <v>0</v>
      </c>
      <c r="K13" s="144">
        <f t="shared" si="1"/>
        <v>0</v>
      </c>
      <c r="L13" s="144">
        <f t="shared" si="1"/>
        <v>0</v>
      </c>
      <c r="M13" s="144">
        <f t="shared" si="1"/>
        <v>0</v>
      </c>
      <c r="N13" s="144">
        <f t="shared" si="1"/>
        <v>0</v>
      </c>
      <c r="O13" s="144">
        <f t="shared" si="1"/>
        <v>0</v>
      </c>
      <c r="P13" s="144">
        <f t="shared" si="1"/>
        <v>0</v>
      </c>
      <c r="Q13" s="144">
        <f t="shared" si="1"/>
        <v>0</v>
      </c>
      <c r="R13" s="144">
        <f t="shared" si="1"/>
        <v>0</v>
      </c>
      <c r="S13" s="144">
        <f t="shared" si="1"/>
        <v>0</v>
      </c>
      <c r="T13" s="144">
        <f t="shared" si="1"/>
        <v>0</v>
      </c>
      <c r="U13" s="144">
        <f t="shared" si="1"/>
        <v>0</v>
      </c>
      <c r="V13" s="144">
        <f t="shared" si="1"/>
        <v>0</v>
      </c>
      <c r="W13" s="144">
        <f t="shared" si="1"/>
        <v>0</v>
      </c>
      <c r="X13" s="144">
        <f t="shared" si="1"/>
        <v>0</v>
      </c>
      <c r="Y13" s="144">
        <f t="shared" si="1"/>
        <v>0</v>
      </c>
      <c r="Z13" s="144">
        <f t="shared" si="1"/>
        <v>0</v>
      </c>
      <c r="AA13" s="144">
        <f t="shared" si="1"/>
        <v>0</v>
      </c>
      <c r="AB13" s="144">
        <f t="shared" si="1"/>
        <v>0</v>
      </c>
      <c r="AC13" s="144">
        <f t="shared" si="1"/>
        <v>0</v>
      </c>
      <c r="AD13" s="144">
        <f t="shared" si="1"/>
        <v>0</v>
      </c>
      <c r="AE13" s="144">
        <f t="shared" si="1"/>
        <v>0</v>
      </c>
      <c r="AF13" s="144">
        <f t="shared" si="1"/>
        <v>0</v>
      </c>
      <c r="AG13" s="144">
        <f t="shared" si="1"/>
        <v>0</v>
      </c>
      <c r="AH13" s="144">
        <f t="shared" si="1"/>
        <v>0</v>
      </c>
      <c r="AI13" s="144">
        <f t="shared" si="1"/>
        <v>0</v>
      </c>
      <c r="AJ13" s="144">
        <f t="shared" si="1"/>
        <v>0</v>
      </c>
      <c r="AK13" s="144">
        <f t="shared" si="1"/>
        <v>0</v>
      </c>
      <c r="AL13" s="144">
        <f t="shared" si="1"/>
        <v>0</v>
      </c>
      <c r="AM13" s="144">
        <f t="shared" si="1"/>
        <v>0</v>
      </c>
      <c r="AN13" s="144">
        <f t="shared" si="1"/>
        <v>0</v>
      </c>
      <c r="AO13" s="144">
        <f t="shared" si="1"/>
        <v>0</v>
      </c>
      <c r="AP13" s="144">
        <f t="shared" si="1"/>
        <v>0</v>
      </c>
      <c r="AQ13" s="144">
        <f t="shared" si="1"/>
        <v>0</v>
      </c>
      <c r="AR13" s="144">
        <f t="shared" si="1"/>
        <v>0</v>
      </c>
      <c r="AS13" s="144">
        <f t="shared" si="1"/>
        <v>0</v>
      </c>
      <c r="AT13" s="144">
        <f t="shared" si="1"/>
        <v>0</v>
      </c>
      <c r="AU13" s="144">
        <f t="shared" si="1"/>
        <v>0</v>
      </c>
      <c r="AV13" s="144">
        <f t="shared" si="1"/>
        <v>0</v>
      </c>
      <c r="AW13" s="144">
        <f t="shared" si="1"/>
        <v>0</v>
      </c>
      <c r="AX13" s="144">
        <f t="shared" si="1"/>
        <v>0</v>
      </c>
      <c r="AY13" s="144">
        <f t="shared" si="1"/>
        <v>0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 t="s">
        <v>339</v>
      </c>
      <c r="E20" s="123" t="s">
        <v>339</v>
      </c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 t="s">
        <v>339</v>
      </c>
      <c r="T20" s="123"/>
      <c r="U20" s="123"/>
      <c r="V20" s="123"/>
      <c r="W20" s="123"/>
      <c r="X20" s="123"/>
      <c r="Y20" s="123"/>
      <c r="Z20" s="123" t="s">
        <v>339</v>
      </c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shipping_manufacturing!$G$19/100</f>
        <v>1</v>
      </c>
      <c r="C21" s="162" t="s">
        <v>293</v>
      </c>
      <c r="D21" s="112">
        <f>IF(C$20="Yes",0,SUM(C$13:C$16)*$B$21)</f>
        <v>0</v>
      </c>
      <c r="E21" s="112">
        <f t="shared" ref="E21:AY21" si="3">IF(D$20="Yes",0,SUM(D$13:D$16)*$B$21)</f>
        <v>0</v>
      </c>
      <c r="F21" s="112">
        <f t="shared" si="3"/>
        <v>0</v>
      </c>
      <c r="G21" s="112">
        <f t="shared" si="3"/>
        <v>0</v>
      </c>
      <c r="H21" s="112">
        <f t="shared" si="3"/>
        <v>0</v>
      </c>
      <c r="I21" s="112">
        <f t="shared" si="3"/>
        <v>0</v>
      </c>
      <c r="J21" s="112">
        <f t="shared" si="3"/>
        <v>0</v>
      </c>
      <c r="K21" s="112">
        <f t="shared" si="3"/>
        <v>0</v>
      </c>
      <c r="L21" s="112">
        <f t="shared" si="3"/>
        <v>0</v>
      </c>
      <c r="M21" s="112">
        <f t="shared" si="3"/>
        <v>0</v>
      </c>
      <c r="N21" s="112">
        <f t="shared" si="3"/>
        <v>0</v>
      </c>
      <c r="O21" s="112">
        <f t="shared" si="3"/>
        <v>0</v>
      </c>
      <c r="P21" s="112">
        <f t="shared" si="3"/>
        <v>0</v>
      </c>
      <c r="Q21" s="112">
        <f t="shared" si="3"/>
        <v>0</v>
      </c>
      <c r="R21" s="112">
        <f t="shared" si="3"/>
        <v>0</v>
      </c>
      <c r="S21" s="112">
        <f t="shared" si="3"/>
        <v>0</v>
      </c>
      <c r="T21" s="112">
        <f t="shared" si="3"/>
        <v>0</v>
      </c>
      <c r="U21" s="112">
        <f t="shared" si="3"/>
        <v>0</v>
      </c>
      <c r="V21" s="112">
        <f t="shared" si="3"/>
        <v>0</v>
      </c>
      <c r="W21" s="112">
        <f t="shared" si="3"/>
        <v>0</v>
      </c>
      <c r="X21" s="112">
        <f t="shared" si="3"/>
        <v>0</v>
      </c>
      <c r="Y21" s="112">
        <f t="shared" si="3"/>
        <v>0</v>
      </c>
      <c r="Z21" s="112">
        <f t="shared" si="3"/>
        <v>0</v>
      </c>
      <c r="AA21" s="112">
        <f t="shared" si="3"/>
        <v>0</v>
      </c>
      <c r="AB21" s="112">
        <f t="shared" si="3"/>
        <v>0</v>
      </c>
      <c r="AC21" s="112">
        <f t="shared" si="3"/>
        <v>0</v>
      </c>
      <c r="AD21" s="112">
        <f t="shared" si="3"/>
        <v>0</v>
      </c>
      <c r="AE21" s="112">
        <f t="shared" si="3"/>
        <v>0</v>
      </c>
      <c r="AF21" s="112">
        <f t="shared" si="3"/>
        <v>0</v>
      </c>
      <c r="AG21" s="112">
        <f t="shared" si="3"/>
        <v>0</v>
      </c>
      <c r="AH21" s="112">
        <f t="shared" si="3"/>
        <v>0</v>
      </c>
      <c r="AI21" s="112">
        <f t="shared" si="3"/>
        <v>0</v>
      </c>
      <c r="AJ21" s="112">
        <f t="shared" si="3"/>
        <v>0</v>
      </c>
      <c r="AK21" s="112">
        <f t="shared" si="3"/>
        <v>0</v>
      </c>
      <c r="AL21" s="112">
        <f t="shared" si="3"/>
        <v>0</v>
      </c>
      <c r="AM21" s="112">
        <f t="shared" si="3"/>
        <v>0</v>
      </c>
      <c r="AN21" s="112">
        <f t="shared" si="3"/>
        <v>0</v>
      </c>
      <c r="AO21" s="112">
        <f t="shared" si="3"/>
        <v>0</v>
      </c>
      <c r="AP21" s="112">
        <f t="shared" si="3"/>
        <v>0</v>
      </c>
      <c r="AQ21" s="112">
        <f t="shared" si="3"/>
        <v>0</v>
      </c>
      <c r="AR21" s="112">
        <f t="shared" si="3"/>
        <v>0</v>
      </c>
      <c r="AS21" s="112">
        <f t="shared" si="3"/>
        <v>0</v>
      </c>
      <c r="AT21" s="112">
        <f t="shared" si="3"/>
        <v>0</v>
      </c>
      <c r="AU21" s="112">
        <f t="shared" si="3"/>
        <v>0</v>
      </c>
      <c r="AV21" s="112">
        <f t="shared" si="3"/>
        <v>0</v>
      </c>
      <c r="AW21" s="112">
        <f t="shared" si="3"/>
        <v>0</v>
      </c>
      <c r="AX21" s="112">
        <f t="shared" si="3"/>
        <v>0</v>
      </c>
      <c r="AY21" s="112">
        <f t="shared" si="3"/>
        <v>0</v>
      </c>
      <c r="AZ21" s="163">
        <f>SUM($D21:$AY21)</f>
        <v>0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0</v>
      </c>
      <c r="E23" s="106">
        <f t="shared" ref="E23:AY23" si="6">E$21*$B$23</f>
        <v>0</v>
      </c>
      <c r="F23" s="106">
        <f t="shared" si="6"/>
        <v>0</v>
      </c>
      <c r="G23" s="106">
        <f t="shared" si="6"/>
        <v>0</v>
      </c>
      <c r="H23" s="106">
        <f t="shared" si="6"/>
        <v>0</v>
      </c>
      <c r="I23" s="106">
        <f t="shared" si="6"/>
        <v>0</v>
      </c>
      <c r="J23" s="106">
        <f t="shared" si="6"/>
        <v>0</v>
      </c>
      <c r="K23" s="106">
        <f t="shared" si="6"/>
        <v>0</v>
      </c>
      <c r="L23" s="106">
        <f t="shared" si="6"/>
        <v>0</v>
      </c>
      <c r="M23" s="106">
        <f t="shared" si="6"/>
        <v>0</v>
      </c>
      <c r="N23" s="106">
        <f t="shared" si="6"/>
        <v>0</v>
      </c>
      <c r="O23" s="106">
        <f t="shared" si="6"/>
        <v>0</v>
      </c>
      <c r="P23" s="106">
        <f t="shared" si="6"/>
        <v>0</v>
      </c>
      <c r="Q23" s="106">
        <f t="shared" si="6"/>
        <v>0</v>
      </c>
      <c r="R23" s="106">
        <f t="shared" si="6"/>
        <v>0</v>
      </c>
      <c r="S23" s="106">
        <f t="shared" si="6"/>
        <v>0</v>
      </c>
      <c r="T23" s="106">
        <f t="shared" si="6"/>
        <v>0</v>
      </c>
      <c r="U23" s="106">
        <f t="shared" si="6"/>
        <v>0</v>
      </c>
      <c r="V23" s="106">
        <f t="shared" si="6"/>
        <v>0</v>
      </c>
      <c r="W23" s="106">
        <f t="shared" si="6"/>
        <v>0</v>
      </c>
      <c r="X23" s="106">
        <f t="shared" si="6"/>
        <v>0</v>
      </c>
      <c r="Y23" s="106">
        <f t="shared" si="6"/>
        <v>0</v>
      </c>
      <c r="Z23" s="106">
        <f t="shared" si="6"/>
        <v>0</v>
      </c>
      <c r="AA23" s="106">
        <f t="shared" si="6"/>
        <v>0</v>
      </c>
      <c r="AB23" s="106">
        <f t="shared" si="6"/>
        <v>0</v>
      </c>
      <c r="AC23" s="106">
        <f t="shared" si="6"/>
        <v>0</v>
      </c>
      <c r="AD23" s="106">
        <f t="shared" si="6"/>
        <v>0</v>
      </c>
      <c r="AE23" s="106">
        <f t="shared" si="6"/>
        <v>0</v>
      </c>
      <c r="AF23" s="106">
        <f t="shared" si="6"/>
        <v>0</v>
      </c>
      <c r="AG23" s="106">
        <f t="shared" si="6"/>
        <v>0</v>
      </c>
      <c r="AH23" s="106">
        <f t="shared" si="6"/>
        <v>0</v>
      </c>
      <c r="AI23" s="106">
        <f t="shared" si="6"/>
        <v>0</v>
      </c>
      <c r="AJ23" s="106">
        <f t="shared" si="6"/>
        <v>0</v>
      </c>
      <c r="AK23" s="106">
        <f t="shared" si="6"/>
        <v>0</v>
      </c>
      <c r="AL23" s="106">
        <f t="shared" si="6"/>
        <v>0</v>
      </c>
      <c r="AM23" s="106">
        <f t="shared" si="6"/>
        <v>0</v>
      </c>
      <c r="AN23" s="106">
        <f t="shared" si="6"/>
        <v>0</v>
      </c>
      <c r="AO23" s="106">
        <f t="shared" si="6"/>
        <v>0</v>
      </c>
      <c r="AP23" s="106">
        <f t="shared" si="6"/>
        <v>0</v>
      </c>
      <c r="AQ23" s="106">
        <f t="shared" si="6"/>
        <v>0</v>
      </c>
      <c r="AR23" s="106">
        <f t="shared" si="6"/>
        <v>0</v>
      </c>
      <c r="AS23" s="106">
        <f t="shared" si="6"/>
        <v>0</v>
      </c>
      <c r="AT23" s="106">
        <f t="shared" si="6"/>
        <v>0</v>
      </c>
      <c r="AU23" s="106">
        <f t="shared" si="6"/>
        <v>0</v>
      </c>
      <c r="AV23" s="106">
        <f t="shared" si="6"/>
        <v>0</v>
      </c>
      <c r="AW23" s="106">
        <f t="shared" si="6"/>
        <v>0</v>
      </c>
      <c r="AX23" s="106">
        <f t="shared" si="6"/>
        <v>0</v>
      </c>
      <c r="AY23" s="106">
        <f t="shared" si="6"/>
        <v>0</v>
      </c>
      <c r="AZ23" s="145">
        <f t="shared" si="5"/>
        <v>0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69</v>
      </c>
      <c r="D27" s="130">
        <f>C$27-C$28+C$29</f>
        <v>69</v>
      </c>
      <c r="E27" s="130">
        <f t="shared" ref="E27:AY27" si="8">D27-D28+D29</f>
        <v>69</v>
      </c>
      <c r="F27" s="130">
        <f t="shared" si="8"/>
        <v>69</v>
      </c>
      <c r="G27" s="130">
        <f t="shared" si="8"/>
        <v>69</v>
      </c>
      <c r="H27" s="130">
        <f t="shared" si="8"/>
        <v>69</v>
      </c>
      <c r="I27" s="130">
        <f t="shared" si="8"/>
        <v>69</v>
      </c>
      <c r="J27" s="130">
        <f t="shared" si="8"/>
        <v>69</v>
      </c>
      <c r="K27" s="130">
        <f t="shared" si="8"/>
        <v>69</v>
      </c>
      <c r="L27" s="130">
        <f t="shared" si="8"/>
        <v>69</v>
      </c>
      <c r="M27" s="130">
        <f t="shared" si="8"/>
        <v>69</v>
      </c>
      <c r="N27" s="130">
        <f t="shared" si="8"/>
        <v>69</v>
      </c>
      <c r="O27" s="130">
        <f t="shared" si="8"/>
        <v>69</v>
      </c>
      <c r="P27" s="130">
        <f t="shared" si="8"/>
        <v>69</v>
      </c>
      <c r="Q27" s="130">
        <f t="shared" si="8"/>
        <v>69</v>
      </c>
      <c r="R27" s="130">
        <f t="shared" si="8"/>
        <v>69</v>
      </c>
      <c r="S27" s="130">
        <f t="shared" si="8"/>
        <v>69</v>
      </c>
      <c r="T27" s="130">
        <f t="shared" si="8"/>
        <v>69</v>
      </c>
      <c r="U27" s="130">
        <f t="shared" si="8"/>
        <v>69</v>
      </c>
      <c r="V27" s="130">
        <f t="shared" si="8"/>
        <v>69</v>
      </c>
      <c r="W27" s="130">
        <f t="shared" si="8"/>
        <v>69</v>
      </c>
      <c r="X27" s="130">
        <f t="shared" si="8"/>
        <v>69</v>
      </c>
      <c r="Y27" s="130">
        <f t="shared" si="8"/>
        <v>69</v>
      </c>
      <c r="Z27" s="130">
        <f t="shared" si="8"/>
        <v>69</v>
      </c>
      <c r="AA27" s="130">
        <f t="shared" si="8"/>
        <v>69</v>
      </c>
      <c r="AB27" s="130">
        <f t="shared" si="8"/>
        <v>69</v>
      </c>
      <c r="AC27" s="130">
        <f t="shared" si="8"/>
        <v>69</v>
      </c>
      <c r="AD27" s="130">
        <f t="shared" si="8"/>
        <v>69</v>
      </c>
      <c r="AE27" s="130">
        <f t="shared" si="8"/>
        <v>69</v>
      </c>
      <c r="AF27" s="130">
        <f t="shared" si="8"/>
        <v>69</v>
      </c>
      <c r="AG27" s="130">
        <f t="shared" si="8"/>
        <v>69</v>
      </c>
      <c r="AH27" s="130">
        <f t="shared" si="8"/>
        <v>69</v>
      </c>
      <c r="AI27" s="130">
        <f t="shared" si="8"/>
        <v>69</v>
      </c>
      <c r="AJ27" s="130">
        <f t="shared" si="8"/>
        <v>69</v>
      </c>
      <c r="AK27" s="130">
        <f t="shared" si="8"/>
        <v>69</v>
      </c>
      <c r="AL27" s="130">
        <f t="shared" si="8"/>
        <v>69</v>
      </c>
      <c r="AM27" s="130">
        <f t="shared" si="8"/>
        <v>69</v>
      </c>
      <c r="AN27" s="130">
        <f t="shared" si="8"/>
        <v>69</v>
      </c>
      <c r="AO27" s="130">
        <f t="shared" si="8"/>
        <v>69</v>
      </c>
      <c r="AP27" s="130">
        <f t="shared" si="8"/>
        <v>69</v>
      </c>
      <c r="AQ27" s="130">
        <f t="shared" si="8"/>
        <v>69</v>
      </c>
      <c r="AR27" s="130">
        <f t="shared" si="8"/>
        <v>69</v>
      </c>
      <c r="AS27" s="130">
        <f t="shared" si="8"/>
        <v>69</v>
      </c>
      <c r="AT27" s="130">
        <f t="shared" si="8"/>
        <v>69</v>
      </c>
      <c r="AU27" s="130">
        <f t="shared" si="8"/>
        <v>69</v>
      </c>
      <c r="AV27" s="130">
        <f t="shared" si="8"/>
        <v>69</v>
      </c>
      <c r="AW27" s="130">
        <f t="shared" si="8"/>
        <v>69</v>
      </c>
      <c r="AX27" s="130">
        <f t="shared" si="8"/>
        <v>69</v>
      </c>
      <c r="AY27" s="170">
        <f t="shared" si="8"/>
        <v>69</v>
      </c>
      <c r="AZ27" s="112"/>
    </row>
    <row r="28" spans="1:52" x14ac:dyDescent="0.2">
      <c r="B28" s="171" t="s">
        <v>310</v>
      </c>
      <c r="C28" s="116">
        <v>0</v>
      </c>
      <c r="D28" s="116">
        <v>0</v>
      </c>
      <c r="E28" s="116">
        <v>0</v>
      </c>
      <c r="F28" s="116">
        <v>0</v>
      </c>
      <c r="G28" s="116">
        <v>0</v>
      </c>
      <c r="H28" s="116">
        <v>0</v>
      </c>
      <c r="I28" s="116">
        <v>0</v>
      </c>
      <c r="J28" s="116">
        <v>0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72">
        <v>0</v>
      </c>
      <c r="AZ28" s="112"/>
    </row>
    <row r="29" spans="1:52" x14ac:dyDescent="0.2">
      <c r="B29" s="142" t="s">
        <v>311</v>
      </c>
      <c r="C29" s="131">
        <v>0</v>
      </c>
      <c r="D29" s="131">
        <f>C$28</f>
        <v>0</v>
      </c>
      <c r="E29" s="131">
        <f t="shared" ref="E29:AY29" si="9">D$28</f>
        <v>0</v>
      </c>
      <c r="F29" s="131">
        <f t="shared" si="9"/>
        <v>0</v>
      </c>
      <c r="G29" s="131">
        <f t="shared" si="9"/>
        <v>0</v>
      </c>
      <c r="H29" s="131">
        <f t="shared" si="9"/>
        <v>0</v>
      </c>
      <c r="I29" s="131">
        <f t="shared" si="9"/>
        <v>0</v>
      </c>
      <c r="J29" s="131">
        <f t="shared" si="9"/>
        <v>0</v>
      </c>
      <c r="K29" s="131">
        <f t="shared" si="9"/>
        <v>0</v>
      </c>
      <c r="L29" s="131">
        <f t="shared" si="9"/>
        <v>0</v>
      </c>
      <c r="M29" s="131">
        <f t="shared" si="9"/>
        <v>0</v>
      </c>
      <c r="N29" s="131">
        <f t="shared" si="9"/>
        <v>0</v>
      </c>
      <c r="O29" s="131">
        <f t="shared" si="9"/>
        <v>0</v>
      </c>
      <c r="P29" s="131">
        <f t="shared" si="9"/>
        <v>0</v>
      </c>
      <c r="Q29" s="131">
        <f t="shared" si="9"/>
        <v>0</v>
      </c>
      <c r="R29" s="131">
        <f t="shared" si="9"/>
        <v>0</v>
      </c>
      <c r="S29" s="131">
        <f t="shared" si="9"/>
        <v>0</v>
      </c>
      <c r="T29" s="131">
        <f t="shared" si="9"/>
        <v>0</v>
      </c>
      <c r="U29" s="131">
        <f t="shared" si="9"/>
        <v>0</v>
      </c>
      <c r="V29" s="131">
        <f t="shared" si="9"/>
        <v>0</v>
      </c>
      <c r="W29" s="131">
        <f t="shared" si="9"/>
        <v>0</v>
      </c>
      <c r="X29" s="131">
        <f t="shared" si="9"/>
        <v>0</v>
      </c>
      <c r="Y29" s="131">
        <f t="shared" si="9"/>
        <v>0</v>
      </c>
      <c r="Z29" s="131">
        <f t="shared" si="9"/>
        <v>0</v>
      </c>
      <c r="AA29" s="131">
        <f t="shared" si="9"/>
        <v>0</v>
      </c>
      <c r="AB29" s="131">
        <f t="shared" si="9"/>
        <v>0</v>
      </c>
      <c r="AC29" s="131">
        <f t="shared" si="9"/>
        <v>0</v>
      </c>
      <c r="AD29" s="131">
        <f t="shared" si="9"/>
        <v>0</v>
      </c>
      <c r="AE29" s="131">
        <f t="shared" si="9"/>
        <v>0</v>
      </c>
      <c r="AF29" s="131">
        <f t="shared" si="9"/>
        <v>0</v>
      </c>
      <c r="AG29" s="131">
        <f t="shared" si="9"/>
        <v>0</v>
      </c>
      <c r="AH29" s="131">
        <f t="shared" si="9"/>
        <v>0</v>
      </c>
      <c r="AI29" s="131">
        <f t="shared" si="9"/>
        <v>0</v>
      </c>
      <c r="AJ29" s="131">
        <f t="shared" si="9"/>
        <v>0</v>
      </c>
      <c r="AK29" s="131">
        <f t="shared" si="9"/>
        <v>0</v>
      </c>
      <c r="AL29" s="131">
        <f t="shared" si="9"/>
        <v>0</v>
      </c>
      <c r="AM29" s="131">
        <f t="shared" si="9"/>
        <v>0</v>
      </c>
      <c r="AN29" s="131">
        <f t="shared" si="9"/>
        <v>0</v>
      </c>
      <c r="AO29" s="131">
        <f t="shared" si="9"/>
        <v>0</v>
      </c>
      <c r="AP29" s="131">
        <f t="shared" si="9"/>
        <v>0</v>
      </c>
      <c r="AQ29" s="131">
        <f t="shared" si="9"/>
        <v>0</v>
      </c>
      <c r="AR29" s="131">
        <f t="shared" si="9"/>
        <v>0</v>
      </c>
      <c r="AS29" s="131">
        <f t="shared" si="9"/>
        <v>0</v>
      </c>
      <c r="AT29" s="131">
        <f t="shared" si="9"/>
        <v>0</v>
      </c>
      <c r="AU29" s="131">
        <f t="shared" si="9"/>
        <v>0</v>
      </c>
      <c r="AV29" s="131">
        <f t="shared" si="9"/>
        <v>0</v>
      </c>
      <c r="AW29" s="131">
        <f t="shared" si="9"/>
        <v>0</v>
      </c>
      <c r="AX29" s="131">
        <f t="shared" si="9"/>
        <v>0</v>
      </c>
      <c r="AY29" s="173">
        <f t="shared" si="9"/>
        <v>0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690</v>
      </c>
      <c r="E30" s="123">
        <f t="shared" ref="E30:AY30" si="10">E$27*$B$30</f>
        <v>690</v>
      </c>
      <c r="F30" s="123">
        <f t="shared" si="10"/>
        <v>690</v>
      </c>
      <c r="G30" s="123">
        <f t="shared" si="10"/>
        <v>690</v>
      </c>
      <c r="H30" s="123">
        <f t="shared" si="10"/>
        <v>690</v>
      </c>
      <c r="I30" s="123">
        <f t="shared" si="10"/>
        <v>690</v>
      </c>
      <c r="J30" s="123">
        <f t="shared" si="10"/>
        <v>690</v>
      </c>
      <c r="K30" s="123">
        <f t="shared" si="10"/>
        <v>690</v>
      </c>
      <c r="L30" s="123">
        <f t="shared" si="10"/>
        <v>690</v>
      </c>
      <c r="M30" s="123">
        <f t="shared" si="10"/>
        <v>690</v>
      </c>
      <c r="N30" s="123">
        <f t="shared" si="10"/>
        <v>690</v>
      </c>
      <c r="O30" s="123">
        <f t="shared" si="10"/>
        <v>690</v>
      </c>
      <c r="P30" s="123">
        <f t="shared" si="10"/>
        <v>690</v>
      </c>
      <c r="Q30" s="123">
        <f t="shared" si="10"/>
        <v>690</v>
      </c>
      <c r="R30" s="123">
        <f>R$27*$B$30</f>
        <v>690</v>
      </c>
      <c r="S30" s="123">
        <f t="shared" si="10"/>
        <v>690</v>
      </c>
      <c r="T30" s="123">
        <f t="shared" si="10"/>
        <v>690</v>
      </c>
      <c r="U30" s="123">
        <f t="shared" si="10"/>
        <v>690</v>
      </c>
      <c r="V30" s="123">
        <f t="shared" si="10"/>
        <v>690</v>
      </c>
      <c r="W30" s="123">
        <f t="shared" si="10"/>
        <v>690</v>
      </c>
      <c r="X30" s="123">
        <f t="shared" si="10"/>
        <v>690</v>
      </c>
      <c r="Y30" s="123">
        <f t="shared" si="10"/>
        <v>690</v>
      </c>
      <c r="Z30" s="123">
        <f t="shared" si="10"/>
        <v>690</v>
      </c>
      <c r="AA30" s="123">
        <f t="shared" si="10"/>
        <v>690</v>
      </c>
      <c r="AB30" s="123">
        <f t="shared" si="10"/>
        <v>690</v>
      </c>
      <c r="AC30" s="123">
        <f t="shared" si="10"/>
        <v>690</v>
      </c>
      <c r="AD30" s="123">
        <f t="shared" si="10"/>
        <v>690</v>
      </c>
      <c r="AE30" s="123">
        <f>AE$27*$B$30</f>
        <v>690</v>
      </c>
      <c r="AF30" s="123">
        <f t="shared" si="10"/>
        <v>690</v>
      </c>
      <c r="AG30" s="123">
        <f t="shared" si="10"/>
        <v>690</v>
      </c>
      <c r="AH30" s="123">
        <f t="shared" si="10"/>
        <v>690</v>
      </c>
      <c r="AI30" s="123">
        <f t="shared" si="10"/>
        <v>690</v>
      </c>
      <c r="AJ30" s="123">
        <f t="shared" si="10"/>
        <v>690</v>
      </c>
      <c r="AK30" s="123">
        <f t="shared" si="10"/>
        <v>690</v>
      </c>
      <c r="AL30" s="123">
        <f t="shared" si="10"/>
        <v>690</v>
      </c>
      <c r="AM30" s="123">
        <f t="shared" si="10"/>
        <v>690</v>
      </c>
      <c r="AN30" s="123">
        <f t="shared" si="10"/>
        <v>690</v>
      </c>
      <c r="AO30" s="123">
        <f t="shared" si="10"/>
        <v>690</v>
      </c>
      <c r="AP30" s="123">
        <f t="shared" si="10"/>
        <v>690</v>
      </c>
      <c r="AQ30" s="123">
        <f t="shared" si="10"/>
        <v>690</v>
      </c>
      <c r="AR30" s="123">
        <f t="shared" si="10"/>
        <v>690</v>
      </c>
      <c r="AS30" s="123">
        <f t="shared" si="10"/>
        <v>690</v>
      </c>
      <c r="AT30" s="123">
        <f t="shared" si="10"/>
        <v>690</v>
      </c>
      <c r="AU30" s="123">
        <f t="shared" si="10"/>
        <v>690</v>
      </c>
      <c r="AV30" s="123">
        <f t="shared" si="10"/>
        <v>690</v>
      </c>
      <c r="AW30" s="123">
        <f t="shared" si="10"/>
        <v>690</v>
      </c>
      <c r="AX30" s="123">
        <f t="shared" si="10"/>
        <v>690</v>
      </c>
      <c r="AY30" s="123">
        <f t="shared" si="10"/>
        <v>690</v>
      </c>
      <c r="AZ30" s="147">
        <f t="shared" si="5"/>
        <v>33120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D$21*shipping_manufacturing!$H$27/100</f>
        <v>0</v>
      </c>
      <c r="E33" s="130">
        <f>E$21*shipping_manufacturing!$H$27/100</f>
        <v>0</v>
      </c>
      <c r="F33" s="130">
        <f>F$21*shipping_manufacturing!$H$27/100</f>
        <v>0</v>
      </c>
      <c r="G33" s="130">
        <f>G$21*shipping_manufacturing!$H$27/100</f>
        <v>0</v>
      </c>
      <c r="H33" s="130">
        <f>H$21*shipping_manufacturing!$H$27/100</f>
        <v>0</v>
      </c>
      <c r="I33" s="130">
        <f>I$21*shipping_manufacturing!$H$27/100</f>
        <v>0</v>
      </c>
      <c r="J33" s="130">
        <f>J$21*shipping_manufacturing!$H$27/100</f>
        <v>0</v>
      </c>
      <c r="K33" s="130">
        <f>K$21*shipping_manufacturing!$H$27/100</f>
        <v>0</v>
      </c>
      <c r="L33" s="130">
        <f>L$21*shipping_manufacturing!$H$27/100</f>
        <v>0</v>
      </c>
      <c r="M33" s="130">
        <f>M$21*shipping_manufacturing!$H$27/100</f>
        <v>0</v>
      </c>
      <c r="N33" s="130">
        <f>N$21*shipping_manufacturing!$H$27/100</f>
        <v>0</v>
      </c>
      <c r="O33" s="130">
        <f>O$21*shipping_manufacturing!$H$27/100</f>
        <v>0</v>
      </c>
      <c r="P33" s="130">
        <f>P$21*shipping_manufacturing!$H$27/100</f>
        <v>0</v>
      </c>
      <c r="Q33" s="130">
        <f>Q$21*shipping_manufacturing!$H$27/100</f>
        <v>0</v>
      </c>
      <c r="R33" s="130">
        <f>R$21*shipping_manufacturing!$H$27/100</f>
        <v>0</v>
      </c>
      <c r="S33" s="130">
        <f>S$21*shipping_manufacturing!$H$27/100</f>
        <v>0</v>
      </c>
      <c r="T33" s="130">
        <f>T$21*shipping_manufacturing!$H$27/100</f>
        <v>0</v>
      </c>
      <c r="U33" s="130">
        <f>U$21*shipping_manufacturing!$H$27/100</f>
        <v>0</v>
      </c>
      <c r="V33" s="130">
        <f>V$21*shipping_manufacturing!$H$27/100</f>
        <v>0</v>
      </c>
      <c r="W33" s="130">
        <f>W$21*shipping_manufacturing!$H$27/100</f>
        <v>0</v>
      </c>
      <c r="X33" s="130">
        <f>X$21*shipping_manufacturing!$H$27/100</f>
        <v>0</v>
      </c>
      <c r="Y33" s="130">
        <f>Y$21*shipping_manufacturing!$H$27/100</f>
        <v>0</v>
      </c>
      <c r="Z33" s="130">
        <f>Z$21*shipping_manufacturing!$H$27/100</f>
        <v>0</v>
      </c>
      <c r="AA33" s="130">
        <f>AA$21*shipping_manufacturing!$H$27/100</f>
        <v>0</v>
      </c>
      <c r="AB33" s="130">
        <f>AB$21*shipping_manufacturing!$H$27/100</f>
        <v>0</v>
      </c>
      <c r="AC33" s="130">
        <f>AC$21*shipping_manufacturing!$H$27/100</f>
        <v>0</v>
      </c>
      <c r="AD33" s="130">
        <f>AD$21*shipping_manufacturing!$H$27/100</f>
        <v>0</v>
      </c>
      <c r="AE33" s="130">
        <f>AE$21*shipping_manufacturing!$H$27/100</f>
        <v>0</v>
      </c>
      <c r="AF33" s="130">
        <f>AF$21*shipping_manufacturing!$H$27/100</f>
        <v>0</v>
      </c>
      <c r="AG33" s="130">
        <f>AG$21*shipping_manufacturing!$H$27/100</f>
        <v>0</v>
      </c>
      <c r="AH33" s="130">
        <f>AH$21*shipping_manufacturing!$H$27/100</f>
        <v>0</v>
      </c>
      <c r="AI33" s="130">
        <f>AI$21*shipping_manufacturing!$H$27/100</f>
        <v>0</v>
      </c>
      <c r="AJ33" s="130">
        <f>AJ$21*shipping_manufacturing!$H$27/100</f>
        <v>0</v>
      </c>
      <c r="AK33" s="130">
        <f>AK$21*shipping_manufacturing!$H$27/100</f>
        <v>0</v>
      </c>
      <c r="AL33" s="130">
        <f>AL$21*shipping_manufacturing!$H$27/100</f>
        <v>0</v>
      </c>
      <c r="AM33" s="130">
        <f>AM$21*shipping_manufacturing!$H$27/100</f>
        <v>0</v>
      </c>
      <c r="AN33" s="130">
        <f>AN$21*shipping_manufacturing!$H$27/100</f>
        <v>0</v>
      </c>
      <c r="AO33" s="130">
        <f>AO$21*shipping_manufacturing!$H$27/100</f>
        <v>0</v>
      </c>
      <c r="AP33" s="130">
        <f>AP$21*shipping_manufacturing!$H$27/100</f>
        <v>0</v>
      </c>
      <c r="AQ33" s="130">
        <f>AQ$21*shipping_manufacturing!$H$27/100</f>
        <v>0</v>
      </c>
      <c r="AR33" s="130">
        <f>AR$21*shipping_manufacturing!$H$27/100</f>
        <v>0</v>
      </c>
      <c r="AS33" s="130">
        <f>AS$21*shipping_manufacturing!$H$27/100</f>
        <v>0</v>
      </c>
      <c r="AT33" s="130">
        <f>AT$21*shipping_manufacturing!$H$27/100</f>
        <v>0</v>
      </c>
      <c r="AU33" s="130">
        <f>AU$21*shipping_manufacturing!$H$27/100</f>
        <v>0</v>
      </c>
      <c r="AV33" s="130">
        <f>AV$21*shipping_manufacturing!$H$27/100</f>
        <v>0</v>
      </c>
      <c r="AW33" s="130">
        <f>AW$21*shipping_manufacturing!$H$27/100</f>
        <v>0</v>
      </c>
      <c r="AX33" s="130">
        <f>AX$21*shipping_manufacturing!$H$27/100</f>
        <v>0</v>
      </c>
      <c r="AY33" s="130">
        <f>AY$21*shipping_manufacturing!$H$27/100</f>
        <v>0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D$22*shipping_manufacturing!$I$27/100</f>
        <v>0</v>
      </c>
      <c r="E34" s="116">
        <f>E$22*shipping_manufacturing!$I$27/100</f>
        <v>0</v>
      </c>
      <c r="F34" s="116">
        <f>F$22*shipping_manufacturing!$I$27/100</f>
        <v>0</v>
      </c>
      <c r="G34" s="116">
        <f>G$22*shipping_manufacturing!$I$27/100</f>
        <v>0</v>
      </c>
      <c r="H34" s="116">
        <f>H$22*shipping_manufacturing!$I$27/100</f>
        <v>0</v>
      </c>
      <c r="I34" s="116">
        <f>I$22*shipping_manufacturing!$I$27/100</f>
        <v>0</v>
      </c>
      <c r="J34" s="116">
        <f>J$22*shipping_manufacturing!$I$27/100</f>
        <v>0</v>
      </c>
      <c r="K34" s="116">
        <f>K$22*shipping_manufacturing!$I$27/100</f>
        <v>0</v>
      </c>
      <c r="L34" s="116">
        <f>L$22*shipping_manufacturing!$I$27/100</f>
        <v>0</v>
      </c>
      <c r="M34" s="116">
        <f>M$22*shipping_manufacturing!$I$27/100</f>
        <v>0</v>
      </c>
      <c r="N34" s="116">
        <f>N$22*shipping_manufacturing!$I$27/100</f>
        <v>0</v>
      </c>
      <c r="O34" s="116">
        <f>O$22*shipping_manufacturing!$I$27/100</f>
        <v>0</v>
      </c>
      <c r="P34" s="116">
        <f>P$22*shipping_manufacturing!$I$27/100</f>
        <v>0</v>
      </c>
      <c r="Q34" s="116">
        <f>Q$22*shipping_manufacturing!$I$27/100</f>
        <v>0</v>
      </c>
      <c r="R34" s="116">
        <f>R$22*shipping_manufacturing!$I$27/100</f>
        <v>0</v>
      </c>
      <c r="S34" s="116">
        <f>S$22*shipping_manufacturing!$I$27/100</f>
        <v>0</v>
      </c>
      <c r="T34" s="116">
        <f>T$22*shipping_manufacturing!$I$27/100</f>
        <v>0</v>
      </c>
      <c r="U34" s="116">
        <f>U$22*shipping_manufacturing!$I$27/100</f>
        <v>0</v>
      </c>
      <c r="V34" s="116">
        <f>V$22*shipping_manufacturing!$I$27/100</f>
        <v>0</v>
      </c>
      <c r="W34" s="116">
        <f>W$22*shipping_manufacturing!$I$27/100</f>
        <v>0</v>
      </c>
      <c r="X34" s="116">
        <f>X$22*shipping_manufacturing!$I$27/100</f>
        <v>0</v>
      </c>
      <c r="Y34" s="116">
        <f>Y$22*shipping_manufacturing!$I$27/100</f>
        <v>0</v>
      </c>
      <c r="Z34" s="116">
        <f>Z$22*shipping_manufacturing!$I$27/100</f>
        <v>0</v>
      </c>
      <c r="AA34" s="116">
        <f>AA$22*shipping_manufacturing!$I$27/100</f>
        <v>0</v>
      </c>
      <c r="AB34" s="116">
        <f>AB$22*shipping_manufacturing!$I$27/100</f>
        <v>0</v>
      </c>
      <c r="AC34" s="116">
        <f>AC$22*shipping_manufacturing!$I$27/100</f>
        <v>0</v>
      </c>
      <c r="AD34" s="116">
        <f>AD$22*shipping_manufacturing!$I$27/100</f>
        <v>0</v>
      </c>
      <c r="AE34" s="116">
        <f>AE$22*shipping_manufacturing!$I$27/100</f>
        <v>0</v>
      </c>
      <c r="AF34" s="116">
        <f>AF$22*shipping_manufacturing!$I$27/100</f>
        <v>0</v>
      </c>
      <c r="AG34" s="116">
        <f>AG$22*shipping_manufacturing!$I$27/100</f>
        <v>0</v>
      </c>
      <c r="AH34" s="116">
        <f>AH$22*shipping_manufacturing!$I$27/100</f>
        <v>0</v>
      </c>
      <c r="AI34" s="116">
        <f>AI$22*shipping_manufacturing!$I$27/100</f>
        <v>0</v>
      </c>
      <c r="AJ34" s="116">
        <f>AJ$22*shipping_manufacturing!$I$27/100</f>
        <v>0</v>
      </c>
      <c r="AK34" s="116">
        <f>AK$22*shipping_manufacturing!$I$27/100</f>
        <v>0</v>
      </c>
      <c r="AL34" s="116">
        <f>AL$22*shipping_manufacturing!$I$27/100</f>
        <v>0</v>
      </c>
      <c r="AM34" s="116">
        <f>AM$22*shipping_manufacturing!$I$27/100</f>
        <v>0</v>
      </c>
      <c r="AN34" s="116">
        <f>AN$22*shipping_manufacturing!$I$27/100</f>
        <v>0</v>
      </c>
      <c r="AO34" s="116">
        <f>AO$22*shipping_manufacturing!$I$27/100</f>
        <v>0</v>
      </c>
      <c r="AP34" s="116">
        <f>AP$22*shipping_manufacturing!$I$27/100</f>
        <v>0</v>
      </c>
      <c r="AQ34" s="116">
        <f>AQ$22*shipping_manufacturing!$I$27/100</f>
        <v>0</v>
      </c>
      <c r="AR34" s="116">
        <f>AR$22*shipping_manufacturing!$I$27/100</f>
        <v>0</v>
      </c>
      <c r="AS34" s="116">
        <f>AS$22*shipping_manufacturing!$I$27/100</f>
        <v>0</v>
      </c>
      <c r="AT34" s="116">
        <f>AT$22*shipping_manufacturing!$I$27/100</f>
        <v>0</v>
      </c>
      <c r="AU34" s="116">
        <f>AU$22*shipping_manufacturing!$I$27/100</f>
        <v>0</v>
      </c>
      <c r="AV34" s="116">
        <f>AV$22*shipping_manufacturing!$I$27/100</f>
        <v>0</v>
      </c>
      <c r="AW34" s="116">
        <f>AW$22*shipping_manufacturing!$I$27/100</f>
        <v>0</v>
      </c>
      <c r="AX34" s="116">
        <f>AX$22*shipping_manufacturing!$I$27/100</f>
        <v>0</v>
      </c>
      <c r="AY34" s="116">
        <f>AY$22*shipping_manufacturing!$I$27/100</f>
        <v>0</v>
      </c>
    </row>
    <row r="35" spans="1:52" x14ac:dyDescent="0.2">
      <c r="A35" s="116">
        <v>1245</v>
      </c>
      <c r="B35" s="171" t="s">
        <v>343</v>
      </c>
      <c r="C35" s="116"/>
      <c r="D35" s="116">
        <f>SUM(D33:D34)</f>
        <v>0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344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345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346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1</v>
      </c>
      <c r="E41" s="116">
        <v>2</v>
      </c>
      <c r="F41" s="116">
        <v>1</v>
      </c>
      <c r="G41" s="116">
        <v>1</v>
      </c>
      <c r="H41" s="116">
        <v>1</v>
      </c>
      <c r="I41" s="116">
        <v>1</v>
      </c>
      <c r="J41" s="116">
        <v>1</v>
      </c>
      <c r="K41" s="116">
        <v>2</v>
      </c>
      <c r="L41" s="116">
        <v>1</v>
      </c>
      <c r="M41" s="116">
        <v>1</v>
      </c>
      <c r="N41" s="116">
        <v>1</v>
      </c>
      <c r="O41" s="116">
        <v>1</v>
      </c>
      <c r="P41" s="116">
        <v>1</v>
      </c>
      <c r="Q41" s="116">
        <v>1</v>
      </c>
      <c r="R41" s="116">
        <v>2</v>
      </c>
      <c r="S41" s="116">
        <v>2</v>
      </c>
      <c r="T41" s="116">
        <v>1</v>
      </c>
      <c r="U41" s="116">
        <v>1</v>
      </c>
      <c r="V41" s="116">
        <v>2</v>
      </c>
      <c r="W41" s="116">
        <v>1</v>
      </c>
      <c r="X41" s="116">
        <v>1</v>
      </c>
      <c r="Y41" s="116">
        <v>1</v>
      </c>
      <c r="Z41" s="116">
        <v>1</v>
      </c>
      <c r="AA41" s="116">
        <v>2</v>
      </c>
      <c r="AB41" s="116">
        <v>1</v>
      </c>
      <c r="AC41" s="116">
        <v>1</v>
      </c>
      <c r="AD41" s="116">
        <v>1</v>
      </c>
      <c r="AE41" s="116">
        <v>1</v>
      </c>
      <c r="AF41" s="116">
        <v>2</v>
      </c>
      <c r="AG41" s="116">
        <v>1</v>
      </c>
      <c r="AH41" s="116">
        <v>1</v>
      </c>
      <c r="AI41" s="116">
        <v>1</v>
      </c>
      <c r="AJ41" s="116">
        <v>3</v>
      </c>
      <c r="AK41" s="116">
        <v>1</v>
      </c>
      <c r="AL41" s="116">
        <v>1</v>
      </c>
      <c r="AM41" s="116">
        <v>1</v>
      </c>
      <c r="AN41" s="116">
        <v>1</v>
      </c>
      <c r="AO41" s="116">
        <v>1</v>
      </c>
      <c r="AP41" s="116">
        <v>1</v>
      </c>
      <c r="AQ41" s="116">
        <v>1</v>
      </c>
      <c r="AR41" s="116">
        <v>1</v>
      </c>
      <c r="AS41" s="116">
        <v>1</v>
      </c>
      <c r="AT41" s="116">
        <v>1</v>
      </c>
      <c r="AU41" s="116">
        <v>2</v>
      </c>
      <c r="AV41" s="116">
        <v>3</v>
      </c>
      <c r="AW41" s="116">
        <v>1</v>
      </c>
      <c r="AX41" s="116">
        <v>2</v>
      </c>
      <c r="AY41" s="116">
        <v>2</v>
      </c>
    </row>
    <row r="42" spans="1:52" x14ac:dyDescent="0.2">
      <c r="A42" s="116"/>
      <c r="B42" s="184" t="s">
        <v>350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351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D$21*shipping_manufacturing!$H$28/100</f>
        <v>0</v>
      </c>
      <c r="E44" s="130">
        <f>E$21*shipping_manufacturing!$H$28/100</f>
        <v>0</v>
      </c>
      <c r="F44" s="130">
        <f>F$21*shipping_manufacturing!$H$28/100</f>
        <v>0</v>
      </c>
      <c r="G44" s="130">
        <f>G$21*shipping_manufacturing!$H$28/100</f>
        <v>0</v>
      </c>
      <c r="H44" s="130">
        <f>H$21*shipping_manufacturing!$H$28/100</f>
        <v>0</v>
      </c>
      <c r="I44" s="130">
        <f>I$21*shipping_manufacturing!$H$28/100</f>
        <v>0</v>
      </c>
      <c r="J44" s="130">
        <f>J$21*shipping_manufacturing!$H$28/100</f>
        <v>0</v>
      </c>
      <c r="K44" s="130">
        <f>K$21*shipping_manufacturing!$H$28/100</f>
        <v>0</v>
      </c>
      <c r="L44" s="130">
        <f>L$21*shipping_manufacturing!$H$28/100</f>
        <v>0</v>
      </c>
      <c r="M44" s="130">
        <f>M$21*shipping_manufacturing!$H$28/100</f>
        <v>0</v>
      </c>
      <c r="N44" s="130">
        <f>N$21*shipping_manufacturing!$H$28/100</f>
        <v>0</v>
      </c>
      <c r="O44" s="130">
        <f>O$21*shipping_manufacturing!$H$28/100</f>
        <v>0</v>
      </c>
      <c r="P44" s="130">
        <f>P$21*shipping_manufacturing!$H$28/100</f>
        <v>0</v>
      </c>
      <c r="Q44" s="130">
        <f>Q$21*shipping_manufacturing!$H$28/100</f>
        <v>0</v>
      </c>
      <c r="R44" s="130">
        <f>R$21*shipping_manufacturing!$H$28/100</f>
        <v>0</v>
      </c>
      <c r="S44" s="130">
        <f>S$21*shipping_manufacturing!$H$28/100</f>
        <v>0</v>
      </c>
      <c r="T44" s="130">
        <f>T$21*shipping_manufacturing!$H$28/100</f>
        <v>0</v>
      </c>
      <c r="U44" s="130">
        <f>U$21*shipping_manufacturing!$H$28/100</f>
        <v>0</v>
      </c>
      <c r="V44" s="130">
        <f>V$21*shipping_manufacturing!$H$28/100</f>
        <v>0</v>
      </c>
      <c r="W44" s="130">
        <f>W$21*shipping_manufacturing!$H$28/100</f>
        <v>0</v>
      </c>
      <c r="X44" s="130">
        <f>X$21*shipping_manufacturing!$H$28/100</f>
        <v>0</v>
      </c>
      <c r="Y44" s="130">
        <f>Y$21*shipping_manufacturing!$H$28/100</f>
        <v>0</v>
      </c>
      <c r="Z44" s="130">
        <f>Z$21*shipping_manufacturing!$H$28/100</f>
        <v>0</v>
      </c>
      <c r="AA44" s="130">
        <f>AA$21*shipping_manufacturing!$H$28/100</f>
        <v>0</v>
      </c>
      <c r="AB44" s="130">
        <f>AB$21*shipping_manufacturing!$H$28/100</f>
        <v>0</v>
      </c>
      <c r="AC44" s="130">
        <f>AC$21*shipping_manufacturing!$H$28/100</f>
        <v>0</v>
      </c>
      <c r="AD44" s="130">
        <f>AD$21*shipping_manufacturing!$H$28/100</f>
        <v>0</v>
      </c>
      <c r="AE44" s="130">
        <f>AE$21*shipping_manufacturing!$H$28/100</f>
        <v>0</v>
      </c>
      <c r="AF44" s="130">
        <f>AF$21*shipping_manufacturing!$H$28/100</f>
        <v>0</v>
      </c>
      <c r="AG44" s="130">
        <f>AG$21*shipping_manufacturing!$H$28/100</f>
        <v>0</v>
      </c>
      <c r="AH44" s="130">
        <f>AH$21*shipping_manufacturing!$H$28/100</f>
        <v>0</v>
      </c>
      <c r="AI44" s="130">
        <f>AI$21*shipping_manufacturing!$H$28/100</f>
        <v>0</v>
      </c>
      <c r="AJ44" s="130">
        <f>AJ$21*shipping_manufacturing!$H$28/100</f>
        <v>0</v>
      </c>
      <c r="AK44" s="130">
        <f>AK$21*shipping_manufacturing!$H$28/100</f>
        <v>0</v>
      </c>
      <c r="AL44" s="130">
        <f>AL$21*shipping_manufacturing!$H$28/100</f>
        <v>0</v>
      </c>
      <c r="AM44" s="130">
        <f>AM$21*shipping_manufacturing!$H$28/100</f>
        <v>0</v>
      </c>
      <c r="AN44" s="130">
        <f>AN$21*shipping_manufacturing!$H$28/100</f>
        <v>0</v>
      </c>
      <c r="AO44" s="130">
        <f>AO$21*shipping_manufacturing!$H$28/100</f>
        <v>0</v>
      </c>
      <c r="AP44" s="130">
        <f>AP$21*shipping_manufacturing!$H$28/100</f>
        <v>0</v>
      </c>
      <c r="AQ44" s="130">
        <f>AQ$21*shipping_manufacturing!$H$28/100</f>
        <v>0</v>
      </c>
      <c r="AR44" s="130">
        <f>AR$21*shipping_manufacturing!$H$28/100</f>
        <v>0</v>
      </c>
      <c r="AS44" s="130">
        <f>AS$21*shipping_manufacturing!$H$28/100</f>
        <v>0</v>
      </c>
      <c r="AT44" s="130">
        <f>AT$21*shipping_manufacturing!$H$28/100</f>
        <v>0</v>
      </c>
      <c r="AU44" s="130">
        <f>AU$21*shipping_manufacturing!$H$28/100</f>
        <v>0</v>
      </c>
      <c r="AV44" s="130">
        <f>AV$21*shipping_manufacturing!$H$28/100</f>
        <v>0</v>
      </c>
      <c r="AW44" s="130">
        <f>AW$21*shipping_manufacturing!$H$28/100</f>
        <v>0</v>
      </c>
      <c r="AX44" s="130">
        <f>AX$21*shipping_manufacturing!$H$28/100</f>
        <v>0</v>
      </c>
      <c r="AY44" s="130">
        <f>AY$21*shipping_manufacturing!$H$28/100</f>
        <v>0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D$22*shipping_manufacturing!$I$28/100</f>
        <v>0</v>
      </c>
      <c r="E45" s="116">
        <f>E$22*shipping_manufacturing!$I$28/100</f>
        <v>0</v>
      </c>
      <c r="F45" s="116">
        <f>F$22*shipping_manufacturing!$I$28/100</f>
        <v>0</v>
      </c>
      <c r="G45" s="116">
        <f>G$22*shipping_manufacturing!$I$28/100</f>
        <v>0</v>
      </c>
      <c r="H45" s="116">
        <f>H$22*shipping_manufacturing!$I$28/100</f>
        <v>0</v>
      </c>
      <c r="I45" s="116">
        <f>I$22*shipping_manufacturing!$I$28/100</f>
        <v>0</v>
      </c>
      <c r="J45" s="116">
        <f>J$22*shipping_manufacturing!$I$28/100</f>
        <v>0</v>
      </c>
      <c r="K45" s="116">
        <f>K$22*shipping_manufacturing!$I$28/100</f>
        <v>0</v>
      </c>
      <c r="L45" s="116">
        <f>L$22*shipping_manufacturing!$I$28/100</f>
        <v>0</v>
      </c>
      <c r="M45" s="116">
        <f>M$22*shipping_manufacturing!$I$28/100</f>
        <v>0</v>
      </c>
      <c r="N45" s="116">
        <f>N$22*shipping_manufacturing!$I$28/100</f>
        <v>0</v>
      </c>
      <c r="O45" s="116">
        <f>O$22*shipping_manufacturing!$I$28/100</f>
        <v>0</v>
      </c>
      <c r="P45" s="116">
        <f>P$22*shipping_manufacturing!$I$28/100</f>
        <v>0</v>
      </c>
      <c r="Q45" s="116">
        <f>Q$22*shipping_manufacturing!$I$28/100</f>
        <v>0</v>
      </c>
      <c r="R45" s="116">
        <f>R$22*shipping_manufacturing!$I$28/100</f>
        <v>0</v>
      </c>
      <c r="S45" s="116">
        <f>S$22*shipping_manufacturing!$I$28/100</f>
        <v>0</v>
      </c>
      <c r="T45" s="116">
        <f>T$22*shipping_manufacturing!$I$28/100</f>
        <v>0</v>
      </c>
      <c r="U45" s="116">
        <f>U$22*shipping_manufacturing!$I$28/100</f>
        <v>0</v>
      </c>
      <c r="V45" s="116">
        <f>V$22*shipping_manufacturing!$I$28/100</f>
        <v>0</v>
      </c>
      <c r="W45" s="116">
        <f>W$22*shipping_manufacturing!$I$28/100</f>
        <v>0</v>
      </c>
      <c r="X45" s="116">
        <f>X$22*shipping_manufacturing!$I$28/100</f>
        <v>0</v>
      </c>
      <c r="Y45" s="116">
        <f>Y$22*shipping_manufacturing!$I$28/100</f>
        <v>0</v>
      </c>
      <c r="Z45" s="116">
        <f>Z$22*shipping_manufacturing!$I$28/100</f>
        <v>0</v>
      </c>
      <c r="AA45" s="116">
        <f>AA$22*shipping_manufacturing!$I$28/100</f>
        <v>0</v>
      </c>
      <c r="AB45" s="116">
        <f>AB$22*shipping_manufacturing!$I$28/100</f>
        <v>0</v>
      </c>
      <c r="AC45" s="116">
        <f>AC$22*shipping_manufacturing!$I$28/100</f>
        <v>0</v>
      </c>
      <c r="AD45" s="116">
        <f>AD$22*shipping_manufacturing!$I$28/100</f>
        <v>0</v>
      </c>
      <c r="AE45" s="116">
        <f>AE$22*shipping_manufacturing!$I$28/100</f>
        <v>0</v>
      </c>
      <c r="AF45" s="116">
        <f>AF$22*shipping_manufacturing!$I$28/100</f>
        <v>0</v>
      </c>
      <c r="AG45" s="116">
        <f>AG$22*shipping_manufacturing!$I$28/100</f>
        <v>0</v>
      </c>
      <c r="AH45" s="116">
        <f>AH$22*shipping_manufacturing!$I$28/100</f>
        <v>0</v>
      </c>
      <c r="AI45" s="116">
        <f>AI$22*shipping_manufacturing!$I$28/100</f>
        <v>0</v>
      </c>
      <c r="AJ45" s="116">
        <f>AJ$22*shipping_manufacturing!$I$28/100</f>
        <v>0</v>
      </c>
      <c r="AK45" s="116">
        <f>AK$22*shipping_manufacturing!$I$28/100</f>
        <v>0</v>
      </c>
      <c r="AL45" s="116">
        <f>AL$22*shipping_manufacturing!$I$28/100</f>
        <v>0</v>
      </c>
      <c r="AM45" s="116">
        <f>AM$22*shipping_manufacturing!$I$28/100</f>
        <v>0</v>
      </c>
      <c r="AN45" s="116">
        <f>AN$22*shipping_manufacturing!$I$28/100</f>
        <v>0</v>
      </c>
      <c r="AO45" s="116">
        <f>AO$22*shipping_manufacturing!$I$28/100</f>
        <v>0</v>
      </c>
      <c r="AP45" s="116">
        <f>AP$22*shipping_manufacturing!$I$28/100</f>
        <v>0</v>
      </c>
      <c r="AQ45" s="116">
        <f>AQ$22*shipping_manufacturing!$I$28/100</f>
        <v>0</v>
      </c>
      <c r="AR45" s="116">
        <f>AR$22*shipping_manufacturing!$I$28/100</f>
        <v>0</v>
      </c>
      <c r="AS45" s="116">
        <f>AS$22*shipping_manufacturing!$I$28/100</f>
        <v>0</v>
      </c>
      <c r="AT45" s="116">
        <f>AT$22*shipping_manufacturing!$I$28/100</f>
        <v>0</v>
      </c>
      <c r="AU45" s="116">
        <f>AU$22*shipping_manufacturing!$I$28/100</f>
        <v>0</v>
      </c>
      <c r="AV45" s="116">
        <f>AV$22*shipping_manufacturing!$I$28/100</f>
        <v>0</v>
      </c>
      <c r="AW45" s="116">
        <f>AW$22*shipping_manufacturing!$I$28/100</f>
        <v>0</v>
      </c>
      <c r="AX45" s="116">
        <f>AX$22*shipping_manufacturing!$I$28/100</f>
        <v>0</v>
      </c>
      <c r="AY45" s="116">
        <f>AY$22*shipping_manufacturing!$I$28/100</f>
        <v>0</v>
      </c>
    </row>
    <row r="46" spans="1:52" x14ac:dyDescent="0.2">
      <c r="A46" s="116">
        <v>495</v>
      </c>
      <c r="B46" s="171" t="s">
        <v>343</v>
      </c>
      <c r="C46" s="116"/>
      <c r="D46" s="116">
        <f>SUM(D44:D45)</f>
        <v>0</v>
      </c>
      <c r="E46" s="116">
        <f t="shared" ref="E46:AY46" si="14">SUM(E44:E45)</f>
        <v>0</v>
      </c>
      <c r="F46" s="116">
        <f t="shared" si="14"/>
        <v>0</v>
      </c>
      <c r="G46" s="116">
        <f t="shared" si="14"/>
        <v>0</v>
      </c>
      <c r="H46" s="116">
        <f t="shared" si="14"/>
        <v>0</v>
      </c>
      <c r="I46" s="116">
        <f t="shared" si="14"/>
        <v>0</v>
      </c>
      <c r="J46" s="116">
        <f t="shared" si="14"/>
        <v>0</v>
      </c>
      <c r="K46" s="116">
        <f t="shared" si="14"/>
        <v>0</v>
      </c>
      <c r="L46" s="116">
        <f t="shared" si="14"/>
        <v>0</v>
      </c>
      <c r="M46" s="116">
        <f t="shared" si="14"/>
        <v>0</v>
      </c>
      <c r="N46" s="116">
        <f t="shared" si="14"/>
        <v>0</v>
      </c>
      <c r="O46" s="116">
        <f t="shared" si="14"/>
        <v>0</v>
      </c>
      <c r="P46" s="116">
        <f t="shared" si="14"/>
        <v>0</v>
      </c>
      <c r="Q46" s="116">
        <f t="shared" si="14"/>
        <v>0</v>
      </c>
      <c r="R46" s="116">
        <f t="shared" si="14"/>
        <v>0</v>
      </c>
      <c r="S46" s="116">
        <f t="shared" si="14"/>
        <v>0</v>
      </c>
      <c r="T46" s="116">
        <f t="shared" si="14"/>
        <v>0</v>
      </c>
      <c r="U46" s="116">
        <f t="shared" si="14"/>
        <v>0</v>
      </c>
      <c r="V46" s="116">
        <f t="shared" si="14"/>
        <v>0</v>
      </c>
      <c r="W46" s="116">
        <f t="shared" si="14"/>
        <v>0</v>
      </c>
      <c r="X46" s="116">
        <f t="shared" si="14"/>
        <v>0</v>
      </c>
      <c r="Y46" s="116">
        <f t="shared" si="14"/>
        <v>0</v>
      </c>
      <c r="Z46" s="116">
        <f t="shared" si="14"/>
        <v>0</v>
      </c>
      <c r="AA46" s="116">
        <f t="shared" si="14"/>
        <v>0</v>
      </c>
      <c r="AB46" s="116">
        <f t="shared" si="14"/>
        <v>0</v>
      </c>
      <c r="AC46" s="116">
        <f t="shared" si="14"/>
        <v>0</v>
      </c>
      <c r="AD46" s="116">
        <f t="shared" si="14"/>
        <v>0</v>
      </c>
      <c r="AE46" s="116">
        <f t="shared" si="14"/>
        <v>0</v>
      </c>
      <c r="AF46" s="116">
        <f t="shared" si="14"/>
        <v>0</v>
      </c>
      <c r="AG46" s="116">
        <f t="shared" si="14"/>
        <v>0</v>
      </c>
      <c r="AH46" s="116">
        <f t="shared" si="14"/>
        <v>0</v>
      </c>
      <c r="AI46" s="116">
        <f t="shared" si="14"/>
        <v>0</v>
      </c>
      <c r="AJ46" s="116">
        <f t="shared" si="14"/>
        <v>0</v>
      </c>
      <c r="AK46" s="116">
        <f t="shared" si="14"/>
        <v>0</v>
      </c>
      <c r="AL46" s="116">
        <f t="shared" si="14"/>
        <v>0</v>
      </c>
      <c r="AM46" s="116">
        <f t="shared" si="14"/>
        <v>0</v>
      </c>
      <c r="AN46" s="116">
        <f t="shared" si="14"/>
        <v>0</v>
      </c>
      <c r="AO46" s="116">
        <f t="shared" si="14"/>
        <v>0</v>
      </c>
      <c r="AP46" s="116">
        <f t="shared" si="14"/>
        <v>0</v>
      </c>
      <c r="AQ46" s="116">
        <f t="shared" si="14"/>
        <v>0</v>
      </c>
      <c r="AR46" s="116">
        <f t="shared" si="14"/>
        <v>0</v>
      </c>
      <c r="AS46" s="116">
        <f t="shared" si="14"/>
        <v>0</v>
      </c>
      <c r="AT46" s="116">
        <f t="shared" si="14"/>
        <v>0</v>
      </c>
      <c r="AU46" s="116">
        <f t="shared" si="14"/>
        <v>0</v>
      </c>
      <c r="AV46" s="116">
        <f t="shared" si="14"/>
        <v>0</v>
      </c>
      <c r="AW46" s="116">
        <f t="shared" si="14"/>
        <v>0</v>
      </c>
      <c r="AX46" s="116">
        <f t="shared" si="14"/>
        <v>0</v>
      </c>
      <c r="AY46" s="116">
        <f t="shared" si="14"/>
        <v>0</v>
      </c>
    </row>
    <row r="47" spans="1:52" x14ac:dyDescent="0.2">
      <c r="A47" s="116"/>
      <c r="B47" s="171" t="s">
        <v>344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345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346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347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1</v>
      </c>
      <c r="E52" s="116">
        <v>2</v>
      </c>
      <c r="F52" s="116">
        <v>1</v>
      </c>
      <c r="G52" s="116">
        <v>1</v>
      </c>
      <c r="H52" s="116">
        <v>1</v>
      </c>
      <c r="I52" s="116">
        <v>1</v>
      </c>
      <c r="J52" s="116">
        <v>2</v>
      </c>
      <c r="K52" s="116">
        <v>1</v>
      </c>
      <c r="L52" s="116">
        <v>1</v>
      </c>
      <c r="M52" s="116">
        <v>2</v>
      </c>
      <c r="N52" s="116">
        <v>1</v>
      </c>
      <c r="O52" s="116">
        <v>1</v>
      </c>
      <c r="P52" s="116">
        <v>1</v>
      </c>
      <c r="Q52" s="116">
        <v>2</v>
      </c>
      <c r="R52" s="116">
        <v>1</v>
      </c>
      <c r="S52" s="116">
        <v>1</v>
      </c>
      <c r="T52" s="116">
        <v>2</v>
      </c>
      <c r="U52" s="116">
        <v>1</v>
      </c>
      <c r="V52" s="116">
        <v>2</v>
      </c>
      <c r="W52" s="116">
        <v>3</v>
      </c>
      <c r="X52" s="116">
        <v>2</v>
      </c>
      <c r="Y52" s="116">
        <v>1</v>
      </c>
      <c r="Z52" s="116">
        <v>1</v>
      </c>
      <c r="AA52" s="116">
        <v>2</v>
      </c>
      <c r="AB52" s="116">
        <v>1</v>
      </c>
      <c r="AC52" s="116">
        <v>1</v>
      </c>
      <c r="AD52" s="116">
        <v>1</v>
      </c>
      <c r="AE52" s="116">
        <v>1</v>
      </c>
      <c r="AF52" s="116">
        <v>1</v>
      </c>
      <c r="AG52" s="116">
        <v>3</v>
      </c>
      <c r="AH52" s="116">
        <v>1</v>
      </c>
      <c r="AI52" s="116">
        <v>1</v>
      </c>
      <c r="AJ52" s="116">
        <v>1</v>
      </c>
      <c r="AK52" s="116">
        <v>1</v>
      </c>
      <c r="AL52" s="116">
        <v>1</v>
      </c>
      <c r="AM52" s="116">
        <v>1</v>
      </c>
      <c r="AN52" s="116">
        <v>1</v>
      </c>
      <c r="AO52" s="116">
        <v>1</v>
      </c>
      <c r="AP52" s="116">
        <v>1</v>
      </c>
      <c r="AQ52" s="116">
        <v>2</v>
      </c>
      <c r="AR52" s="116">
        <v>1</v>
      </c>
      <c r="AS52" s="116">
        <v>3</v>
      </c>
      <c r="AT52" s="116">
        <v>1</v>
      </c>
      <c r="AU52" s="116">
        <v>2</v>
      </c>
      <c r="AV52" s="116">
        <v>3</v>
      </c>
      <c r="AW52" s="116">
        <v>1</v>
      </c>
      <c r="AX52" s="116">
        <v>2</v>
      </c>
      <c r="AY52" s="116">
        <v>2</v>
      </c>
    </row>
    <row r="53" spans="1:52" x14ac:dyDescent="0.2">
      <c r="A53" s="116"/>
      <c r="B53" s="184" t="s">
        <v>350</v>
      </c>
      <c r="C53" s="116"/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0</v>
      </c>
    </row>
    <row r="54" spans="1:52" x14ac:dyDescent="0.2">
      <c r="A54" s="131"/>
      <c r="B54" s="146" t="s">
        <v>351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284</v>
      </c>
    </row>
    <row r="2" spans="1:53" x14ac:dyDescent="0.2">
      <c r="A2" s="106" t="s">
        <v>285</v>
      </c>
      <c r="B2" s="113" t="s">
        <v>22</v>
      </c>
    </row>
    <row r="3" spans="1:53" x14ac:dyDescent="0.2">
      <c r="A3" s="106" t="s">
        <v>286</v>
      </c>
      <c r="B3" s="114">
        <v>50000</v>
      </c>
      <c r="C3" s="115"/>
    </row>
    <row r="4" spans="1:53" x14ac:dyDescent="0.2">
      <c r="B4" s="116"/>
      <c r="C4" s="116"/>
    </row>
    <row r="5" spans="1:53" x14ac:dyDescent="0.2">
      <c r="C5" s="117" t="s">
        <v>287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3" x14ac:dyDescent="0.2">
      <c r="A8" s="108" t="s">
        <v>292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293</v>
      </c>
      <c r="D9" s="123">
        <v>1381.8065635085291</v>
      </c>
      <c r="E9" s="123">
        <v>1381.8065635085291</v>
      </c>
      <c r="F9" s="123">
        <v>1381.8065635085291</v>
      </c>
      <c r="G9" s="123">
        <v>1381.8065635085291</v>
      </c>
      <c r="H9" s="123">
        <v>1381.8065635085291</v>
      </c>
      <c r="I9" s="123">
        <v>1381.8065635085291</v>
      </c>
      <c r="J9" s="123">
        <v>1381.8065635085291</v>
      </c>
      <c r="K9" s="123">
        <v>1381.8065635085291</v>
      </c>
      <c r="L9" s="123">
        <v>1381.8065635085291</v>
      </c>
      <c r="M9" s="123">
        <v>1381.8065635085291</v>
      </c>
      <c r="N9" s="123">
        <v>1381.8065635085291</v>
      </c>
      <c r="O9" s="123">
        <v>1381.8065635085291</v>
      </c>
      <c r="P9" s="123">
        <v>1294.5598741884112</v>
      </c>
      <c r="Q9" s="123">
        <v>1381.8065635085291</v>
      </c>
      <c r="R9" s="123">
        <v>1381.8065635085291</v>
      </c>
      <c r="S9" s="123">
        <v>1381.8065635085291</v>
      </c>
      <c r="T9" s="123">
        <v>1381.8065635085291</v>
      </c>
      <c r="U9" s="123">
        <v>1381.8065635085291</v>
      </c>
      <c r="V9" s="123">
        <v>1381.8065635085291</v>
      </c>
      <c r="W9" s="123">
        <v>1381.8065635085291</v>
      </c>
      <c r="X9" s="123">
        <v>1381.8065635085291</v>
      </c>
      <c r="Y9" s="123">
        <v>1381.8065635085291</v>
      </c>
      <c r="Z9" s="123">
        <v>1381.8065635085291</v>
      </c>
      <c r="AA9" s="123">
        <v>1381.8065635085291</v>
      </c>
      <c r="AB9" s="123">
        <v>1381.8065635085291</v>
      </c>
      <c r="AC9" s="123">
        <v>1381.8065635085291</v>
      </c>
      <c r="AD9" s="123">
        <v>1036.6837731393841</v>
      </c>
      <c r="AE9" s="123">
        <v>1381.8065635085291</v>
      </c>
      <c r="AF9" s="123">
        <v>386.24742560626413</v>
      </c>
      <c r="AG9" s="123">
        <v>386.6715047690783</v>
      </c>
      <c r="AH9" s="123">
        <v>1381.8065635085291</v>
      </c>
      <c r="AI9" s="123">
        <v>1381.8065635085291</v>
      </c>
      <c r="AJ9" s="123">
        <v>1381.8065635085291</v>
      </c>
      <c r="AK9" s="123">
        <v>1381.8065635085291</v>
      </c>
      <c r="AL9" s="123">
        <v>1381.8065635085291</v>
      </c>
      <c r="AM9" s="123">
        <v>1381.8065635085291</v>
      </c>
      <c r="AN9" s="123">
        <v>1381.8065635085291</v>
      </c>
      <c r="AO9" s="123">
        <v>1381.8065635085291</v>
      </c>
      <c r="AP9" s="123">
        <v>1381.8065635085291</v>
      </c>
      <c r="AQ9" s="123">
        <v>1381.8065635085291</v>
      </c>
      <c r="AR9" s="123">
        <v>1381.8065635085291</v>
      </c>
      <c r="AS9" s="123">
        <v>391.58778538241882</v>
      </c>
      <c r="AT9" s="123">
        <v>1381.8065635085291</v>
      </c>
      <c r="AU9" s="123">
        <v>1381.8065635085291</v>
      </c>
      <c r="AV9" s="123">
        <v>1381.8065635085291</v>
      </c>
      <c r="AW9" s="123">
        <v>1381.8065635085291</v>
      </c>
      <c r="AX9" s="123">
        <v>1069.2107550391243</v>
      </c>
      <c r="AY9" s="123">
        <v>1381.8065635085291</v>
      </c>
    </row>
    <row r="10" spans="1:53" x14ac:dyDescent="0.2">
      <c r="A10" s="124" t="s">
        <v>133</v>
      </c>
      <c r="B10" s="125">
        <v>1</v>
      </c>
      <c r="C10" s="112" t="s">
        <v>293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</row>
    <row r="11" spans="1:53" x14ac:dyDescent="0.2">
      <c r="B11" s="125">
        <v>2</v>
      </c>
      <c r="C11" s="112" t="s">
        <v>293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M11" s="106">
        <v>0</v>
      </c>
      <c r="N11" s="106">
        <v>0</v>
      </c>
      <c r="P11" s="106">
        <v>0</v>
      </c>
      <c r="Q11" s="106">
        <v>0</v>
      </c>
      <c r="R11" s="106">
        <v>0</v>
      </c>
      <c r="T11" s="106">
        <v>0</v>
      </c>
      <c r="U11" s="106">
        <v>0</v>
      </c>
      <c r="V11" s="106">
        <v>0</v>
      </c>
      <c r="X11" s="106">
        <v>0</v>
      </c>
      <c r="AC11" s="106">
        <v>0</v>
      </c>
      <c r="AD11" s="106">
        <v>0</v>
      </c>
      <c r="AH11" s="106">
        <v>0</v>
      </c>
      <c r="AN11" s="106">
        <v>0</v>
      </c>
      <c r="AQ11" s="106">
        <v>0</v>
      </c>
      <c r="AR11" s="106">
        <v>0</v>
      </c>
      <c r="AU11" s="106">
        <v>0</v>
      </c>
      <c r="AW11" s="106">
        <v>0</v>
      </c>
      <c r="AZ11" s="106">
        <v>0</v>
      </c>
      <c r="BA11" s="106">
        <v>0</v>
      </c>
    </row>
    <row r="12" spans="1:53" x14ac:dyDescent="0.2">
      <c r="B12" s="126">
        <v>3</v>
      </c>
      <c r="C12" s="112" t="s">
        <v>293</v>
      </c>
      <c r="R12" s="106">
        <v>0</v>
      </c>
      <c r="AB12" s="106">
        <v>0</v>
      </c>
      <c r="AL12" s="106">
        <v>0</v>
      </c>
      <c r="AM12" s="106">
        <v>0</v>
      </c>
      <c r="AT12" s="106">
        <v>0</v>
      </c>
      <c r="AY12" s="106">
        <v>0</v>
      </c>
    </row>
    <row r="13" spans="1:53" x14ac:dyDescent="0.2">
      <c r="B13" s="126">
        <v>4</v>
      </c>
      <c r="C13" s="112" t="s">
        <v>293</v>
      </c>
    </row>
    <row r="14" spans="1:53" x14ac:dyDescent="0.2">
      <c r="A14" s="121" t="s">
        <v>134</v>
      </c>
      <c r="B14" s="127">
        <v>1</v>
      </c>
      <c r="C14" s="123" t="s">
        <v>293</v>
      </c>
      <c r="D14" s="123">
        <v>1515.3604919072761</v>
      </c>
      <c r="E14" s="123">
        <f t="shared" ref="E14:AZ14" si="0">D$172*SUM(D$122:D$169)</f>
        <v>1783.6190640785321</v>
      </c>
      <c r="F14" s="123">
        <f t="shared" si="0"/>
        <v>1976.6212759525388</v>
      </c>
      <c r="G14" s="123">
        <f t="shared" si="0"/>
        <v>2103.2506412398429</v>
      </c>
      <c r="H14" s="123">
        <f t="shared" si="0"/>
        <v>2195.0058393141931</v>
      </c>
      <c r="I14" s="123">
        <f t="shared" si="0"/>
        <v>2189.9960719421315</v>
      </c>
      <c r="J14" s="123">
        <f t="shared" si="0"/>
        <v>2129.6328961017107</v>
      </c>
      <c r="K14" s="123">
        <f t="shared" si="0"/>
        <v>2122.2472073129943</v>
      </c>
      <c r="L14" s="123">
        <f t="shared" si="0"/>
        <v>2110.2858794851354</v>
      </c>
      <c r="M14" s="123">
        <f t="shared" si="0"/>
        <v>2075.1800093227534</v>
      </c>
      <c r="N14" s="123">
        <f t="shared" si="0"/>
        <v>2124.1013559876469</v>
      </c>
      <c r="O14" s="123">
        <f t="shared" si="0"/>
        <v>2154.8677347169551</v>
      </c>
      <c r="P14" s="123">
        <f t="shared" si="0"/>
        <v>2177.7117527865462</v>
      </c>
      <c r="Q14" s="123">
        <f t="shared" si="0"/>
        <v>2268.7891521890424</v>
      </c>
      <c r="R14" s="123">
        <f t="shared" si="0"/>
        <v>2329.0000463485608</v>
      </c>
      <c r="S14" s="123">
        <f t="shared" si="0"/>
        <v>2375.6580892580996</v>
      </c>
      <c r="T14" s="123">
        <f t="shared" si="0"/>
        <v>2408.9155380729571</v>
      </c>
      <c r="U14" s="123">
        <f t="shared" si="0"/>
        <v>2324.3390357567746</v>
      </c>
      <c r="V14" s="123">
        <f t="shared" si="0"/>
        <v>2234.6886381603367</v>
      </c>
      <c r="W14" s="123">
        <f t="shared" si="0"/>
        <v>2191.2097426150317</v>
      </c>
      <c r="X14" s="123">
        <f t="shared" si="0"/>
        <v>2176.2292944722781</v>
      </c>
      <c r="Y14" s="123">
        <f t="shared" si="0"/>
        <v>2157.9386199823944</v>
      </c>
      <c r="Z14" s="123">
        <f t="shared" si="0"/>
        <v>1979.1677724435453</v>
      </c>
      <c r="AA14" s="123">
        <f t="shared" si="0"/>
        <v>1865.3290355755062</v>
      </c>
      <c r="AB14" s="123">
        <f t="shared" si="0"/>
        <v>1776.507602488165</v>
      </c>
      <c r="AC14" s="123">
        <f t="shared" si="0"/>
        <v>1777.3088858549395</v>
      </c>
      <c r="AD14" s="123">
        <f t="shared" si="0"/>
        <v>1718.4023424395016</v>
      </c>
      <c r="AE14" s="123">
        <f t="shared" si="0"/>
        <v>1680.9515317910161</v>
      </c>
      <c r="AF14" s="123">
        <f t="shared" si="0"/>
        <v>1632.6087369692534</v>
      </c>
      <c r="AG14" s="123">
        <f t="shared" si="0"/>
        <v>1532.9695376286231</v>
      </c>
      <c r="AH14" s="123">
        <f t="shared" si="0"/>
        <v>1744.7123025414173</v>
      </c>
      <c r="AI14" s="123">
        <f t="shared" si="0"/>
        <v>1878.3113240453774</v>
      </c>
      <c r="AJ14" s="123">
        <f t="shared" si="0"/>
        <v>1982.5526046159314</v>
      </c>
      <c r="AK14" s="123">
        <f t="shared" si="0"/>
        <v>2047.344738781296</v>
      </c>
      <c r="AL14" s="123">
        <f t="shared" si="0"/>
        <v>2111.0925060205777</v>
      </c>
      <c r="AM14" s="123">
        <f t="shared" si="0"/>
        <v>2139.3826907882894</v>
      </c>
      <c r="AN14" s="123">
        <f t="shared" si="0"/>
        <v>2166.4913437634018</v>
      </c>
      <c r="AO14" s="123">
        <f t="shared" si="0"/>
        <v>2276.3568808637483</v>
      </c>
      <c r="AP14" s="123">
        <f t="shared" si="0"/>
        <v>2297.5795306254654</v>
      </c>
      <c r="AQ14" s="123">
        <f t="shared" si="0"/>
        <v>2332.7864390843879</v>
      </c>
      <c r="AR14" s="123">
        <f t="shared" si="0"/>
        <v>2322.2193874164991</v>
      </c>
      <c r="AS14" s="123">
        <f t="shared" si="0"/>
        <v>2260.1422888696061</v>
      </c>
      <c r="AT14" s="123">
        <f t="shared" si="0"/>
        <v>2206.8993347243113</v>
      </c>
      <c r="AU14" s="123">
        <f t="shared" si="0"/>
        <v>2124.2551191903108</v>
      </c>
      <c r="AV14" s="123">
        <f t="shared" si="0"/>
        <v>2096.042807390229</v>
      </c>
      <c r="AW14" s="123">
        <f t="shared" si="0"/>
        <v>2048.6107237610181</v>
      </c>
      <c r="AX14" s="123">
        <f t="shared" si="0"/>
        <v>2089.9775563531266</v>
      </c>
      <c r="AY14" s="123">
        <f t="shared" si="0"/>
        <v>2122.4304507808142</v>
      </c>
      <c r="AZ14" s="116">
        <f t="shared" si="0"/>
        <v>2132.7263385246929</v>
      </c>
      <c r="BA14" s="113">
        <f>SUM($E14:$AZ14)</f>
        <v>99952.447698427481</v>
      </c>
    </row>
    <row r="15" spans="1:53" x14ac:dyDescent="0.2">
      <c r="A15" s="128" t="s">
        <v>123</v>
      </c>
      <c r="B15" s="129">
        <v>1</v>
      </c>
      <c r="C15" s="130" t="s">
        <v>293</v>
      </c>
      <c r="D15" s="130">
        <v>2804.4170914382617</v>
      </c>
      <c r="E15" s="130">
        <v>2804.4170914382617</v>
      </c>
      <c r="F15" s="130">
        <v>2804.4170914382617</v>
      </c>
      <c r="G15" s="130">
        <v>2804.4170914382617</v>
      </c>
      <c r="H15" s="130">
        <v>2492.8151923895662</v>
      </c>
      <c r="I15" s="130">
        <v>2492.8151923895662</v>
      </c>
      <c r="J15" s="130">
        <v>2492.8151923895662</v>
      </c>
      <c r="K15" s="130">
        <v>2492.8151923895662</v>
      </c>
      <c r="L15" s="130">
        <v>2492.8151923895662</v>
      </c>
      <c r="M15" s="130">
        <v>2492.8151923895662</v>
      </c>
      <c r="N15" s="130">
        <v>2492.8151923895662</v>
      </c>
      <c r="O15" s="130">
        <v>2492.8151923895662</v>
      </c>
      <c r="P15" s="130">
        <v>2804.4170914382617</v>
      </c>
      <c r="Q15" s="130">
        <v>2804.4170914382617</v>
      </c>
      <c r="R15" s="130">
        <v>2804.4170914382617</v>
      </c>
      <c r="S15" s="130">
        <v>2804.4170914382617</v>
      </c>
      <c r="T15" s="130">
        <v>2492.8151923895662</v>
      </c>
      <c r="U15" s="130">
        <v>2492.8151923895662</v>
      </c>
      <c r="V15" s="130">
        <v>2492.8151923895662</v>
      </c>
      <c r="W15" s="130">
        <v>2492.8151923895662</v>
      </c>
      <c r="X15" s="130">
        <v>2492.8151923895662</v>
      </c>
      <c r="Y15" s="130">
        <v>2492.8151923895662</v>
      </c>
      <c r="Z15" s="130">
        <v>2492.8151923895662</v>
      </c>
      <c r="AA15" s="130">
        <v>2492.8151923895662</v>
      </c>
      <c r="AB15" s="130">
        <v>2804.4170914382617</v>
      </c>
      <c r="AC15" s="130">
        <v>2804.4170914382617</v>
      </c>
      <c r="AD15" s="130">
        <v>2804.4170914382617</v>
      </c>
      <c r="AE15" s="130">
        <v>2804.4170914382617</v>
      </c>
      <c r="AF15" s="130">
        <v>2492.8151923895662</v>
      </c>
      <c r="AG15" s="130">
        <v>2492.8151923895662</v>
      </c>
      <c r="AH15" s="130">
        <v>2492.8151923895662</v>
      </c>
      <c r="AI15" s="130">
        <v>2492.8151923895662</v>
      </c>
      <c r="AJ15" s="130">
        <v>2492.8151923895662</v>
      </c>
      <c r="AK15" s="130">
        <v>2492.8151923895662</v>
      </c>
      <c r="AL15" s="130">
        <v>2492.8151923895662</v>
      </c>
      <c r="AM15" s="130">
        <v>2492.8151923895662</v>
      </c>
      <c r="AN15" s="130">
        <v>2804.4170914382617</v>
      </c>
      <c r="AO15" s="130">
        <v>2804.4170914382617</v>
      </c>
      <c r="AP15" s="130">
        <v>2804.4170914382617</v>
      </c>
      <c r="AQ15" s="130">
        <v>2804.4170914382617</v>
      </c>
      <c r="AR15" s="130">
        <v>2492.8151923895662</v>
      </c>
      <c r="AS15" s="130">
        <v>2492.8151923895662</v>
      </c>
      <c r="AT15" s="130">
        <v>2492.8151923895662</v>
      </c>
      <c r="AU15" s="130">
        <v>2492.8151923895662</v>
      </c>
      <c r="AV15" s="130">
        <v>2492.8151923895662</v>
      </c>
      <c r="AW15" s="130">
        <v>2492.8151923895662</v>
      </c>
      <c r="AX15" s="130">
        <v>2492.8151923895662</v>
      </c>
      <c r="AY15" s="130">
        <v>2492.8151923895662</v>
      </c>
      <c r="AZ15" s="106">
        <v>0</v>
      </c>
    </row>
    <row r="16" spans="1:53" x14ac:dyDescent="0.2">
      <c r="A16" s="116"/>
      <c r="B16" s="125">
        <v>2</v>
      </c>
      <c r="C16" s="115" t="s">
        <v>293</v>
      </c>
      <c r="D16" s="112">
        <v>0</v>
      </c>
      <c r="E16" s="116">
        <v>0</v>
      </c>
      <c r="F16" s="116">
        <v>0</v>
      </c>
      <c r="G16" s="116">
        <v>0</v>
      </c>
      <c r="H16" s="116">
        <v>0</v>
      </c>
      <c r="I16" s="116">
        <v>0</v>
      </c>
      <c r="J16" s="116">
        <v>0</v>
      </c>
      <c r="K16" s="116">
        <v>0</v>
      </c>
      <c r="L16" s="116"/>
      <c r="M16" s="116">
        <v>0</v>
      </c>
      <c r="N16" s="116">
        <v>0</v>
      </c>
      <c r="O16" s="116"/>
      <c r="P16" s="116">
        <v>0</v>
      </c>
      <c r="Q16" s="116">
        <v>0</v>
      </c>
      <c r="R16" s="116">
        <v>0</v>
      </c>
      <c r="S16" s="116"/>
      <c r="T16" s="116">
        <v>0</v>
      </c>
      <c r="U16" s="116">
        <v>0</v>
      </c>
      <c r="V16" s="116">
        <v>0</v>
      </c>
      <c r="W16" s="116"/>
      <c r="X16" s="116">
        <v>0</v>
      </c>
      <c r="Y16" s="116"/>
      <c r="Z16" s="116"/>
      <c r="AA16" s="116"/>
      <c r="AB16" s="116"/>
      <c r="AC16" s="116">
        <v>0</v>
      </c>
      <c r="AD16" s="116">
        <v>0</v>
      </c>
      <c r="AE16" s="116"/>
      <c r="AF16" s="116"/>
      <c r="AG16" s="116"/>
      <c r="AH16" s="116">
        <v>0</v>
      </c>
      <c r="AI16" s="116"/>
      <c r="AJ16" s="116"/>
      <c r="AK16" s="116"/>
      <c r="AL16" s="116"/>
      <c r="AM16" s="116"/>
      <c r="AN16" s="116">
        <v>0</v>
      </c>
      <c r="AO16" s="116"/>
      <c r="AP16" s="116"/>
      <c r="AQ16" s="116">
        <v>0</v>
      </c>
      <c r="AR16" s="116">
        <v>0</v>
      </c>
      <c r="AS16" s="116"/>
      <c r="AT16" s="116"/>
      <c r="AU16" s="116">
        <v>0</v>
      </c>
      <c r="AV16" s="116"/>
      <c r="AW16" s="116">
        <v>0</v>
      </c>
      <c r="AX16" s="116"/>
      <c r="AY16" s="116"/>
      <c r="AZ16" s="106">
        <v>0</v>
      </c>
      <c r="BA16" s="106">
        <v>0</v>
      </c>
    </row>
    <row r="17" spans="1:51" x14ac:dyDescent="0.2">
      <c r="A17" s="116"/>
      <c r="B17" s="125">
        <v>3</v>
      </c>
      <c r="C17" s="115" t="s">
        <v>293</v>
      </c>
      <c r="D17" s="112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>
        <v>0</v>
      </c>
      <c r="S17" s="116"/>
      <c r="T17" s="116"/>
      <c r="U17" s="116"/>
      <c r="V17" s="116"/>
      <c r="W17" s="116"/>
      <c r="X17" s="116"/>
      <c r="Y17" s="116"/>
      <c r="Z17" s="116"/>
      <c r="AA17" s="116"/>
      <c r="AB17" s="116">
        <v>0</v>
      </c>
      <c r="AC17" s="116"/>
      <c r="AD17" s="116"/>
      <c r="AE17" s="116"/>
      <c r="AF17" s="116"/>
      <c r="AG17" s="116"/>
      <c r="AH17" s="116"/>
      <c r="AI17" s="116"/>
      <c r="AJ17" s="116"/>
      <c r="AK17" s="116"/>
      <c r="AL17" s="116">
        <v>0</v>
      </c>
      <c r="AM17" s="116">
        <v>0</v>
      </c>
      <c r="AN17" s="116"/>
      <c r="AO17" s="116"/>
      <c r="AP17" s="116"/>
      <c r="AQ17" s="116"/>
      <c r="AR17" s="116"/>
      <c r="AS17" s="116"/>
      <c r="AT17" s="116">
        <v>0</v>
      </c>
      <c r="AU17" s="116"/>
      <c r="AV17" s="116"/>
      <c r="AW17" s="116"/>
      <c r="AX17" s="116"/>
      <c r="AY17" s="116">
        <v>0</v>
      </c>
    </row>
    <row r="18" spans="1:51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1" x14ac:dyDescent="0.2">
      <c r="A20" s="108" t="s">
        <v>294</v>
      </c>
    </row>
    <row r="21" spans="1:51" x14ac:dyDescent="0.2">
      <c r="A21" s="132" t="s">
        <v>125</v>
      </c>
      <c r="B21" s="129">
        <v>1</v>
      </c>
      <c r="C21" s="130" t="s">
        <v>293</v>
      </c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</row>
    <row r="22" spans="1:51" x14ac:dyDescent="0.2">
      <c r="A22" s="115"/>
      <c r="B22" s="126">
        <v>2</v>
      </c>
      <c r="C22" s="116" t="s">
        <v>293</v>
      </c>
      <c r="D22" s="116"/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</row>
    <row r="23" spans="1:51" x14ac:dyDescent="0.2">
      <c r="A23" s="115"/>
      <c r="B23" s="133">
        <v>3</v>
      </c>
      <c r="C23" s="116" t="s">
        <v>293</v>
      </c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</row>
    <row r="24" spans="1:51" x14ac:dyDescent="0.2">
      <c r="A24" s="134"/>
      <c r="B24" s="135">
        <v>4</v>
      </c>
      <c r="C24" s="134" t="s">
        <v>293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1" x14ac:dyDescent="0.2">
      <c r="A25" s="132" t="s">
        <v>133</v>
      </c>
      <c r="B25" s="129">
        <v>1</v>
      </c>
      <c r="C25" s="115" t="s">
        <v>293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1" x14ac:dyDescent="0.2">
      <c r="A26" s="115"/>
      <c r="B26" s="125">
        <v>2</v>
      </c>
      <c r="C26" s="115" t="s">
        <v>293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1" x14ac:dyDescent="0.2">
      <c r="A27" s="115"/>
      <c r="B27" s="126">
        <v>3</v>
      </c>
      <c r="C27" s="115" t="s">
        <v>293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1" x14ac:dyDescent="0.2">
      <c r="A28" s="115"/>
      <c r="B28" s="126">
        <v>4</v>
      </c>
      <c r="C28" s="115" t="s">
        <v>293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1" x14ac:dyDescent="0.2">
      <c r="A29" s="115"/>
      <c r="B29" s="133">
        <v>5</v>
      </c>
      <c r="C29" s="115" t="s">
        <v>293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</row>
    <row r="30" spans="1:51" x14ac:dyDescent="0.2">
      <c r="A30" s="115"/>
      <c r="B30" s="133">
        <v>6</v>
      </c>
      <c r="C30" s="115" t="s">
        <v>293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</row>
    <row r="31" spans="1:51" x14ac:dyDescent="0.2">
      <c r="A31" s="115"/>
      <c r="B31" s="136">
        <v>7</v>
      </c>
      <c r="C31" s="115" t="s">
        <v>293</v>
      </c>
      <c r="D31" s="116"/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</row>
    <row r="32" spans="1:51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293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293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293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293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293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293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293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293</v>
      </c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</row>
    <row r="42" spans="1:51" x14ac:dyDescent="0.2">
      <c r="A42" s="115"/>
      <c r="B42" s="136">
        <v>10</v>
      </c>
      <c r="C42" s="115" t="s">
        <v>293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</row>
    <row r="43" spans="1:51" x14ac:dyDescent="0.2">
      <c r="A43" s="115"/>
      <c r="B43" s="136">
        <v>11</v>
      </c>
      <c r="C43" s="115" t="s">
        <v>293</v>
      </c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293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293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293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293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293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293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293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293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293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293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293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293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293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293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293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293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293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293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293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293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293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293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293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293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293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293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293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293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293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293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293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293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293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293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293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293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293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293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293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293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293</v>
      </c>
      <c r="D89" s="116"/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</row>
    <row r="90" spans="1:52" x14ac:dyDescent="0.2">
      <c r="A90" s="115"/>
      <c r="B90" s="136">
        <v>46</v>
      </c>
      <c r="C90" s="115" t="s">
        <v>293</v>
      </c>
      <c r="D90" s="116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</row>
    <row r="91" spans="1:52" x14ac:dyDescent="0.2">
      <c r="A91" s="115"/>
      <c r="B91" s="136">
        <v>47</v>
      </c>
      <c r="C91" s="115" t="s">
        <v>293</v>
      </c>
      <c r="D91" s="116"/>
      <c r="E91" s="116"/>
      <c r="F91" s="116"/>
      <c r="G91" s="116"/>
      <c r="H91" s="116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  <c r="AH91" s="116"/>
      <c r="AI91" s="116"/>
      <c r="AJ91" s="116"/>
      <c r="AK91" s="116"/>
      <c r="AL91" s="116"/>
      <c r="AM91" s="116"/>
      <c r="AN91" s="116"/>
      <c r="AO91" s="116"/>
      <c r="AP91" s="116"/>
      <c r="AQ91" s="116"/>
      <c r="AR91" s="116"/>
      <c r="AS91" s="116"/>
      <c r="AT91" s="116"/>
      <c r="AU91" s="116"/>
      <c r="AV91" s="116"/>
      <c r="AW91" s="116"/>
      <c r="AX91" s="116"/>
      <c r="AY91" s="116"/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0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1381.8065635085291</v>
      </c>
      <c r="D95" s="116">
        <v>1381.8065635085291</v>
      </c>
      <c r="E95" s="116">
        <v>1381.8065635085291</v>
      </c>
      <c r="F95" s="116">
        <v>1381.8065635085291</v>
      </c>
      <c r="G95" s="116">
        <v>1381.8065635085291</v>
      </c>
      <c r="H95" s="116">
        <v>1381.8065635085291</v>
      </c>
      <c r="I95" s="116">
        <v>1381.8065635085291</v>
      </c>
      <c r="J95" s="116">
        <v>1381.8065635085291</v>
      </c>
      <c r="K95" s="116">
        <v>1381.8065635085291</v>
      </c>
      <c r="L95" s="116">
        <v>1381.8065635085291</v>
      </c>
      <c r="M95" s="116">
        <v>1381.8065635085291</v>
      </c>
      <c r="N95" s="116">
        <v>1381.8065635085291</v>
      </c>
      <c r="O95" s="116">
        <v>1381.8065635085291</v>
      </c>
      <c r="P95" s="116">
        <v>1294.5598741884112</v>
      </c>
      <c r="Q95" s="116">
        <v>1381.8065635085291</v>
      </c>
      <c r="R95" s="116">
        <v>1381.8065635085291</v>
      </c>
      <c r="S95" s="116">
        <v>1381.8065635085291</v>
      </c>
      <c r="T95" s="116">
        <v>1381.8065635085291</v>
      </c>
      <c r="U95" s="116">
        <v>1381.8065635085291</v>
      </c>
      <c r="V95" s="116">
        <v>1381.8065635085291</v>
      </c>
      <c r="W95" s="116">
        <v>1381.8065635085291</v>
      </c>
      <c r="X95" s="116">
        <v>1381.8065635085291</v>
      </c>
      <c r="Y95" s="116">
        <v>1381.8065635085291</v>
      </c>
      <c r="Z95" s="116">
        <v>1381.8065635085291</v>
      </c>
      <c r="AA95" s="116">
        <v>1381.8065635085291</v>
      </c>
      <c r="AB95" s="116">
        <v>1381.8065635085291</v>
      </c>
      <c r="AC95" s="116">
        <v>1381.8065635085291</v>
      </c>
      <c r="AD95" s="116">
        <v>1036.6837731393841</v>
      </c>
      <c r="AE95" s="116">
        <v>1381.8065635085291</v>
      </c>
      <c r="AF95" s="116">
        <v>386.24742560626413</v>
      </c>
      <c r="AG95" s="116">
        <v>386.6715047690783</v>
      </c>
      <c r="AH95" s="116">
        <v>1381.8065635085291</v>
      </c>
      <c r="AI95" s="116">
        <v>1381.8065635085291</v>
      </c>
      <c r="AJ95" s="116">
        <v>1381.8065635085291</v>
      </c>
      <c r="AK95" s="116">
        <v>1381.8065635085291</v>
      </c>
      <c r="AL95" s="116">
        <v>1381.8065635085291</v>
      </c>
      <c r="AM95" s="116">
        <v>1381.8065635085291</v>
      </c>
      <c r="AN95" s="116">
        <v>1381.8065635085291</v>
      </c>
      <c r="AO95" s="116">
        <v>1381.8065635085291</v>
      </c>
      <c r="AP95" s="116">
        <v>1381.8065635085291</v>
      </c>
      <c r="AQ95" s="116">
        <v>1381.8065635085291</v>
      </c>
      <c r="AR95" s="116">
        <v>1381.8065635085291</v>
      </c>
      <c r="AS95" s="116">
        <v>391.58778538241882</v>
      </c>
      <c r="AT95" s="116">
        <v>1381.8065635085291</v>
      </c>
      <c r="AU95" s="116">
        <v>1381.8065635085291</v>
      </c>
      <c r="AV95" s="116">
        <v>1381.8065635085291</v>
      </c>
      <c r="AW95" s="116">
        <v>1381.8065635085291</v>
      </c>
      <c r="AX95" s="116">
        <v>1069.2107550391243</v>
      </c>
      <c r="AY95" s="116">
        <v>1381.8065635085291</v>
      </c>
    </row>
    <row r="96" spans="1:52" x14ac:dyDescent="0.2">
      <c r="A96" s="115"/>
      <c r="B96" s="126">
        <v>2</v>
      </c>
      <c r="C96" s="116">
        <v>1069.2107550391243</v>
      </c>
      <c r="D96" s="116">
        <v>1381.8065635085291</v>
      </c>
      <c r="E96" s="116">
        <v>1381.8065635085291</v>
      </c>
      <c r="F96" s="116">
        <v>1381.8065635085291</v>
      </c>
      <c r="G96" s="116">
        <v>1381.8065635085291</v>
      </c>
      <c r="H96" s="116">
        <v>1381.8065635085291</v>
      </c>
      <c r="I96" s="116">
        <v>1381.8065635085291</v>
      </c>
      <c r="J96" s="116">
        <v>1381.8065635085291</v>
      </c>
      <c r="K96" s="116">
        <v>1381.8065635085291</v>
      </c>
      <c r="L96" s="116">
        <v>1381.8065635085291</v>
      </c>
      <c r="M96" s="116">
        <v>1381.8065635085291</v>
      </c>
      <c r="N96" s="116">
        <v>1381.8065635085291</v>
      </c>
      <c r="O96" s="116">
        <v>1381.8065635085291</v>
      </c>
      <c r="P96" s="116">
        <v>1381.8065635085291</v>
      </c>
      <c r="Q96" s="116">
        <v>1294.5598741884112</v>
      </c>
      <c r="R96" s="116">
        <v>1381.8065635085291</v>
      </c>
      <c r="S96" s="116">
        <v>1381.8065635085291</v>
      </c>
      <c r="T96" s="116">
        <v>1381.8065635085291</v>
      </c>
      <c r="U96" s="116">
        <v>1381.8065635085291</v>
      </c>
      <c r="V96" s="116">
        <v>1381.8065635085291</v>
      </c>
      <c r="W96" s="116">
        <v>1381.8065635085291</v>
      </c>
      <c r="X96" s="116">
        <v>1381.8065635085291</v>
      </c>
      <c r="Y96" s="116">
        <v>1381.8065635085291</v>
      </c>
      <c r="Z96" s="116">
        <v>1381.8065635085291</v>
      </c>
      <c r="AA96" s="116">
        <v>1381.8065635085291</v>
      </c>
      <c r="AB96" s="116">
        <v>1381.8065635085291</v>
      </c>
      <c r="AC96" s="116">
        <v>1381.8065635085291</v>
      </c>
      <c r="AD96" s="116">
        <v>1381.8065635085291</v>
      </c>
      <c r="AE96" s="116">
        <v>1036.6837731393841</v>
      </c>
      <c r="AF96" s="116">
        <v>1381.8065635085291</v>
      </c>
      <c r="AG96" s="116">
        <v>386.24742560626413</v>
      </c>
      <c r="AH96" s="116">
        <v>386.6715047690783</v>
      </c>
      <c r="AI96" s="116">
        <v>1381.8065635085291</v>
      </c>
      <c r="AJ96" s="116">
        <v>1381.8065635085291</v>
      </c>
      <c r="AK96" s="116">
        <v>1381.8065635085291</v>
      </c>
      <c r="AL96" s="116">
        <v>1381.8065635085291</v>
      </c>
      <c r="AM96" s="116">
        <v>1381.8065635085291</v>
      </c>
      <c r="AN96" s="116">
        <v>1381.8065635085291</v>
      </c>
      <c r="AO96" s="116">
        <v>1381.8065635085291</v>
      </c>
      <c r="AP96" s="116">
        <v>1381.8065635085291</v>
      </c>
      <c r="AQ96" s="116">
        <v>1381.8065635085291</v>
      </c>
      <c r="AR96" s="116">
        <v>1381.8065635085291</v>
      </c>
      <c r="AS96" s="116">
        <v>1381.8065635085291</v>
      </c>
      <c r="AT96" s="116">
        <v>391.58778538241882</v>
      </c>
      <c r="AU96" s="116">
        <v>1381.8065635085291</v>
      </c>
      <c r="AV96" s="116">
        <v>1381.8065635085291</v>
      </c>
      <c r="AW96" s="116">
        <v>1381.8065635085291</v>
      </c>
      <c r="AX96" s="116">
        <v>1381.8065635085291</v>
      </c>
      <c r="AY96" s="116">
        <v>1069.2107550391243</v>
      </c>
    </row>
    <row r="97" spans="1:52" x14ac:dyDescent="0.2">
      <c r="A97" s="115"/>
      <c r="B97" s="133">
        <v>3</v>
      </c>
      <c r="C97" s="116">
        <v>1067.6842697291672</v>
      </c>
      <c r="D97" s="116">
        <v>1069.2107550391243</v>
      </c>
      <c r="E97" s="116">
        <v>1381.8065635085291</v>
      </c>
      <c r="F97" s="116">
        <v>1381.8065635085291</v>
      </c>
      <c r="G97" s="116">
        <v>1381.8065635085291</v>
      </c>
      <c r="H97" s="116">
        <v>1381.8065635085291</v>
      </c>
      <c r="I97" s="116">
        <v>1381.8065635085291</v>
      </c>
      <c r="J97" s="116">
        <v>1381.8065635085291</v>
      </c>
      <c r="K97" s="116">
        <v>1381.8065635085291</v>
      </c>
      <c r="L97" s="116">
        <v>1381.8065635085291</v>
      </c>
      <c r="M97" s="116">
        <v>1381.8065635085291</v>
      </c>
      <c r="N97" s="116">
        <v>1381.8065635085291</v>
      </c>
      <c r="O97" s="116">
        <v>1381.8065635085291</v>
      </c>
      <c r="P97" s="116">
        <v>1381.8065635085291</v>
      </c>
      <c r="Q97" s="116">
        <v>1381.8065635085291</v>
      </c>
      <c r="R97" s="116">
        <v>1294.5598741884112</v>
      </c>
      <c r="S97" s="116">
        <v>1381.8065635085291</v>
      </c>
      <c r="T97" s="116">
        <v>1381.8065635085291</v>
      </c>
      <c r="U97" s="116">
        <v>1381.8065635085291</v>
      </c>
      <c r="V97" s="116">
        <v>1381.8065635085291</v>
      </c>
      <c r="W97" s="116">
        <v>1381.8065635085291</v>
      </c>
      <c r="X97" s="116">
        <v>1381.8065635085291</v>
      </c>
      <c r="Y97" s="116">
        <v>1381.8065635085291</v>
      </c>
      <c r="Z97" s="116">
        <v>1381.8065635085291</v>
      </c>
      <c r="AA97" s="116">
        <v>1381.8065635085291</v>
      </c>
      <c r="AB97" s="116">
        <v>1381.8065635085291</v>
      </c>
      <c r="AC97" s="116">
        <v>1381.8065635085291</v>
      </c>
      <c r="AD97" s="116">
        <v>1381.8065635085291</v>
      </c>
      <c r="AE97" s="116">
        <v>1381.8065635085291</v>
      </c>
      <c r="AF97" s="116">
        <v>1036.6837731393841</v>
      </c>
      <c r="AG97" s="116">
        <v>1381.8065635085291</v>
      </c>
      <c r="AH97" s="116">
        <v>386.24742560626413</v>
      </c>
      <c r="AI97" s="116">
        <v>386.6715047690783</v>
      </c>
      <c r="AJ97" s="116">
        <v>1381.8065635085291</v>
      </c>
      <c r="AK97" s="116">
        <v>1381.8065635085291</v>
      </c>
      <c r="AL97" s="116">
        <v>1381.8065635085291</v>
      </c>
      <c r="AM97" s="116">
        <v>1381.8065635085291</v>
      </c>
      <c r="AN97" s="116">
        <v>1381.8065635085291</v>
      </c>
      <c r="AO97" s="116">
        <v>1381.8065635085291</v>
      </c>
      <c r="AP97" s="116">
        <v>1381.8065635085291</v>
      </c>
      <c r="AQ97" s="116">
        <v>1381.8065635085291</v>
      </c>
      <c r="AR97" s="116">
        <v>1381.8065635085291</v>
      </c>
      <c r="AS97" s="116">
        <v>1381.8065635085291</v>
      </c>
      <c r="AT97" s="116">
        <v>1381.8065635085291</v>
      </c>
      <c r="AU97" s="116">
        <v>391.58778538241882</v>
      </c>
      <c r="AV97" s="116">
        <v>1381.8065635085291</v>
      </c>
      <c r="AW97" s="116">
        <v>1381.8065635085291</v>
      </c>
      <c r="AX97" s="116">
        <v>1381.8065635085291</v>
      </c>
      <c r="AY97" s="116">
        <v>1381.8065635085291</v>
      </c>
    </row>
    <row r="98" spans="1:52" x14ac:dyDescent="0.2">
      <c r="A98" s="115"/>
      <c r="B98" s="136">
        <v>4</v>
      </c>
      <c r="C98" s="112">
        <v>1381.8065635085291</v>
      </c>
      <c r="D98" s="116">
        <v>1067.6842697291672</v>
      </c>
      <c r="E98" s="116">
        <v>1069.2107550391243</v>
      </c>
      <c r="F98" s="116">
        <v>1381.8065635085291</v>
      </c>
      <c r="G98" s="116">
        <v>1381.8065635085291</v>
      </c>
      <c r="H98" s="116">
        <v>1381.8065635085291</v>
      </c>
      <c r="I98" s="116">
        <v>1381.8065635085291</v>
      </c>
      <c r="J98" s="116">
        <v>1381.8065635085291</v>
      </c>
      <c r="K98" s="116">
        <v>1381.8065635085291</v>
      </c>
      <c r="L98" s="116">
        <v>1381.8065635085291</v>
      </c>
      <c r="M98" s="116">
        <v>1381.8065635085291</v>
      </c>
      <c r="N98" s="116">
        <v>1381.8065635085291</v>
      </c>
      <c r="O98" s="116">
        <v>1381.8065635085291</v>
      </c>
      <c r="P98" s="116">
        <v>1381.8065635085291</v>
      </c>
      <c r="Q98" s="116">
        <v>1381.8065635085291</v>
      </c>
      <c r="R98" s="116">
        <v>1381.8065635085291</v>
      </c>
      <c r="S98" s="116">
        <v>1294.5598741884112</v>
      </c>
      <c r="T98" s="116">
        <v>1381.8065635085291</v>
      </c>
      <c r="U98" s="116">
        <v>1381.8065635085291</v>
      </c>
      <c r="V98" s="116">
        <v>1381.8065635085291</v>
      </c>
      <c r="W98" s="116">
        <v>1381.8065635085291</v>
      </c>
      <c r="X98" s="116">
        <v>1381.8065635085291</v>
      </c>
      <c r="Y98" s="116">
        <v>1381.8065635085291</v>
      </c>
      <c r="Z98" s="116">
        <v>1381.8065635085291</v>
      </c>
      <c r="AA98" s="116">
        <v>1381.8065635085291</v>
      </c>
      <c r="AB98" s="116">
        <v>1381.8065635085291</v>
      </c>
      <c r="AC98" s="116">
        <v>1381.8065635085291</v>
      </c>
      <c r="AD98" s="116">
        <v>1381.8065635085291</v>
      </c>
      <c r="AE98" s="116">
        <v>1381.8065635085291</v>
      </c>
      <c r="AF98" s="116">
        <v>1381.8065635085291</v>
      </c>
      <c r="AG98" s="116">
        <v>1036.6837731393841</v>
      </c>
      <c r="AH98" s="116">
        <v>1381.8065635085291</v>
      </c>
      <c r="AI98" s="116">
        <v>386.24742560626413</v>
      </c>
      <c r="AJ98" s="116">
        <v>386.6715047690783</v>
      </c>
      <c r="AK98" s="116">
        <v>1381.8065635085291</v>
      </c>
      <c r="AL98" s="116">
        <v>1381.8065635085291</v>
      </c>
      <c r="AM98" s="116">
        <v>1381.8065635085291</v>
      </c>
      <c r="AN98" s="116">
        <v>1381.8065635085291</v>
      </c>
      <c r="AO98" s="116">
        <v>1381.8065635085291</v>
      </c>
      <c r="AP98" s="116">
        <v>1381.8065635085291</v>
      </c>
      <c r="AQ98" s="116">
        <v>1381.8065635085291</v>
      </c>
      <c r="AR98" s="116">
        <v>1381.8065635085291</v>
      </c>
      <c r="AS98" s="116">
        <v>1381.8065635085291</v>
      </c>
      <c r="AT98" s="116">
        <v>1381.8065635085291</v>
      </c>
      <c r="AU98" s="116">
        <v>1381.8065635085291</v>
      </c>
      <c r="AV98" s="116">
        <v>391.58778538241882</v>
      </c>
      <c r="AW98" s="116">
        <v>1381.8065635085291</v>
      </c>
      <c r="AX98" s="116">
        <v>1381.8065635085291</v>
      </c>
      <c r="AY98" s="116">
        <v>1381.8065635085291</v>
      </c>
    </row>
    <row r="99" spans="1:52" x14ac:dyDescent="0.2">
      <c r="A99" s="134"/>
      <c r="B99" s="138" t="s">
        <v>296</v>
      </c>
      <c r="C99" s="131">
        <v>1171.8065635085291</v>
      </c>
      <c r="D99" s="131">
        <v>1124.8065635085291</v>
      </c>
      <c r="E99" s="131">
        <v>571.68426972916723</v>
      </c>
      <c r="F99" s="131">
        <v>499.21075503912425</v>
      </c>
      <c r="G99" s="131">
        <v>845.80656350852905</v>
      </c>
      <c r="H99" s="131">
        <v>887.80656350852905</v>
      </c>
      <c r="I99" s="131">
        <v>710.80656350852905</v>
      </c>
      <c r="J99" s="131">
        <v>685.80656350852905</v>
      </c>
      <c r="K99" s="131">
        <v>782.80656350852905</v>
      </c>
      <c r="L99" s="131">
        <v>692.80656350852905</v>
      </c>
      <c r="M99" s="131">
        <v>868.80656350852905</v>
      </c>
      <c r="N99" s="131">
        <v>775.80656350852905</v>
      </c>
      <c r="O99" s="131">
        <v>870.80656350852905</v>
      </c>
      <c r="P99" s="131">
        <v>782.80656350852905</v>
      </c>
      <c r="Q99" s="131">
        <v>1051.8065635085291</v>
      </c>
      <c r="R99" s="131">
        <v>980.80656350852905</v>
      </c>
      <c r="S99" s="131">
        <v>973.80656350852905</v>
      </c>
      <c r="T99" s="131">
        <v>966.55987418841119</v>
      </c>
      <c r="U99" s="131">
        <v>752.80656350852905</v>
      </c>
      <c r="V99" s="131">
        <v>826.80656350852905</v>
      </c>
      <c r="W99" s="131">
        <v>817.80656350852905</v>
      </c>
      <c r="X99" s="131">
        <v>889.80656350852905</v>
      </c>
      <c r="Y99" s="131">
        <v>729.80656350852905</v>
      </c>
      <c r="Z99" s="131">
        <v>623.80656350852905</v>
      </c>
      <c r="AA99" s="131">
        <v>697.80656350852905</v>
      </c>
      <c r="AB99" s="131">
        <v>699.80656350852905</v>
      </c>
      <c r="AC99" s="131">
        <v>1225.8065635085291</v>
      </c>
      <c r="AD99" s="131">
        <v>1225.8065635085291</v>
      </c>
      <c r="AE99" s="131">
        <v>1167.8065635085291</v>
      </c>
      <c r="AF99" s="131">
        <v>1222.8065635085291</v>
      </c>
      <c r="AG99" s="131">
        <v>1147.8065635085291</v>
      </c>
      <c r="AH99" s="131">
        <v>785.68377313938413</v>
      </c>
      <c r="AI99" s="131">
        <v>1164.8065635085291</v>
      </c>
      <c r="AJ99" s="131">
        <v>156.24742560626413</v>
      </c>
      <c r="AK99" s="131">
        <v>174.6715047690783</v>
      </c>
      <c r="AL99" s="131">
        <v>1096.8065635085291</v>
      </c>
      <c r="AM99" s="131">
        <v>1094.8065635085291</v>
      </c>
      <c r="AN99" s="131">
        <v>1097.8065635085291</v>
      </c>
      <c r="AO99" s="131">
        <v>742.80656350852905</v>
      </c>
      <c r="AP99" s="131">
        <v>990.80656350852905</v>
      </c>
      <c r="AQ99" s="131">
        <v>847.80656350852905</v>
      </c>
      <c r="AR99" s="131">
        <v>971.80656350852905</v>
      </c>
      <c r="AS99" s="131">
        <v>1096.8065635085291</v>
      </c>
      <c r="AT99" s="131">
        <v>1156.8065635085291</v>
      </c>
      <c r="AU99" s="131">
        <v>1123.8065635085291</v>
      </c>
      <c r="AV99" s="131">
        <v>1119.8065635085291</v>
      </c>
      <c r="AW99" s="131">
        <v>147.58778538241882</v>
      </c>
      <c r="AX99" s="131">
        <v>1166.8065635085291</v>
      </c>
      <c r="AY99" s="131">
        <v>1163.8065635085291</v>
      </c>
      <c r="AZ99" s="113">
        <f>SUM($D99:$AY99)</f>
        <v>42200.714491703555</v>
      </c>
    </row>
    <row r="100" spans="1:52" x14ac:dyDescent="0.2">
      <c r="A100" s="137" t="s">
        <v>133</v>
      </c>
      <c r="B100" s="125">
        <v>1</v>
      </c>
      <c r="C100" s="112">
        <v>0</v>
      </c>
      <c r="D100" s="112">
        <v>0</v>
      </c>
      <c r="E100" s="112">
        <v>0</v>
      </c>
      <c r="F100" s="112">
        <v>0</v>
      </c>
      <c r="G100" s="112">
        <v>0</v>
      </c>
      <c r="H100" s="112">
        <v>0</v>
      </c>
      <c r="I100" s="112">
        <v>0</v>
      </c>
      <c r="J100" s="112">
        <v>0</v>
      </c>
      <c r="K100" s="112">
        <v>0</v>
      </c>
      <c r="L100" s="112">
        <v>0</v>
      </c>
      <c r="M100" s="112">
        <v>0</v>
      </c>
      <c r="N100" s="112">
        <v>0</v>
      </c>
      <c r="O100" s="112">
        <v>0</v>
      </c>
      <c r="P100" s="112">
        <v>0</v>
      </c>
      <c r="Q100" s="112">
        <v>0</v>
      </c>
      <c r="R100" s="112">
        <v>0</v>
      </c>
      <c r="S100" s="112">
        <v>0</v>
      </c>
      <c r="T100" s="112">
        <v>0</v>
      </c>
      <c r="U100" s="112">
        <v>0</v>
      </c>
      <c r="V100" s="112">
        <v>0</v>
      </c>
      <c r="W100" s="112">
        <v>0</v>
      </c>
      <c r="X100" s="112">
        <v>0</v>
      </c>
      <c r="Y100" s="112">
        <v>0</v>
      </c>
      <c r="Z100" s="112">
        <v>0</v>
      </c>
      <c r="AA100" s="112">
        <v>0</v>
      </c>
      <c r="AB100" s="112">
        <v>0</v>
      </c>
      <c r="AC100" s="112">
        <v>0</v>
      </c>
      <c r="AD100" s="112">
        <v>0</v>
      </c>
      <c r="AE100" s="112">
        <v>0</v>
      </c>
      <c r="AF100" s="112">
        <v>0</v>
      </c>
      <c r="AG100" s="112">
        <v>0</v>
      </c>
      <c r="AH100" s="112">
        <v>0</v>
      </c>
      <c r="AI100" s="112">
        <v>0</v>
      </c>
      <c r="AJ100" s="112">
        <v>0</v>
      </c>
      <c r="AK100" s="112">
        <v>0</v>
      </c>
      <c r="AL100" s="112">
        <v>0</v>
      </c>
      <c r="AM100" s="112">
        <v>0</v>
      </c>
      <c r="AN100" s="112">
        <v>0</v>
      </c>
      <c r="AO100" s="112">
        <v>0</v>
      </c>
      <c r="AP100" s="112">
        <v>0</v>
      </c>
      <c r="AQ100" s="112">
        <v>0</v>
      </c>
      <c r="AR100" s="112">
        <v>0</v>
      </c>
      <c r="AS100" s="112">
        <v>0</v>
      </c>
      <c r="AT100" s="112">
        <v>0</v>
      </c>
      <c r="AU100" s="112">
        <v>0</v>
      </c>
      <c r="AV100" s="112">
        <v>0</v>
      </c>
      <c r="AW100" s="112">
        <v>0</v>
      </c>
      <c r="AX100" s="112">
        <v>0</v>
      </c>
      <c r="AY100" s="112">
        <v>0</v>
      </c>
    </row>
    <row r="101" spans="1:52" x14ac:dyDescent="0.2">
      <c r="A101" s="115"/>
      <c r="B101" s="125">
        <v>2</v>
      </c>
      <c r="C101" s="112">
        <v>0</v>
      </c>
      <c r="D101" s="112">
        <v>0</v>
      </c>
      <c r="E101" s="112">
        <v>0</v>
      </c>
      <c r="F101" s="112">
        <v>0</v>
      </c>
      <c r="G101" s="112">
        <v>0</v>
      </c>
      <c r="H101" s="112">
        <v>0</v>
      </c>
      <c r="I101" s="112">
        <v>0</v>
      </c>
      <c r="J101" s="112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0</v>
      </c>
      <c r="P101" s="112">
        <v>0</v>
      </c>
      <c r="Q101" s="112">
        <v>0</v>
      </c>
      <c r="R101" s="112">
        <v>0</v>
      </c>
      <c r="S101" s="112">
        <v>0</v>
      </c>
      <c r="T101" s="112">
        <v>0</v>
      </c>
      <c r="U101" s="112">
        <v>0</v>
      </c>
      <c r="V101" s="112">
        <v>0</v>
      </c>
      <c r="W101" s="112">
        <v>0</v>
      </c>
      <c r="X101" s="112">
        <v>0</v>
      </c>
      <c r="Y101" s="112">
        <v>0</v>
      </c>
      <c r="Z101" s="112">
        <v>0</v>
      </c>
      <c r="AA101" s="112">
        <v>0</v>
      </c>
      <c r="AB101" s="112">
        <v>0</v>
      </c>
      <c r="AC101" s="112">
        <v>0</v>
      </c>
      <c r="AD101" s="112">
        <v>0</v>
      </c>
      <c r="AE101" s="112">
        <v>0</v>
      </c>
      <c r="AF101" s="112">
        <v>0</v>
      </c>
      <c r="AG101" s="112">
        <v>0</v>
      </c>
      <c r="AH101" s="112">
        <v>0</v>
      </c>
      <c r="AI101" s="112">
        <v>0</v>
      </c>
      <c r="AJ101" s="112">
        <v>0</v>
      </c>
      <c r="AK101" s="112">
        <v>0</v>
      </c>
      <c r="AL101" s="112">
        <v>0</v>
      </c>
      <c r="AM101" s="112">
        <v>0</v>
      </c>
      <c r="AN101" s="112">
        <v>0</v>
      </c>
      <c r="AO101" s="112">
        <v>0</v>
      </c>
      <c r="AP101" s="112">
        <v>0</v>
      </c>
      <c r="AQ101" s="112">
        <v>0</v>
      </c>
      <c r="AR101" s="112">
        <v>0</v>
      </c>
      <c r="AS101" s="112">
        <v>0</v>
      </c>
      <c r="AT101" s="112">
        <v>0</v>
      </c>
      <c r="AU101" s="112">
        <v>0</v>
      </c>
      <c r="AV101" s="112">
        <v>0</v>
      </c>
      <c r="AW101" s="112">
        <v>0</v>
      </c>
      <c r="AX101" s="112">
        <v>0</v>
      </c>
      <c r="AY101" s="112">
        <v>0</v>
      </c>
    </row>
    <row r="102" spans="1:52" x14ac:dyDescent="0.2">
      <c r="A102" s="115"/>
      <c r="B102" s="126">
        <v>3</v>
      </c>
      <c r="C102" s="112">
        <v>0</v>
      </c>
      <c r="D102" s="112">
        <v>0</v>
      </c>
      <c r="E102" s="112">
        <v>0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1489.4197993671407</v>
      </c>
      <c r="D109" s="112">
        <v>1515.3604919072761</v>
      </c>
      <c r="E109" s="112">
        <v>1783.6190640785321</v>
      </c>
      <c r="F109" s="112">
        <v>1976.6212759525388</v>
      </c>
      <c r="G109" s="112">
        <v>2103.2506412398429</v>
      </c>
      <c r="H109" s="112">
        <v>2195.0058393141931</v>
      </c>
      <c r="I109" s="112">
        <v>2189.9960719421315</v>
      </c>
      <c r="J109" s="112">
        <v>2129.6328961017107</v>
      </c>
      <c r="K109" s="112">
        <v>2122.2472073129943</v>
      </c>
      <c r="L109" s="112">
        <v>2110.2858794851354</v>
      </c>
      <c r="M109" s="112">
        <v>2075.1800093227534</v>
      </c>
      <c r="N109" s="112">
        <v>2124.1013559876469</v>
      </c>
      <c r="O109" s="112">
        <v>2154.8677347169551</v>
      </c>
      <c r="P109" s="112">
        <v>2177.7117527865462</v>
      </c>
      <c r="Q109" s="112">
        <v>2268.7891521890424</v>
      </c>
      <c r="R109" s="112">
        <v>2329.0000463485608</v>
      </c>
      <c r="S109" s="112">
        <v>2375.6580892580996</v>
      </c>
      <c r="T109" s="112">
        <v>2408.9155380729571</v>
      </c>
      <c r="U109" s="112">
        <v>2324.3390357567746</v>
      </c>
      <c r="V109" s="112">
        <v>2234.6886381603367</v>
      </c>
      <c r="W109" s="112">
        <v>2191.2097426150317</v>
      </c>
      <c r="X109" s="112">
        <v>2176.2292944722781</v>
      </c>
      <c r="Y109" s="112">
        <v>2157.9386199823944</v>
      </c>
      <c r="Z109" s="112">
        <v>1979.1677724435453</v>
      </c>
      <c r="AA109" s="112">
        <v>1865.3290355755062</v>
      </c>
      <c r="AB109" s="112">
        <v>1776.507602488165</v>
      </c>
      <c r="AC109" s="112">
        <v>1777.3088858549395</v>
      </c>
      <c r="AD109" s="112">
        <v>1718.4023424395016</v>
      </c>
      <c r="AE109" s="112">
        <v>1680.9515317910161</v>
      </c>
      <c r="AF109" s="112">
        <v>1632.6087369692534</v>
      </c>
      <c r="AG109" s="112">
        <v>1532.9695376286231</v>
      </c>
      <c r="AH109" s="112">
        <v>1744.7123025414173</v>
      </c>
      <c r="AI109" s="112">
        <v>1878.3113240453774</v>
      </c>
      <c r="AJ109" s="112">
        <v>1982.5526046159314</v>
      </c>
      <c r="AK109" s="112">
        <v>2047.344738781296</v>
      </c>
      <c r="AL109" s="112">
        <v>2111.0925060205777</v>
      </c>
      <c r="AM109" s="112">
        <v>2139.3826907882894</v>
      </c>
      <c r="AN109" s="112">
        <v>2166.4913437634018</v>
      </c>
      <c r="AO109" s="112">
        <v>2276.3568808637483</v>
      </c>
      <c r="AP109" s="112">
        <v>2297.5795306254654</v>
      </c>
      <c r="AQ109" s="112">
        <v>2332.7864390843879</v>
      </c>
      <c r="AR109" s="112">
        <v>2322.2193874164991</v>
      </c>
      <c r="AS109" s="112">
        <v>2260.1422888696061</v>
      </c>
      <c r="AT109" s="112">
        <v>2206.8993347243113</v>
      </c>
      <c r="AU109" s="112">
        <v>2124.2551191903108</v>
      </c>
      <c r="AV109" s="112">
        <v>2096.042807390229</v>
      </c>
      <c r="AW109" s="112">
        <v>2048.6107237610181</v>
      </c>
      <c r="AX109" s="112">
        <v>2089.9775563531266</v>
      </c>
      <c r="AY109" s="112">
        <v>2122.4304507808142</v>
      </c>
    </row>
    <row r="110" spans="1:52" x14ac:dyDescent="0.2">
      <c r="A110" s="115"/>
      <c r="B110" s="125">
        <v>2</v>
      </c>
      <c r="C110" s="112">
        <v>1452.8594536178125</v>
      </c>
      <c r="D110" s="112">
        <v>1489.4197993671407</v>
      </c>
      <c r="E110" s="112">
        <v>1515.3604919072761</v>
      </c>
      <c r="F110" s="112">
        <v>1783.6190640785321</v>
      </c>
      <c r="G110" s="112">
        <v>1976.6212759525388</v>
      </c>
      <c r="H110" s="112">
        <v>2103.2506412398429</v>
      </c>
      <c r="I110" s="112">
        <v>2195.0058393141931</v>
      </c>
      <c r="J110" s="112">
        <v>2189.9960719421315</v>
      </c>
      <c r="K110" s="112">
        <v>2129.6328961017107</v>
      </c>
      <c r="L110" s="112">
        <v>2122.2472073129943</v>
      </c>
      <c r="M110" s="112">
        <v>2110.2858794851354</v>
      </c>
      <c r="N110" s="112">
        <v>2075.1800093227534</v>
      </c>
      <c r="O110" s="112">
        <v>2124.1013559876469</v>
      </c>
      <c r="P110" s="112">
        <v>2154.8677347169551</v>
      </c>
      <c r="Q110" s="112">
        <v>2177.7117527865462</v>
      </c>
      <c r="R110" s="112">
        <v>2268.7891521890424</v>
      </c>
      <c r="S110" s="112">
        <v>2329.0000463485608</v>
      </c>
      <c r="T110" s="112">
        <v>2375.6580892580996</v>
      </c>
      <c r="U110" s="112">
        <v>2408.9155380729571</v>
      </c>
      <c r="V110" s="112">
        <v>2324.3390357567746</v>
      </c>
      <c r="W110" s="112">
        <v>2234.6886381603367</v>
      </c>
      <c r="X110" s="112">
        <v>2191.2097426150317</v>
      </c>
      <c r="Y110" s="112">
        <v>2176.2292944722781</v>
      </c>
      <c r="Z110" s="112">
        <v>2157.9386199823944</v>
      </c>
      <c r="AA110" s="112">
        <v>1979.1677724435453</v>
      </c>
      <c r="AB110" s="112">
        <v>1865.3290355755062</v>
      </c>
      <c r="AC110" s="112">
        <v>1776.507602488165</v>
      </c>
      <c r="AD110" s="112">
        <v>1777.3088858549395</v>
      </c>
      <c r="AE110" s="112">
        <v>1718.4023424395016</v>
      </c>
      <c r="AF110" s="112">
        <v>1680.9515317910161</v>
      </c>
      <c r="AG110" s="112">
        <v>1632.6087369692534</v>
      </c>
      <c r="AH110" s="112">
        <v>1532.9695376286231</v>
      </c>
      <c r="AI110" s="112">
        <v>1744.7123025414173</v>
      </c>
      <c r="AJ110" s="112">
        <v>1878.3113240453774</v>
      </c>
      <c r="AK110" s="112">
        <v>1982.5526046159314</v>
      </c>
      <c r="AL110" s="112">
        <v>2047.344738781296</v>
      </c>
      <c r="AM110" s="112">
        <v>2111.0925060205777</v>
      </c>
      <c r="AN110" s="112">
        <v>2139.3826907882894</v>
      </c>
      <c r="AO110" s="112">
        <v>2166.4913437634018</v>
      </c>
      <c r="AP110" s="112">
        <v>2276.3568808637483</v>
      </c>
      <c r="AQ110" s="112">
        <v>2297.5795306254654</v>
      </c>
      <c r="AR110" s="112">
        <v>2332.7864390843879</v>
      </c>
      <c r="AS110" s="112">
        <v>2322.2193874164991</v>
      </c>
      <c r="AT110" s="112">
        <v>2260.1422888696061</v>
      </c>
      <c r="AU110" s="112">
        <v>2206.8993347243113</v>
      </c>
      <c r="AV110" s="112">
        <v>2124.2551191903108</v>
      </c>
      <c r="AW110" s="112">
        <v>2096.042807390229</v>
      </c>
      <c r="AX110" s="112">
        <v>2048.6107237610181</v>
      </c>
      <c r="AY110" s="112">
        <v>2089.9775563531266</v>
      </c>
    </row>
    <row r="111" spans="1:52" x14ac:dyDescent="0.2">
      <c r="A111" s="115"/>
      <c r="B111" s="125">
        <v>3</v>
      </c>
      <c r="C111" s="112">
        <v>1377.3181376112773</v>
      </c>
      <c r="D111" s="112">
        <v>1452.8594536178125</v>
      </c>
      <c r="E111" s="112">
        <v>1489.4197993671407</v>
      </c>
      <c r="F111" s="112">
        <v>1515.3604919072761</v>
      </c>
      <c r="G111" s="112">
        <v>1783.6190640785321</v>
      </c>
      <c r="H111" s="112">
        <v>1976.6212759525388</v>
      </c>
      <c r="I111" s="112">
        <v>2103.2506412398429</v>
      </c>
      <c r="J111" s="112">
        <v>2195.0058393141931</v>
      </c>
      <c r="K111" s="112">
        <v>2189.9960719421315</v>
      </c>
      <c r="L111" s="112">
        <v>2129.6328961017107</v>
      </c>
      <c r="M111" s="112">
        <v>2122.2472073129943</v>
      </c>
      <c r="N111" s="112">
        <v>2110.2858794851354</v>
      </c>
      <c r="O111" s="112">
        <v>2075.1800093227534</v>
      </c>
      <c r="P111" s="112">
        <v>2124.1013559876469</v>
      </c>
      <c r="Q111" s="112">
        <v>2154.8677347169551</v>
      </c>
      <c r="R111" s="112">
        <v>2177.7117527865462</v>
      </c>
      <c r="S111" s="112">
        <v>2268.7891521890424</v>
      </c>
      <c r="T111" s="112">
        <v>2329.0000463485608</v>
      </c>
      <c r="U111" s="112">
        <v>2375.6580892580996</v>
      </c>
      <c r="V111" s="112">
        <v>2408.9155380729571</v>
      </c>
      <c r="W111" s="112">
        <v>2324.3390357567746</v>
      </c>
      <c r="X111" s="112">
        <v>2234.6886381603367</v>
      </c>
      <c r="Y111" s="112">
        <v>2191.2097426150317</v>
      </c>
      <c r="Z111" s="112">
        <v>2176.2292944722781</v>
      </c>
      <c r="AA111" s="112">
        <v>2157.9386199823944</v>
      </c>
      <c r="AB111" s="112">
        <v>1979.1677724435453</v>
      </c>
      <c r="AC111" s="112">
        <v>1865.3290355755062</v>
      </c>
      <c r="AD111" s="112">
        <v>1776.507602488165</v>
      </c>
      <c r="AE111" s="112">
        <v>1777.3088858549395</v>
      </c>
      <c r="AF111" s="112">
        <v>1718.4023424395016</v>
      </c>
      <c r="AG111" s="112">
        <v>1680.9515317910161</v>
      </c>
      <c r="AH111" s="112">
        <v>1632.6087369692534</v>
      </c>
      <c r="AI111" s="112">
        <v>1532.9695376286231</v>
      </c>
      <c r="AJ111" s="112">
        <v>1744.7123025414173</v>
      </c>
      <c r="AK111" s="112">
        <v>1878.3113240453774</v>
      </c>
      <c r="AL111" s="112">
        <v>1982.5526046159314</v>
      </c>
      <c r="AM111" s="112">
        <v>2047.344738781296</v>
      </c>
      <c r="AN111" s="112">
        <v>2111.0925060205777</v>
      </c>
      <c r="AO111" s="112">
        <v>2139.3826907882894</v>
      </c>
      <c r="AP111" s="112">
        <v>2166.4913437634018</v>
      </c>
      <c r="AQ111" s="112">
        <v>2276.3568808637483</v>
      </c>
      <c r="AR111" s="112">
        <v>2297.5795306254654</v>
      </c>
      <c r="AS111" s="112">
        <v>2332.7864390843879</v>
      </c>
      <c r="AT111" s="112">
        <v>2322.2193874164991</v>
      </c>
      <c r="AU111" s="112">
        <v>2260.1422888696061</v>
      </c>
      <c r="AV111" s="112">
        <v>2206.8993347243113</v>
      </c>
      <c r="AW111" s="112">
        <v>2124.2551191903108</v>
      </c>
      <c r="AX111" s="112">
        <v>2096.042807390229</v>
      </c>
      <c r="AY111" s="112">
        <v>2048.6107237610181</v>
      </c>
    </row>
    <row r="112" spans="1:52" x14ac:dyDescent="0.2">
      <c r="A112" s="115"/>
      <c r="B112" s="126">
        <v>4</v>
      </c>
      <c r="C112" s="112">
        <v>1412.934044983017</v>
      </c>
      <c r="D112" s="112">
        <v>1377.3181376112773</v>
      </c>
      <c r="E112" s="112">
        <v>1452.8594536178125</v>
      </c>
      <c r="F112" s="112">
        <v>1489.4197993671407</v>
      </c>
      <c r="G112" s="112">
        <v>1515.3604919072761</v>
      </c>
      <c r="H112" s="112">
        <v>1783.6190640785321</v>
      </c>
      <c r="I112" s="112">
        <v>1976.6212759525388</v>
      </c>
      <c r="J112" s="112">
        <v>2103.2506412398429</v>
      </c>
      <c r="K112" s="112">
        <v>2195.0058393141931</v>
      </c>
      <c r="L112" s="112">
        <v>2189.9960719421315</v>
      </c>
      <c r="M112" s="112">
        <v>2129.6328961017107</v>
      </c>
      <c r="N112" s="112">
        <v>2122.2472073129943</v>
      </c>
      <c r="O112" s="112">
        <v>2110.2858794851354</v>
      </c>
      <c r="P112" s="112">
        <v>2075.1800093227534</v>
      </c>
      <c r="Q112" s="112">
        <v>2124.1013559876469</v>
      </c>
      <c r="R112" s="112">
        <v>2154.8677347169551</v>
      </c>
      <c r="S112" s="112">
        <v>2177.7117527865462</v>
      </c>
      <c r="T112" s="112">
        <v>2268.7891521890424</v>
      </c>
      <c r="U112" s="112">
        <v>2329.0000463485608</v>
      </c>
      <c r="V112" s="112">
        <v>2375.6580892580996</v>
      </c>
      <c r="W112" s="112">
        <v>2408.9155380729571</v>
      </c>
      <c r="X112" s="112">
        <v>2324.3390357567746</v>
      </c>
      <c r="Y112" s="112">
        <v>2234.6886381603367</v>
      </c>
      <c r="Z112" s="112">
        <v>2191.2097426150317</v>
      </c>
      <c r="AA112" s="112">
        <v>2176.2292944722781</v>
      </c>
      <c r="AB112" s="112">
        <v>2157.9386199823944</v>
      </c>
      <c r="AC112" s="112">
        <v>1979.1677724435453</v>
      </c>
      <c r="AD112" s="112">
        <v>1865.3290355755062</v>
      </c>
      <c r="AE112" s="112">
        <v>1776.507602488165</v>
      </c>
      <c r="AF112" s="112">
        <v>1777.3088858549395</v>
      </c>
      <c r="AG112" s="112">
        <v>1718.4023424395016</v>
      </c>
      <c r="AH112" s="112">
        <v>1680.9515317910161</v>
      </c>
      <c r="AI112" s="112">
        <v>1632.6087369692534</v>
      </c>
      <c r="AJ112" s="112">
        <v>1532.9695376286231</v>
      </c>
      <c r="AK112" s="112">
        <v>1744.7123025414173</v>
      </c>
      <c r="AL112" s="112">
        <v>1878.3113240453774</v>
      </c>
      <c r="AM112" s="112">
        <v>1982.5526046159314</v>
      </c>
      <c r="AN112" s="112">
        <v>2047.344738781296</v>
      </c>
      <c r="AO112" s="112">
        <v>2111.0925060205777</v>
      </c>
      <c r="AP112" s="112">
        <v>2139.3826907882894</v>
      </c>
      <c r="AQ112" s="112">
        <v>2166.4913437634018</v>
      </c>
      <c r="AR112" s="112">
        <v>2276.3568808637483</v>
      </c>
      <c r="AS112" s="112">
        <v>2297.5795306254654</v>
      </c>
      <c r="AT112" s="112">
        <v>2332.7864390843879</v>
      </c>
      <c r="AU112" s="112">
        <v>2322.2193874164991</v>
      </c>
      <c r="AV112" s="112">
        <v>2260.1422888696061</v>
      </c>
      <c r="AW112" s="112">
        <v>2206.8993347243113</v>
      </c>
      <c r="AX112" s="112">
        <v>2124.2551191903108</v>
      </c>
      <c r="AY112" s="112">
        <v>2096.042807390229</v>
      </c>
    </row>
    <row r="113" spans="1:52" x14ac:dyDescent="0.2">
      <c r="A113" s="115"/>
      <c r="B113" s="126">
        <v>5</v>
      </c>
      <c r="C113" s="112">
        <v>1440.4223210306884</v>
      </c>
      <c r="D113" s="112">
        <v>1412.934044983017</v>
      </c>
      <c r="E113" s="112">
        <v>1377.3181376112773</v>
      </c>
      <c r="F113" s="112">
        <v>1452.8594536178125</v>
      </c>
      <c r="G113" s="112">
        <v>1489.4197993671407</v>
      </c>
      <c r="H113" s="112">
        <v>1515.3604919072761</v>
      </c>
      <c r="I113" s="112">
        <v>1783.6190640785321</v>
      </c>
      <c r="J113" s="112">
        <v>1976.6212759525388</v>
      </c>
      <c r="K113" s="112">
        <v>2103.2506412398429</v>
      </c>
      <c r="L113" s="112">
        <v>2195.0058393141931</v>
      </c>
      <c r="M113" s="112">
        <v>2189.9960719421315</v>
      </c>
      <c r="N113" s="112">
        <v>2129.6328961017107</v>
      </c>
      <c r="O113" s="112">
        <v>2122.2472073129943</v>
      </c>
      <c r="P113" s="112">
        <v>2110.2858794851354</v>
      </c>
      <c r="Q113" s="112">
        <v>2075.1800093227534</v>
      </c>
      <c r="R113" s="112">
        <v>2124.1013559876469</v>
      </c>
      <c r="S113" s="112">
        <v>2154.8677347169551</v>
      </c>
      <c r="T113" s="112">
        <v>2177.7117527865462</v>
      </c>
      <c r="U113" s="112">
        <v>2268.7891521890424</v>
      </c>
      <c r="V113" s="112">
        <v>2329.0000463485608</v>
      </c>
      <c r="W113" s="112">
        <v>2375.6580892580996</v>
      </c>
      <c r="X113" s="112">
        <v>2408.9155380729571</v>
      </c>
      <c r="Y113" s="112">
        <v>2324.3390357567746</v>
      </c>
      <c r="Z113" s="112">
        <v>2234.6886381603367</v>
      </c>
      <c r="AA113" s="112">
        <v>2191.2097426150317</v>
      </c>
      <c r="AB113" s="112">
        <v>2176.2292944722781</v>
      </c>
      <c r="AC113" s="112">
        <v>2157.9386199823944</v>
      </c>
      <c r="AD113" s="112">
        <v>1979.1677724435453</v>
      </c>
      <c r="AE113" s="112">
        <v>1865.3290355755062</v>
      </c>
      <c r="AF113" s="112">
        <v>1776.507602488165</v>
      </c>
      <c r="AG113" s="112">
        <v>1777.3088858549395</v>
      </c>
      <c r="AH113" s="112">
        <v>1718.4023424395016</v>
      </c>
      <c r="AI113" s="112">
        <v>1680.9515317910161</v>
      </c>
      <c r="AJ113" s="112">
        <v>1632.6087369692534</v>
      </c>
      <c r="AK113" s="112">
        <v>1532.9695376286231</v>
      </c>
      <c r="AL113" s="112">
        <v>1744.7123025414173</v>
      </c>
      <c r="AM113" s="112">
        <v>1878.3113240453774</v>
      </c>
      <c r="AN113" s="112">
        <v>1982.5526046159314</v>
      </c>
      <c r="AO113" s="112">
        <v>2047.344738781296</v>
      </c>
      <c r="AP113" s="112">
        <v>2111.0925060205777</v>
      </c>
      <c r="AQ113" s="112">
        <v>2139.3826907882894</v>
      </c>
      <c r="AR113" s="112">
        <v>2166.4913437634018</v>
      </c>
      <c r="AS113" s="112">
        <v>2276.3568808637483</v>
      </c>
      <c r="AT113" s="112">
        <v>2297.5795306254654</v>
      </c>
      <c r="AU113" s="112">
        <v>2332.7864390843879</v>
      </c>
      <c r="AV113" s="112">
        <v>2322.2193874164991</v>
      </c>
      <c r="AW113" s="112">
        <v>2260.1422888696061</v>
      </c>
      <c r="AX113" s="112">
        <v>2206.8993347243113</v>
      </c>
      <c r="AY113" s="112">
        <v>2124.2551191903108</v>
      </c>
    </row>
    <row r="114" spans="1:52" x14ac:dyDescent="0.2">
      <c r="A114" s="115"/>
      <c r="B114" s="126">
        <v>6</v>
      </c>
      <c r="C114" s="112">
        <v>1484.4395506692026</v>
      </c>
      <c r="D114" s="112">
        <v>1440.4223210306884</v>
      </c>
      <c r="E114" s="112">
        <v>1412.934044983017</v>
      </c>
      <c r="F114" s="112">
        <v>1377.3181376112773</v>
      </c>
      <c r="G114" s="112">
        <v>1452.8594536178125</v>
      </c>
      <c r="H114" s="112">
        <v>1489.4197993671407</v>
      </c>
      <c r="I114" s="112">
        <v>1515.3604919072761</v>
      </c>
      <c r="J114" s="112">
        <v>1783.6190640785321</v>
      </c>
      <c r="K114" s="112">
        <v>1976.6212759525388</v>
      </c>
      <c r="L114" s="112">
        <v>2103.2506412398429</v>
      </c>
      <c r="M114" s="112">
        <v>2195.0058393141931</v>
      </c>
      <c r="N114" s="112">
        <v>2189.9960719421315</v>
      </c>
      <c r="O114" s="112">
        <v>2129.6328961017107</v>
      </c>
      <c r="P114" s="112">
        <v>2122.2472073129943</v>
      </c>
      <c r="Q114" s="112">
        <v>2110.2858794851354</v>
      </c>
      <c r="R114" s="112">
        <v>2075.1800093227534</v>
      </c>
      <c r="S114" s="112">
        <v>2124.1013559876469</v>
      </c>
      <c r="T114" s="112">
        <v>2154.8677347169551</v>
      </c>
      <c r="U114" s="112">
        <v>2177.7117527865462</v>
      </c>
      <c r="V114" s="112">
        <v>2268.7891521890424</v>
      </c>
      <c r="W114" s="112">
        <v>2329.0000463485608</v>
      </c>
      <c r="X114" s="112">
        <v>2375.6580892580996</v>
      </c>
      <c r="Y114" s="112">
        <v>2408.9155380729571</v>
      </c>
      <c r="Z114" s="112">
        <v>2324.3390357567746</v>
      </c>
      <c r="AA114" s="112">
        <v>2234.6886381603367</v>
      </c>
      <c r="AB114" s="112">
        <v>2191.2097426150317</v>
      </c>
      <c r="AC114" s="112">
        <v>2176.2292944722781</v>
      </c>
      <c r="AD114" s="112">
        <v>2157.9386199823944</v>
      </c>
      <c r="AE114" s="112">
        <v>1979.1677724435453</v>
      </c>
      <c r="AF114" s="112">
        <v>1865.3290355755062</v>
      </c>
      <c r="AG114" s="112">
        <v>1776.507602488165</v>
      </c>
      <c r="AH114" s="112">
        <v>1777.3088858549395</v>
      </c>
      <c r="AI114" s="112">
        <v>1718.4023424395016</v>
      </c>
      <c r="AJ114" s="112">
        <v>1680.9515317910161</v>
      </c>
      <c r="AK114" s="112">
        <v>1632.6087369692534</v>
      </c>
      <c r="AL114" s="112">
        <v>1532.9695376286231</v>
      </c>
      <c r="AM114" s="112">
        <v>1744.7123025414173</v>
      </c>
      <c r="AN114" s="112">
        <v>1878.3113240453774</v>
      </c>
      <c r="AO114" s="112">
        <v>1982.5526046159314</v>
      </c>
      <c r="AP114" s="112">
        <v>2047.344738781296</v>
      </c>
      <c r="AQ114" s="112">
        <v>2111.0925060205777</v>
      </c>
      <c r="AR114" s="112">
        <v>2139.3826907882894</v>
      </c>
      <c r="AS114" s="112">
        <v>2166.4913437634018</v>
      </c>
      <c r="AT114" s="112">
        <v>2276.3568808637483</v>
      </c>
      <c r="AU114" s="112">
        <v>2297.5795306254654</v>
      </c>
      <c r="AV114" s="112">
        <v>2332.7864390843879</v>
      </c>
      <c r="AW114" s="112">
        <v>2322.2193874164991</v>
      </c>
      <c r="AX114" s="112">
        <v>2260.1422888696061</v>
      </c>
      <c r="AY114" s="112">
        <v>2206.8993347243113</v>
      </c>
    </row>
    <row r="115" spans="1:52" x14ac:dyDescent="0.2">
      <c r="A115" s="115"/>
      <c r="B115" s="133">
        <v>7</v>
      </c>
      <c r="C115" s="112">
        <v>1596.877437658803</v>
      </c>
      <c r="D115" s="112">
        <v>1484.4395506692026</v>
      </c>
      <c r="E115" s="112">
        <v>1440.4223210306884</v>
      </c>
      <c r="F115" s="112">
        <v>1412.934044983017</v>
      </c>
      <c r="G115" s="112">
        <v>1377.3181376112773</v>
      </c>
      <c r="H115" s="112">
        <v>1452.8594536178125</v>
      </c>
      <c r="I115" s="112">
        <v>1489.4197993671407</v>
      </c>
      <c r="J115" s="112">
        <v>1515.3604919072761</v>
      </c>
      <c r="K115" s="112">
        <v>1783.6190640785321</v>
      </c>
      <c r="L115" s="112">
        <v>1976.6212759525388</v>
      </c>
      <c r="M115" s="112">
        <v>2103.2506412398429</v>
      </c>
      <c r="N115" s="112">
        <v>2195.0058393141931</v>
      </c>
      <c r="O115" s="112">
        <v>2189.9960719421315</v>
      </c>
      <c r="P115" s="112">
        <v>2129.6328961017107</v>
      </c>
      <c r="Q115" s="112">
        <v>2122.2472073129943</v>
      </c>
      <c r="R115" s="112">
        <v>2110.2858794851354</v>
      </c>
      <c r="S115" s="112">
        <v>2075.1800093227534</v>
      </c>
      <c r="T115" s="112">
        <v>2124.1013559876469</v>
      </c>
      <c r="U115" s="112">
        <v>2154.8677347169551</v>
      </c>
      <c r="V115" s="112">
        <v>2177.7117527865462</v>
      </c>
      <c r="W115" s="112">
        <v>2268.7891521890424</v>
      </c>
      <c r="X115" s="112">
        <v>2329.0000463485608</v>
      </c>
      <c r="Y115" s="112">
        <v>2375.6580892580996</v>
      </c>
      <c r="Z115" s="112">
        <v>2408.9155380729571</v>
      </c>
      <c r="AA115" s="112">
        <v>2324.3390357567746</v>
      </c>
      <c r="AB115" s="112">
        <v>2234.6886381603367</v>
      </c>
      <c r="AC115" s="112">
        <v>2191.2097426150317</v>
      </c>
      <c r="AD115" s="112">
        <v>2176.2292944722781</v>
      </c>
      <c r="AE115" s="112">
        <v>2157.9386199823944</v>
      </c>
      <c r="AF115" s="112">
        <v>1979.1677724435453</v>
      </c>
      <c r="AG115" s="112">
        <v>1865.3290355755062</v>
      </c>
      <c r="AH115" s="112">
        <v>1776.507602488165</v>
      </c>
      <c r="AI115" s="112">
        <v>1777.3088858549395</v>
      </c>
      <c r="AJ115" s="112">
        <v>1718.4023424395016</v>
      </c>
      <c r="AK115" s="112">
        <v>1680.9515317910161</v>
      </c>
      <c r="AL115" s="112">
        <v>1632.6087369692534</v>
      </c>
      <c r="AM115" s="112">
        <v>1532.9695376286231</v>
      </c>
      <c r="AN115" s="112">
        <v>1744.7123025414173</v>
      </c>
      <c r="AO115" s="112">
        <v>1878.3113240453774</v>
      </c>
      <c r="AP115" s="112">
        <v>1982.5526046159314</v>
      </c>
      <c r="AQ115" s="112">
        <v>2047.344738781296</v>
      </c>
      <c r="AR115" s="112">
        <v>2111.0925060205777</v>
      </c>
      <c r="AS115" s="112">
        <v>2139.3826907882894</v>
      </c>
      <c r="AT115" s="112">
        <v>2166.4913437634018</v>
      </c>
      <c r="AU115" s="112">
        <v>2276.3568808637483</v>
      </c>
      <c r="AV115" s="112">
        <v>2297.5795306254654</v>
      </c>
      <c r="AW115" s="112">
        <v>2332.7864390843879</v>
      </c>
      <c r="AX115" s="112">
        <v>2322.2193874164991</v>
      </c>
      <c r="AY115" s="112">
        <v>2260.1422888696061</v>
      </c>
    </row>
    <row r="116" spans="1:52" x14ac:dyDescent="0.2">
      <c r="A116" s="115"/>
      <c r="B116" s="133">
        <v>8</v>
      </c>
      <c r="C116" s="112">
        <v>1663.1121934377948</v>
      </c>
      <c r="D116" s="112">
        <v>1596.877437658803</v>
      </c>
      <c r="E116" s="112">
        <v>1484.4395506692026</v>
      </c>
      <c r="F116" s="112">
        <v>1440.4223210306884</v>
      </c>
      <c r="G116" s="112">
        <v>1412.934044983017</v>
      </c>
      <c r="H116" s="112">
        <v>1377.3181376112773</v>
      </c>
      <c r="I116" s="112">
        <v>1452.8594536178125</v>
      </c>
      <c r="J116" s="112">
        <v>1489.4197993671407</v>
      </c>
      <c r="K116" s="112">
        <v>1515.3604919072761</v>
      </c>
      <c r="L116" s="112">
        <v>1783.6190640785321</v>
      </c>
      <c r="M116" s="112">
        <v>1976.6212759525388</v>
      </c>
      <c r="N116" s="112">
        <v>2103.2506412398429</v>
      </c>
      <c r="O116" s="112">
        <v>2195.0058393141931</v>
      </c>
      <c r="P116" s="112">
        <v>2189.9960719421315</v>
      </c>
      <c r="Q116" s="112">
        <v>2129.6328961017107</v>
      </c>
      <c r="R116" s="112">
        <v>2122.2472073129943</v>
      </c>
      <c r="S116" s="112">
        <v>2110.2858794851354</v>
      </c>
      <c r="T116" s="112">
        <v>2075.1800093227534</v>
      </c>
      <c r="U116" s="112">
        <v>2124.1013559876469</v>
      </c>
      <c r="V116" s="112">
        <v>2154.8677347169551</v>
      </c>
      <c r="W116" s="112">
        <v>2177.7117527865462</v>
      </c>
      <c r="X116" s="112">
        <v>2268.7891521890424</v>
      </c>
      <c r="Y116" s="112">
        <v>2329.0000463485608</v>
      </c>
      <c r="Z116" s="112">
        <v>2375.6580892580996</v>
      </c>
      <c r="AA116" s="112">
        <v>2408.9155380729571</v>
      </c>
      <c r="AB116" s="112">
        <v>2324.3390357567746</v>
      </c>
      <c r="AC116" s="112">
        <v>2234.6886381603367</v>
      </c>
      <c r="AD116" s="112">
        <v>2191.2097426150317</v>
      </c>
      <c r="AE116" s="112">
        <v>2176.2292944722781</v>
      </c>
      <c r="AF116" s="112">
        <v>2157.9386199823944</v>
      </c>
      <c r="AG116" s="112">
        <v>1979.1677724435453</v>
      </c>
      <c r="AH116" s="112">
        <v>1865.3290355755062</v>
      </c>
      <c r="AI116" s="112">
        <v>1776.507602488165</v>
      </c>
      <c r="AJ116" s="112">
        <v>1777.3088858549395</v>
      </c>
      <c r="AK116" s="112">
        <v>1718.4023424395016</v>
      </c>
      <c r="AL116" s="112">
        <v>1680.9515317910161</v>
      </c>
      <c r="AM116" s="112">
        <v>1632.6087369692534</v>
      </c>
      <c r="AN116" s="112">
        <v>1532.9695376286231</v>
      </c>
      <c r="AO116" s="112">
        <v>1744.7123025414173</v>
      </c>
      <c r="AP116" s="112">
        <v>1878.3113240453774</v>
      </c>
      <c r="AQ116" s="112">
        <v>1982.5526046159314</v>
      </c>
      <c r="AR116" s="112">
        <v>2047.344738781296</v>
      </c>
      <c r="AS116" s="112">
        <v>2111.0925060205777</v>
      </c>
      <c r="AT116" s="112">
        <v>2139.3826907882894</v>
      </c>
      <c r="AU116" s="112">
        <v>2166.4913437634018</v>
      </c>
      <c r="AV116" s="112">
        <v>2276.3568808637483</v>
      </c>
      <c r="AW116" s="112">
        <v>2297.5795306254654</v>
      </c>
      <c r="AX116" s="112">
        <v>2332.7864390843879</v>
      </c>
      <c r="AY116" s="112">
        <v>2322.2193874164991</v>
      </c>
    </row>
    <row r="117" spans="1:52" x14ac:dyDescent="0.2">
      <c r="A117" s="115"/>
      <c r="B117" s="133">
        <v>9</v>
      </c>
      <c r="C117" s="112">
        <v>1649.3531184112846</v>
      </c>
      <c r="D117" s="112">
        <v>1663.1121934377948</v>
      </c>
      <c r="E117" s="112">
        <v>1596.877437658803</v>
      </c>
      <c r="F117" s="112">
        <v>1484.4395506692026</v>
      </c>
      <c r="G117" s="112">
        <v>1440.4223210306884</v>
      </c>
      <c r="H117" s="112">
        <v>1412.934044983017</v>
      </c>
      <c r="I117" s="112">
        <v>1377.3181376112773</v>
      </c>
      <c r="J117" s="112">
        <v>1452.8594536178125</v>
      </c>
      <c r="K117" s="112">
        <v>1489.4197993671407</v>
      </c>
      <c r="L117" s="112">
        <v>1515.3604919072761</v>
      </c>
      <c r="M117" s="112">
        <v>1783.6190640785321</v>
      </c>
      <c r="N117" s="112">
        <v>1976.6212759525388</v>
      </c>
      <c r="O117" s="112">
        <v>2103.2506412398429</v>
      </c>
      <c r="P117" s="112">
        <v>2195.0058393141931</v>
      </c>
      <c r="Q117" s="112">
        <v>2189.9960719421315</v>
      </c>
      <c r="R117" s="112">
        <v>2129.6328961017107</v>
      </c>
      <c r="S117" s="112">
        <v>2122.2472073129943</v>
      </c>
      <c r="T117" s="112">
        <v>2110.2858794851354</v>
      </c>
      <c r="U117" s="112">
        <v>2075.1800093227534</v>
      </c>
      <c r="V117" s="112">
        <v>2124.1013559876469</v>
      </c>
      <c r="W117" s="112">
        <v>2154.8677347169551</v>
      </c>
      <c r="X117" s="112">
        <v>2177.7117527865462</v>
      </c>
      <c r="Y117" s="112">
        <v>2268.7891521890424</v>
      </c>
      <c r="Z117" s="112">
        <v>2329.0000463485608</v>
      </c>
      <c r="AA117" s="112">
        <v>2375.6580892580996</v>
      </c>
      <c r="AB117" s="112">
        <v>2408.9155380729571</v>
      </c>
      <c r="AC117" s="112">
        <v>2324.3390357567746</v>
      </c>
      <c r="AD117" s="112">
        <v>2234.6886381603367</v>
      </c>
      <c r="AE117" s="112">
        <v>2191.2097426150317</v>
      </c>
      <c r="AF117" s="112">
        <v>2176.2292944722781</v>
      </c>
      <c r="AG117" s="112">
        <v>2157.9386199823944</v>
      </c>
      <c r="AH117" s="112">
        <v>1979.1677724435453</v>
      </c>
      <c r="AI117" s="112">
        <v>1865.3290355755062</v>
      </c>
      <c r="AJ117" s="112">
        <v>1776.507602488165</v>
      </c>
      <c r="AK117" s="112">
        <v>1777.3088858549395</v>
      </c>
      <c r="AL117" s="112">
        <v>1718.4023424395016</v>
      </c>
      <c r="AM117" s="112">
        <v>1680.9515317910161</v>
      </c>
      <c r="AN117" s="112">
        <v>1632.6087369692534</v>
      </c>
      <c r="AO117" s="112">
        <v>1532.9695376286231</v>
      </c>
      <c r="AP117" s="112">
        <v>1744.7123025414173</v>
      </c>
      <c r="AQ117" s="112">
        <v>1878.3113240453774</v>
      </c>
      <c r="AR117" s="112">
        <v>1982.5526046159314</v>
      </c>
      <c r="AS117" s="112">
        <v>2047.344738781296</v>
      </c>
      <c r="AT117" s="112">
        <v>2111.0925060205777</v>
      </c>
      <c r="AU117" s="112">
        <v>2139.3826907882894</v>
      </c>
      <c r="AV117" s="112">
        <v>2166.4913437634018</v>
      </c>
      <c r="AW117" s="112">
        <v>2276.3568808637483</v>
      </c>
      <c r="AX117" s="112">
        <v>2297.5795306254654</v>
      </c>
      <c r="AY117" s="112">
        <v>2332.7864390843879</v>
      </c>
    </row>
    <row r="118" spans="1:52" x14ac:dyDescent="0.2">
      <c r="A118" s="115"/>
      <c r="B118" s="136">
        <v>10</v>
      </c>
      <c r="C118" s="112">
        <v>1653.9293760889755</v>
      </c>
      <c r="D118" s="112">
        <v>1649.3531184112846</v>
      </c>
      <c r="E118" s="112">
        <v>1663.1121934377948</v>
      </c>
      <c r="F118" s="112">
        <v>1596.877437658803</v>
      </c>
      <c r="G118" s="112">
        <v>1484.4395506692026</v>
      </c>
      <c r="H118" s="112">
        <v>1440.4223210306884</v>
      </c>
      <c r="I118" s="112">
        <v>1412.934044983017</v>
      </c>
      <c r="J118" s="112">
        <v>1377.3181376112773</v>
      </c>
      <c r="K118" s="112">
        <v>1452.8594536178125</v>
      </c>
      <c r="L118" s="112">
        <v>1489.4197993671407</v>
      </c>
      <c r="M118" s="112">
        <v>1515.3604919072761</v>
      </c>
      <c r="N118" s="112">
        <v>1783.6190640785321</v>
      </c>
      <c r="O118" s="112">
        <v>1976.6212759525388</v>
      </c>
      <c r="P118" s="112">
        <v>2103.2506412398429</v>
      </c>
      <c r="Q118" s="112">
        <v>2195.0058393141931</v>
      </c>
      <c r="R118" s="112">
        <v>2189.9960719421315</v>
      </c>
      <c r="S118" s="112">
        <v>2129.6328961017107</v>
      </c>
      <c r="T118" s="112">
        <v>2122.2472073129943</v>
      </c>
      <c r="U118" s="112">
        <v>2110.2858794851354</v>
      </c>
      <c r="V118" s="112">
        <v>2075.1800093227534</v>
      </c>
      <c r="W118" s="112">
        <v>2124.1013559876469</v>
      </c>
      <c r="X118" s="112">
        <v>2154.8677347169551</v>
      </c>
      <c r="Y118" s="112">
        <v>2177.7117527865462</v>
      </c>
      <c r="Z118" s="112">
        <v>2268.7891521890424</v>
      </c>
      <c r="AA118" s="112">
        <v>2329.0000463485608</v>
      </c>
      <c r="AB118" s="112">
        <v>2375.6580892580996</v>
      </c>
      <c r="AC118" s="112">
        <v>2408.9155380729571</v>
      </c>
      <c r="AD118" s="112">
        <v>2324.3390357567746</v>
      </c>
      <c r="AE118" s="112">
        <v>2234.6886381603367</v>
      </c>
      <c r="AF118" s="112">
        <v>2191.2097426150317</v>
      </c>
      <c r="AG118" s="112">
        <v>2176.2292944722781</v>
      </c>
      <c r="AH118" s="112">
        <v>2157.9386199823944</v>
      </c>
      <c r="AI118" s="112">
        <v>1979.1677724435453</v>
      </c>
      <c r="AJ118" s="112">
        <v>1865.3290355755062</v>
      </c>
      <c r="AK118" s="112">
        <v>1776.507602488165</v>
      </c>
      <c r="AL118" s="112">
        <v>1777.3088858549395</v>
      </c>
      <c r="AM118" s="112">
        <v>1718.4023424395016</v>
      </c>
      <c r="AN118" s="112">
        <v>1680.9515317910161</v>
      </c>
      <c r="AO118" s="112">
        <v>1632.6087369692534</v>
      </c>
      <c r="AP118" s="112">
        <v>1532.9695376286231</v>
      </c>
      <c r="AQ118" s="112">
        <v>1744.7123025414173</v>
      </c>
      <c r="AR118" s="112">
        <v>1878.3113240453774</v>
      </c>
      <c r="AS118" s="112">
        <v>1982.5526046159314</v>
      </c>
      <c r="AT118" s="112">
        <v>2047.344738781296</v>
      </c>
      <c r="AU118" s="112">
        <v>2111.0925060205777</v>
      </c>
      <c r="AV118" s="112">
        <v>2139.3826907882894</v>
      </c>
      <c r="AW118" s="112">
        <v>2166.4913437634018</v>
      </c>
      <c r="AX118" s="112">
        <v>2276.3568808637483</v>
      </c>
      <c r="AY118" s="112">
        <v>2297.5795306254654</v>
      </c>
    </row>
    <row r="119" spans="1:52" x14ac:dyDescent="0.2">
      <c r="A119" s="115"/>
      <c r="B119" s="136">
        <v>11</v>
      </c>
      <c r="C119" s="112">
        <v>1640.8609729041029</v>
      </c>
      <c r="D119" s="112">
        <v>1653.9293760889755</v>
      </c>
      <c r="E119" s="112">
        <v>1649.3531184112846</v>
      </c>
      <c r="F119" s="112">
        <v>1663.1121934377948</v>
      </c>
      <c r="G119" s="112">
        <v>1596.877437658803</v>
      </c>
      <c r="H119" s="112">
        <v>1484.4395506692026</v>
      </c>
      <c r="I119" s="112">
        <v>1440.4223210306884</v>
      </c>
      <c r="J119" s="112">
        <v>1412.934044983017</v>
      </c>
      <c r="K119" s="112">
        <v>1377.3181376112773</v>
      </c>
      <c r="L119" s="112">
        <v>1452.8594536178125</v>
      </c>
      <c r="M119" s="112">
        <v>1489.4197993671407</v>
      </c>
      <c r="N119" s="112">
        <v>1515.3604919072761</v>
      </c>
      <c r="O119" s="112">
        <v>1783.6190640785321</v>
      </c>
      <c r="P119" s="112">
        <v>1976.6212759525388</v>
      </c>
      <c r="Q119" s="112">
        <v>2103.2506412398429</v>
      </c>
      <c r="R119" s="112">
        <v>2195.0058393141931</v>
      </c>
      <c r="S119" s="112">
        <v>2189.9960719421315</v>
      </c>
      <c r="T119" s="112">
        <v>2129.6328961017107</v>
      </c>
      <c r="U119" s="112">
        <v>2122.2472073129943</v>
      </c>
      <c r="V119" s="112">
        <v>2110.2858794851354</v>
      </c>
      <c r="W119" s="112">
        <v>2075.1800093227534</v>
      </c>
      <c r="X119" s="112">
        <v>2124.1013559876469</v>
      </c>
      <c r="Y119" s="112">
        <v>2154.8677347169551</v>
      </c>
      <c r="Z119" s="112">
        <v>2177.7117527865462</v>
      </c>
      <c r="AA119" s="112">
        <v>2268.7891521890424</v>
      </c>
      <c r="AB119" s="112">
        <v>2329.0000463485608</v>
      </c>
      <c r="AC119" s="112">
        <v>2375.6580892580996</v>
      </c>
      <c r="AD119" s="112">
        <v>2408.9155380729571</v>
      </c>
      <c r="AE119" s="112">
        <v>2324.3390357567746</v>
      </c>
      <c r="AF119" s="112">
        <v>2234.6886381603367</v>
      </c>
      <c r="AG119" s="112">
        <v>2191.2097426150317</v>
      </c>
      <c r="AH119" s="112">
        <v>2176.2292944722781</v>
      </c>
      <c r="AI119" s="112">
        <v>2157.9386199823944</v>
      </c>
      <c r="AJ119" s="112">
        <v>1979.1677724435453</v>
      </c>
      <c r="AK119" s="112">
        <v>1865.3290355755062</v>
      </c>
      <c r="AL119" s="112">
        <v>1776.507602488165</v>
      </c>
      <c r="AM119" s="112">
        <v>1777.3088858549395</v>
      </c>
      <c r="AN119" s="112">
        <v>1718.4023424395016</v>
      </c>
      <c r="AO119" s="112">
        <v>1680.9515317910161</v>
      </c>
      <c r="AP119" s="112">
        <v>1632.6087369692534</v>
      </c>
      <c r="AQ119" s="112">
        <v>1532.9695376286231</v>
      </c>
      <c r="AR119" s="112">
        <v>1744.7123025414173</v>
      </c>
      <c r="AS119" s="112">
        <v>1878.3113240453774</v>
      </c>
      <c r="AT119" s="112">
        <v>1982.5526046159314</v>
      </c>
      <c r="AU119" s="112">
        <v>2047.344738781296</v>
      </c>
      <c r="AV119" s="112">
        <v>2111.0925060205777</v>
      </c>
      <c r="AW119" s="112">
        <v>2139.3826907882894</v>
      </c>
      <c r="AX119" s="112">
        <v>2166.4913437634018</v>
      </c>
      <c r="AY119" s="112">
        <v>2276.3568808637483</v>
      </c>
    </row>
    <row r="120" spans="1:52" x14ac:dyDescent="0.2">
      <c r="A120" s="115"/>
      <c r="B120" s="136">
        <v>12</v>
      </c>
      <c r="C120" s="112">
        <v>1556.3118353544273</v>
      </c>
      <c r="D120" s="112">
        <v>1640.8609729041029</v>
      </c>
      <c r="E120" s="112">
        <v>1653.9293760889755</v>
      </c>
      <c r="F120" s="112">
        <v>1649.3531184112846</v>
      </c>
      <c r="G120" s="112">
        <v>1663.1121934377948</v>
      </c>
      <c r="H120" s="112">
        <v>1596.877437658803</v>
      </c>
      <c r="I120" s="112">
        <v>1484.4395506692026</v>
      </c>
      <c r="J120" s="112">
        <v>1440.4223210306884</v>
      </c>
      <c r="K120" s="112">
        <v>1412.934044983017</v>
      </c>
      <c r="L120" s="112">
        <v>1377.3181376112773</v>
      </c>
      <c r="M120" s="112">
        <v>1452.8594536178125</v>
      </c>
      <c r="N120" s="112">
        <v>1489.4197993671407</v>
      </c>
      <c r="O120" s="112">
        <v>1515.3604919072761</v>
      </c>
      <c r="P120" s="112">
        <v>1783.6190640785321</v>
      </c>
      <c r="Q120" s="112">
        <v>1976.6212759525388</v>
      </c>
      <c r="R120" s="112">
        <v>2103.2506412398429</v>
      </c>
      <c r="S120" s="112">
        <v>2195.0058393141931</v>
      </c>
      <c r="T120" s="112">
        <v>2189.9960719421315</v>
      </c>
      <c r="U120" s="112">
        <v>2129.6328961017107</v>
      </c>
      <c r="V120" s="112">
        <v>2122.2472073129943</v>
      </c>
      <c r="W120" s="112">
        <v>2110.2858794851354</v>
      </c>
      <c r="X120" s="112">
        <v>2075.1800093227534</v>
      </c>
      <c r="Y120" s="112">
        <v>2124.1013559876469</v>
      </c>
      <c r="Z120" s="112">
        <v>2154.8677347169551</v>
      </c>
      <c r="AA120" s="112">
        <v>2177.7117527865462</v>
      </c>
      <c r="AB120" s="112">
        <v>2268.7891521890424</v>
      </c>
      <c r="AC120" s="112">
        <v>2329.0000463485608</v>
      </c>
      <c r="AD120" s="112">
        <v>2375.6580892580996</v>
      </c>
      <c r="AE120" s="112">
        <v>2408.9155380729571</v>
      </c>
      <c r="AF120" s="112">
        <v>2324.3390357567746</v>
      </c>
      <c r="AG120" s="112">
        <v>2234.6886381603367</v>
      </c>
      <c r="AH120" s="112">
        <v>2191.2097426150317</v>
      </c>
      <c r="AI120" s="112">
        <v>2176.2292944722781</v>
      </c>
      <c r="AJ120" s="112">
        <v>2157.9386199823944</v>
      </c>
      <c r="AK120" s="112">
        <v>1979.1677724435453</v>
      </c>
      <c r="AL120" s="112">
        <v>1865.3290355755062</v>
      </c>
      <c r="AM120" s="112">
        <v>1776.507602488165</v>
      </c>
      <c r="AN120" s="112">
        <v>1777.3088858549395</v>
      </c>
      <c r="AO120" s="112">
        <v>1718.4023424395016</v>
      </c>
      <c r="AP120" s="112">
        <v>1680.9515317910161</v>
      </c>
      <c r="AQ120" s="112">
        <v>1632.6087369692534</v>
      </c>
      <c r="AR120" s="112">
        <v>1532.9695376286231</v>
      </c>
      <c r="AS120" s="112">
        <v>1744.7123025414173</v>
      </c>
      <c r="AT120" s="112">
        <v>1878.3113240453774</v>
      </c>
      <c r="AU120" s="112">
        <v>1982.5526046159314</v>
      </c>
      <c r="AV120" s="112">
        <v>2047.344738781296</v>
      </c>
      <c r="AW120" s="112">
        <v>2111.0925060205777</v>
      </c>
      <c r="AX120" s="112">
        <v>2139.3826907882894</v>
      </c>
      <c r="AY120" s="112">
        <v>2166.4913437634018</v>
      </c>
    </row>
    <row r="121" spans="1:52" x14ac:dyDescent="0.2">
      <c r="A121" s="134"/>
      <c r="B121" s="138" t="s">
        <v>296</v>
      </c>
      <c r="C121" s="120">
        <v>318.6147658211114</v>
      </c>
      <c r="D121" s="131">
        <v>323.31183535442733</v>
      </c>
      <c r="E121" s="131">
        <v>1296.8609729041029</v>
      </c>
      <c r="F121" s="131">
        <v>1375.9293760889755</v>
      </c>
      <c r="G121" s="131">
        <v>1317.3531184112846</v>
      </c>
      <c r="H121" s="131">
        <v>1382.1121934377948</v>
      </c>
      <c r="I121" s="131">
        <v>1156.877437658803</v>
      </c>
      <c r="J121" s="131">
        <v>1128.4395506692026</v>
      </c>
      <c r="K121" s="131">
        <v>1042.4223210306884</v>
      </c>
      <c r="L121" s="131">
        <v>1014.934044983017</v>
      </c>
      <c r="M121" s="131">
        <v>372.31813761127728</v>
      </c>
      <c r="N121" s="131">
        <v>570.85945361781251</v>
      </c>
      <c r="O121" s="131">
        <v>694.41979936714074</v>
      </c>
      <c r="P121" s="131">
        <v>643.36049190727613</v>
      </c>
      <c r="Q121" s="131">
        <v>1124.6190640785321</v>
      </c>
      <c r="R121" s="131">
        <v>1055.6212759525388</v>
      </c>
      <c r="S121" s="131">
        <v>1215.2506412398429</v>
      </c>
      <c r="T121" s="131">
        <v>1242.0058393141931</v>
      </c>
      <c r="U121" s="131">
        <v>1832.9960719421315</v>
      </c>
      <c r="V121" s="131">
        <v>1692.6328961017107</v>
      </c>
      <c r="W121" s="131">
        <v>1716.2472073129943</v>
      </c>
      <c r="X121" s="131">
        <v>1741.2858794851354</v>
      </c>
      <c r="Y121" s="131">
        <v>1168.1800093227534</v>
      </c>
      <c r="Z121" s="131">
        <v>1318.1013559876469</v>
      </c>
      <c r="AA121" s="131">
        <v>1274.8677347169551</v>
      </c>
      <c r="AB121" s="131">
        <v>1456.7117527865462</v>
      </c>
      <c r="AC121" s="131">
        <v>1689.7891521890424</v>
      </c>
      <c r="AD121" s="131">
        <v>1742.0000463485608</v>
      </c>
      <c r="AE121" s="131">
        <v>1702.6580892580996</v>
      </c>
      <c r="AF121" s="131">
        <v>1893.9155380729571</v>
      </c>
      <c r="AG121" s="131">
        <v>1670.3390357567746</v>
      </c>
      <c r="AH121" s="131">
        <v>1409.6886381603367</v>
      </c>
      <c r="AI121" s="131">
        <v>1350.2097426150317</v>
      </c>
      <c r="AJ121" s="131">
        <v>1297.2292944722781</v>
      </c>
      <c r="AK121" s="131">
        <v>1371.9386199823944</v>
      </c>
      <c r="AL121" s="131">
        <v>1297.1677724435453</v>
      </c>
      <c r="AM121" s="131">
        <v>1257.3290355755062</v>
      </c>
      <c r="AN121" s="131">
        <v>1230.507602488165</v>
      </c>
      <c r="AO121" s="131">
        <v>1071.3088858549395</v>
      </c>
      <c r="AP121" s="131">
        <v>1157.4023424395016</v>
      </c>
      <c r="AQ121" s="131">
        <v>1001.9515317910161</v>
      </c>
      <c r="AR121" s="131">
        <v>1104.6087369692534</v>
      </c>
      <c r="AS121" s="131">
        <v>988.96953762862313</v>
      </c>
      <c r="AT121" s="131">
        <v>1159.7123025414173</v>
      </c>
      <c r="AU121" s="131">
        <v>1281.3113240453774</v>
      </c>
      <c r="AV121" s="131">
        <v>1341.5526046159314</v>
      </c>
      <c r="AW121" s="131">
        <v>922.34473878129597</v>
      </c>
      <c r="AX121" s="131">
        <v>702.09250602057773</v>
      </c>
      <c r="AY121" s="131">
        <v>1095.3826907882894</v>
      </c>
      <c r="AZ121" s="113">
        <f>SUM($D121:$AY121)</f>
        <v>58897.128230121692</v>
      </c>
    </row>
    <row r="122" spans="1:52" x14ac:dyDescent="0.2">
      <c r="A122" s="137" t="s">
        <v>123</v>
      </c>
      <c r="B122" s="125">
        <v>1</v>
      </c>
      <c r="C122" s="112">
        <v>1869.6113942921745</v>
      </c>
      <c r="D122" s="112">
        <v>2804.4170914382617</v>
      </c>
      <c r="E122" s="112">
        <v>2804.4170914382617</v>
      </c>
      <c r="F122" s="112">
        <v>2804.4170914382617</v>
      </c>
      <c r="G122" s="112">
        <v>2804.4170914382617</v>
      </c>
      <c r="H122" s="112">
        <v>2492.8151923895662</v>
      </c>
      <c r="I122" s="112">
        <v>2492.8151923895662</v>
      </c>
      <c r="J122" s="112">
        <v>2492.8151923895662</v>
      </c>
      <c r="K122" s="112">
        <v>2492.8151923895662</v>
      </c>
      <c r="L122" s="112">
        <v>2492.8151923895662</v>
      </c>
      <c r="M122" s="112">
        <v>2492.8151923895662</v>
      </c>
      <c r="N122" s="112">
        <v>2492.8151923895662</v>
      </c>
      <c r="O122" s="112">
        <v>2492.8151923895662</v>
      </c>
      <c r="P122" s="112">
        <v>2804.4170914382617</v>
      </c>
      <c r="Q122" s="112">
        <v>2804.4170914382617</v>
      </c>
      <c r="R122" s="112">
        <v>2804.4170914382617</v>
      </c>
      <c r="S122" s="112">
        <v>2804.4170914382617</v>
      </c>
      <c r="T122" s="112">
        <v>2492.8151923895662</v>
      </c>
      <c r="U122" s="112">
        <v>2492.8151923895662</v>
      </c>
      <c r="V122" s="112">
        <v>2492.8151923895662</v>
      </c>
      <c r="W122" s="112">
        <v>2492.8151923895662</v>
      </c>
      <c r="X122" s="112">
        <v>2492.8151923895662</v>
      </c>
      <c r="Y122" s="112">
        <v>2492.8151923895662</v>
      </c>
      <c r="Z122" s="112">
        <v>2492.8151923895662</v>
      </c>
      <c r="AA122" s="112">
        <v>2492.8151923895662</v>
      </c>
      <c r="AB122" s="112">
        <v>2804.4170914382617</v>
      </c>
      <c r="AC122" s="112">
        <v>2804.4170914382617</v>
      </c>
      <c r="AD122" s="112">
        <v>2804.4170914382617</v>
      </c>
      <c r="AE122" s="112">
        <v>2804.4170914382617</v>
      </c>
      <c r="AF122" s="112">
        <v>2492.8151923895662</v>
      </c>
      <c r="AG122" s="112">
        <v>2492.8151923895662</v>
      </c>
      <c r="AH122" s="112">
        <v>2492.8151923895662</v>
      </c>
      <c r="AI122" s="112">
        <v>2492.8151923895662</v>
      </c>
      <c r="AJ122" s="112">
        <v>2492.8151923895662</v>
      </c>
      <c r="AK122" s="112">
        <v>2492.8151923895662</v>
      </c>
      <c r="AL122" s="112">
        <v>2492.8151923895662</v>
      </c>
      <c r="AM122" s="112">
        <v>2492.8151923895662</v>
      </c>
      <c r="AN122" s="112">
        <v>2804.4170914382617</v>
      </c>
      <c r="AO122" s="112">
        <v>2804.4170914382617</v>
      </c>
      <c r="AP122" s="112">
        <v>2804.4170914382617</v>
      </c>
      <c r="AQ122" s="112">
        <v>2804.4170914382617</v>
      </c>
      <c r="AR122" s="112">
        <v>2492.8151923895662</v>
      </c>
      <c r="AS122" s="112">
        <v>2492.8151923895662</v>
      </c>
      <c r="AT122" s="112">
        <v>2492.8151923895662</v>
      </c>
      <c r="AU122" s="112">
        <v>2492.8151923895662</v>
      </c>
      <c r="AV122" s="112">
        <v>2492.8151923895662</v>
      </c>
      <c r="AW122" s="112">
        <v>2492.8151923895662</v>
      </c>
      <c r="AX122" s="112">
        <v>2492.8151923895662</v>
      </c>
      <c r="AY122" s="112">
        <v>2492.8151923895662</v>
      </c>
    </row>
    <row r="123" spans="1:52" x14ac:dyDescent="0.2">
      <c r="A123" s="115"/>
      <c r="B123" s="125">
        <v>2</v>
      </c>
      <c r="C123" s="112">
        <v>1354.7139197620252</v>
      </c>
      <c r="D123" s="112">
        <v>1354.7139197620252</v>
      </c>
      <c r="E123" s="112">
        <v>2032.0708796430374</v>
      </c>
      <c r="F123" s="112">
        <v>2032.0708796430374</v>
      </c>
      <c r="G123" s="112">
        <v>2032.0708796430374</v>
      </c>
      <c r="H123" s="112">
        <v>2032.0708796430374</v>
      </c>
      <c r="I123" s="112">
        <v>1806.2852263493669</v>
      </c>
      <c r="J123" s="112">
        <v>1806.2852263493669</v>
      </c>
      <c r="K123" s="112">
        <v>1806.2852263493669</v>
      </c>
      <c r="L123" s="112">
        <v>1806.2852263493669</v>
      </c>
      <c r="M123" s="112">
        <v>1806.2852263493669</v>
      </c>
      <c r="N123" s="112">
        <v>1806.2852263493669</v>
      </c>
      <c r="O123" s="112">
        <v>1806.2852263493669</v>
      </c>
      <c r="P123" s="112">
        <v>1806.2852263493669</v>
      </c>
      <c r="Q123" s="112">
        <v>2032.0708796430374</v>
      </c>
      <c r="R123" s="112">
        <v>2032.0708796430374</v>
      </c>
      <c r="S123" s="112">
        <v>2032.0708796430374</v>
      </c>
      <c r="T123" s="112">
        <v>2032.0708796430374</v>
      </c>
      <c r="U123" s="112">
        <v>1806.2852263493669</v>
      </c>
      <c r="V123" s="112">
        <v>1806.2852263493669</v>
      </c>
      <c r="W123" s="112">
        <v>1806.2852263493669</v>
      </c>
      <c r="X123" s="112">
        <v>1806.2852263493669</v>
      </c>
      <c r="Y123" s="112">
        <v>1806.2852263493669</v>
      </c>
      <c r="Z123" s="112">
        <v>1806.2852263493669</v>
      </c>
      <c r="AA123" s="112">
        <v>1806.2852263493669</v>
      </c>
      <c r="AB123" s="112">
        <v>1806.2852263493669</v>
      </c>
      <c r="AC123" s="112">
        <v>2032.0708796430374</v>
      </c>
      <c r="AD123" s="112">
        <v>2032.0708796430374</v>
      </c>
      <c r="AE123" s="112">
        <v>2032.0708796430374</v>
      </c>
      <c r="AF123" s="112">
        <v>2032.0708796430374</v>
      </c>
      <c r="AG123" s="112">
        <v>1806.2852263493669</v>
      </c>
      <c r="AH123" s="112">
        <v>1806.2852263493669</v>
      </c>
      <c r="AI123" s="112">
        <v>1806.2852263493669</v>
      </c>
      <c r="AJ123" s="112">
        <v>1806.2852263493669</v>
      </c>
      <c r="AK123" s="112">
        <v>1806.2852263493669</v>
      </c>
      <c r="AL123" s="112">
        <v>1806.2852263493669</v>
      </c>
      <c r="AM123" s="112">
        <v>1806.2852263493669</v>
      </c>
      <c r="AN123" s="112">
        <v>1806.2852263493669</v>
      </c>
      <c r="AO123" s="112">
        <v>2032.0708796430374</v>
      </c>
      <c r="AP123" s="112">
        <v>2032.0708796430374</v>
      </c>
      <c r="AQ123" s="112">
        <v>2032.0708796430374</v>
      </c>
      <c r="AR123" s="112">
        <v>2032.0708796430374</v>
      </c>
      <c r="AS123" s="112">
        <v>1806.2852263493669</v>
      </c>
      <c r="AT123" s="112">
        <v>1806.2852263493669</v>
      </c>
      <c r="AU123" s="112">
        <v>1806.2852263493669</v>
      </c>
      <c r="AV123" s="112">
        <v>1806.2852263493669</v>
      </c>
      <c r="AW123" s="112">
        <v>1806.2852263493669</v>
      </c>
      <c r="AX123" s="112">
        <v>1806.2852263493669</v>
      </c>
      <c r="AY123" s="112">
        <v>1806.2852263493669</v>
      </c>
    </row>
    <row r="124" spans="1:52" x14ac:dyDescent="0.2">
      <c r="A124" s="115"/>
      <c r="B124" s="125">
        <v>3</v>
      </c>
      <c r="C124" s="112">
        <v>981.62099888774321</v>
      </c>
      <c r="D124" s="112">
        <v>981.62099888774321</v>
      </c>
      <c r="E124" s="112">
        <v>981.62099888774321</v>
      </c>
      <c r="F124" s="112">
        <v>1472.4314983316144</v>
      </c>
      <c r="G124" s="112">
        <v>1472.4314983316144</v>
      </c>
      <c r="H124" s="112">
        <v>1472.4314983316144</v>
      </c>
      <c r="I124" s="112">
        <v>1472.4314983316144</v>
      </c>
      <c r="J124" s="112">
        <v>1308.8279985169909</v>
      </c>
      <c r="K124" s="112">
        <v>1308.8279985169909</v>
      </c>
      <c r="L124" s="112">
        <v>1308.8279985169909</v>
      </c>
      <c r="M124" s="112">
        <v>1308.8279985169909</v>
      </c>
      <c r="N124" s="112">
        <v>1308.8279985169909</v>
      </c>
      <c r="O124" s="112">
        <v>1308.8279985169909</v>
      </c>
      <c r="P124" s="112">
        <v>1308.8279985169909</v>
      </c>
      <c r="Q124" s="112">
        <v>1308.8279985169909</v>
      </c>
      <c r="R124" s="112">
        <v>1472.4314983316144</v>
      </c>
      <c r="S124" s="112">
        <v>1472.4314983316144</v>
      </c>
      <c r="T124" s="112">
        <v>1472.4314983316144</v>
      </c>
      <c r="U124" s="112">
        <v>1472.4314983316144</v>
      </c>
      <c r="V124" s="112">
        <v>1308.8279985169909</v>
      </c>
      <c r="W124" s="112">
        <v>1308.8279985169909</v>
      </c>
      <c r="X124" s="112">
        <v>1308.8279985169909</v>
      </c>
      <c r="Y124" s="112">
        <v>1308.8279985169909</v>
      </c>
      <c r="Z124" s="112">
        <v>1308.8279985169909</v>
      </c>
      <c r="AA124" s="112">
        <v>1308.8279985169909</v>
      </c>
      <c r="AB124" s="112">
        <v>1308.8279985169909</v>
      </c>
      <c r="AC124" s="112">
        <v>1308.8279985169909</v>
      </c>
      <c r="AD124" s="112">
        <v>1267.1079728629697</v>
      </c>
      <c r="AE124" s="112">
        <v>1091.5735325102155</v>
      </c>
      <c r="AF124" s="112">
        <v>1041.381886979224</v>
      </c>
      <c r="AG124" s="112">
        <v>1472.4314983316144</v>
      </c>
      <c r="AH124" s="112">
        <v>1308.8279985169909</v>
      </c>
      <c r="AI124" s="112">
        <v>1308.8279985169909</v>
      </c>
      <c r="AJ124" s="112">
        <v>1308.8279985169909</v>
      </c>
      <c r="AK124" s="112">
        <v>1308.8279985169909</v>
      </c>
      <c r="AL124" s="112">
        <v>1308.8279985169909</v>
      </c>
      <c r="AM124" s="112">
        <v>1308.8279985169909</v>
      </c>
      <c r="AN124" s="112">
        <v>1308.8279985169909</v>
      </c>
      <c r="AO124" s="112">
        <v>1308.8279985169909</v>
      </c>
      <c r="AP124" s="112">
        <v>1472.4314983316144</v>
      </c>
      <c r="AQ124" s="112">
        <v>1472.4314983316144</v>
      </c>
      <c r="AR124" s="112">
        <v>1472.4314983316144</v>
      </c>
      <c r="AS124" s="112">
        <v>1472.4314983316144</v>
      </c>
      <c r="AT124" s="112">
        <v>1308.8279985169909</v>
      </c>
      <c r="AU124" s="112">
        <v>1308.8279985169909</v>
      </c>
      <c r="AV124" s="112">
        <v>1308.8279985169909</v>
      </c>
      <c r="AW124" s="112">
        <v>1308.8279985169909</v>
      </c>
      <c r="AX124" s="112">
        <v>1308.8279985169909</v>
      </c>
      <c r="AY124" s="112">
        <v>1308.8279985169909</v>
      </c>
    </row>
    <row r="125" spans="1:52" x14ac:dyDescent="0.2">
      <c r="A125" s="115"/>
      <c r="B125" s="125">
        <v>4</v>
      </c>
      <c r="C125" s="112">
        <v>711.27916484879495</v>
      </c>
      <c r="D125" s="112">
        <v>711.27916484879495</v>
      </c>
      <c r="E125" s="112">
        <v>711.27916484879495</v>
      </c>
      <c r="F125" s="112">
        <v>711.27916484879495</v>
      </c>
      <c r="G125" s="112">
        <v>1066.9187472731921</v>
      </c>
      <c r="H125" s="112">
        <v>1066.9187472731921</v>
      </c>
      <c r="I125" s="112">
        <v>1066.9187472731921</v>
      </c>
      <c r="J125" s="112">
        <v>1066.9187472731921</v>
      </c>
      <c r="K125" s="112">
        <v>948.3722197983933</v>
      </c>
      <c r="L125" s="112">
        <v>948.3722197983933</v>
      </c>
      <c r="M125" s="112">
        <v>948.3722197983933</v>
      </c>
      <c r="N125" s="112">
        <v>948.3722197983933</v>
      </c>
      <c r="O125" s="112">
        <v>948.3722197983933</v>
      </c>
      <c r="P125" s="112">
        <v>948.3722197983933</v>
      </c>
      <c r="Q125" s="112">
        <v>948.3722197983933</v>
      </c>
      <c r="R125" s="112">
        <v>948.3722197983933</v>
      </c>
      <c r="S125" s="112">
        <v>1066.9187472731921</v>
      </c>
      <c r="T125" s="112">
        <v>1066.9187472731921</v>
      </c>
      <c r="U125" s="112">
        <v>1066.9187472731921</v>
      </c>
      <c r="V125" s="112">
        <v>1066.9187472731921</v>
      </c>
      <c r="W125" s="112">
        <v>948.3722197983933</v>
      </c>
      <c r="X125" s="112">
        <v>948.3722197983933</v>
      </c>
      <c r="Y125" s="112">
        <v>948.3722197983933</v>
      </c>
      <c r="Z125" s="112">
        <v>948.3722197983933</v>
      </c>
      <c r="AA125" s="112">
        <v>842.63508315616502</v>
      </c>
      <c r="AB125" s="112">
        <v>533.94267305756671</v>
      </c>
      <c r="AC125" s="112">
        <v>94.265225347218802</v>
      </c>
      <c r="AD125" s="112">
        <v>0</v>
      </c>
      <c r="AE125" s="112">
        <v>0</v>
      </c>
      <c r="AF125" s="112">
        <v>0</v>
      </c>
      <c r="AG125" s="112">
        <v>563.58169670222344</v>
      </c>
      <c r="AH125" s="112">
        <v>1066.9187472731921</v>
      </c>
      <c r="AI125" s="112">
        <v>948.3722197983933</v>
      </c>
      <c r="AJ125" s="112">
        <v>948.3722197983933</v>
      </c>
      <c r="AK125" s="112">
        <v>948.3722197983933</v>
      </c>
      <c r="AL125" s="112">
        <v>948.3722197983933</v>
      </c>
      <c r="AM125" s="112">
        <v>948.3722197983933</v>
      </c>
      <c r="AN125" s="112">
        <v>948.3722197983933</v>
      </c>
      <c r="AO125" s="112">
        <v>948.3722197983933</v>
      </c>
      <c r="AP125" s="112">
        <v>948.3722197983933</v>
      </c>
      <c r="AQ125" s="112">
        <v>1066.9187472731921</v>
      </c>
      <c r="AR125" s="112">
        <v>1066.9187472731921</v>
      </c>
      <c r="AS125" s="112">
        <v>1066.9187472731921</v>
      </c>
      <c r="AT125" s="112">
        <v>1066.9187472731921</v>
      </c>
      <c r="AU125" s="112">
        <v>948.3722197983933</v>
      </c>
      <c r="AV125" s="112">
        <v>948.3722197983933</v>
      </c>
      <c r="AW125" s="112">
        <v>948.3722197983933</v>
      </c>
      <c r="AX125" s="112">
        <v>948.3722197983933</v>
      </c>
      <c r="AY125" s="112">
        <v>948.3722197983933</v>
      </c>
    </row>
    <row r="126" spans="1:52" x14ac:dyDescent="0.2">
      <c r="A126" s="115"/>
      <c r="B126" s="125">
        <v>5</v>
      </c>
      <c r="C126" s="112">
        <v>515.39041129035115</v>
      </c>
      <c r="D126" s="112">
        <v>515.39041129035115</v>
      </c>
      <c r="E126" s="112">
        <v>515.39041129035115</v>
      </c>
      <c r="F126" s="112">
        <v>515.39041129035115</v>
      </c>
      <c r="G126" s="112">
        <v>515.39041129035115</v>
      </c>
      <c r="H126" s="112">
        <v>773.08561693552645</v>
      </c>
      <c r="I126" s="112">
        <v>773.08561693552645</v>
      </c>
      <c r="J126" s="112">
        <v>773.08561693552645</v>
      </c>
      <c r="K126" s="112">
        <v>773.08561693552645</v>
      </c>
      <c r="L126" s="112">
        <v>687.18721505380154</v>
      </c>
      <c r="M126" s="112">
        <v>687.18721505380154</v>
      </c>
      <c r="N126" s="112">
        <v>687.18721505380154</v>
      </c>
      <c r="O126" s="112">
        <v>687.18721505380154</v>
      </c>
      <c r="P126" s="112">
        <v>687.18721505380154</v>
      </c>
      <c r="Q126" s="112">
        <v>687.18721505380154</v>
      </c>
      <c r="R126" s="112">
        <v>687.18721505380154</v>
      </c>
      <c r="S126" s="112">
        <v>687.18721505380154</v>
      </c>
      <c r="T126" s="112">
        <v>773.08561693552645</v>
      </c>
      <c r="U126" s="112">
        <v>773.08561693552645</v>
      </c>
      <c r="V126" s="112">
        <v>773.08561693552645</v>
      </c>
      <c r="W126" s="112">
        <v>773.08561693552645</v>
      </c>
      <c r="X126" s="112">
        <v>687.18721505380154</v>
      </c>
      <c r="Y126" s="112">
        <v>630.12928659768954</v>
      </c>
      <c r="Z126" s="112">
        <v>216.77670654371093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145.36933909180419</v>
      </c>
      <c r="AI126" s="112">
        <v>642.41973491079216</v>
      </c>
      <c r="AJ126" s="112">
        <v>687.18721505380154</v>
      </c>
      <c r="AK126" s="112">
        <v>687.18721505380154</v>
      </c>
      <c r="AL126" s="112">
        <v>687.18721505380154</v>
      </c>
      <c r="AM126" s="112">
        <v>687.18721505380154</v>
      </c>
      <c r="AN126" s="112">
        <v>687.18721505380154</v>
      </c>
      <c r="AO126" s="112">
        <v>687.18721505380154</v>
      </c>
      <c r="AP126" s="112">
        <v>687.18721505380154</v>
      </c>
      <c r="AQ126" s="112">
        <v>687.18721505380154</v>
      </c>
      <c r="AR126" s="112">
        <v>773.08561693552645</v>
      </c>
      <c r="AS126" s="112">
        <v>773.08561693552645</v>
      </c>
      <c r="AT126" s="112">
        <v>773.08561693552645</v>
      </c>
      <c r="AU126" s="112">
        <v>773.08561693552645</v>
      </c>
      <c r="AV126" s="112">
        <v>687.18721505380154</v>
      </c>
      <c r="AW126" s="112">
        <v>687.18721505380154</v>
      </c>
      <c r="AX126" s="112">
        <v>687.18721505380154</v>
      </c>
      <c r="AY126" s="112">
        <v>687.18721505380154</v>
      </c>
    </row>
    <row r="127" spans="1:52" x14ac:dyDescent="0.2">
      <c r="A127" s="115"/>
      <c r="B127" s="125">
        <v>6</v>
      </c>
      <c r="C127" s="112">
        <v>69.712986614620377</v>
      </c>
      <c r="D127" s="112">
        <v>108.96388899951916</v>
      </c>
      <c r="E127" s="112">
        <v>132.40495647823667</v>
      </c>
      <c r="F127" s="112">
        <v>101.39027252008833</v>
      </c>
      <c r="G127" s="112">
        <v>78.917140294110141</v>
      </c>
      <c r="H127" s="112">
        <v>114.63318677300344</v>
      </c>
      <c r="I127" s="112">
        <v>121.23796051410915</v>
      </c>
      <c r="J127" s="112">
        <v>258.02375661658857</v>
      </c>
      <c r="K127" s="112">
        <v>333.13826916796012</v>
      </c>
      <c r="L127" s="112">
        <v>291.5659839541164</v>
      </c>
      <c r="M127" s="112">
        <v>469.2011670209298</v>
      </c>
      <c r="N127" s="112">
        <v>497.93346818381752</v>
      </c>
      <c r="O127" s="112">
        <v>497.93346818381752</v>
      </c>
      <c r="P127" s="112">
        <v>497.93346818381752</v>
      </c>
      <c r="Q127" s="112">
        <v>497.93346818381752</v>
      </c>
      <c r="R127" s="112">
        <v>497.93346818381752</v>
      </c>
      <c r="S127" s="112">
        <v>497.93346818381752</v>
      </c>
      <c r="T127" s="112">
        <v>497.93346818381752</v>
      </c>
      <c r="U127" s="112">
        <v>502.69916804451475</v>
      </c>
      <c r="V127" s="112">
        <v>508.42922208836802</v>
      </c>
      <c r="W127" s="112">
        <v>560.17515170679451</v>
      </c>
      <c r="X127" s="112">
        <v>560.17515170679451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190.49510763062591</v>
      </c>
      <c r="AK127" s="112">
        <v>421.96556123889684</v>
      </c>
      <c r="AL127" s="112">
        <v>497.93346818381752</v>
      </c>
      <c r="AM127" s="112">
        <v>497.93346818381752</v>
      </c>
      <c r="AN127" s="112">
        <v>497.93346818381752</v>
      </c>
      <c r="AO127" s="112">
        <v>497.93346818381752</v>
      </c>
      <c r="AP127" s="112">
        <v>497.93346818381752</v>
      </c>
      <c r="AQ127" s="112">
        <v>369.03734099341909</v>
      </c>
      <c r="AR127" s="112">
        <v>369.33664313345707</v>
      </c>
      <c r="AS127" s="112">
        <v>401.79519994708784</v>
      </c>
      <c r="AT127" s="112">
        <v>265.31455742696659</v>
      </c>
      <c r="AU127" s="112">
        <v>281.42115810102138</v>
      </c>
      <c r="AV127" s="112">
        <v>195.0919449820841</v>
      </c>
      <c r="AW127" s="112">
        <v>345.29641361063273</v>
      </c>
      <c r="AX127" s="112">
        <v>463.13404964707291</v>
      </c>
      <c r="AY127" s="112">
        <v>497.93346818381752</v>
      </c>
    </row>
    <row r="128" spans="1:52" x14ac:dyDescent="0.2">
      <c r="A128" s="115"/>
      <c r="B128" s="125">
        <v>7</v>
      </c>
      <c r="C128" s="112">
        <v>0</v>
      </c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82.981535239031871</v>
      </c>
      <c r="O128" s="112">
        <v>165.92899291164343</v>
      </c>
      <c r="P128" s="112">
        <v>185.03243251466375</v>
      </c>
      <c r="Q128" s="112">
        <v>177.87471847021263</v>
      </c>
      <c r="R128" s="112">
        <v>183.68826374529095</v>
      </c>
      <c r="S128" s="112">
        <v>185.90073845065456</v>
      </c>
      <c r="T128" s="112">
        <v>104.50388993423451</v>
      </c>
      <c r="U128" s="112">
        <v>0</v>
      </c>
      <c r="V128" s="112">
        <v>0</v>
      </c>
      <c r="W128" s="112">
        <v>12.406047630907494</v>
      </c>
      <c r="X128" s="112">
        <v>31.890347429921235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26.754779424068374</v>
      </c>
      <c r="AM128" s="112">
        <v>125.18728102534556</v>
      </c>
      <c r="AN128" s="112">
        <v>212.5111296515104</v>
      </c>
      <c r="AO128" s="112">
        <v>63.785686932353713</v>
      </c>
      <c r="AP128" s="112">
        <v>28.019747930526648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2.5853230720078386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0.27540347480877819</v>
      </c>
      <c r="D172" s="140">
        <v>0.27540347480877819</v>
      </c>
      <c r="E172" s="140">
        <v>0.27540347480877819</v>
      </c>
      <c r="F172" s="140">
        <v>0.27540347480877819</v>
      </c>
      <c r="G172" s="140">
        <v>0.27540347480877819</v>
      </c>
      <c r="H172" s="140">
        <v>0.27540347480877819</v>
      </c>
      <c r="I172" s="140">
        <v>0.27540347480877819</v>
      </c>
      <c r="J172" s="140">
        <v>0.27540347480877819</v>
      </c>
      <c r="K172" s="140">
        <v>0.27540347480877819</v>
      </c>
      <c r="L172" s="140">
        <v>0.27540347480877819</v>
      </c>
      <c r="M172" s="140">
        <v>0.27540347480877819</v>
      </c>
      <c r="N172" s="140">
        <v>0.27540347480877819</v>
      </c>
      <c r="O172" s="140">
        <v>0.27540347480877819</v>
      </c>
      <c r="P172" s="140">
        <v>0.27540347480877819</v>
      </c>
      <c r="Q172" s="140">
        <v>0.27540347480877819</v>
      </c>
      <c r="R172" s="140">
        <v>0.27540347480877819</v>
      </c>
      <c r="S172" s="140">
        <v>0.27540347480877819</v>
      </c>
      <c r="T172" s="140">
        <v>0.27540347480877819</v>
      </c>
      <c r="U172" s="140">
        <v>0.27540347480877819</v>
      </c>
      <c r="V172" s="140">
        <v>0.27540347480877819</v>
      </c>
      <c r="W172" s="140">
        <v>0.27540347480877819</v>
      </c>
      <c r="X172" s="140">
        <v>0.27540347480877819</v>
      </c>
      <c r="Y172" s="140">
        <v>0.27540347480877819</v>
      </c>
      <c r="Z172" s="140">
        <v>0.27540347480877819</v>
      </c>
      <c r="AA172" s="140">
        <v>0.27540347480877819</v>
      </c>
      <c r="AB172" s="140">
        <v>0.27540347480877819</v>
      </c>
      <c r="AC172" s="140">
        <v>0.27540347480877819</v>
      </c>
      <c r="AD172" s="140">
        <v>0.27540347480877819</v>
      </c>
      <c r="AE172" s="140">
        <v>0.27540347480877819</v>
      </c>
      <c r="AF172" s="140">
        <v>0.27540347480877819</v>
      </c>
      <c r="AG172" s="140">
        <v>0.27540347480877819</v>
      </c>
      <c r="AH172" s="140">
        <v>0.27540347480877819</v>
      </c>
      <c r="AI172" s="140">
        <v>0.27540347480877819</v>
      </c>
      <c r="AJ172" s="140">
        <v>0.27540347480877819</v>
      </c>
      <c r="AK172" s="140">
        <v>0.27540347480877819</v>
      </c>
      <c r="AL172" s="140">
        <v>0.27540347480877819</v>
      </c>
      <c r="AM172" s="140">
        <v>0.27540347480877819</v>
      </c>
      <c r="AN172" s="140">
        <v>0.27540347480877819</v>
      </c>
      <c r="AO172" s="140">
        <v>0.27540347480877819</v>
      </c>
      <c r="AP172" s="140">
        <v>0.27540347480877819</v>
      </c>
      <c r="AQ172" s="140">
        <v>0.27540347480877819</v>
      </c>
      <c r="AR172" s="140">
        <v>0.27540347480877819</v>
      </c>
      <c r="AS172" s="140">
        <v>0.27540347480877819</v>
      </c>
      <c r="AT172" s="140">
        <v>0.27540347480877819</v>
      </c>
      <c r="AU172" s="140">
        <v>0.27540347480877819</v>
      </c>
      <c r="AV172" s="140">
        <v>0.27540347480877819</v>
      </c>
      <c r="AW172" s="140">
        <v>0.27540347480877819</v>
      </c>
      <c r="AX172" s="140">
        <v>0.27540347480877819</v>
      </c>
      <c r="AY172" s="140">
        <v>0.27540347480877819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4900.5081517853496</v>
      </c>
      <c r="E175" s="130">
        <f t="shared" si="1"/>
        <v>5214.6304455647114</v>
      </c>
      <c r="F175" s="130">
        <f t="shared" si="1"/>
        <v>5527.2262540341162</v>
      </c>
      <c r="G175" s="130">
        <f t="shared" si="1"/>
        <v>5527.2262540341162</v>
      </c>
      <c r="H175" s="130">
        <f t="shared" si="1"/>
        <v>5527.2262540341162</v>
      </c>
      <c r="I175" s="130">
        <f t="shared" si="1"/>
        <v>5527.2262540341162</v>
      </c>
      <c r="J175" s="130">
        <f t="shared" si="1"/>
        <v>5527.2262540341162</v>
      </c>
      <c r="K175" s="130">
        <f t="shared" si="1"/>
        <v>5527.2262540341162</v>
      </c>
      <c r="L175" s="130">
        <f t="shared" si="1"/>
        <v>5527.2262540341162</v>
      </c>
      <c r="M175" s="130">
        <f t="shared" si="1"/>
        <v>5527.2262540341162</v>
      </c>
      <c r="N175" s="130">
        <f t="shared" si="1"/>
        <v>5527.2262540341162</v>
      </c>
      <c r="O175" s="130">
        <f t="shared" si="1"/>
        <v>5527.2262540341162</v>
      </c>
      <c r="P175" s="130">
        <f t="shared" si="1"/>
        <v>5439.9795647139981</v>
      </c>
      <c r="Q175" s="130">
        <f t="shared" si="1"/>
        <v>5439.9795647139981</v>
      </c>
      <c r="R175" s="130">
        <f t="shared" si="1"/>
        <v>5439.9795647139981</v>
      </c>
      <c r="S175" s="130">
        <f t="shared" si="1"/>
        <v>5439.9795647139981</v>
      </c>
      <c r="T175" s="130">
        <f t="shared" si="1"/>
        <v>5527.2262540341162</v>
      </c>
      <c r="U175" s="130">
        <f t="shared" si="1"/>
        <v>5527.2262540341162</v>
      </c>
      <c r="V175" s="130">
        <f t="shared" si="1"/>
        <v>5527.2262540341162</v>
      </c>
      <c r="W175" s="130">
        <f t="shared" si="1"/>
        <v>5527.2262540341162</v>
      </c>
      <c r="X175" s="130">
        <f t="shared" si="1"/>
        <v>5527.2262540341162</v>
      </c>
      <c r="Y175" s="130">
        <f t="shared" si="1"/>
        <v>5527.2262540341162</v>
      </c>
      <c r="Z175" s="130">
        <f t="shared" si="1"/>
        <v>5527.2262540341162</v>
      </c>
      <c r="AA175" s="130">
        <f t="shared" si="1"/>
        <v>5527.2262540341162</v>
      </c>
      <c r="AB175" s="130">
        <f t="shared" si="1"/>
        <v>5527.2262540341162</v>
      </c>
      <c r="AC175" s="130">
        <f t="shared" si="1"/>
        <v>5527.2262540341162</v>
      </c>
      <c r="AD175" s="130">
        <f t="shared" si="1"/>
        <v>5182.1034636649711</v>
      </c>
      <c r="AE175" s="130">
        <f t="shared" si="1"/>
        <v>5182.1034636649711</v>
      </c>
      <c r="AF175" s="130">
        <f t="shared" si="1"/>
        <v>4186.5443257627066</v>
      </c>
      <c r="AG175" s="130">
        <f t="shared" si="1"/>
        <v>3191.4092670232558</v>
      </c>
      <c r="AH175" s="130">
        <f t="shared" si="1"/>
        <v>3536.5320573924005</v>
      </c>
      <c r="AI175" s="130">
        <f t="shared" si="1"/>
        <v>3536.5320573924005</v>
      </c>
      <c r="AJ175" s="130">
        <f t="shared" si="1"/>
        <v>4532.0911952946653</v>
      </c>
      <c r="AK175" s="130">
        <f t="shared" si="1"/>
        <v>5527.2262540341162</v>
      </c>
      <c r="AL175" s="130">
        <f t="shared" si="1"/>
        <v>5527.2262540341162</v>
      </c>
      <c r="AM175" s="130">
        <f t="shared" si="1"/>
        <v>5527.2262540341162</v>
      </c>
      <c r="AN175" s="130">
        <f t="shared" si="1"/>
        <v>5527.2262540341162</v>
      </c>
      <c r="AO175" s="130">
        <f t="shared" si="1"/>
        <v>5527.2262540341162</v>
      </c>
      <c r="AP175" s="130">
        <f t="shared" si="1"/>
        <v>5527.2262540341162</v>
      </c>
      <c r="AQ175" s="130">
        <f t="shared" si="1"/>
        <v>5527.2262540341162</v>
      </c>
      <c r="AR175" s="130">
        <f t="shared" si="1"/>
        <v>5527.2262540341162</v>
      </c>
      <c r="AS175" s="130">
        <f t="shared" si="1"/>
        <v>4537.0074759080053</v>
      </c>
      <c r="AT175" s="130">
        <f t="shared" si="1"/>
        <v>4537.0074759080053</v>
      </c>
      <c r="AU175" s="130">
        <f t="shared" si="1"/>
        <v>4537.0074759080053</v>
      </c>
      <c r="AV175" s="130">
        <f t="shared" si="1"/>
        <v>4537.0074759080053</v>
      </c>
      <c r="AW175" s="130">
        <f t="shared" si="1"/>
        <v>5527.2262540341162</v>
      </c>
      <c r="AX175" s="130">
        <f t="shared" si="1"/>
        <v>5214.6304455647114</v>
      </c>
      <c r="AY175" s="130">
        <f t="shared" si="1"/>
        <v>5214.6304455647114</v>
      </c>
    </row>
    <row r="176" spans="1:52" x14ac:dyDescent="0.2">
      <c r="A176" s="131"/>
      <c r="B176" s="142" t="s">
        <v>299</v>
      </c>
      <c r="C176" s="131" t="s">
        <v>293</v>
      </c>
      <c r="D176" s="131">
        <v>496</v>
      </c>
      <c r="E176" s="131">
        <v>570</v>
      </c>
      <c r="F176" s="131">
        <v>536</v>
      </c>
      <c r="G176" s="131">
        <v>494</v>
      </c>
      <c r="H176" s="131">
        <v>671</v>
      </c>
      <c r="I176" s="131">
        <v>696</v>
      </c>
      <c r="J176" s="131">
        <v>599</v>
      </c>
      <c r="K176" s="131">
        <v>689</v>
      </c>
      <c r="L176" s="131">
        <v>513</v>
      </c>
      <c r="M176" s="131">
        <v>606</v>
      </c>
      <c r="N176" s="131">
        <v>511</v>
      </c>
      <c r="O176" s="131">
        <v>599</v>
      </c>
      <c r="P176" s="131">
        <v>330</v>
      </c>
      <c r="Q176" s="131">
        <v>401</v>
      </c>
      <c r="R176" s="131">
        <v>408</v>
      </c>
      <c r="S176" s="131">
        <v>328</v>
      </c>
      <c r="T176" s="131">
        <v>629</v>
      </c>
      <c r="U176" s="131">
        <v>555</v>
      </c>
      <c r="V176" s="131">
        <v>564</v>
      </c>
      <c r="W176" s="131">
        <v>492</v>
      </c>
      <c r="X176" s="131">
        <v>652</v>
      </c>
      <c r="Y176" s="131">
        <v>758</v>
      </c>
      <c r="Z176" s="131">
        <v>684</v>
      </c>
      <c r="AA176" s="131">
        <v>682</v>
      </c>
      <c r="AB176" s="131">
        <v>156</v>
      </c>
      <c r="AC176" s="131">
        <v>156</v>
      </c>
      <c r="AD176" s="131">
        <v>214</v>
      </c>
      <c r="AE176" s="131">
        <v>159</v>
      </c>
      <c r="AF176" s="131">
        <v>234</v>
      </c>
      <c r="AG176" s="131">
        <v>251</v>
      </c>
      <c r="AH176" s="131">
        <v>217</v>
      </c>
      <c r="AI176" s="131">
        <v>230</v>
      </c>
      <c r="AJ176" s="131">
        <v>212</v>
      </c>
      <c r="AK176" s="131">
        <v>285</v>
      </c>
      <c r="AL176" s="131">
        <v>287</v>
      </c>
      <c r="AM176" s="131">
        <v>284</v>
      </c>
      <c r="AN176" s="131">
        <v>639</v>
      </c>
      <c r="AO176" s="131">
        <v>391</v>
      </c>
      <c r="AP176" s="131">
        <v>534</v>
      </c>
      <c r="AQ176" s="131">
        <v>410</v>
      </c>
      <c r="AR176" s="131">
        <v>285</v>
      </c>
      <c r="AS176" s="131">
        <v>225</v>
      </c>
      <c r="AT176" s="131">
        <v>258</v>
      </c>
      <c r="AU176" s="131">
        <v>262</v>
      </c>
      <c r="AV176" s="131">
        <v>244</v>
      </c>
      <c r="AW176" s="131">
        <v>215</v>
      </c>
      <c r="AX176" s="131">
        <v>218</v>
      </c>
      <c r="AY176" s="131">
        <v>238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0</v>
      </c>
      <c r="E177" s="130">
        <f t="shared" si="2"/>
        <v>0</v>
      </c>
      <c r="F177" s="130">
        <f t="shared" si="2"/>
        <v>0</v>
      </c>
      <c r="G177" s="130">
        <f t="shared" si="2"/>
        <v>0</v>
      </c>
      <c r="H177" s="130">
        <f t="shared" si="2"/>
        <v>0</v>
      </c>
      <c r="I177" s="130">
        <f t="shared" si="2"/>
        <v>0</v>
      </c>
      <c r="J177" s="130">
        <f t="shared" si="2"/>
        <v>0</v>
      </c>
      <c r="K177" s="130">
        <f t="shared" si="2"/>
        <v>0</v>
      </c>
      <c r="L177" s="130">
        <f t="shared" si="2"/>
        <v>0</v>
      </c>
      <c r="M177" s="130">
        <f t="shared" si="2"/>
        <v>0</v>
      </c>
      <c r="N177" s="130">
        <f t="shared" si="2"/>
        <v>0</v>
      </c>
      <c r="O177" s="130">
        <f t="shared" si="2"/>
        <v>0</v>
      </c>
      <c r="P177" s="130">
        <f t="shared" si="2"/>
        <v>0</v>
      </c>
      <c r="Q177" s="130">
        <f t="shared" si="2"/>
        <v>0</v>
      </c>
      <c r="R177" s="130">
        <f t="shared" si="2"/>
        <v>0</v>
      </c>
      <c r="S177" s="130">
        <f t="shared" si="2"/>
        <v>0</v>
      </c>
      <c r="T177" s="130">
        <f t="shared" si="2"/>
        <v>0</v>
      </c>
      <c r="U177" s="130">
        <f t="shared" si="2"/>
        <v>0</v>
      </c>
      <c r="V177" s="130">
        <f t="shared" si="2"/>
        <v>0</v>
      </c>
      <c r="W177" s="130">
        <f t="shared" si="2"/>
        <v>0</v>
      </c>
      <c r="X177" s="130">
        <f t="shared" si="2"/>
        <v>0</v>
      </c>
      <c r="Y177" s="130">
        <f t="shared" si="2"/>
        <v>0</v>
      </c>
      <c r="Z177" s="130">
        <f t="shared" si="2"/>
        <v>0</v>
      </c>
      <c r="AA177" s="130">
        <f t="shared" si="2"/>
        <v>0</v>
      </c>
      <c r="AB177" s="130">
        <f t="shared" si="2"/>
        <v>0</v>
      </c>
      <c r="AC177" s="130">
        <f t="shared" si="2"/>
        <v>0</v>
      </c>
      <c r="AD177" s="130">
        <f t="shared" si="2"/>
        <v>0</v>
      </c>
      <c r="AE177" s="130">
        <f t="shared" si="2"/>
        <v>0</v>
      </c>
      <c r="AF177" s="130">
        <f t="shared" si="2"/>
        <v>0</v>
      </c>
      <c r="AG177" s="130">
        <f t="shared" si="2"/>
        <v>0</v>
      </c>
      <c r="AH177" s="130">
        <f t="shared" si="2"/>
        <v>0</v>
      </c>
      <c r="AI177" s="130">
        <f t="shared" si="2"/>
        <v>0</v>
      </c>
      <c r="AJ177" s="130">
        <f t="shared" si="2"/>
        <v>0</v>
      </c>
      <c r="AK177" s="130">
        <f t="shared" si="2"/>
        <v>0</v>
      </c>
      <c r="AL177" s="130">
        <f t="shared" si="2"/>
        <v>0</v>
      </c>
      <c r="AM177" s="130">
        <f t="shared" si="2"/>
        <v>0</v>
      </c>
      <c r="AN177" s="130">
        <f t="shared" si="2"/>
        <v>0</v>
      </c>
      <c r="AO177" s="130">
        <f t="shared" si="2"/>
        <v>0</v>
      </c>
      <c r="AP177" s="130">
        <f t="shared" si="2"/>
        <v>0</v>
      </c>
      <c r="AQ177" s="130">
        <f t="shared" si="2"/>
        <v>0</v>
      </c>
      <c r="AR177" s="130">
        <f t="shared" si="2"/>
        <v>0</v>
      </c>
      <c r="AS177" s="130">
        <f t="shared" si="2"/>
        <v>0</v>
      </c>
      <c r="AT177" s="130">
        <f t="shared" si="2"/>
        <v>0</v>
      </c>
      <c r="AU177" s="130">
        <f t="shared" si="2"/>
        <v>0</v>
      </c>
      <c r="AV177" s="130">
        <f t="shared" si="2"/>
        <v>0</v>
      </c>
      <c r="AW177" s="130">
        <f t="shared" si="2"/>
        <v>0</v>
      </c>
      <c r="AX177" s="130">
        <f t="shared" si="2"/>
        <v>0</v>
      </c>
      <c r="AY177" s="130">
        <f t="shared" si="2"/>
        <v>0</v>
      </c>
    </row>
    <row r="178" spans="1:51" x14ac:dyDescent="0.2">
      <c r="A178" s="131"/>
      <c r="B178" s="142" t="s">
        <v>299</v>
      </c>
      <c r="C178" s="131" t="s">
        <v>293</v>
      </c>
      <c r="D178" s="131">
        <v>0</v>
      </c>
      <c r="E178" s="131">
        <v>0</v>
      </c>
      <c r="F178" s="131">
        <v>0</v>
      </c>
      <c r="G178" s="131">
        <v>0</v>
      </c>
      <c r="H178" s="131">
        <v>0</v>
      </c>
      <c r="I178" s="131">
        <v>0</v>
      </c>
      <c r="J178" s="131">
        <v>0</v>
      </c>
      <c r="K178" s="131">
        <v>0</v>
      </c>
      <c r="L178" s="131">
        <v>0</v>
      </c>
      <c r="M178" s="131">
        <v>0</v>
      </c>
      <c r="N178" s="131">
        <v>0</v>
      </c>
      <c r="O178" s="131">
        <v>0</v>
      </c>
      <c r="P178" s="131">
        <v>0</v>
      </c>
      <c r="Q178" s="131">
        <v>0</v>
      </c>
      <c r="R178" s="131">
        <v>0</v>
      </c>
      <c r="S178" s="131">
        <v>0</v>
      </c>
      <c r="T178" s="131">
        <v>0</v>
      </c>
      <c r="U178" s="131">
        <v>0</v>
      </c>
      <c r="V178" s="131">
        <v>0</v>
      </c>
      <c r="W178" s="131">
        <v>0</v>
      </c>
      <c r="X178" s="131">
        <v>0</v>
      </c>
      <c r="Y178" s="131">
        <v>0</v>
      </c>
      <c r="Z178" s="131">
        <v>0</v>
      </c>
      <c r="AA178" s="131">
        <v>0</v>
      </c>
      <c r="AB178" s="131">
        <v>0</v>
      </c>
      <c r="AC178" s="131">
        <v>0</v>
      </c>
      <c r="AD178" s="131">
        <v>0</v>
      </c>
      <c r="AE178" s="131">
        <v>0</v>
      </c>
      <c r="AF178" s="131">
        <v>0</v>
      </c>
      <c r="AG178" s="131">
        <v>0</v>
      </c>
      <c r="AH178" s="131">
        <v>0</v>
      </c>
      <c r="AI178" s="131">
        <v>0</v>
      </c>
      <c r="AJ178" s="131">
        <v>0</v>
      </c>
      <c r="AK178" s="131">
        <v>0</v>
      </c>
      <c r="AL178" s="131">
        <v>0</v>
      </c>
      <c r="AM178" s="131">
        <v>0</v>
      </c>
      <c r="AN178" s="131">
        <v>0</v>
      </c>
      <c r="AO178" s="131">
        <v>0</v>
      </c>
      <c r="AP178" s="131">
        <v>0</v>
      </c>
      <c r="AQ178" s="131">
        <v>0</v>
      </c>
      <c r="AR178" s="131">
        <v>0</v>
      </c>
      <c r="AS178" s="131">
        <v>0</v>
      </c>
      <c r="AT178" s="131">
        <v>0</v>
      </c>
      <c r="AU178" s="131">
        <v>0</v>
      </c>
      <c r="AV178" s="131">
        <v>0</v>
      </c>
      <c r="AW178" s="131">
        <v>0</v>
      </c>
      <c r="AX178" s="131">
        <v>0</v>
      </c>
      <c r="AY178" s="131">
        <v>0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18376.886897687375</v>
      </c>
      <c r="E179" s="130">
        <f t="shared" si="3"/>
        <v>18519.644988861804</v>
      </c>
      <c r="F179" s="130">
        <f t="shared" si="3"/>
        <v>18842.336888725364</v>
      </c>
      <c r="G179" s="130">
        <f t="shared" si="3"/>
        <v>19296.234411553927</v>
      </c>
      <c r="H179" s="130">
        <f t="shared" si="3"/>
        <v>19828.128057430324</v>
      </c>
      <c r="I179" s="130">
        <f t="shared" si="3"/>
        <v>20421.246691713652</v>
      </c>
      <c r="J179" s="130">
        <f t="shared" si="3"/>
        <v>21066.44003714616</v>
      </c>
      <c r="K179" s="130">
        <f t="shared" si="3"/>
        <v>21748.264923428469</v>
      </c>
      <c r="L179" s="130">
        <f t="shared" si="3"/>
        <v>22445.616757930587</v>
      </c>
      <c r="M179" s="130">
        <f t="shared" si="3"/>
        <v>23143.478629642061</v>
      </c>
      <c r="N179" s="130">
        <f t="shared" si="3"/>
        <v>23814.720532011892</v>
      </c>
      <c r="O179" s="130">
        <f t="shared" si="3"/>
        <v>24480.168467361709</v>
      </c>
      <c r="P179" s="130">
        <f t="shared" si="3"/>
        <v>25142.519728240975</v>
      </c>
      <c r="Q179" s="130">
        <f t="shared" si="3"/>
        <v>25627.689816351492</v>
      </c>
      <c r="R179" s="130">
        <f t="shared" si="3"/>
        <v>25980.068586747511</v>
      </c>
      <c r="S179" s="130">
        <f t="shared" si="3"/>
        <v>26252.476034765768</v>
      </c>
      <c r="T179" s="130">
        <f t="shared" si="3"/>
        <v>26466.38573352453</v>
      </c>
      <c r="U179" s="130">
        <f t="shared" si="3"/>
        <v>26600.728697339178</v>
      </c>
      <c r="V179" s="130">
        <f t="shared" si="3"/>
        <v>26705.784439397805</v>
      </c>
      <c r="W179" s="130">
        <f t="shared" si="3"/>
        <v>26774.746974699839</v>
      </c>
      <c r="X179" s="130">
        <f t="shared" si="3"/>
        <v>26840.690389686984</v>
      </c>
      <c r="Y179" s="130">
        <f t="shared" si="3"/>
        <v>26923.44900034662</v>
      </c>
      <c r="Z179" s="130">
        <f t="shared" si="3"/>
        <v>26778.515416802518</v>
      </c>
      <c r="AA179" s="130">
        <f t="shared" si="3"/>
        <v>26488.976717661073</v>
      </c>
      <c r="AB179" s="130">
        <f t="shared" si="3"/>
        <v>26087.772567362688</v>
      </c>
      <c r="AC179" s="130">
        <f t="shared" si="3"/>
        <v>25596.292301028589</v>
      </c>
      <c r="AD179" s="130">
        <f t="shared" si="3"/>
        <v>24985.694597119531</v>
      </c>
      <c r="AE179" s="130">
        <f t="shared" si="3"/>
        <v>24290.988039652442</v>
      </c>
      <c r="AF179" s="130">
        <f t="shared" si="3"/>
        <v>23514.681238548743</v>
      </c>
      <c r="AG179" s="130">
        <f t="shared" si="3"/>
        <v>22723.311740420595</v>
      </c>
      <c r="AH179" s="130">
        <f t="shared" si="3"/>
        <v>22233.335404801674</v>
      </c>
      <c r="AI179" s="130">
        <f t="shared" si="3"/>
        <v>21920.43698623202</v>
      </c>
      <c r="AJ179" s="130">
        <f t="shared" si="3"/>
        <v>21726.760296375673</v>
      </c>
      <c r="AK179" s="130">
        <f t="shared" si="3"/>
        <v>21616.166415174572</v>
      </c>
      <c r="AL179" s="130">
        <f t="shared" si="3"/>
        <v>21748.091148751602</v>
      </c>
      <c r="AM179" s="130">
        <f t="shared" si="3"/>
        <v>22022.144803964387</v>
      </c>
      <c r="AN179" s="130">
        <f t="shared" si="3"/>
        <v>22412.128545239622</v>
      </c>
      <c r="AO179" s="130">
        <f t="shared" si="3"/>
        <v>22911.176540248434</v>
      </c>
      <c r="AP179" s="130">
        <f t="shared" si="3"/>
        <v>23490.353728434398</v>
      </c>
      <c r="AQ179" s="130">
        <f t="shared" si="3"/>
        <v>24142.188635727773</v>
      </c>
      <c r="AR179" s="130">
        <f t="shared" si="3"/>
        <v>24831.799286175017</v>
      </c>
      <c r="AS179" s="130">
        <f t="shared" si="3"/>
        <v>25558.972037416002</v>
      </c>
      <c r="AT179" s="130">
        <f t="shared" si="3"/>
        <v>26021.159069598893</v>
      </c>
      <c r="AU179" s="130">
        <f t="shared" si="3"/>
        <v>26267.102864743825</v>
      </c>
      <c r="AV179" s="130">
        <f t="shared" si="3"/>
        <v>26380.593067518123</v>
      </c>
      <c r="AW179" s="130">
        <f t="shared" si="3"/>
        <v>26381.859052497843</v>
      </c>
      <c r="AX179" s="130">
        <f t="shared" si="3"/>
        <v>26360.744102830402</v>
      </c>
      <c r="AY179" s="130">
        <f t="shared" si="3"/>
        <v>26343.791862822924</v>
      </c>
    </row>
    <row r="180" spans="1:51" x14ac:dyDescent="0.2">
      <c r="A180" s="131"/>
      <c r="B180" s="142" t="s">
        <v>299</v>
      </c>
      <c r="C180" s="131" t="s">
        <v>293</v>
      </c>
      <c r="D180" s="131">
        <v>344</v>
      </c>
      <c r="E180" s="131">
        <v>278</v>
      </c>
      <c r="F180" s="131">
        <v>332</v>
      </c>
      <c r="G180" s="131">
        <v>281</v>
      </c>
      <c r="H180" s="131">
        <v>440</v>
      </c>
      <c r="I180" s="131">
        <v>356</v>
      </c>
      <c r="J180" s="131">
        <v>398</v>
      </c>
      <c r="K180" s="131">
        <v>398</v>
      </c>
      <c r="L180" s="131">
        <v>1005</v>
      </c>
      <c r="M180" s="131">
        <v>882</v>
      </c>
      <c r="N180" s="131">
        <v>795</v>
      </c>
      <c r="O180" s="131">
        <v>872</v>
      </c>
      <c r="P180" s="131">
        <v>659</v>
      </c>
      <c r="Q180" s="131">
        <v>921</v>
      </c>
      <c r="R180" s="131">
        <v>888</v>
      </c>
      <c r="S180" s="131">
        <v>953</v>
      </c>
      <c r="T180" s="131">
        <v>357</v>
      </c>
      <c r="U180" s="131">
        <v>437</v>
      </c>
      <c r="V180" s="131">
        <v>406</v>
      </c>
      <c r="W180" s="131">
        <v>369</v>
      </c>
      <c r="X180" s="131">
        <v>907</v>
      </c>
      <c r="Y180" s="131">
        <v>806</v>
      </c>
      <c r="Z180" s="131">
        <v>880</v>
      </c>
      <c r="AA180" s="131">
        <v>721</v>
      </c>
      <c r="AB180" s="131">
        <v>579</v>
      </c>
      <c r="AC180" s="131">
        <v>587</v>
      </c>
      <c r="AD180" s="131">
        <v>673</v>
      </c>
      <c r="AE180" s="131">
        <v>515</v>
      </c>
      <c r="AF180" s="131">
        <v>654</v>
      </c>
      <c r="AG180" s="131">
        <v>825</v>
      </c>
      <c r="AH180" s="131">
        <v>841</v>
      </c>
      <c r="AI180" s="131">
        <v>879</v>
      </c>
      <c r="AJ180" s="131">
        <v>786</v>
      </c>
      <c r="AK180" s="131">
        <v>682</v>
      </c>
      <c r="AL180" s="131">
        <v>608</v>
      </c>
      <c r="AM180" s="131">
        <v>546</v>
      </c>
      <c r="AN180" s="131">
        <v>706</v>
      </c>
      <c r="AO180" s="131">
        <v>561</v>
      </c>
      <c r="AP180" s="131">
        <v>679</v>
      </c>
      <c r="AQ180" s="131">
        <v>528</v>
      </c>
      <c r="AR180" s="131">
        <v>544</v>
      </c>
      <c r="AS180" s="131">
        <v>585</v>
      </c>
      <c r="AT180" s="131">
        <v>597</v>
      </c>
      <c r="AU180" s="131">
        <v>641</v>
      </c>
      <c r="AV180" s="131">
        <v>1125</v>
      </c>
      <c r="AW180" s="131">
        <v>1409</v>
      </c>
      <c r="AX180" s="131">
        <v>1044</v>
      </c>
      <c r="AY180" s="131">
        <v>1079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4692.7664111481636</v>
      </c>
      <c r="E181" s="130">
        <f t="shared" si="4"/>
        <v>5200.562226633886</v>
      </c>
      <c r="F181" s="130">
        <f t="shared" si="4"/>
        <v>5533.7286768323056</v>
      </c>
      <c r="G181" s="130">
        <f t="shared" si="4"/>
        <v>5775.1399289563742</v>
      </c>
      <c r="H181" s="130">
        <f t="shared" si="4"/>
        <v>5761.9590494038093</v>
      </c>
      <c r="I181" s="130">
        <f t="shared" si="4"/>
        <v>5603.1413456916653</v>
      </c>
      <c r="J181" s="130">
        <f t="shared" si="4"/>
        <v>5583.709330768238</v>
      </c>
      <c r="K181" s="130">
        <f t="shared" si="4"/>
        <v>5552.2386436726692</v>
      </c>
      <c r="L181" s="130">
        <f t="shared" si="4"/>
        <v>5459.8738267394829</v>
      </c>
      <c r="M181" s="130">
        <f t="shared" si="4"/>
        <v>5588.5876631414021</v>
      </c>
      <c r="N181" s="130">
        <f t="shared" si="4"/>
        <v>5669.5351208140128</v>
      </c>
      <c r="O181" s="130">
        <f t="shared" si="4"/>
        <v>5729.6385604170337</v>
      </c>
      <c r="P181" s="130">
        <f t="shared" si="4"/>
        <v>5969.2664996662525</v>
      </c>
      <c r="Q181" s="130">
        <f t="shared" si="4"/>
        <v>6127.6835447559561</v>
      </c>
      <c r="R181" s="130">
        <f t="shared" si="4"/>
        <v>6250.4425469361177</v>
      </c>
      <c r="S181" s="130">
        <f t="shared" si="4"/>
        <v>6337.9441003014226</v>
      </c>
      <c r="T181" s="130">
        <f t="shared" si="4"/>
        <v>6115.4202569342151</v>
      </c>
      <c r="U181" s="130">
        <f t="shared" si="4"/>
        <v>5879.5468111634445</v>
      </c>
      <c r="V181" s="130">
        <f t="shared" si="4"/>
        <v>5765.1522609379799</v>
      </c>
      <c r="W181" s="130">
        <f t="shared" si="4"/>
        <v>5725.7381588552689</v>
      </c>
      <c r="X181" s="130">
        <f t="shared" si="4"/>
        <v>5677.6147312624407</v>
      </c>
      <c r="Y181" s="130">
        <f t="shared" si="4"/>
        <v>5207.2621512084625</v>
      </c>
      <c r="Z181" s="130">
        <f t="shared" si="4"/>
        <v>4907.7483080225229</v>
      </c>
      <c r="AA181" s="130">
        <f t="shared" si="4"/>
        <v>4674.0558979239249</v>
      </c>
      <c r="AB181" s="130">
        <f t="shared" si="4"/>
        <v>4676.164103507248</v>
      </c>
      <c r="AC181" s="130">
        <f t="shared" si="4"/>
        <v>4521.1788525060083</v>
      </c>
      <c r="AD181" s="130">
        <f t="shared" si="4"/>
        <v>4422.6444121532531</v>
      </c>
      <c r="AE181" s="130">
        <f t="shared" si="4"/>
        <v>4295.4527666222612</v>
      </c>
      <c r="AF181" s="130">
        <f t="shared" si="4"/>
        <v>4033.2984213832051</v>
      </c>
      <c r="AG181" s="130">
        <f t="shared" si="4"/>
        <v>4590.4013112313551</v>
      </c>
      <c r="AH181" s="130">
        <f t="shared" si="4"/>
        <v>4941.905179575544</v>
      </c>
      <c r="AI181" s="130">
        <f t="shared" si="4"/>
        <v>5216.1677673491786</v>
      </c>
      <c r="AJ181" s="130">
        <f t="shared" si="4"/>
        <v>5386.6382209574494</v>
      </c>
      <c r="AK181" s="130">
        <f t="shared" si="4"/>
        <v>5554.3609073264388</v>
      </c>
      <c r="AL181" s="130">
        <f t="shared" si="4"/>
        <v>5628.7934089277151</v>
      </c>
      <c r="AM181" s="130">
        <f t="shared" si="4"/>
        <v>5700.1172575538803</v>
      </c>
      <c r="AN181" s="130">
        <f t="shared" si="4"/>
        <v>5989.1774681283941</v>
      </c>
      <c r="AO181" s="130">
        <f t="shared" si="4"/>
        <v>6045.0150289411913</v>
      </c>
      <c r="AP181" s="130">
        <f t="shared" si="4"/>
        <v>6137.6456812950637</v>
      </c>
      <c r="AQ181" s="130">
        <f t="shared" si="4"/>
        <v>6109.8433853168281</v>
      </c>
      <c r="AR181" s="130">
        <f t="shared" si="4"/>
        <v>5946.5162888367877</v>
      </c>
      <c r="AS181" s="130">
        <f t="shared" si="4"/>
        <v>5806.432146502043</v>
      </c>
      <c r="AT181" s="130">
        <f t="shared" si="4"/>
        <v>5588.9922197012993</v>
      </c>
      <c r="AU181" s="130">
        <f t="shared" si="4"/>
        <v>5514.7646047006374</v>
      </c>
      <c r="AV181" s="130">
        <f t="shared" si="4"/>
        <v>5389.9690733291854</v>
      </c>
      <c r="AW181" s="130">
        <f t="shared" si="4"/>
        <v>5498.8067093656255</v>
      </c>
      <c r="AX181" s="130">
        <f t="shared" si="4"/>
        <v>5584.1914509743783</v>
      </c>
      <c r="AY181" s="130">
        <f t="shared" si="4"/>
        <v>5611.2803048392516</v>
      </c>
    </row>
    <row r="182" spans="1:51" x14ac:dyDescent="0.2">
      <c r="A182" s="131"/>
      <c r="B182" s="142" t="s">
        <v>299</v>
      </c>
      <c r="C182" s="131" t="s">
        <v>293</v>
      </c>
      <c r="D182" s="131">
        <v>320</v>
      </c>
      <c r="E182" s="131">
        <v>368</v>
      </c>
      <c r="F182" s="131">
        <v>368</v>
      </c>
      <c r="G182" s="131">
        <v>316</v>
      </c>
      <c r="H182" s="131">
        <v>522</v>
      </c>
      <c r="I182" s="131">
        <v>390</v>
      </c>
      <c r="J182" s="131">
        <v>414</v>
      </c>
      <c r="K182" s="131">
        <v>510</v>
      </c>
      <c r="L182" s="131">
        <v>240</v>
      </c>
      <c r="M182" s="131">
        <v>257</v>
      </c>
      <c r="N182" s="131">
        <v>255</v>
      </c>
      <c r="O182" s="131">
        <v>296</v>
      </c>
      <c r="P182" s="131">
        <v>317</v>
      </c>
      <c r="Q182" s="131">
        <v>306</v>
      </c>
      <c r="R182" s="131">
        <v>308</v>
      </c>
      <c r="S182" s="131">
        <v>391</v>
      </c>
      <c r="T182" s="131">
        <v>494</v>
      </c>
      <c r="U182" s="131">
        <v>416</v>
      </c>
      <c r="V182" s="131">
        <v>356</v>
      </c>
      <c r="W182" s="131">
        <v>383</v>
      </c>
      <c r="X182" s="131">
        <v>984</v>
      </c>
      <c r="Y182" s="131">
        <v>927</v>
      </c>
      <c r="Z182" s="131">
        <v>950</v>
      </c>
      <c r="AA182" s="131">
        <v>1025</v>
      </c>
      <c r="AB182" s="131">
        <v>1241</v>
      </c>
      <c r="AC182" s="131">
        <v>1222</v>
      </c>
      <c r="AD182" s="131">
        <v>1299</v>
      </c>
      <c r="AE182" s="131">
        <v>1222</v>
      </c>
      <c r="AF182" s="131">
        <v>191</v>
      </c>
      <c r="AG182" s="131">
        <v>263</v>
      </c>
      <c r="AH182" s="131">
        <v>236</v>
      </c>
      <c r="AI182" s="131">
        <v>275</v>
      </c>
      <c r="AJ182" s="131">
        <v>214</v>
      </c>
      <c r="AK182" s="131">
        <v>279</v>
      </c>
      <c r="AL182" s="131">
        <v>255</v>
      </c>
      <c r="AM182" s="131">
        <v>239</v>
      </c>
      <c r="AN182" s="131">
        <v>451</v>
      </c>
      <c r="AO182" s="131">
        <v>379</v>
      </c>
      <c r="AP182" s="131">
        <v>510</v>
      </c>
      <c r="AQ182" s="131">
        <v>396</v>
      </c>
      <c r="AR182" s="131">
        <v>426</v>
      </c>
      <c r="AS182" s="131">
        <v>586</v>
      </c>
      <c r="AT182" s="131">
        <v>471</v>
      </c>
      <c r="AU182" s="131">
        <v>569</v>
      </c>
      <c r="AV182" s="131">
        <v>294</v>
      </c>
      <c r="AW182" s="131">
        <v>285</v>
      </c>
      <c r="AX182" s="131">
        <v>333</v>
      </c>
      <c r="AY182" s="131">
        <v>263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257</v>
      </c>
      <c r="D188" s="112">
        <v>496</v>
      </c>
      <c r="E188" s="112">
        <v>570</v>
      </c>
      <c r="F188" s="112">
        <v>536</v>
      </c>
      <c r="G188" s="112">
        <v>494</v>
      </c>
      <c r="H188" s="112">
        <v>671</v>
      </c>
      <c r="I188" s="112">
        <v>696</v>
      </c>
      <c r="J188" s="112">
        <v>599</v>
      </c>
      <c r="K188" s="112">
        <v>689</v>
      </c>
      <c r="L188" s="112">
        <v>513</v>
      </c>
      <c r="M188" s="112">
        <v>606</v>
      </c>
      <c r="N188" s="112">
        <v>511</v>
      </c>
      <c r="O188" s="112">
        <v>599</v>
      </c>
      <c r="P188" s="112">
        <v>330</v>
      </c>
      <c r="Q188" s="112">
        <v>401</v>
      </c>
      <c r="R188" s="112">
        <v>408</v>
      </c>
      <c r="S188" s="112">
        <v>328</v>
      </c>
      <c r="T188" s="112">
        <v>629</v>
      </c>
      <c r="U188" s="112">
        <v>555</v>
      </c>
      <c r="V188" s="112">
        <v>564</v>
      </c>
      <c r="W188" s="112">
        <v>492</v>
      </c>
      <c r="X188" s="112">
        <v>652</v>
      </c>
      <c r="Y188" s="112">
        <v>758</v>
      </c>
      <c r="Z188" s="112">
        <v>684</v>
      </c>
      <c r="AA188" s="112">
        <v>682</v>
      </c>
      <c r="AB188" s="112">
        <v>156</v>
      </c>
      <c r="AC188" s="112">
        <v>156</v>
      </c>
      <c r="AD188" s="112">
        <v>214</v>
      </c>
      <c r="AE188" s="112">
        <v>159</v>
      </c>
      <c r="AF188" s="112">
        <v>234</v>
      </c>
      <c r="AG188" s="112">
        <v>251</v>
      </c>
      <c r="AH188" s="112">
        <v>217</v>
      </c>
      <c r="AI188" s="112">
        <v>230</v>
      </c>
      <c r="AJ188" s="112">
        <v>212</v>
      </c>
      <c r="AK188" s="112">
        <v>285</v>
      </c>
      <c r="AL188" s="112">
        <v>287</v>
      </c>
      <c r="AM188" s="112">
        <v>284</v>
      </c>
      <c r="AN188" s="112">
        <v>639</v>
      </c>
      <c r="AO188" s="112">
        <v>391</v>
      </c>
      <c r="AP188" s="112">
        <v>534</v>
      </c>
      <c r="AQ188" s="112">
        <v>410</v>
      </c>
      <c r="AR188" s="112">
        <v>285</v>
      </c>
      <c r="AS188" s="112">
        <v>225</v>
      </c>
      <c r="AT188" s="112">
        <v>258</v>
      </c>
      <c r="AU188" s="112">
        <v>262</v>
      </c>
      <c r="AV188" s="112">
        <v>244</v>
      </c>
      <c r="AW188" s="112">
        <v>215</v>
      </c>
      <c r="AX188" s="112">
        <v>218</v>
      </c>
      <c r="AY188" s="112">
        <v>238</v>
      </c>
    </row>
    <row r="189" spans="1:51" x14ac:dyDescent="0.2">
      <c r="A189" s="132" t="s">
        <v>133</v>
      </c>
      <c r="B189" s="129">
        <v>1</v>
      </c>
      <c r="C189" s="130">
        <v>0</v>
      </c>
      <c r="D189" s="130">
        <v>0</v>
      </c>
      <c r="E189" s="130">
        <v>0</v>
      </c>
      <c r="F189" s="130">
        <v>0</v>
      </c>
      <c r="G189" s="130">
        <v>0</v>
      </c>
      <c r="H189" s="130">
        <v>0</v>
      </c>
      <c r="I189" s="130">
        <v>0</v>
      </c>
      <c r="J189" s="130">
        <v>0</v>
      </c>
      <c r="K189" s="130">
        <v>0</v>
      </c>
      <c r="L189" s="130">
        <v>0</v>
      </c>
      <c r="M189" s="130">
        <v>0</v>
      </c>
      <c r="N189" s="130">
        <v>0</v>
      </c>
      <c r="O189" s="130">
        <v>0</v>
      </c>
      <c r="P189" s="130">
        <v>0</v>
      </c>
      <c r="Q189" s="130">
        <v>0</v>
      </c>
      <c r="R189" s="130">
        <v>0</v>
      </c>
      <c r="S189" s="130">
        <v>0</v>
      </c>
      <c r="T189" s="130">
        <v>0</v>
      </c>
      <c r="U189" s="130">
        <v>0</v>
      </c>
      <c r="V189" s="130">
        <v>0</v>
      </c>
      <c r="W189" s="130">
        <v>0</v>
      </c>
      <c r="X189" s="130">
        <v>0</v>
      </c>
      <c r="Y189" s="130">
        <v>0</v>
      </c>
      <c r="Z189" s="130">
        <v>0</v>
      </c>
      <c r="AA189" s="130">
        <v>0</v>
      </c>
      <c r="AB189" s="130">
        <v>0</v>
      </c>
      <c r="AC189" s="130">
        <v>0</v>
      </c>
      <c r="AD189" s="130">
        <v>0</v>
      </c>
      <c r="AE189" s="130">
        <v>0</v>
      </c>
      <c r="AF189" s="130">
        <v>0</v>
      </c>
      <c r="AG189" s="130">
        <v>0</v>
      </c>
      <c r="AH189" s="130">
        <v>0</v>
      </c>
      <c r="AI189" s="130">
        <v>0</v>
      </c>
      <c r="AJ189" s="130">
        <v>0</v>
      </c>
      <c r="AK189" s="130">
        <v>0</v>
      </c>
      <c r="AL189" s="130">
        <v>0</v>
      </c>
      <c r="AM189" s="130">
        <v>0</v>
      </c>
      <c r="AN189" s="130">
        <v>0</v>
      </c>
      <c r="AO189" s="130">
        <v>0</v>
      </c>
      <c r="AP189" s="130">
        <v>0</v>
      </c>
      <c r="AQ189" s="130">
        <v>0</v>
      </c>
      <c r="AR189" s="130">
        <v>0</v>
      </c>
      <c r="AS189" s="130">
        <v>0</v>
      </c>
      <c r="AT189" s="130">
        <v>0</v>
      </c>
      <c r="AU189" s="130">
        <v>0</v>
      </c>
      <c r="AV189" s="130">
        <v>0</v>
      </c>
      <c r="AW189" s="130">
        <v>0</v>
      </c>
      <c r="AX189" s="130">
        <v>0</v>
      </c>
      <c r="AY189" s="130">
        <v>0</v>
      </c>
    </row>
    <row r="190" spans="1:51" x14ac:dyDescent="0.2">
      <c r="A190" s="115"/>
      <c r="B190" s="125">
        <v>2</v>
      </c>
      <c r="C190" s="112">
        <v>0</v>
      </c>
      <c r="D190" s="112">
        <v>0</v>
      </c>
      <c r="E190" s="112">
        <v>0</v>
      </c>
      <c r="F190" s="112">
        <v>0</v>
      </c>
      <c r="G190" s="112">
        <v>0</v>
      </c>
      <c r="H190" s="112">
        <v>0</v>
      </c>
      <c r="I190" s="112">
        <v>0</v>
      </c>
      <c r="J190" s="112">
        <v>0</v>
      </c>
      <c r="K190" s="112">
        <v>0</v>
      </c>
      <c r="L190" s="112">
        <v>0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0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0</v>
      </c>
      <c r="AN190" s="112">
        <v>0</v>
      </c>
      <c r="AO190" s="112">
        <v>0</v>
      </c>
      <c r="AP190" s="112">
        <v>0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0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0</v>
      </c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1233</v>
      </c>
      <c r="D208" s="112">
        <v>344</v>
      </c>
      <c r="E208" s="112">
        <v>278</v>
      </c>
      <c r="F208" s="112">
        <v>332</v>
      </c>
      <c r="G208" s="112">
        <v>281</v>
      </c>
      <c r="H208" s="112">
        <v>440</v>
      </c>
      <c r="I208" s="112">
        <v>356</v>
      </c>
      <c r="J208" s="112">
        <v>398</v>
      </c>
      <c r="K208" s="112">
        <v>398</v>
      </c>
      <c r="L208" s="112">
        <v>1005</v>
      </c>
      <c r="M208" s="112">
        <v>882</v>
      </c>
      <c r="N208" s="112">
        <v>795</v>
      </c>
      <c r="O208" s="112">
        <v>872</v>
      </c>
      <c r="P208" s="112">
        <v>659</v>
      </c>
      <c r="Q208" s="112">
        <v>921</v>
      </c>
      <c r="R208" s="112">
        <v>888</v>
      </c>
      <c r="S208" s="112">
        <v>953</v>
      </c>
      <c r="T208" s="112">
        <v>357</v>
      </c>
      <c r="U208" s="112">
        <v>437</v>
      </c>
      <c r="V208" s="112">
        <v>406</v>
      </c>
      <c r="W208" s="112">
        <v>369</v>
      </c>
      <c r="X208" s="112">
        <v>907</v>
      </c>
      <c r="Y208" s="112">
        <v>806</v>
      </c>
      <c r="Z208" s="112">
        <v>880</v>
      </c>
      <c r="AA208" s="112">
        <v>721</v>
      </c>
      <c r="AB208" s="112">
        <v>579</v>
      </c>
      <c r="AC208" s="112">
        <v>587</v>
      </c>
      <c r="AD208" s="112">
        <v>673</v>
      </c>
      <c r="AE208" s="112">
        <v>515</v>
      </c>
      <c r="AF208" s="112">
        <v>654</v>
      </c>
      <c r="AG208" s="112">
        <v>825</v>
      </c>
      <c r="AH208" s="112">
        <v>841</v>
      </c>
      <c r="AI208" s="112">
        <v>879</v>
      </c>
      <c r="AJ208" s="112">
        <v>786</v>
      </c>
      <c r="AK208" s="112">
        <v>682</v>
      </c>
      <c r="AL208" s="112">
        <v>608</v>
      </c>
      <c r="AM208" s="112">
        <v>546</v>
      </c>
      <c r="AN208" s="112">
        <v>706</v>
      </c>
      <c r="AO208" s="112">
        <v>561</v>
      </c>
      <c r="AP208" s="112">
        <v>679</v>
      </c>
      <c r="AQ208" s="112">
        <v>528</v>
      </c>
      <c r="AR208" s="112">
        <v>544</v>
      </c>
      <c r="AS208" s="112">
        <v>585</v>
      </c>
      <c r="AT208" s="112">
        <v>597</v>
      </c>
      <c r="AU208" s="112">
        <v>641</v>
      </c>
      <c r="AV208" s="112">
        <v>1125</v>
      </c>
      <c r="AW208" s="112">
        <v>1409</v>
      </c>
      <c r="AX208" s="112">
        <v>1044</v>
      </c>
      <c r="AY208" s="112">
        <v>1079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>
        <v>0</v>
      </c>
      <c r="D210" s="116">
        <v>0</v>
      </c>
      <c r="E210" s="116">
        <v>0</v>
      </c>
      <c r="F210" s="116">
        <v>0</v>
      </c>
      <c r="G210" s="116">
        <v>0</v>
      </c>
      <c r="H210" s="116">
        <v>0</v>
      </c>
      <c r="I210" s="116">
        <v>0</v>
      </c>
      <c r="J210" s="116">
        <v>0</v>
      </c>
      <c r="K210" s="116">
        <v>0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0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0</v>
      </c>
      <c r="Y210" s="116">
        <v>0</v>
      </c>
      <c r="Z210" s="116">
        <v>0</v>
      </c>
      <c r="AA210" s="116">
        <v>0</v>
      </c>
      <c r="AB210" s="116">
        <v>0</v>
      </c>
      <c r="AC210" s="116">
        <v>205.32352546864456</v>
      </c>
      <c r="AD210" s="116">
        <v>380.85796582139903</v>
      </c>
      <c r="AE210" s="116">
        <v>431.04961135239057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0</v>
      </c>
      <c r="AO210" s="116">
        <v>0</v>
      </c>
      <c r="AP210" s="116">
        <v>0</v>
      </c>
      <c r="AQ210" s="116">
        <v>0</v>
      </c>
      <c r="AR210" s="116">
        <v>0</v>
      </c>
      <c r="AS210" s="116">
        <v>0</v>
      </c>
      <c r="AT210" s="116">
        <v>0</v>
      </c>
      <c r="AU210" s="116">
        <v>0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>
        <v>0</v>
      </c>
      <c r="D211" s="116">
        <v>0</v>
      </c>
      <c r="E211" s="116">
        <v>0</v>
      </c>
      <c r="F211" s="116">
        <v>0</v>
      </c>
      <c r="G211" s="116">
        <v>0</v>
      </c>
      <c r="H211" s="116">
        <v>0</v>
      </c>
      <c r="I211" s="116">
        <v>0</v>
      </c>
      <c r="J211" s="116">
        <v>0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0</v>
      </c>
      <c r="Y211" s="116">
        <v>0</v>
      </c>
      <c r="Z211" s="116">
        <v>105.73713664222828</v>
      </c>
      <c r="AA211" s="116">
        <v>414.42954674082659</v>
      </c>
      <c r="AB211" s="116">
        <v>854.1069944511745</v>
      </c>
      <c r="AC211" s="116">
        <v>948.3722197983933</v>
      </c>
      <c r="AD211" s="116">
        <v>918.14203417860097</v>
      </c>
      <c r="AE211" s="116">
        <v>790.95038864760943</v>
      </c>
      <c r="AF211" s="116">
        <v>191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57.057928456111938</v>
      </c>
      <c r="Y212" s="116">
        <v>470.41050851009061</v>
      </c>
      <c r="Z212" s="116">
        <v>687.18721505380154</v>
      </c>
      <c r="AA212" s="116">
        <v>610.57045325917341</v>
      </c>
      <c r="AB212" s="116">
        <v>386.8930055488255</v>
      </c>
      <c r="AC212" s="116">
        <v>68.304254732962235</v>
      </c>
      <c r="AD212" s="116">
        <v>0</v>
      </c>
      <c r="AE212" s="116">
        <v>0</v>
      </c>
      <c r="AF212" s="116">
        <v>0</v>
      </c>
      <c r="AG212" s="116">
        <v>263</v>
      </c>
      <c r="AH212" s="116">
        <v>130.66588202473423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264.48621213834394</v>
      </c>
      <c r="D213" s="116">
        <v>241.04514465962643</v>
      </c>
      <c r="E213" s="116">
        <v>272.05982861777477</v>
      </c>
      <c r="F213" s="116">
        <v>294.53296084375296</v>
      </c>
      <c r="G213" s="116">
        <v>258.81691436485966</v>
      </c>
      <c r="H213" s="116">
        <v>438.93719119268536</v>
      </c>
      <c r="I213" s="116">
        <v>302.15139509020594</v>
      </c>
      <c r="J213" s="116">
        <v>227.03688253883439</v>
      </c>
      <c r="K213" s="116">
        <v>268.6091677526781</v>
      </c>
      <c r="L213" s="116">
        <v>28.732301162887694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57.475983662279759</v>
      </c>
      <c r="U213" s="116">
        <v>51.745929618426487</v>
      </c>
      <c r="V213" s="116">
        <v>0</v>
      </c>
      <c r="W213" s="116">
        <v>0</v>
      </c>
      <c r="X213" s="116">
        <v>497.93346818381752</v>
      </c>
      <c r="Y213" s="116">
        <v>456.58949148990939</v>
      </c>
      <c r="Z213" s="116">
        <v>157.07564830397015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105.33411797526577</v>
      </c>
      <c r="AI213" s="116">
        <v>275</v>
      </c>
      <c r="AJ213" s="116">
        <v>75.967906944920657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128.89612719039843</v>
      </c>
      <c r="AQ213" s="116">
        <v>128.59682505036045</v>
      </c>
      <c r="AR213" s="116">
        <v>158.37995175970667</v>
      </c>
      <c r="AS213" s="116">
        <v>294.86059427982792</v>
      </c>
      <c r="AT213" s="116">
        <v>278.75399360577313</v>
      </c>
      <c r="AU213" s="116">
        <v>365.08320672471041</v>
      </c>
      <c r="AV213" s="116">
        <v>152.63705457318483</v>
      </c>
      <c r="AW213" s="116">
        <v>34.799418536744611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50.513787861656084</v>
      </c>
      <c r="D214" s="116">
        <v>78.954855340373584</v>
      </c>
      <c r="E214" s="116">
        <v>95.940171382225245</v>
      </c>
      <c r="F214" s="116">
        <v>73.46703915624704</v>
      </c>
      <c r="G214" s="116">
        <v>57.183085635140365</v>
      </c>
      <c r="H214" s="116">
        <v>83.062808807314624</v>
      </c>
      <c r="I214" s="116">
        <v>87.848604909794048</v>
      </c>
      <c r="J214" s="116">
        <v>186.96311746116561</v>
      </c>
      <c r="K214" s="116">
        <v>241.39083224732187</v>
      </c>
      <c r="L214" s="116">
        <v>211.26769883711231</v>
      </c>
      <c r="M214" s="116">
        <v>257</v>
      </c>
      <c r="N214" s="116">
        <v>194.87186791076459</v>
      </c>
      <c r="O214" s="116">
        <v>175.76842830774427</v>
      </c>
      <c r="P214" s="116">
        <v>182.9261423521954</v>
      </c>
      <c r="Q214" s="116">
        <v>177.11259707711707</v>
      </c>
      <c r="R214" s="116">
        <v>174.90012237175347</v>
      </c>
      <c r="S214" s="116">
        <v>256.29697088817352</v>
      </c>
      <c r="T214" s="116">
        <v>360.80086082240803</v>
      </c>
      <c r="U214" s="116">
        <v>364.25407038157351</v>
      </c>
      <c r="V214" s="116">
        <v>356</v>
      </c>
      <c r="W214" s="116">
        <v>374.01062099528764</v>
      </c>
      <c r="X214" s="116">
        <v>405.90096842520887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138.03209305507934</v>
      </c>
      <c r="AK214" s="116">
        <v>279</v>
      </c>
      <c r="AL214" s="116">
        <v>235.61357979706247</v>
      </c>
      <c r="AM214" s="116">
        <v>148.28973117089762</v>
      </c>
      <c r="AN214" s="116">
        <v>297.01517389005431</v>
      </c>
      <c r="AO214" s="116">
        <v>332.78111289188138</v>
      </c>
      <c r="AP214" s="116">
        <v>360.80086082240803</v>
      </c>
      <c r="AQ214" s="116">
        <v>267.40317494963955</v>
      </c>
      <c r="AR214" s="116">
        <v>267.62004824029333</v>
      </c>
      <c r="AS214" s="116">
        <v>291.13940572017208</v>
      </c>
      <c r="AT214" s="116">
        <v>192.24600639422687</v>
      </c>
      <c r="AU214" s="116">
        <v>203.91679327528956</v>
      </c>
      <c r="AV214" s="116">
        <v>141.36294542681517</v>
      </c>
      <c r="AW214" s="116">
        <v>250.20058146325539</v>
      </c>
      <c r="AX214" s="116">
        <v>333</v>
      </c>
      <c r="AY214" s="116">
        <v>261.1266838855264</v>
      </c>
    </row>
    <row r="215" spans="1:51" x14ac:dyDescent="0.2">
      <c r="A215" s="115"/>
      <c r="B215" s="125">
        <v>7</v>
      </c>
      <c r="C215" s="112">
        <v>0</v>
      </c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60.128132089235422</v>
      </c>
      <c r="O215" s="116">
        <v>120.23157169225571</v>
      </c>
      <c r="P215" s="116">
        <v>134.0738576478046</v>
      </c>
      <c r="Q215" s="116">
        <v>128.88740292288293</v>
      </c>
      <c r="R215" s="116">
        <v>133.09987762824653</v>
      </c>
      <c r="S215" s="116">
        <v>134.70302911182645</v>
      </c>
      <c r="T215" s="116">
        <v>75.723155515312229</v>
      </c>
      <c r="U215" s="116">
        <v>0</v>
      </c>
      <c r="V215" s="116">
        <v>0</v>
      </c>
      <c r="W215" s="116">
        <v>8.9893790047123598</v>
      </c>
      <c r="X215" s="116">
        <v>23.107634934861739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19.386420202937543</v>
      </c>
      <c r="AM215" s="116">
        <v>90.710268829102375</v>
      </c>
      <c r="AN215" s="116">
        <v>153.98482610994569</v>
      </c>
      <c r="AO215" s="116">
        <v>46.218887108118629</v>
      </c>
      <c r="AP215" s="116">
        <v>20.303011987193539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1.8733161144735748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1159352.3916510458</v>
      </c>
      <c r="E259" s="130">
        <f t="shared" ref="E259:AX259" si="5">F$14*$B$259</f>
        <v>1284803.8293691501</v>
      </c>
      <c r="F259" s="130">
        <f t="shared" si="5"/>
        <v>1367112.9168058978</v>
      </c>
      <c r="G259" s="130">
        <f t="shared" si="5"/>
        <v>1426753.7955542256</v>
      </c>
      <c r="H259" s="130">
        <f t="shared" si="5"/>
        <v>1423497.4467623855</v>
      </c>
      <c r="I259" s="130">
        <f t="shared" si="5"/>
        <v>1384261.382466112</v>
      </c>
      <c r="J259" s="130">
        <f t="shared" si="5"/>
        <v>1379460.6847534464</v>
      </c>
      <c r="K259" s="130">
        <f t="shared" si="5"/>
        <v>1371685.821665338</v>
      </c>
      <c r="L259" s="130">
        <f t="shared" si="5"/>
        <v>1348867.0060597898</v>
      </c>
      <c r="M259" s="130">
        <f t="shared" si="5"/>
        <v>1380665.8813919704</v>
      </c>
      <c r="N259" s="130">
        <f t="shared" si="5"/>
        <v>1400664.0275660208</v>
      </c>
      <c r="O259" s="130">
        <f t="shared" si="5"/>
        <v>1415512.639311255</v>
      </c>
      <c r="P259" s="130">
        <f t="shared" si="5"/>
        <v>1474712.9489228777</v>
      </c>
      <c r="Q259" s="130">
        <f t="shared" si="5"/>
        <v>1513850.0301265644</v>
      </c>
      <c r="R259" s="130">
        <f t="shared" si="5"/>
        <v>1544177.7580177647</v>
      </c>
      <c r="S259" s="130">
        <f t="shared" si="5"/>
        <v>1565795.0997474222</v>
      </c>
      <c r="T259" s="130">
        <f t="shared" si="5"/>
        <v>1510820.3732419035</v>
      </c>
      <c r="U259" s="130">
        <f t="shared" si="5"/>
        <v>1452547.6148042188</v>
      </c>
      <c r="V259" s="130">
        <f t="shared" si="5"/>
        <v>1424286.3326997706</v>
      </c>
      <c r="W259" s="130">
        <f t="shared" si="5"/>
        <v>1414549.0414069807</v>
      </c>
      <c r="X259" s="130">
        <f t="shared" si="5"/>
        <v>1402660.1029885563</v>
      </c>
      <c r="Y259" s="130">
        <f t="shared" si="5"/>
        <v>1286459.0520883044</v>
      </c>
      <c r="Z259" s="130">
        <f t="shared" si="5"/>
        <v>1212463.8731240791</v>
      </c>
      <c r="AA259" s="130">
        <f t="shared" si="5"/>
        <v>1154729.9416173073</v>
      </c>
      <c r="AB259" s="130">
        <f t="shared" si="5"/>
        <v>1155250.7758057106</v>
      </c>
      <c r="AC259" s="130">
        <f t="shared" si="5"/>
        <v>1116961.5225856761</v>
      </c>
      <c r="AD259" s="130">
        <f t="shared" si="5"/>
        <v>1092618.4956641605</v>
      </c>
      <c r="AE259" s="130">
        <f t="shared" si="5"/>
        <v>1061195.6790300147</v>
      </c>
      <c r="AF259" s="130">
        <f t="shared" si="5"/>
        <v>996430.19945860503</v>
      </c>
      <c r="AG259" s="130">
        <f t="shared" si="5"/>
        <v>1134062.9966519212</v>
      </c>
      <c r="AH259" s="130">
        <f t="shared" si="5"/>
        <v>1220902.3606294952</v>
      </c>
      <c r="AI259" s="130">
        <f t="shared" si="5"/>
        <v>1288659.1930003555</v>
      </c>
      <c r="AJ259" s="130">
        <f t="shared" si="5"/>
        <v>1330774.0802078424</v>
      </c>
      <c r="AK259" s="130">
        <f t="shared" si="5"/>
        <v>1372210.1289133755</v>
      </c>
      <c r="AL259" s="130">
        <f t="shared" si="5"/>
        <v>1390598.7490123881</v>
      </c>
      <c r="AM259" s="130">
        <f t="shared" si="5"/>
        <v>1408219.3734462112</v>
      </c>
      <c r="AN259" s="130">
        <f t="shared" si="5"/>
        <v>1479631.9725614365</v>
      </c>
      <c r="AO259" s="130">
        <f t="shared" si="5"/>
        <v>1493426.6949065526</v>
      </c>
      <c r="AP259" s="130">
        <f t="shared" si="5"/>
        <v>1516311.185404852</v>
      </c>
      <c r="AQ259" s="130">
        <f t="shared" si="5"/>
        <v>1509442.6018207243</v>
      </c>
      <c r="AR259" s="130">
        <f t="shared" si="5"/>
        <v>1469092.487765244</v>
      </c>
      <c r="AS259" s="130">
        <f t="shared" si="5"/>
        <v>1434484.5675708023</v>
      </c>
      <c r="AT259" s="130">
        <f t="shared" si="5"/>
        <v>1380765.8274737019</v>
      </c>
      <c r="AU259" s="130">
        <f t="shared" si="5"/>
        <v>1362427.8248036487</v>
      </c>
      <c r="AV259" s="130">
        <f t="shared" si="5"/>
        <v>1331596.9704446618</v>
      </c>
      <c r="AW259" s="130">
        <f t="shared" si="5"/>
        <v>1358485.4116295322</v>
      </c>
      <c r="AX259" s="130">
        <f t="shared" si="5"/>
        <v>1379579.7930075293</v>
      </c>
      <c r="AY259" s="130">
        <f>AZ$14*$B$259</f>
        <v>1386272.1200410505</v>
      </c>
      <c r="AZ259" s="145">
        <f>SUM($D259:$AY259)</f>
        <v>64969091.003977872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1608609.6876372534</v>
      </c>
      <c r="E260" s="131">
        <f t="shared" ref="E260:AY260" si="6">(E$175-E$176+E$177-E$178+E$179-E$180+E$181-E$182)*$B$260</f>
        <v>1663130.2596636242</v>
      </c>
      <c r="F260" s="131">
        <f t="shared" si="6"/>
        <v>1720037.5091755071</v>
      </c>
      <c r="G260" s="131">
        <f t="shared" si="6"/>
        <v>1770456.0356726649</v>
      </c>
      <c r="H260" s="131">
        <f t="shared" si="6"/>
        <v>1769058.801652095</v>
      </c>
      <c r="I260" s="131">
        <f t="shared" si="6"/>
        <v>1806576.8574863658</v>
      </c>
      <c r="J260" s="131">
        <f t="shared" si="6"/>
        <v>1845982.5373169109</v>
      </c>
      <c r="K260" s="131">
        <f t="shared" si="6"/>
        <v>1873843.7892681155</v>
      </c>
      <c r="L260" s="131">
        <f t="shared" si="6"/>
        <v>1900483.0103222511</v>
      </c>
      <c r="M260" s="131">
        <f t="shared" si="6"/>
        <v>1950857.5528090545</v>
      </c>
      <c r="N260" s="131">
        <f t="shared" si="6"/>
        <v>2007028.9144116011</v>
      </c>
      <c r="O260" s="131">
        <f t="shared" si="6"/>
        <v>2038201.9969087716</v>
      </c>
      <c r="P260" s="131">
        <f t="shared" si="6"/>
        <v>2114745.9475572738</v>
      </c>
      <c r="Q260" s="131">
        <f t="shared" si="6"/>
        <v>2134041.1755492869</v>
      </c>
      <c r="R260" s="131">
        <f t="shared" si="6"/>
        <v>2163989.4419038575</v>
      </c>
      <c r="S260" s="131">
        <f t="shared" si="6"/>
        <v>2181503.9819868715</v>
      </c>
      <c r="T260" s="131">
        <f t="shared" si="6"/>
        <v>2197741.9346695715</v>
      </c>
      <c r="U260" s="131">
        <f t="shared" si="6"/>
        <v>2195970.1057522045</v>
      </c>
      <c r="V260" s="131">
        <f t="shared" si="6"/>
        <v>2200329.7772621941</v>
      </c>
      <c r="W260" s="131">
        <f t="shared" si="6"/>
        <v>2207022.6832553535</v>
      </c>
      <c r="X260" s="131">
        <f t="shared" si="6"/>
        <v>2130151.8824990126</v>
      </c>
      <c r="Y260" s="131">
        <f t="shared" si="6"/>
        <v>2110016.244335352</v>
      </c>
      <c r="Z260" s="131">
        <f t="shared" si="6"/>
        <v>2081969.3987315495</v>
      </c>
      <c r="AA260" s="131">
        <f t="shared" si="6"/>
        <v>2055735.5321771465</v>
      </c>
      <c r="AB260" s="131">
        <f t="shared" si="6"/>
        <v>2058909.775494243</v>
      </c>
      <c r="AC260" s="131">
        <f t="shared" si="6"/>
        <v>2020781.8444541232</v>
      </c>
      <c r="AD260" s="131">
        <f t="shared" si="6"/>
        <v>1944266.5483762654</v>
      </c>
      <c r="AE260" s="131">
        <f t="shared" si="6"/>
        <v>1912352.6561963805</v>
      </c>
      <c r="AF260" s="131">
        <f t="shared" si="6"/>
        <v>1839331.4391416793</v>
      </c>
      <c r="AG260" s="131">
        <f t="shared" si="6"/>
        <v>1749967.3391205124</v>
      </c>
      <c r="AH260" s="131">
        <f t="shared" si="6"/>
        <v>1765066.3585061771</v>
      </c>
      <c r="AI260" s="131">
        <f t="shared" si="6"/>
        <v>1757348.2086584161</v>
      </c>
      <c r="AJ260" s="131">
        <f t="shared" si="6"/>
        <v>1826009.3827576672</v>
      </c>
      <c r="AK260" s="131">
        <f t="shared" si="6"/>
        <v>1887105.2145921076</v>
      </c>
      <c r="AL260" s="131">
        <f t="shared" si="6"/>
        <v>1905246.6487028059</v>
      </c>
      <c r="AM260" s="131">
        <f t="shared" si="6"/>
        <v>1930829.2989331433</v>
      </c>
      <c r="AN260" s="131">
        <f t="shared" si="6"/>
        <v>1927951.9360441277</v>
      </c>
      <c r="AO260" s="131">
        <f t="shared" si="6"/>
        <v>1989145.0693934243</v>
      </c>
      <c r="AP260" s="131">
        <f t="shared" si="6"/>
        <v>2005933.5398258148</v>
      </c>
      <c r="AQ260" s="131">
        <f t="shared" si="6"/>
        <v>2066715.4965047226</v>
      </c>
      <c r="AR260" s="131">
        <f t="shared" si="6"/>
        <v>2103032.5097427554</v>
      </c>
      <c r="AS260" s="131">
        <f t="shared" si="6"/>
        <v>2070384.6995895631</v>
      </c>
      <c r="AT260" s="131">
        <f t="shared" si="6"/>
        <v>2089269.5259124916</v>
      </c>
      <c r="AU260" s="131">
        <f t="shared" si="6"/>
        <v>2090812.496721148</v>
      </c>
      <c r="AV260" s="131">
        <f t="shared" si="6"/>
        <v>2078674.1770053187</v>
      </c>
      <c r="AW260" s="131">
        <f t="shared" si="6"/>
        <v>2129933.5209538555</v>
      </c>
      <c r="AX260" s="131">
        <f t="shared" si="6"/>
        <v>2133873.9599621696</v>
      </c>
      <c r="AY260" s="131">
        <f t="shared" si="6"/>
        <v>2135382.1567936135</v>
      </c>
      <c r="AZ260" s="147">
        <f>SUM($D260:$AY260)</f>
        <v>95145808.861386403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284</v>
      </c>
    </row>
    <row r="2" spans="1:53" x14ac:dyDescent="0.2">
      <c r="A2" s="106" t="s">
        <v>285</v>
      </c>
      <c r="B2" s="113" t="s">
        <v>59</v>
      </c>
    </row>
    <row r="3" spans="1:53" x14ac:dyDescent="0.2">
      <c r="A3" s="106" t="s">
        <v>286</v>
      </c>
      <c r="B3" s="114">
        <v>51000</v>
      </c>
      <c r="C3" s="115"/>
    </row>
    <row r="4" spans="1:53" x14ac:dyDescent="0.2">
      <c r="B4" s="116"/>
      <c r="C4" s="116"/>
    </row>
    <row r="5" spans="1:53" x14ac:dyDescent="0.2">
      <c r="C5" s="117" t="s">
        <v>287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3" x14ac:dyDescent="0.2">
      <c r="A8" s="108" t="s">
        <v>292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293</v>
      </c>
      <c r="D9" s="123">
        <v>3448.2383960070256</v>
      </c>
      <c r="E9" s="123">
        <v>3448.2383960070256</v>
      </c>
      <c r="F9" s="123">
        <v>3448.2383960070256</v>
      </c>
      <c r="G9" s="123">
        <v>3448.2383960070256</v>
      </c>
      <c r="H9" s="123">
        <v>3448.2383960070256</v>
      </c>
      <c r="I9" s="123">
        <v>3448.2383960070256</v>
      </c>
      <c r="J9" s="123">
        <v>3448.2383960070256</v>
      </c>
      <c r="K9" s="123">
        <v>3448.2383960070256</v>
      </c>
      <c r="L9" s="123">
        <v>3448.2383960070256</v>
      </c>
      <c r="M9" s="123">
        <v>3448.2383960070256</v>
      </c>
      <c r="N9" s="123">
        <v>3448.2383960070256</v>
      </c>
      <c r="O9" s="123">
        <v>3448.2383960070256</v>
      </c>
      <c r="P9" s="123">
        <v>2360.9464602255443</v>
      </c>
      <c r="Q9" s="123">
        <v>3448.2383960070256</v>
      </c>
      <c r="R9" s="123">
        <v>3448.2383960070256</v>
      </c>
      <c r="S9" s="123">
        <v>3448.2383960070256</v>
      </c>
      <c r="T9" s="123">
        <v>3448.2383960070256</v>
      </c>
      <c r="U9" s="123">
        <v>3448.2383960070256</v>
      </c>
      <c r="V9" s="123">
        <v>3448.2383960070256</v>
      </c>
      <c r="W9" s="123">
        <v>3448.2383960070256</v>
      </c>
      <c r="X9" s="123">
        <v>3448.2383960070256</v>
      </c>
      <c r="Y9" s="123">
        <v>3448.2383960070256</v>
      </c>
      <c r="Z9" s="123">
        <v>3448.2383960070256</v>
      </c>
      <c r="AA9" s="123">
        <v>3448.2383960070256</v>
      </c>
      <c r="AB9" s="123">
        <v>3448.2383960070256</v>
      </c>
      <c r="AC9" s="123">
        <v>3448.2383960070256</v>
      </c>
      <c r="AD9" s="123">
        <v>3064.048436754354</v>
      </c>
      <c r="AE9" s="123">
        <v>3448.2383960070256</v>
      </c>
      <c r="AF9" s="123">
        <v>2339.9840723351826</v>
      </c>
      <c r="AG9" s="123">
        <v>2340.4561563610077</v>
      </c>
      <c r="AH9" s="123">
        <v>3448.2383960070256</v>
      </c>
      <c r="AI9" s="123">
        <v>3448.2383960070256</v>
      </c>
      <c r="AJ9" s="123">
        <v>3448.2383960070256</v>
      </c>
      <c r="AK9" s="123">
        <v>3448.2383960070256</v>
      </c>
      <c r="AL9" s="123">
        <v>3448.2383960070256</v>
      </c>
      <c r="AM9" s="123">
        <v>3448.2383960070256</v>
      </c>
      <c r="AN9" s="123">
        <v>3448.2383960070256</v>
      </c>
      <c r="AO9" s="123">
        <v>3448.2383960070256</v>
      </c>
      <c r="AP9" s="123">
        <v>3448.2383960070256</v>
      </c>
      <c r="AQ9" s="123">
        <v>3448.2383960070256</v>
      </c>
      <c r="AR9" s="123">
        <v>3448.2383960070256</v>
      </c>
      <c r="AS9" s="123">
        <v>2345.9289495268658</v>
      </c>
      <c r="AT9" s="123">
        <v>3448.2383960070256</v>
      </c>
      <c r="AU9" s="123">
        <v>3448.2383960070256</v>
      </c>
      <c r="AV9" s="123">
        <v>3448.2383960070256</v>
      </c>
      <c r="AW9" s="123">
        <v>3448.2383960070256</v>
      </c>
      <c r="AX9" s="123">
        <v>3100.2574041114713</v>
      </c>
      <c r="AY9" s="123">
        <v>3448.2383960070256</v>
      </c>
    </row>
    <row r="10" spans="1:53" x14ac:dyDescent="0.2">
      <c r="A10" s="124" t="s">
        <v>133</v>
      </c>
      <c r="B10" s="125">
        <v>1</v>
      </c>
      <c r="C10" s="112" t="s">
        <v>293</v>
      </c>
      <c r="D10" s="106">
        <v>0</v>
      </c>
      <c r="E10" s="106">
        <v>420</v>
      </c>
      <c r="F10" s="106">
        <v>0</v>
      </c>
      <c r="G10" s="106">
        <v>313</v>
      </c>
      <c r="H10" s="106">
        <v>90</v>
      </c>
      <c r="I10" s="106">
        <v>313</v>
      </c>
      <c r="J10" s="106">
        <v>90</v>
      </c>
      <c r="K10" s="106">
        <v>313</v>
      </c>
      <c r="L10" s="106">
        <v>90</v>
      </c>
      <c r="M10" s="106">
        <v>313</v>
      </c>
      <c r="N10" s="106">
        <v>90</v>
      </c>
      <c r="O10" s="106">
        <v>313</v>
      </c>
      <c r="P10" s="106">
        <v>90</v>
      </c>
      <c r="Q10" s="106">
        <v>313</v>
      </c>
      <c r="R10" s="106">
        <v>90</v>
      </c>
      <c r="S10" s="106">
        <v>313</v>
      </c>
      <c r="T10" s="106">
        <v>90</v>
      </c>
      <c r="U10" s="106">
        <v>313</v>
      </c>
      <c r="V10" s="106">
        <v>90</v>
      </c>
      <c r="W10" s="106">
        <v>313</v>
      </c>
      <c r="X10" s="106">
        <v>90</v>
      </c>
      <c r="Y10" s="106">
        <v>313</v>
      </c>
      <c r="Z10" s="106">
        <v>90</v>
      </c>
      <c r="AA10" s="106">
        <v>313</v>
      </c>
      <c r="AB10" s="106">
        <v>90</v>
      </c>
      <c r="AC10" s="106">
        <v>313</v>
      </c>
      <c r="AD10" s="106">
        <v>90</v>
      </c>
      <c r="AE10" s="106">
        <v>313</v>
      </c>
      <c r="AF10" s="106">
        <v>90</v>
      </c>
      <c r="AG10" s="106">
        <v>313</v>
      </c>
      <c r="AH10" s="106">
        <v>90</v>
      </c>
      <c r="AI10" s="106">
        <v>0</v>
      </c>
      <c r="AJ10" s="106">
        <v>313</v>
      </c>
      <c r="AK10" s="106">
        <v>90</v>
      </c>
      <c r="AL10" s="106">
        <v>313</v>
      </c>
      <c r="AM10" s="106">
        <v>90</v>
      </c>
      <c r="AN10" s="106">
        <v>313</v>
      </c>
      <c r="AO10" s="106">
        <v>90</v>
      </c>
      <c r="AP10" s="106">
        <v>313</v>
      </c>
      <c r="AQ10" s="106">
        <v>90</v>
      </c>
      <c r="AR10" s="106">
        <v>313</v>
      </c>
      <c r="AS10" s="106">
        <v>90</v>
      </c>
      <c r="AT10" s="106">
        <v>0</v>
      </c>
      <c r="AU10" s="106">
        <v>313</v>
      </c>
      <c r="AV10" s="106">
        <v>90</v>
      </c>
      <c r="AW10" s="106">
        <v>0</v>
      </c>
      <c r="AX10" s="106">
        <v>313</v>
      </c>
      <c r="AY10" s="106">
        <v>90</v>
      </c>
      <c r="AZ10" s="106">
        <v>313</v>
      </c>
    </row>
    <row r="11" spans="1:53" x14ac:dyDescent="0.2">
      <c r="B11" s="125">
        <v>2</v>
      </c>
      <c r="C11" s="112" t="s">
        <v>293</v>
      </c>
      <c r="D11" s="106">
        <v>43</v>
      </c>
      <c r="E11" s="106">
        <v>913</v>
      </c>
      <c r="F11" s="106">
        <v>493</v>
      </c>
      <c r="G11" s="106">
        <v>313</v>
      </c>
      <c r="H11" s="106">
        <v>0</v>
      </c>
      <c r="I11" s="106">
        <v>223</v>
      </c>
      <c r="J11" s="106">
        <v>0</v>
      </c>
      <c r="L11" s="106">
        <v>0</v>
      </c>
      <c r="M11" s="106">
        <v>223</v>
      </c>
      <c r="N11" s="106">
        <v>0</v>
      </c>
      <c r="O11" s="106">
        <v>223</v>
      </c>
      <c r="S11" s="106">
        <v>0</v>
      </c>
      <c r="T11" s="106">
        <v>0</v>
      </c>
      <c r="U11" s="106">
        <v>223</v>
      </c>
      <c r="V11" s="106">
        <v>0</v>
      </c>
      <c r="X11" s="106">
        <v>0</v>
      </c>
      <c r="Z11" s="106">
        <v>0</v>
      </c>
      <c r="AB11" s="106">
        <v>0</v>
      </c>
      <c r="AC11" s="106">
        <v>223</v>
      </c>
      <c r="AE11" s="106">
        <v>223</v>
      </c>
      <c r="AF11" s="106">
        <v>0</v>
      </c>
      <c r="AG11" s="106">
        <v>223</v>
      </c>
      <c r="AK11" s="106">
        <v>0</v>
      </c>
      <c r="AL11" s="106">
        <v>223</v>
      </c>
      <c r="AN11" s="106">
        <v>223</v>
      </c>
      <c r="AO11" s="106">
        <v>0</v>
      </c>
      <c r="AP11" s="106">
        <v>223</v>
      </c>
      <c r="AQ11" s="106">
        <v>0</v>
      </c>
      <c r="AS11" s="106">
        <v>0</v>
      </c>
      <c r="AT11" s="106">
        <v>223</v>
      </c>
      <c r="AU11" s="106">
        <v>0</v>
      </c>
      <c r="AV11" s="106">
        <v>0</v>
      </c>
      <c r="AW11" s="106">
        <v>223</v>
      </c>
      <c r="AY11" s="106">
        <v>0</v>
      </c>
      <c r="AZ11" s="106">
        <v>223</v>
      </c>
      <c r="BA11" s="106">
        <v>0</v>
      </c>
    </row>
    <row r="12" spans="1:53" x14ac:dyDescent="0.2">
      <c r="B12" s="126">
        <v>3</v>
      </c>
      <c r="C12" s="112" t="s">
        <v>293</v>
      </c>
      <c r="D12" s="106">
        <v>913</v>
      </c>
      <c r="L12" s="106">
        <v>223</v>
      </c>
      <c r="O12" s="106">
        <v>0</v>
      </c>
      <c r="Q12" s="106">
        <v>0</v>
      </c>
      <c r="R12" s="106">
        <v>223</v>
      </c>
      <c r="T12" s="106">
        <v>223</v>
      </c>
      <c r="X12" s="106">
        <v>223</v>
      </c>
      <c r="Z12" s="106">
        <v>223</v>
      </c>
      <c r="AA12" s="106">
        <v>0</v>
      </c>
      <c r="AE12" s="106">
        <v>0</v>
      </c>
      <c r="AF12" s="106">
        <v>0</v>
      </c>
      <c r="AJ12" s="106">
        <v>223</v>
      </c>
      <c r="AK12" s="106">
        <v>0</v>
      </c>
      <c r="AL12" s="106">
        <v>0</v>
      </c>
      <c r="AN12" s="106">
        <v>0</v>
      </c>
      <c r="AO12" s="106">
        <v>0</v>
      </c>
      <c r="AS12" s="106">
        <v>223</v>
      </c>
      <c r="AV12" s="106">
        <v>0</v>
      </c>
      <c r="AY12" s="106">
        <v>0</v>
      </c>
    </row>
    <row r="13" spans="1:53" x14ac:dyDescent="0.2">
      <c r="B13" s="126">
        <v>4</v>
      </c>
      <c r="C13" s="112" t="s">
        <v>293</v>
      </c>
      <c r="T13" s="106">
        <v>0</v>
      </c>
      <c r="AC13" s="106">
        <v>223</v>
      </c>
      <c r="AJ13" s="106">
        <v>0</v>
      </c>
      <c r="AU13" s="106">
        <v>0</v>
      </c>
    </row>
    <row r="14" spans="1:53" x14ac:dyDescent="0.2">
      <c r="A14" s="121" t="s">
        <v>134</v>
      </c>
      <c r="B14" s="127">
        <v>1</v>
      </c>
      <c r="C14" s="123" t="s">
        <v>293</v>
      </c>
      <c r="D14" s="123">
        <v>15464.701479000685</v>
      </c>
      <c r="E14" s="123">
        <f t="shared" ref="E14:AZ14" si="0">D$172*SUM(D$122:D$169)</f>
        <v>18986.768639141043</v>
      </c>
      <c r="F14" s="123">
        <f t="shared" si="0"/>
        <v>21092.897267245753</v>
      </c>
      <c r="G14" s="123">
        <f t="shared" si="0"/>
        <v>21962.101628950819</v>
      </c>
      <c r="H14" s="123">
        <f t="shared" si="0"/>
        <v>21962.101628950822</v>
      </c>
      <c r="I14" s="123">
        <f t="shared" si="0"/>
        <v>21626.677111484616</v>
      </c>
      <c r="J14" s="123">
        <f t="shared" si="0"/>
        <v>20877.600508338292</v>
      </c>
      <c r="K14" s="123">
        <f t="shared" si="0"/>
        <v>20293.918599144945</v>
      </c>
      <c r="L14" s="123">
        <f t="shared" si="0"/>
        <v>20098.95809835002</v>
      </c>
      <c r="M14" s="123">
        <f t="shared" si="0"/>
        <v>19965.129969040485</v>
      </c>
      <c r="N14" s="123">
        <f t="shared" si="0"/>
        <v>20518.081789860473</v>
      </c>
      <c r="O14" s="123">
        <f t="shared" si="0"/>
        <v>20815.691097936928</v>
      </c>
      <c r="P14" s="123">
        <f t="shared" si="0"/>
        <v>20990.308628559473</v>
      </c>
      <c r="Q14" s="123">
        <f t="shared" si="0"/>
        <v>21962.101628950826</v>
      </c>
      <c r="R14" s="123">
        <f t="shared" si="0"/>
        <v>21962.101628950822</v>
      </c>
      <c r="S14" s="123">
        <f t="shared" si="0"/>
        <v>21962.101628950826</v>
      </c>
      <c r="T14" s="123">
        <f t="shared" si="0"/>
        <v>21962.10162895083</v>
      </c>
      <c r="U14" s="123">
        <f t="shared" si="0"/>
        <v>21177.099972256678</v>
      </c>
      <c r="V14" s="123">
        <f t="shared" si="0"/>
        <v>20926.940798065316</v>
      </c>
      <c r="W14" s="123">
        <f t="shared" si="0"/>
        <v>20683.309610623008</v>
      </c>
      <c r="X14" s="123">
        <f t="shared" si="0"/>
        <v>20652.681176268081</v>
      </c>
      <c r="Y14" s="123">
        <f t="shared" si="0"/>
        <v>20514.666003323593</v>
      </c>
      <c r="Z14" s="123">
        <f t="shared" si="0"/>
        <v>20558.813618982931</v>
      </c>
      <c r="AA14" s="123">
        <f t="shared" si="0"/>
        <v>20557.681575403989</v>
      </c>
      <c r="AB14" s="123">
        <f t="shared" si="0"/>
        <v>20516.557855413434</v>
      </c>
      <c r="AC14" s="123">
        <f t="shared" si="0"/>
        <v>21744.293188039475</v>
      </c>
      <c r="AD14" s="123">
        <f t="shared" si="0"/>
        <v>21962.10162895083</v>
      </c>
      <c r="AE14" s="123">
        <f t="shared" si="0"/>
        <v>21962.101628950826</v>
      </c>
      <c r="AF14" s="123">
        <f t="shared" si="0"/>
        <v>21962.101628950822</v>
      </c>
      <c r="AG14" s="123">
        <f t="shared" si="0"/>
        <v>21651.653619219494</v>
      </c>
      <c r="AH14" s="123">
        <f t="shared" si="0"/>
        <v>21116.609966055577</v>
      </c>
      <c r="AI14" s="123">
        <f t="shared" si="0"/>
        <v>20772.353954790629</v>
      </c>
      <c r="AJ14" s="123">
        <f t="shared" si="0"/>
        <v>20677.542637419436</v>
      </c>
      <c r="AK14" s="123">
        <f t="shared" si="0"/>
        <v>20518.486280640733</v>
      </c>
      <c r="AL14" s="123">
        <f t="shared" si="0"/>
        <v>20632.473260059207</v>
      </c>
      <c r="AM14" s="123">
        <f t="shared" si="0"/>
        <v>20578.089734034838</v>
      </c>
      <c r="AN14" s="123">
        <f t="shared" si="0"/>
        <v>20572.963122191351</v>
      </c>
      <c r="AO14" s="123">
        <f t="shared" si="0"/>
        <v>21719.134970150033</v>
      </c>
      <c r="AP14" s="123">
        <f t="shared" si="0"/>
        <v>21962.101628950826</v>
      </c>
      <c r="AQ14" s="123">
        <f t="shared" si="0"/>
        <v>21962.10162895083</v>
      </c>
      <c r="AR14" s="123">
        <f t="shared" si="0"/>
        <v>21962.101628950826</v>
      </c>
      <c r="AS14" s="123">
        <f t="shared" si="0"/>
        <v>21081.500235754182</v>
      </c>
      <c r="AT14" s="123">
        <f t="shared" si="0"/>
        <v>20711.453710965587</v>
      </c>
      <c r="AU14" s="123">
        <f t="shared" si="0"/>
        <v>20488.2718614242</v>
      </c>
      <c r="AV14" s="123">
        <f t="shared" si="0"/>
        <v>20295.312382709002</v>
      </c>
      <c r="AW14" s="123">
        <f t="shared" si="0"/>
        <v>20230.663028559531</v>
      </c>
      <c r="AX14" s="123">
        <f t="shared" si="0"/>
        <v>20580.989459714056</v>
      </c>
      <c r="AY14" s="123">
        <f t="shared" si="0"/>
        <v>20724.042557580033</v>
      </c>
      <c r="AZ14" s="116">
        <f t="shared" si="0"/>
        <v>20730.563256287063</v>
      </c>
      <c r="BA14" s="113">
        <f>SUM($E14:$AZ14)</f>
        <v>1009225.3990924433</v>
      </c>
    </row>
    <row r="15" spans="1:53" x14ac:dyDescent="0.2">
      <c r="A15" s="128" t="s">
        <v>123</v>
      </c>
      <c r="B15" s="129">
        <v>1</v>
      </c>
      <c r="C15" s="130" t="s">
        <v>293</v>
      </c>
      <c r="D15" s="130">
        <v>24195.582908561741</v>
      </c>
      <c r="E15" s="130">
        <v>24195.582908561741</v>
      </c>
      <c r="F15" s="130">
        <v>24195.582908561741</v>
      </c>
      <c r="G15" s="130">
        <v>24195.582908561741</v>
      </c>
      <c r="H15" s="130">
        <v>21507.184807610436</v>
      </c>
      <c r="I15" s="130">
        <v>21507.184807610436</v>
      </c>
      <c r="J15" s="130">
        <v>21507.184807610436</v>
      </c>
      <c r="K15" s="130">
        <v>21507.184807610436</v>
      </c>
      <c r="L15" s="130">
        <v>21507.184807610436</v>
      </c>
      <c r="M15" s="130">
        <v>21507.184807610436</v>
      </c>
      <c r="N15" s="130">
        <v>21507.184807610436</v>
      </c>
      <c r="O15" s="130">
        <v>21507.184807610436</v>
      </c>
      <c r="P15" s="130">
        <v>24195.582908561741</v>
      </c>
      <c r="Q15" s="130">
        <v>24195.582908561741</v>
      </c>
      <c r="R15" s="130">
        <v>24195.582908561741</v>
      </c>
      <c r="S15" s="130">
        <v>24195.582908561741</v>
      </c>
      <c r="T15" s="130">
        <v>21507.184807610436</v>
      </c>
      <c r="U15" s="130">
        <v>21507.184807610436</v>
      </c>
      <c r="V15" s="130">
        <v>21507.184807610436</v>
      </c>
      <c r="W15" s="130">
        <v>21507.184807610436</v>
      </c>
      <c r="X15" s="130">
        <v>21507.184807610436</v>
      </c>
      <c r="Y15" s="130">
        <v>21507.184807610436</v>
      </c>
      <c r="Z15" s="130">
        <v>21507.184807610436</v>
      </c>
      <c r="AA15" s="130">
        <v>21507.184807610436</v>
      </c>
      <c r="AB15" s="130">
        <v>24195.582908561741</v>
      </c>
      <c r="AC15" s="130">
        <v>24195.582908561741</v>
      </c>
      <c r="AD15" s="130">
        <v>24195.582908561741</v>
      </c>
      <c r="AE15" s="130">
        <v>24195.582908561741</v>
      </c>
      <c r="AF15" s="130">
        <v>21507.184807610436</v>
      </c>
      <c r="AG15" s="130">
        <v>21507.184807610436</v>
      </c>
      <c r="AH15" s="130">
        <v>21507.184807610436</v>
      </c>
      <c r="AI15" s="130">
        <v>21507.184807610436</v>
      </c>
      <c r="AJ15" s="130">
        <v>21507.184807610436</v>
      </c>
      <c r="AK15" s="130">
        <v>21507.184807610436</v>
      </c>
      <c r="AL15" s="130">
        <v>21507.184807610436</v>
      </c>
      <c r="AM15" s="130">
        <v>21507.184807610436</v>
      </c>
      <c r="AN15" s="130">
        <v>24195.582908561741</v>
      </c>
      <c r="AO15" s="130">
        <v>24195.582908561741</v>
      </c>
      <c r="AP15" s="130">
        <v>24195.582908561741</v>
      </c>
      <c r="AQ15" s="130">
        <v>24195.582908561741</v>
      </c>
      <c r="AR15" s="130">
        <v>21507.184807610436</v>
      </c>
      <c r="AS15" s="130">
        <v>21507.184807610436</v>
      </c>
      <c r="AT15" s="130">
        <v>21507.184807610436</v>
      </c>
      <c r="AU15" s="130">
        <v>21507.184807610436</v>
      </c>
      <c r="AV15" s="130">
        <v>21507.184807610436</v>
      </c>
      <c r="AW15" s="130">
        <v>21507.184807610436</v>
      </c>
      <c r="AX15" s="130">
        <v>21507.184807610436</v>
      </c>
      <c r="AY15" s="130">
        <v>21507.184807610436</v>
      </c>
      <c r="AZ15" s="106">
        <v>0</v>
      </c>
    </row>
    <row r="16" spans="1:53" x14ac:dyDescent="0.2">
      <c r="A16" s="116"/>
      <c r="B16" s="125">
        <v>2</v>
      </c>
      <c r="C16" s="115" t="s">
        <v>293</v>
      </c>
      <c r="D16" s="112">
        <v>0</v>
      </c>
      <c r="E16" s="116">
        <v>0</v>
      </c>
      <c r="F16" s="116">
        <v>0</v>
      </c>
      <c r="G16" s="116">
        <v>0</v>
      </c>
      <c r="H16" s="116">
        <v>0</v>
      </c>
      <c r="I16" s="116">
        <v>0</v>
      </c>
      <c r="J16" s="116">
        <v>0</v>
      </c>
      <c r="K16" s="116"/>
      <c r="L16" s="116">
        <v>0</v>
      </c>
      <c r="M16" s="116">
        <v>0</v>
      </c>
      <c r="N16" s="116">
        <v>0</v>
      </c>
      <c r="O16" s="116">
        <v>0</v>
      </c>
      <c r="P16" s="116"/>
      <c r="Q16" s="116"/>
      <c r="R16" s="116"/>
      <c r="S16" s="116">
        <v>0</v>
      </c>
      <c r="T16" s="116">
        <v>0</v>
      </c>
      <c r="U16" s="116">
        <v>0</v>
      </c>
      <c r="V16" s="116">
        <v>0</v>
      </c>
      <c r="W16" s="116"/>
      <c r="X16" s="116">
        <v>0</v>
      </c>
      <c r="Y16" s="116"/>
      <c r="Z16" s="116">
        <v>0</v>
      </c>
      <c r="AA16" s="116"/>
      <c r="AB16" s="116">
        <v>0</v>
      </c>
      <c r="AC16" s="116">
        <v>0</v>
      </c>
      <c r="AD16" s="116"/>
      <c r="AE16" s="116">
        <v>0</v>
      </c>
      <c r="AF16" s="116">
        <v>0</v>
      </c>
      <c r="AG16" s="116">
        <v>0</v>
      </c>
      <c r="AH16" s="116"/>
      <c r="AI16" s="116"/>
      <c r="AJ16" s="116"/>
      <c r="AK16" s="116">
        <v>0</v>
      </c>
      <c r="AL16" s="116">
        <v>0</v>
      </c>
      <c r="AM16" s="116"/>
      <c r="AN16" s="116">
        <v>0</v>
      </c>
      <c r="AO16" s="116">
        <v>0</v>
      </c>
      <c r="AP16" s="116">
        <v>0</v>
      </c>
      <c r="AQ16" s="116">
        <v>0</v>
      </c>
      <c r="AR16" s="116"/>
      <c r="AS16" s="116">
        <v>0</v>
      </c>
      <c r="AT16" s="116">
        <v>0</v>
      </c>
      <c r="AU16" s="116">
        <v>0</v>
      </c>
      <c r="AV16" s="116">
        <v>0</v>
      </c>
      <c r="AW16" s="116">
        <v>0</v>
      </c>
      <c r="AX16" s="116"/>
      <c r="AY16" s="116">
        <v>0</v>
      </c>
      <c r="AZ16" s="106">
        <v>0</v>
      </c>
      <c r="BA16" s="106">
        <v>0</v>
      </c>
    </row>
    <row r="17" spans="1:51" x14ac:dyDescent="0.2">
      <c r="A17" s="116"/>
      <c r="B17" s="125">
        <v>3</v>
      </c>
      <c r="C17" s="115" t="s">
        <v>293</v>
      </c>
      <c r="D17" s="112">
        <v>0</v>
      </c>
      <c r="E17" s="116"/>
      <c r="F17" s="116"/>
      <c r="G17" s="116"/>
      <c r="H17" s="116"/>
      <c r="I17" s="116"/>
      <c r="J17" s="116"/>
      <c r="K17" s="116"/>
      <c r="L17" s="116">
        <v>0</v>
      </c>
      <c r="M17" s="116"/>
      <c r="N17" s="116"/>
      <c r="O17" s="116">
        <v>0</v>
      </c>
      <c r="P17" s="116"/>
      <c r="Q17" s="116">
        <v>0</v>
      </c>
      <c r="R17" s="116">
        <v>0</v>
      </c>
      <c r="S17" s="116"/>
      <c r="T17" s="116">
        <v>0</v>
      </c>
      <c r="U17" s="116"/>
      <c r="V17" s="116"/>
      <c r="W17" s="116"/>
      <c r="X17" s="116">
        <v>0</v>
      </c>
      <c r="Y17" s="116"/>
      <c r="Z17" s="116">
        <v>0</v>
      </c>
      <c r="AA17" s="116">
        <v>0</v>
      </c>
      <c r="AB17" s="116"/>
      <c r="AC17" s="116"/>
      <c r="AD17" s="116"/>
      <c r="AE17" s="116">
        <v>0</v>
      </c>
      <c r="AF17" s="116">
        <v>0</v>
      </c>
      <c r="AG17" s="116"/>
      <c r="AH17" s="116"/>
      <c r="AI17" s="116"/>
      <c r="AJ17" s="116">
        <v>0</v>
      </c>
      <c r="AK17" s="116">
        <v>0</v>
      </c>
      <c r="AL17" s="116">
        <v>0</v>
      </c>
      <c r="AM17" s="116"/>
      <c r="AN17" s="116">
        <v>0</v>
      </c>
      <c r="AO17" s="116">
        <v>0</v>
      </c>
      <c r="AP17" s="116"/>
      <c r="AQ17" s="116"/>
      <c r="AR17" s="116"/>
      <c r="AS17" s="116">
        <v>0</v>
      </c>
      <c r="AT17" s="116"/>
      <c r="AU17" s="116"/>
      <c r="AV17" s="116">
        <v>0</v>
      </c>
      <c r="AW17" s="116"/>
      <c r="AX17" s="116"/>
      <c r="AY17" s="116">
        <v>0</v>
      </c>
    </row>
    <row r="18" spans="1:51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>
        <v>0</v>
      </c>
      <c r="U18" s="131"/>
      <c r="V18" s="131"/>
      <c r="W18" s="131"/>
      <c r="X18" s="131"/>
      <c r="Y18" s="131"/>
      <c r="Z18" s="131"/>
      <c r="AA18" s="131"/>
      <c r="AB18" s="131"/>
      <c r="AC18" s="131">
        <v>0</v>
      </c>
      <c r="AD18" s="131"/>
      <c r="AE18" s="131"/>
      <c r="AF18" s="131"/>
      <c r="AG18" s="131"/>
      <c r="AH18" s="131"/>
      <c r="AI18" s="131"/>
      <c r="AJ18" s="131">
        <v>0</v>
      </c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>
        <v>0</v>
      </c>
      <c r="AV18" s="131"/>
      <c r="AW18" s="131"/>
      <c r="AX18" s="131"/>
      <c r="AY18" s="131"/>
    </row>
    <row r="20" spans="1:51" x14ac:dyDescent="0.2">
      <c r="A20" s="108" t="s">
        <v>294</v>
      </c>
    </row>
    <row r="21" spans="1:51" x14ac:dyDescent="0.2">
      <c r="A21" s="132" t="s">
        <v>125</v>
      </c>
      <c r="B21" s="129">
        <v>1</v>
      </c>
      <c r="C21" s="130" t="s">
        <v>293</v>
      </c>
      <c r="D21" s="130">
        <v>3448.2383960070256</v>
      </c>
      <c r="E21" s="130">
        <v>3448.2383960070256</v>
      </c>
      <c r="F21" s="130">
        <v>3448.2383960070256</v>
      </c>
      <c r="G21" s="130">
        <v>3448.2383960070256</v>
      </c>
      <c r="H21" s="130">
        <v>3448.2383960070256</v>
      </c>
      <c r="I21" s="130">
        <v>3448.2383960070256</v>
      </c>
      <c r="J21" s="130">
        <v>3448.2383960070256</v>
      </c>
      <c r="K21" s="130">
        <v>3448.2383960070256</v>
      </c>
      <c r="L21" s="130">
        <v>3448.2383960070256</v>
      </c>
      <c r="M21" s="130">
        <v>3448.2383960070256</v>
      </c>
      <c r="N21" s="130">
        <v>3448.2383960070256</v>
      </c>
      <c r="O21" s="130">
        <v>3448.2383960070256</v>
      </c>
      <c r="P21" s="130">
        <v>2360.9464602255443</v>
      </c>
      <c r="Q21" s="130">
        <v>3448.2383960070256</v>
      </c>
      <c r="R21" s="130">
        <v>3448.2383960070256</v>
      </c>
      <c r="S21" s="130">
        <v>3448.2383960070256</v>
      </c>
      <c r="T21" s="130">
        <v>3448.2383960070256</v>
      </c>
      <c r="U21" s="130">
        <v>3448.2383960070256</v>
      </c>
      <c r="V21" s="130">
        <v>3448.2383960070256</v>
      </c>
      <c r="W21" s="130">
        <v>3448.2383960070256</v>
      </c>
      <c r="X21" s="130">
        <v>3448.2383960070256</v>
      </c>
      <c r="Y21" s="130">
        <v>3448.2383960070256</v>
      </c>
      <c r="Z21" s="130">
        <v>3448.2383960070256</v>
      </c>
      <c r="AA21" s="130">
        <v>3448.2383960070256</v>
      </c>
      <c r="AB21" s="130">
        <v>3448.2383960070256</v>
      </c>
      <c r="AC21" s="130">
        <v>3448.2383960070256</v>
      </c>
      <c r="AD21" s="130">
        <v>3064.048436754354</v>
      </c>
      <c r="AE21" s="130">
        <v>3448.2383960070256</v>
      </c>
      <c r="AF21" s="130">
        <v>2339.9840723351826</v>
      </c>
      <c r="AG21" s="130">
        <v>2340.4561563610077</v>
      </c>
      <c r="AH21" s="130">
        <v>3448.2383960070256</v>
      </c>
      <c r="AI21" s="130">
        <v>3448.2383960070256</v>
      </c>
      <c r="AJ21" s="130">
        <v>3448.2383960070256</v>
      </c>
      <c r="AK21" s="130">
        <v>3448.2383960070256</v>
      </c>
      <c r="AL21" s="130">
        <v>3448.2383960070256</v>
      </c>
      <c r="AM21" s="130">
        <v>3448.2383960070256</v>
      </c>
      <c r="AN21" s="130">
        <v>3448.2383960070256</v>
      </c>
      <c r="AO21" s="130">
        <v>3448.2383960070256</v>
      </c>
      <c r="AP21" s="130">
        <v>3448.2383960070256</v>
      </c>
      <c r="AQ21" s="130">
        <v>3448.2383960070256</v>
      </c>
      <c r="AR21" s="130">
        <v>3448.2383960070256</v>
      </c>
      <c r="AS21" s="130">
        <v>2345.9289495268658</v>
      </c>
      <c r="AT21" s="130">
        <v>3448.2383960070256</v>
      </c>
      <c r="AU21" s="130">
        <v>3448.2383960070256</v>
      </c>
      <c r="AV21" s="130">
        <v>3448.2383960070256</v>
      </c>
      <c r="AW21" s="130">
        <v>3448.2383960070256</v>
      </c>
      <c r="AX21" s="130">
        <v>3100.2574041114713</v>
      </c>
      <c r="AY21" s="130">
        <v>3448.2383960070256</v>
      </c>
    </row>
    <row r="22" spans="1:51" x14ac:dyDescent="0.2">
      <c r="A22" s="115"/>
      <c r="B22" s="126">
        <v>2</v>
      </c>
      <c r="C22" s="116" t="s">
        <v>293</v>
      </c>
      <c r="D22" s="116">
        <v>0</v>
      </c>
      <c r="E22" s="116">
        <v>0</v>
      </c>
      <c r="F22" s="116">
        <v>0</v>
      </c>
      <c r="G22" s="116">
        <v>0</v>
      </c>
      <c r="H22" s="116">
        <v>0</v>
      </c>
      <c r="I22" s="116">
        <v>0</v>
      </c>
      <c r="J22" s="116">
        <v>0</v>
      </c>
      <c r="K22" s="116">
        <v>0</v>
      </c>
      <c r="L22" s="116">
        <v>0</v>
      </c>
      <c r="M22" s="116">
        <v>0</v>
      </c>
      <c r="N22" s="116">
        <v>0</v>
      </c>
      <c r="O22" s="116">
        <v>0</v>
      </c>
      <c r="P22" s="116">
        <v>0</v>
      </c>
      <c r="Q22" s="116">
        <v>0</v>
      </c>
      <c r="R22" s="116">
        <v>0</v>
      </c>
      <c r="S22" s="116">
        <v>0</v>
      </c>
      <c r="T22" s="116">
        <v>0</v>
      </c>
      <c r="U22" s="116">
        <v>0</v>
      </c>
      <c r="V22" s="116">
        <v>0</v>
      </c>
      <c r="W22" s="116">
        <v>0</v>
      </c>
      <c r="X22" s="116">
        <v>0</v>
      </c>
      <c r="Y22" s="116">
        <v>0</v>
      </c>
      <c r="Z22" s="116">
        <v>0</v>
      </c>
      <c r="AA22" s="116">
        <v>0</v>
      </c>
      <c r="AB22" s="116">
        <v>0</v>
      </c>
      <c r="AC22" s="116">
        <v>0</v>
      </c>
      <c r="AD22" s="116">
        <v>0</v>
      </c>
      <c r="AE22" s="116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0</v>
      </c>
      <c r="AM22" s="116">
        <v>0</v>
      </c>
      <c r="AN22" s="116">
        <v>0</v>
      </c>
      <c r="AO22" s="116">
        <v>0</v>
      </c>
      <c r="AP22" s="116">
        <v>0</v>
      </c>
      <c r="AQ22" s="116">
        <v>0</v>
      </c>
      <c r="AR22" s="116">
        <v>0</v>
      </c>
      <c r="AS22" s="116">
        <v>0</v>
      </c>
      <c r="AT22" s="116">
        <v>0</v>
      </c>
      <c r="AU22" s="116">
        <v>0</v>
      </c>
      <c r="AV22" s="116">
        <v>0</v>
      </c>
      <c r="AW22" s="116">
        <v>0</v>
      </c>
      <c r="AX22" s="116">
        <v>0</v>
      </c>
      <c r="AY22" s="116">
        <v>0</v>
      </c>
    </row>
    <row r="23" spans="1:51" x14ac:dyDescent="0.2">
      <c r="A23" s="115"/>
      <c r="B23" s="133">
        <v>3</v>
      </c>
      <c r="C23" s="116" t="s">
        <v>293</v>
      </c>
      <c r="D23" s="116">
        <v>0</v>
      </c>
      <c r="E23" s="116">
        <v>0</v>
      </c>
      <c r="F23" s="116">
        <v>0</v>
      </c>
      <c r="G23" s="116">
        <v>0</v>
      </c>
      <c r="H23" s="116">
        <v>0</v>
      </c>
      <c r="I23" s="116">
        <v>0</v>
      </c>
      <c r="J23" s="116">
        <v>0</v>
      </c>
      <c r="K23" s="116">
        <v>0</v>
      </c>
      <c r="L23" s="116">
        <v>0</v>
      </c>
      <c r="M23" s="116">
        <v>0</v>
      </c>
      <c r="N23" s="116">
        <v>0</v>
      </c>
      <c r="O23" s="116">
        <v>0</v>
      </c>
      <c r="P23" s="116">
        <v>0</v>
      </c>
      <c r="Q23" s="116">
        <v>0</v>
      </c>
      <c r="R23" s="116">
        <v>0</v>
      </c>
      <c r="S23" s="116">
        <v>0</v>
      </c>
      <c r="T23" s="116">
        <v>0</v>
      </c>
      <c r="U23" s="116">
        <v>0</v>
      </c>
      <c r="V23" s="116">
        <v>0</v>
      </c>
      <c r="W23" s="116">
        <v>0</v>
      </c>
      <c r="X23" s="116">
        <v>0</v>
      </c>
      <c r="Y23" s="116">
        <v>0</v>
      </c>
      <c r="Z23" s="116">
        <v>0</v>
      </c>
      <c r="AA23" s="116">
        <v>0</v>
      </c>
      <c r="AB23" s="116">
        <v>0</v>
      </c>
      <c r="AC23" s="116">
        <v>0</v>
      </c>
      <c r="AD23" s="116">
        <v>0</v>
      </c>
      <c r="AE23" s="116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116">
        <v>0</v>
      </c>
      <c r="AO23" s="116">
        <v>0</v>
      </c>
      <c r="AP23" s="116">
        <v>0</v>
      </c>
      <c r="AQ23" s="116">
        <v>0</v>
      </c>
      <c r="AR23" s="116">
        <v>0</v>
      </c>
      <c r="AS23" s="116">
        <v>0</v>
      </c>
      <c r="AT23" s="116">
        <v>0</v>
      </c>
      <c r="AU23" s="116">
        <v>0</v>
      </c>
      <c r="AV23" s="116">
        <v>0</v>
      </c>
      <c r="AW23" s="116">
        <v>0</v>
      </c>
      <c r="AX23" s="116">
        <v>0</v>
      </c>
      <c r="AY23" s="116">
        <v>0</v>
      </c>
    </row>
    <row r="24" spans="1:51" x14ac:dyDescent="0.2">
      <c r="A24" s="134"/>
      <c r="B24" s="135">
        <v>4</v>
      </c>
      <c r="C24" s="134" t="s">
        <v>293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1" x14ac:dyDescent="0.2">
      <c r="A25" s="132" t="s">
        <v>133</v>
      </c>
      <c r="B25" s="129">
        <v>1</v>
      </c>
      <c r="C25" s="115" t="s">
        <v>293</v>
      </c>
      <c r="D25" s="116">
        <v>0</v>
      </c>
      <c r="E25" s="116">
        <v>420</v>
      </c>
      <c r="F25" s="116">
        <v>0</v>
      </c>
      <c r="G25" s="116">
        <v>313</v>
      </c>
      <c r="H25" s="116">
        <v>90</v>
      </c>
      <c r="I25" s="116">
        <v>313</v>
      </c>
      <c r="J25" s="116">
        <v>90</v>
      </c>
      <c r="K25" s="116">
        <v>313</v>
      </c>
      <c r="L25" s="116">
        <v>90</v>
      </c>
      <c r="M25" s="116">
        <v>313</v>
      </c>
      <c r="N25" s="116">
        <v>90</v>
      </c>
      <c r="O25" s="116">
        <v>313</v>
      </c>
      <c r="P25" s="116">
        <v>90</v>
      </c>
      <c r="Q25" s="116">
        <v>313</v>
      </c>
      <c r="R25" s="116">
        <v>90</v>
      </c>
      <c r="S25" s="116">
        <v>313</v>
      </c>
      <c r="T25" s="116">
        <v>90</v>
      </c>
      <c r="U25" s="116">
        <v>313</v>
      </c>
      <c r="V25" s="116">
        <v>90</v>
      </c>
      <c r="W25" s="116">
        <v>313</v>
      </c>
      <c r="X25" s="116">
        <v>90</v>
      </c>
      <c r="Y25" s="116">
        <v>313</v>
      </c>
      <c r="Z25" s="116">
        <v>90</v>
      </c>
      <c r="AA25" s="116">
        <v>313</v>
      </c>
      <c r="AB25" s="116">
        <v>90</v>
      </c>
      <c r="AC25" s="116">
        <v>313</v>
      </c>
      <c r="AD25" s="116">
        <v>90</v>
      </c>
      <c r="AE25" s="116">
        <v>313</v>
      </c>
      <c r="AF25" s="116">
        <v>90</v>
      </c>
      <c r="AG25" s="116">
        <v>313</v>
      </c>
      <c r="AH25" s="116">
        <v>90</v>
      </c>
      <c r="AI25" s="116">
        <v>0</v>
      </c>
      <c r="AJ25" s="116">
        <v>313</v>
      </c>
      <c r="AK25" s="116">
        <v>90</v>
      </c>
      <c r="AL25" s="116">
        <v>313</v>
      </c>
      <c r="AM25" s="116">
        <v>90</v>
      </c>
      <c r="AN25" s="116">
        <v>313</v>
      </c>
      <c r="AO25" s="116">
        <v>90</v>
      </c>
      <c r="AP25" s="116">
        <v>313</v>
      </c>
      <c r="AQ25" s="116">
        <v>90</v>
      </c>
      <c r="AR25" s="116">
        <v>313</v>
      </c>
      <c r="AS25" s="116">
        <v>90</v>
      </c>
      <c r="AT25" s="116">
        <v>0</v>
      </c>
      <c r="AU25" s="116">
        <v>313</v>
      </c>
      <c r="AV25" s="116">
        <v>90</v>
      </c>
      <c r="AW25" s="116">
        <v>0</v>
      </c>
      <c r="AX25" s="116">
        <v>313</v>
      </c>
      <c r="AY25" s="116">
        <v>90</v>
      </c>
    </row>
    <row r="26" spans="1:51" x14ac:dyDescent="0.2">
      <c r="A26" s="115"/>
      <c r="B26" s="125">
        <v>2</v>
      </c>
      <c r="C26" s="115" t="s">
        <v>293</v>
      </c>
      <c r="D26" s="116">
        <v>43</v>
      </c>
      <c r="E26" s="116">
        <v>913</v>
      </c>
      <c r="F26" s="116">
        <v>493</v>
      </c>
      <c r="G26" s="116">
        <v>313</v>
      </c>
      <c r="H26" s="116">
        <v>0</v>
      </c>
      <c r="I26" s="116">
        <v>223</v>
      </c>
      <c r="J26" s="116">
        <v>0</v>
      </c>
      <c r="K26" s="116">
        <v>0</v>
      </c>
      <c r="L26" s="116">
        <v>0</v>
      </c>
      <c r="M26" s="116">
        <v>223</v>
      </c>
      <c r="N26" s="116">
        <v>0</v>
      </c>
      <c r="O26" s="116">
        <v>223</v>
      </c>
      <c r="P26" s="116">
        <v>0</v>
      </c>
      <c r="Q26" s="116">
        <v>0</v>
      </c>
      <c r="R26" s="116">
        <v>0</v>
      </c>
      <c r="S26" s="116">
        <v>0</v>
      </c>
      <c r="T26" s="116">
        <v>0</v>
      </c>
      <c r="U26" s="116">
        <v>223</v>
      </c>
      <c r="V26" s="116">
        <v>0</v>
      </c>
      <c r="W26" s="116">
        <v>0</v>
      </c>
      <c r="X26" s="116">
        <v>0</v>
      </c>
      <c r="Y26" s="116">
        <v>0</v>
      </c>
      <c r="Z26" s="116">
        <v>0</v>
      </c>
      <c r="AA26" s="116">
        <v>0</v>
      </c>
      <c r="AB26" s="116">
        <v>0</v>
      </c>
      <c r="AC26" s="116">
        <v>223</v>
      </c>
      <c r="AD26" s="116">
        <v>0</v>
      </c>
      <c r="AE26" s="116">
        <v>223</v>
      </c>
      <c r="AF26" s="116">
        <v>0</v>
      </c>
      <c r="AG26" s="116">
        <v>223</v>
      </c>
      <c r="AH26" s="116">
        <v>0</v>
      </c>
      <c r="AI26" s="116">
        <v>0</v>
      </c>
      <c r="AJ26" s="116">
        <v>0</v>
      </c>
      <c r="AK26" s="116">
        <v>0</v>
      </c>
      <c r="AL26" s="116">
        <v>223</v>
      </c>
      <c r="AM26" s="116">
        <v>0</v>
      </c>
      <c r="AN26" s="116">
        <v>223</v>
      </c>
      <c r="AO26" s="116">
        <v>0</v>
      </c>
      <c r="AP26" s="116">
        <v>223</v>
      </c>
      <c r="AQ26" s="116">
        <v>0</v>
      </c>
      <c r="AR26" s="116">
        <v>0</v>
      </c>
      <c r="AS26" s="116">
        <v>0</v>
      </c>
      <c r="AT26" s="116">
        <v>223</v>
      </c>
      <c r="AU26" s="116">
        <v>0</v>
      </c>
      <c r="AV26" s="116">
        <v>0</v>
      </c>
      <c r="AW26" s="116">
        <v>223</v>
      </c>
      <c r="AX26" s="116">
        <v>0</v>
      </c>
      <c r="AY26" s="116">
        <v>0</v>
      </c>
    </row>
    <row r="27" spans="1:51" x14ac:dyDescent="0.2">
      <c r="A27" s="115"/>
      <c r="B27" s="126">
        <v>3</v>
      </c>
      <c r="C27" s="115" t="s">
        <v>293</v>
      </c>
      <c r="D27" s="116">
        <v>913</v>
      </c>
      <c r="E27" s="116">
        <v>0</v>
      </c>
      <c r="F27" s="116">
        <v>0</v>
      </c>
      <c r="G27" s="116">
        <v>0</v>
      </c>
      <c r="H27" s="116">
        <v>0</v>
      </c>
      <c r="I27" s="116">
        <v>0</v>
      </c>
      <c r="J27" s="116">
        <v>0</v>
      </c>
      <c r="K27" s="116">
        <v>0</v>
      </c>
      <c r="L27" s="116">
        <v>223</v>
      </c>
      <c r="M27" s="116">
        <v>0</v>
      </c>
      <c r="N27" s="116">
        <v>0</v>
      </c>
      <c r="O27" s="116">
        <v>0</v>
      </c>
      <c r="P27" s="116">
        <v>0</v>
      </c>
      <c r="Q27" s="116">
        <v>0</v>
      </c>
      <c r="R27" s="116">
        <v>223</v>
      </c>
      <c r="S27" s="116">
        <v>0</v>
      </c>
      <c r="T27" s="116">
        <v>223</v>
      </c>
      <c r="U27" s="116">
        <v>0</v>
      </c>
      <c r="V27" s="116">
        <v>0</v>
      </c>
      <c r="W27" s="116">
        <v>0</v>
      </c>
      <c r="X27" s="116">
        <v>223</v>
      </c>
      <c r="Y27" s="116">
        <v>0</v>
      </c>
      <c r="Z27" s="116">
        <v>223</v>
      </c>
      <c r="AA27" s="116">
        <v>0</v>
      </c>
      <c r="AB27" s="116">
        <v>0</v>
      </c>
      <c r="AC27" s="116">
        <v>0</v>
      </c>
      <c r="AD27" s="116">
        <v>0</v>
      </c>
      <c r="AE27" s="116">
        <v>0</v>
      </c>
      <c r="AF27" s="116">
        <v>0</v>
      </c>
      <c r="AG27" s="116">
        <v>0</v>
      </c>
      <c r="AH27" s="116">
        <v>0</v>
      </c>
      <c r="AI27" s="116">
        <v>0</v>
      </c>
      <c r="AJ27" s="116">
        <v>223</v>
      </c>
      <c r="AK27" s="116">
        <v>0</v>
      </c>
      <c r="AL27" s="116">
        <v>0</v>
      </c>
      <c r="AM27" s="116">
        <v>0</v>
      </c>
      <c r="AN27" s="116">
        <v>0</v>
      </c>
      <c r="AO27" s="116">
        <v>0</v>
      </c>
      <c r="AP27" s="116">
        <v>0</v>
      </c>
      <c r="AQ27" s="116">
        <v>0</v>
      </c>
      <c r="AR27" s="116">
        <v>0</v>
      </c>
      <c r="AS27" s="116">
        <v>223</v>
      </c>
      <c r="AT27" s="116">
        <v>0</v>
      </c>
      <c r="AU27" s="116">
        <v>0</v>
      </c>
      <c r="AV27" s="116">
        <v>0</v>
      </c>
      <c r="AW27" s="116">
        <v>0</v>
      </c>
      <c r="AX27" s="116">
        <v>0</v>
      </c>
      <c r="AY27" s="116">
        <v>0</v>
      </c>
    </row>
    <row r="28" spans="1:51" x14ac:dyDescent="0.2">
      <c r="A28" s="115"/>
      <c r="B28" s="126">
        <v>4</v>
      </c>
      <c r="C28" s="115" t="s">
        <v>293</v>
      </c>
      <c r="D28" s="116">
        <v>0</v>
      </c>
      <c r="E28" s="116">
        <v>0</v>
      </c>
      <c r="F28" s="116">
        <v>0</v>
      </c>
      <c r="G28" s="116">
        <v>0</v>
      </c>
      <c r="H28" s="116">
        <v>0</v>
      </c>
      <c r="I28" s="116">
        <v>0</v>
      </c>
      <c r="J28" s="116">
        <v>0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223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16">
        <v>0</v>
      </c>
    </row>
    <row r="29" spans="1:51" x14ac:dyDescent="0.2">
      <c r="A29" s="115"/>
      <c r="B29" s="133">
        <v>5</v>
      </c>
      <c r="C29" s="115" t="s">
        <v>293</v>
      </c>
      <c r="D29" s="116">
        <v>0</v>
      </c>
      <c r="E29" s="116">
        <v>0</v>
      </c>
      <c r="F29" s="116">
        <v>0</v>
      </c>
      <c r="G29" s="116">
        <v>0</v>
      </c>
      <c r="H29" s="116">
        <v>0</v>
      </c>
      <c r="I29" s="116">
        <v>0</v>
      </c>
      <c r="J29" s="116">
        <v>0</v>
      </c>
      <c r="K29" s="116">
        <v>0</v>
      </c>
      <c r="L29" s="116">
        <v>0</v>
      </c>
      <c r="M29" s="116">
        <v>0</v>
      </c>
      <c r="N29" s="116">
        <v>0</v>
      </c>
      <c r="O29" s="116">
        <v>0</v>
      </c>
      <c r="P29" s="116">
        <v>0</v>
      </c>
      <c r="Q29" s="116">
        <v>0</v>
      </c>
      <c r="R29" s="116">
        <v>0</v>
      </c>
      <c r="S29" s="116">
        <v>0</v>
      </c>
      <c r="T29" s="116">
        <v>0</v>
      </c>
      <c r="U29" s="116">
        <v>0</v>
      </c>
      <c r="V29" s="116">
        <v>0</v>
      </c>
      <c r="W29" s="116">
        <v>0</v>
      </c>
      <c r="X29" s="116">
        <v>0</v>
      </c>
      <c r="Y29" s="116">
        <v>0</v>
      </c>
      <c r="Z29" s="116">
        <v>0</v>
      </c>
      <c r="AA29" s="116">
        <v>0</v>
      </c>
      <c r="AB29" s="116">
        <v>0</v>
      </c>
      <c r="AC29" s="116">
        <v>0</v>
      </c>
      <c r="AD29" s="116">
        <v>0</v>
      </c>
      <c r="AE29" s="116">
        <v>0</v>
      </c>
      <c r="AF29" s="116">
        <v>0</v>
      </c>
      <c r="AG29" s="116">
        <v>0</v>
      </c>
      <c r="AH29" s="116">
        <v>0</v>
      </c>
      <c r="AI29" s="116">
        <v>0</v>
      </c>
      <c r="AJ29" s="116">
        <v>0</v>
      </c>
      <c r="AK29" s="116">
        <v>0</v>
      </c>
      <c r="AL29" s="116">
        <v>0</v>
      </c>
      <c r="AM29" s="116">
        <v>0</v>
      </c>
      <c r="AN29" s="116">
        <v>0</v>
      </c>
      <c r="AO29" s="116">
        <v>0</v>
      </c>
      <c r="AP29" s="116">
        <v>0</v>
      </c>
      <c r="AQ29" s="116">
        <v>0</v>
      </c>
      <c r="AR29" s="116">
        <v>0</v>
      </c>
      <c r="AS29" s="116">
        <v>0</v>
      </c>
      <c r="AT29" s="116">
        <v>0</v>
      </c>
      <c r="AU29" s="116">
        <v>0</v>
      </c>
      <c r="AV29" s="116">
        <v>0</v>
      </c>
      <c r="AW29" s="116">
        <v>0</v>
      </c>
      <c r="AX29" s="116">
        <v>0</v>
      </c>
      <c r="AY29" s="116">
        <v>0</v>
      </c>
    </row>
    <row r="30" spans="1:51" x14ac:dyDescent="0.2">
      <c r="A30" s="115"/>
      <c r="B30" s="133">
        <v>6</v>
      </c>
      <c r="C30" s="115" t="s">
        <v>293</v>
      </c>
      <c r="D30" s="116">
        <v>0</v>
      </c>
      <c r="E30" s="116">
        <v>0</v>
      </c>
      <c r="F30" s="116">
        <v>0</v>
      </c>
      <c r="G30" s="116">
        <v>0</v>
      </c>
      <c r="H30" s="116">
        <v>0</v>
      </c>
      <c r="I30" s="116">
        <v>0</v>
      </c>
      <c r="J30" s="116">
        <v>0</v>
      </c>
      <c r="K30" s="116">
        <v>0</v>
      </c>
      <c r="L30" s="116">
        <v>0</v>
      </c>
      <c r="M30" s="116">
        <v>0</v>
      </c>
      <c r="N30" s="116">
        <v>0</v>
      </c>
      <c r="O30" s="116">
        <v>0</v>
      </c>
      <c r="P30" s="116">
        <v>0</v>
      </c>
      <c r="Q30" s="116">
        <v>0</v>
      </c>
      <c r="R30" s="116">
        <v>0</v>
      </c>
      <c r="S30" s="116">
        <v>0</v>
      </c>
      <c r="T30" s="116">
        <v>0</v>
      </c>
      <c r="U30" s="116">
        <v>0</v>
      </c>
      <c r="V30" s="116">
        <v>0</v>
      </c>
      <c r="W30" s="116">
        <v>0</v>
      </c>
      <c r="X30" s="116">
        <v>0</v>
      </c>
      <c r="Y30" s="116">
        <v>0</v>
      </c>
      <c r="Z30" s="116">
        <v>0</v>
      </c>
      <c r="AA30" s="116">
        <v>0</v>
      </c>
      <c r="AB30" s="116">
        <v>0</v>
      </c>
      <c r="AC30" s="116">
        <v>0</v>
      </c>
      <c r="AD30" s="116">
        <v>0</v>
      </c>
      <c r="AE30" s="116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0</v>
      </c>
      <c r="AM30" s="116">
        <v>0</v>
      </c>
      <c r="AN30" s="116">
        <v>0</v>
      </c>
      <c r="AO30" s="116">
        <v>0</v>
      </c>
      <c r="AP30" s="116">
        <v>0</v>
      </c>
      <c r="AQ30" s="116">
        <v>0</v>
      </c>
      <c r="AR30" s="116">
        <v>0</v>
      </c>
      <c r="AS30" s="116">
        <v>0</v>
      </c>
      <c r="AT30" s="116">
        <v>0</v>
      </c>
      <c r="AU30" s="116">
        <v>0</v>
      </c>
      <c r="AV30" s="116">
        <v>0</v>
      </c>
      <c r="AW30" s="116">
        <v>0</v>
      </c>
      <c r="AX30" s="116">
        <v>0</v>
      </c>
      <c r="AY30" s="116">
        <v>0</v>
      </c>
    </row>
    <row r="31" spans="1:51" x14ac:dyDescent="0.2">
      <c r="A31" s="115"/>
      <c r="B31" s="136">
        <v>7</v>
      </c>
      <c r="C31" s="115" t="s">
        <v>293</v>
      </c>
      <c r="D31" s="116">
        <v>0</v>
      </c>
      <c r="E31" s="116">
        <v>0</v>
      </c>
      <c r="F31" s="116">
        <v>0</v>
      </c>
      <c r="G31" s="116">
        <v>0</v>
      </c>
      <c r="H31" s="116">
        <v>0</v>
      </c>
      <c r="I31" s="116">
        <v>0</v>
      </c>
      <c r="J31" s="116">
        <v>0</v>
      </c>
      <c r="K31" s="116">
        <v>0</v>
      </c>
      <c r="L31" s="116">
        <v>0</v>
      </c>
      <c r="M31" s="116">
        <v>0</v>
      </c>
      <c r="N31" s="116">
        <v>0</v>
      </c>
      <c r="O31" s="116">
        <v>0</v>
      </c>
      <c r="P31" s="116">
        <v>0</v>
      </c>
      <c r="Q31" s="116">
        <v>0</v>
      </c>
      <c r="R31" s="116">
        <v>0</v>
      </c>
      <c r="S31" s="116">
        <v>0</v>
      </c>
      <c r="T31" s="116">
        <v>0</v>
      </c>
      <c r="U31" s="116">
        <v>0</v>
      </c>
      <c r="V31" s="116">
        <v>0</v>
      </c>
      <c r="W31" s="116">
        <v>0</v>
      </c>
      <c r="X31" s="116">
        <v>0</v>
      </c>
      <c r="Y31" s="116">
        <v>0</v>
      </c>
      <c r="Z31" s="116">
        <v>0</v>
      </c>
      <c r="AA31" s="116">
        <v>0</v>
      </c>
      <c r="AB31" s="116">
        <v>0</v>
      </c>
      <c r="AC31" s="116">
        <v>0</v>
      </c>
      <c r="AD31" s="116">
        <v>0</v>
      </c>
      <c r="AE31" s="116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0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>
        <v>0</v>
      </c>
      <c r="AS31" s="116">
        <v>0</v>
      </c>
      <c r="AT31" s="116">
        <v>0</v>
      </c>
      <c r="AU31" s="116">
        <v>0</v>
      </c>
      <c r="AV31" s="116">
        <v>0</v>
      </c>
      <c r="AW31" s="116">
        <v>0</v>
      </c>
      <c r="AX31" s="116">
        <v>0</v>
      </c>
      <c r="AY31" s="116">
        <v>0</v>
      </c>
    </row>
    <row r="32" spans="1:51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>
        <v>8555.4363711355199</v>
      </c>
      <c r="E33" s="112">
        <v>16968.317800696583</v>
      </c>
      <c r="F33" s="112">
        <v>21092.897267245753</v>
      </c>
      <c r="G33" s="112">
        <v>21962.101628950819</v>
      </c>
      <c r="H33" s="112">
        <v>21183.18480761044</v>
      </c>
      <c r="I33" s="112">
        <v>19108.267986270064</v>
      </c>
      <c r="J33" s="112">
        <v>17003.775682395873</v>
      </c>
      <c r="K33" s="112">
        <v>15967.359981668022</v>
      </c>
      <c r="L33" s="112">
        <v>15461.626190133502</v>
      </c>
      <c r="M33" s="112">
        <v>16611.852899393936</v>
      </c>
      <c r="N33" s="112">
        <v>17855.907737963877</v>
      </c>
      <c r="O33" s="112">
        <v>18559.010755713844</v>
      </c>
      <c r="P33" s="112">
        <v>20990.308628559473</v>
      </c>
      <c r="Q33" s="112">
        <v>21962.101628950826</v>
      </c>
      <c r="R33" s="112">
        <v>21962.101628950822</v>
      </c>
      <c r="S33" s="112">
        <v>21962.101628950826</v>
      </c>
      <c r="T33" s="112">
        <v>20139.18480761044</v>
      </c>
      <c r="U33" s="112">
        <v>18773.26798627005</v>
      </c>
      <c r="V33" s="112">
        <v>17957.352821623812</v>
      </c>
      <c r="W33" s="112">
        <v>17642.596831168921</v>
      </c>
      <c r="X33" s="112">
        <v>17291.472028156353</v>
      </c>
      <c r="Y33" s="112">
        <v>17255.975659498712</v>
      </c>
      <c r="Z33" s="112">
        <v>17297.494463785559</v>
      </c>
      <c r="AA33" s="112">
        <v>17200.865652413053</v>
      </c>
      <c r="AB33" s="112">
        <v>20010.766985570812</v>
      </c>
      <c r="AC33" s="112">
        <v>21744.293188039475</v>
      </c>
      <c r="AD33" s="112">
        <v>21962.10162895083</v>
      </c>
      <c r="AE33" s="112">
        <v>21962.101628950826</v>
      </c>
      <c r="AF33" s="112">
        <v>21241.184807610422</v>
      </c>
      <c r="AG33" s="112">
        <v>19688.267986270042</v>
      </c>
      <c r="AH33" s="112">
        <v>18353.79917466098</v>
      </c>
      <c r="AI33" s="112">
        <v>17789.374016215843</v>
      </c>
      <c r="AJ33" s="112">
        <v>17325.204869035653</v>
      </c>
      <c r="AK33" s="112">
        <v>17430.847039226657</v>
      </c>
      <c r="AL33" s="112">
        <v>17418.545566196364</v>
      </c>
      <c r="AM33" s="112">
        <v>17352.257113747582</v>
      </c>
      <c r="AN33" s="112">
        <v>20008.750288274492</v>
      </c>
      <c r="AO33" s="112">
        <v>21719.134970150033</v>
      </c>
      <c r="AP33" s="112">
        <v>21962.101628950826</v>
      </c>
      <c r="AQ33" s="112">
        <v>21962.10162895083</v>
      </c>
      <c r="AR33" s="112">
        <v>19917.184807610425</v>
      </c>
      <c r="AS33" s="112">
        <v>18177.267986270039</v>
      </c>
      <c r="AT33" s="112">
        <v>17288.952558126297</v>
      </c>
      <c r="AU33" s="112">
        <v>16617.683654771135</v>
      </c>
      <c r="AV33" s="112">
        <v>16274.596600957375</v>
      </c>
      <c r="AW33" s="112">
        <v>17023.469025858798</v>
      </c>
      <c r="AX33" s="112">
        <v>17705.990804909703</v>
      </c>
      <c r="AY33" s="112">
        <v>17864.186152806073</v>
      </c>
    </row>
    <row r="34" spans="1:51" x14ac:dyDescent="0.2">
      <c r="A34" s="115"/>
      <c r="B34" s="125">
        <v>2</v>
      </c>
      <c r="C34" s="115" t="s">
        <v>293</v>
      </c>
      <c r="D34" s="112">
        <v>13468.146537426213</v>
      </c>
      <c r="E34" s="112">
        <v>4634.2651078651652</v>
      </c>
      <c r="F34" s="112">
        <v>0</v>
      </c>
      <c r="G34" s="112">
        <v>0</v>
      </c>
      <c r="H34" s="112">
        <v>0</v>
      </c>
      <c r="I34" s="112">
        <v>0</v>
      </c>
      <c r="J34" s="112">
        <v>412.40912521455175</v>
      </c>
      <c r="K34" s="112">
        <v>1681.8248259424181</v>
      </c>
      <c r="L34" s="112">
        <v>2259.5586174769232</v>
      </c>
      <c r="M34" s="112">
        <v>3603.3319082165181</v>
      </c>
      <c r="N34" s="112">
        <v>2488.2770696465486</v>
      </c>
      <c r="O34" s="112">
        <v>1834.1740518965962</v>
      </c>
      <c r="P34" s="112">
        <v>1288.6803422230842</v>
      </c>
      <c r="Q34" s="112">
        <v>0</v>
      </c>
      <c r="R34" s="112">
        <v>0</v>
      </c>
      <c r="S34" s="112">
        <v>0</v>
      </c>
      <c r="T34" s="112">
        <v>0</v>
      </c>
      <c r="U34" s="112">
        <v>1239.91682134039</v>
      </c>
      <c r="V34" s="112">
        <v>1941.8319859866278</v>
      </c>
      <c r="W34" s="112">
        <v>2532.587976441504</v>
      </c>
      <c r="X34" s="112">
        <v>2450.7127794540866</v>
      </c>
      <c r="Y34" s="112">
        <v>2733.2091481117277</v>
      </c>
      <c r="Z34" s="112">
        <v>2752.690343824881</v>
      </c>
      <c r="AA34" s="112">
        <v>2738.3191551973723</v>
      </c>
      <c r="AB34" s="112">
        <v>2841.8159229909361</v>
      </c>
      <c r="AC34" s="112">
        <v>0</v>
      </c>
      <c r="AD34" s="112">
        <v>0</v>
      </c>
      <c r="AE34" s="112">
        <v>0</v>
      </c>
      <c r="AF34" s="112">
        <v>0</v>
      </c>
      <c r="AG34" s="112">
        <v>0</v>
      </c>
      <c r="AH34" s="112">
        <v>0</v>
      </c>
      <c r="AI34" s="112">
        <v>574.81079139459689</v>
      </c>
      <c r="AJ34" s="112">
        <v>1070.9799385747865</v>
      </c>
      <c r="AK34" s="112">
        <v>2357.3377683837825</v>
      </c>
      <c r="AL34" s="112">
        <v>2367.6392414140755</v>
      </c>
      <c r="AM34" s="112">
        <v>2371.9276938628427</v>
      </c>
      <c r="AN34" s="112">
        <v>2450.8326202872558</v>
      </c>
      <c r="AO34" s="112">
        <v>0</v>
      </c>
      <c r="AP34" s="112">
        <v>0</v>
      </c>
      <c r="AQ34" s="112">
        <v>0</v>
      </c>
      <c r="AR34" s="112">
        <v>0</v>
      </c>
      <c r="AS34" s="112">
        <v>0</v>
      </c>
      <c r="AT34" s="112">
        <v>439.23224948414281</v>
      </c>
      <c r="AU34" s="112">
        <v>1364.5011528392897</v>
      </c>
      <c r="AV34" s="112">
        <v>1760.5882066530648</v>
      </c>
      <c r="AW34" s="112">
        <v>2222.7157817516272</v>
      </c>
      <c r="AX34" s="112">
        <v>1463.1940027007331</v>
      </c>
      <c r="AY34" s="112">
        <v>1441.9986548043526</v>
      </c>
    </row>
    <row r="35" spans="1:51" x14ac:dyDescent="0.2">
      <c r="A35" s="115"/>
      <c r="B35" s="125">
        <v>3</v>
      </c>
      <c r="C35" s="115" t="s">
        <v>293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</row>
    <row r="36" spans="1:51" x14ac:dyDescent="0.2">
      <c r="A36" s="115"/>
      <c r="B36" s="126">
        <v>4</v>
      </c>
      <c r="C36" s="115" t="s">
        <v>293</v>
      </c>
      <c r="D36" s="112">
        <v>0</v>
      </c>
      <c r="E36" s="112">
        <v>0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  <c r="AJ36" s="112">
        <v>0</v>
      </c>
      <c r="AK36" s="112">
        <v>0</v>
      </c>
      <c r="AL36" s="112">
        <v>0</v>
      </c>
      <c r="AM36" s="112">
        <v>0</v>
      </c>
      <c r="AN36" s="112">
        <v>0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0</v>
      </c>
    </row>
    <row r="37" spans="1:51" x14ac:dyDescent="0.2">
      <c r="A37" s="115"/>
      <c r="B37" s="126">
        <v>5</v>
      </c>
      <c r="C37" s="115" t="s">
        <v>293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0</v>
      </c>
      <c r="AF37" s="112">
        <v>0</v>
      </c>
      <c r="AG37" s="112">
        <v>0</v>
      </c>
      <c r="AH37" s="112">
        <v>0</v>
      </c>
      <c r="AI37" s="112">
        <v>0</v>
      </c>
      <c r="AJ37" s="112">
        <v>0</v>
      </c>
      <c r="AK37" s="112">
        <v>0</v>
      </c>
      <c r="AL37" s="112">
        <v>0</v>
      </c>
      <c r="AM37" s="112">
        <v>0</v>
      </c>
      <c r="AN37" s="112">
        <v>0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</row>
    <row r="38" spans="1:51" x14ac:dyDescent="0.2">
      <c r="A38" s="115"/>
      <c r="B38" s="126">
        <v>6</v>
      </c>
      <c r="C38" s="115" t="s">
        <v>293</v>
      </c>
      <c r="D38" s="112">
        <v>0</v>
      </c>
      <c r="E38" s="112">
        <v>0</v>
      </c>
      <c r="F38" s="112">
        <v>0</v>
      </c>
      <c r="G38" s="112">
        <v>0</v>
      </c>
      <c r="H38" s="112">
        <v>0</v>
      </c>
      <c r="I38" s="112">
        <v>0</v>
      </c>
      <c r="J38" s="112">
        <v>0</v>
      </c>
      <c r="K38" s="112">
        <v>0</v>
      </c>
      <c r="L38" s="112">
        <v>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112">
        <v>0</v>
      </c>
      <c r="T38" s="112">
        <v>0</v>
      </c>
      <c r="U38" s="112">
        <v>0</v>
      </c>
      <c r="V38" s="112">
        <v>0</v>
      </c>
      <c r="W38" s="112">
        <v>0</v>
      </c>
      <c r="X38" s="112">
        <v>0</v>
      </c>
      <c r="Y38" s="112">
        <v>0</v>
      </c>
      <c r="Z38" s="112">
        <v>0</v>
      </c>
      <c r="AA38" s="112">
        <v>0</v>
      </c>
      <c r="AB38" s="112">
        <v>0</v>
      </c>
      <c r="AC38" s="112">
        <v>0</v>
      </c>
      <c r="AD38" s="112">
        <v>0</v>
      </c>
      <c r="AE38" s="112">
        <v>0</v>
      </c>
      <c r="AF38" s="112">
        <v>0</v>
      </c>
      <c r="AG38" s="112">
        <v>0</v>
      </c>
      <c r="AH38" s="112">
        <v>0</v>
      </c>
      <c r="AI38" s="112">
        <v>0</v>
      </c>
      <c r="AJ38" s="112">
        <v>0</v>
      </c>
      <c r="AK38" s="112">
        <v>0</v>
      </c>
      <c r="AL38" s="112">
        <v>0</v>
      </c>
      <c r="AM38" s="112">
        <v>0</v>
      </c>
      <c r="AN38" s="112">
        <v>0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</v>
      </c>
      <c r="AY38" s="112">
        <v>0</v>
      </c>
    </row>
    <row r="39" spans="1:51" x14ac:dyDescent="0.2">
      <c r="A39" s="115"/>
      <c r="B39" s="133">
        <v>7</v>
      </c>
      <c r="C39" s="115" t="s">
        <v>293</v>
      </c>
      <c r="D39" s="112">
        <v>0</v>
      </c>
      <c r="E39" s="112">
        <v>0</v>
      </c>
      <c r="F39" s="112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0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112">
        <v>0</v>
      </c>
      <c r="Z39" s="112">
        <v>0</v>
      </c>
      <c r="AA39" s="112">
        <v>0</v>
      </c>
      <c r="AB39" s="112">
        <v>0</v>
      </c>
      <c r="AC39" s="112">
        <v>0</v>
      </c>
      <c r="AD39" s="112">
        <v>0</v>
      </c>
      <c r="AE39" s="112">
        <v>0</v>
      </c>
      <c r="AF39" s="112">
        <v>0</v>
      </c>
      <c r="AG39" s="112">
        <v>0</v>
      </c>
      <c r="AH39" s="112">
        <v>0</v>
      </c>
      <c r="AI39" s="112">
        <v>0</v>
      </c>
      <c r="AJ39" s="112">
        <v>0</v>
      </c>
      <c r="AK39" s="112">
        <v>0</v>
      </c>
      <c r="AL39" s="112">
        <v>0</v>
      </c>
      <c r="AM39" s="112">
        <v>0</v>
      </c>
      <c r="AN39" s="112">
        <v>0</v>
      </c>
      <c r="AO39" s="112">
        <v>0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0</v>
      </c>
      <c r="AV39" s="112">
        <v>0</v>
      </c>
      <c r="AW39" s="112">
        <v>0</v>
      </c>
      <c r="AX39" s="112">
        <v>0</v>
      </c>
      <c r="AY39" s="112">
        <v>0</v>
      </c>
    </row>
    <row r="40" spans="1:51" x14ac:dyDescent="0.2">
      <c r="A40" s="115"/>
      <c r="B40" s="133">
        <v>8</v>
      </c>
      <c r="C40" s="115" t="s">
        <v>293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  <c r="AN40" s="112">
        <v>0</v>
      </c>
      <c r="AO40" s="112">
        <v>0</v>
      </c>
      <c r="AP40" s="112">
        <v>0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</row>
    <row r="41" spans="1:51" x14ac:dyDescent="0.2">
      <c r="A41" s="115"/>
      <c r="B41" s="133">
        <v>9</v>
      </c>
      <c r="C41" s="115" t="s">
        <v>293</v>
      </c>
      <c r="D41" s="112">
        <v>0</v>
      </c>
      <c r="E41" s="112">
        <v>0</v>
      </c>
      <c r="F41" s="112">
        <v>0</v>
      </c>
      <c r="G41" s="112">
        <v>0</v>
      </c>
      <c r="H41" s="112">
        <v>0</v>
      </c>
      <c r="I41" s="112">
        <v>0</v>
      </c>
      <c r="J41" s="112">
        <v>0</v>
      </c>
      <c r="K41" s="112">
        <v>0</v>
      </c>
      <c r="L41" s="112">
        <v>0</v>
      </c>
      <c r="M41" s="112">
        <v>0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0</v>
      </c>
      <c r="AC41" s="112">
        <v>0</v>
      </c>
      <c r="AD41" s="112">
        <v>0</v>
      </c>
      <c r="AE41" s="112">
        <v>0</v>
      </c>
      <c r="AF41" s="112">
        <v>0</v>
      </c>
      <c r="AG41" s="112">
        <v>0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  <c r="AO41" s="112">
        <v>0</v>
      </c>
      <c r="AP41" s="112">
        <v>0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</row>
    <row r="42" spans="1:51" x14ac:dyDescent="0.2">
      <c r="A42" s="115"/>
      <c r="B42" s="136">
        <v>10</v>
      </c>
      <c r="C42" s="115" t="s">
        <v>293</v>
      </c>
      <c r="D42" s="112">
        <v>0</v>
      </c>
      <c r="E42" s="112">
        <v>0</v>
      </c>
      <c r="F42" s="112">
        <v>0</v>
      </c>
      <c r="G42" s="112">
        <v>0</v>
      </c>
      <c r="H42" s="112">
        <v>0</v>
      </c>
      <c r="I42" s="112">
        <v>0</v>
      </c>
      <c r="J42" s="112">
        <v>0</v>
      </c>
      <c r="K42" s="112">
        <v>0</v>
      </c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0</v>
      </c>
      <c r="T42" s="112">
        <v>0</v>
      </c>
      <c r="U42" s="112">
        <v>0</v>
      </c>
      <c r="V42" s="112">
        <v>0</v>
      </c>
      <c r="W42" s="112">
        <v>0</v>
      </c>
      <c r="X42" s="112">
        <v>0</v>
      </c>
      <c r="Y42" s="112">
        <v>0</v>
      </c>
      <c r="Z42" s="112">
        <v>0</v>
      </c>
      <c r="AA42" s="112">
        <v>0</v>
      </c>
      <c r="AB42" s="112">
        <v>0</v>
      </c>
      <c r="AC42" s="112">
        <v>0</v>
      </c>
      <c r="AD42" s="112">
        <v>0</v>
      </c>
      <c r="AE42" s="112">
        <v>0</v>
      </c>
      <c r="AF42" s="112">
        <v>0</v>
      </c>
      <c r="AG42" s="112">
        <v>0</v>
      </c>
      <c r="AH42" s="112">
        <v>0</v>
      </c>
      <c r="AI42" s="112">
        <v>0</v>
      </c>
      <c r="AJ42" s="112">
        <v>0</v>
      </c>
      <c r="AK42" s="112">
        <v>0</v>
      </c>
      <c r="AL42" s="112">
        <v>0</v>
      </c>
      <c r="AM42" s="112">
        <v>0</v>
      </c>
      <c r="AN42" s="112">
        <v>0</v>
      </c>
      <c r="AO42" s="112">
        <v>0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</row>
    <row r="43" spans="1:51" x14ac:dyDescent="0.2">
      <c r="A43" s="115"/>
      <c r="B43" s="136">
        <v>11</v>
      </c>
      <c r="C43" s="115" t="s">
        <v>293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</v>
      </c>
      <c r="AC43" s="112">
        <v>0</v>
      </c>
      <c r="AD43" s="112">
        <v>0</v>
      </c>
      <c r="AE43" s="112">
        <v>0</v>
      </c>
      <c r="AF43" s="112">
        <v>0</v>
      </c>
      <c r="AG43" s="112">
        <v>0</v>
      </c>
      <c r="AH43" s="112">
        <v>0</v>
      </c>
      <c r="AI43" s="112">
        <v>0</v>
      </c>
      <c r="AJ43" s="112">
        <v>0</v>
      </c>
      <c r="AK43" s="112">
        <v>0</v>
      </c>
      <c r="AL43" s="112">
        <v>0</v>
      </c>
      <c r="AM43" s="112">
        <v>0</v>
      </c>
      <c r="AN43" s="112">
        <v>0</v>
      </c>
      <c r="AO43" s="112">
        <v>0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293</v>
      </c>
      <c r="D49" s="116"/>
      <c r="E49" s="116"/>
      <c r="F49" s="116"/>
      <c r="G49" s="116">
        <v>976.86773304507824</v>
      </c>
      <c r="H49" s="116"/>
      <c r="I49" s="116"/>
      <c r="J49" s="116"/>
      <c r="K49" s="116"/>
      <c r="L49" s="116"/>
      <c r="M49" s="116"/>
      <c r="N49" s="116"/>
      <c r="O49" s="116"/>
      <c r="P49" s="116"/>
      <c r="Q49" s="116">
        <v>174.18202881442846</v>
      </c>
      <c r="R49" s="116">
        <v>1045.7145343576644</v>
      </c>
      <c r="S49" s="116">
        <v>708.48127961090722</v>
      </c>
      <c r="T49" s="116"/>
      <c r="U49" s="116"/>
      <c r="V49" s="116"/>
      <c r="W49" s="116"/>
      <c r="X49" s="116"/>
      <c r="Y49" s="116"/>
      <c r="Z49" s="116"/>
      <c r="AA49" s="116"/>
      <c r="AB49" s="116"/>
      <c r="AC49" s="116">
        <v>174.18202881441357</v>
      </c>
      <c r="AD49" s="116">
        <v>1045.7145343576597</v>
      </c>
      <c r="AE49" s="116">
        <v>1541.9394818680712</v>
      </c>
      <c r="AF49" s="116"/>
      <c r="AG49" s="116"/>
      <c r="AH49" s="116"/>
      <c r="AI49" s="116"/>
      <c r="AJ49" s="116"/>
      <c r="AK49" s="116"/>
      <c r="AL49" s="116"/>
      <c r="AM49" s="116"/>
      <c r="AN49" s="116"/>
      <c r="AO49" s="116">
        <v>174.18202881442039</v>
      </c>
      <c r="AP49" s="116">
        <v>738.48127961090722</v>
      </c>
      <c r="AQ49" s="116">
        <v>584.48127961091814</v>
      </c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293</v>
      </c>
      <c r="D50" s="116"/>
      <c r="E50" s="116"/>
      <c r="F50" s="116">
        <v>453.39853843581875</v>
      </c>
      <c r="G50" s="116">
        <v>900.61354656583626</v>
      </c>
      <c r="H50" s="116"/>
      <c r="I50" s="116"/>
      <c r="J50" s="116"/>
      <c r="K50" s="116"/>
      <c r="L50" s="116"/>
      <c r="M50" s="116"/>
      <c r="N50" s="116"/>
      <c r="O50" s="116"/>
      <c r="P50" s="116"/>
      <c r="Q50" s="116">
        <v>800.29925079649331</v>
      </c>
      <c r="R50" s="116">
        <v>90.766745253246427</v>
      </c>
      <c r="S50" s="116">
        <v>0</v>
      </c>
      <c r="T50" s="116"/>
      <c r="U50" s="116"/>
      <c r="V50" s="116"/>
      <c r="W50" s="116"/>
      <c r="X50" s="116"/>
      <c r="Y50" s="116"/>
      <c r="Z50" s="116"/>
      <c r="AA50" s="116"/>
      <c r="AB50" s="116"/>
      <c r="AC50" s="116">
        <v>1286.9408638959235</v>
      </c>
      <c r="AD50" s="116">
        <v>883.76674525325484</v>
      </c>
      <c r="AE50" s="116">
        <v>339.54179774285046</v>
      </c>
      <c r="AF50" s="116"/>
      <c r="AG50" s="116"/>
      <c r="AH50" s="116"/>
      <c r="AI50" s="116"/>
      <c r="AJ50" s="116"/>
      <c r="AK50" s="116"/>
      <c r="AL50" s="116"/>
      <c r="AM50" s="116"/>
      <c r="AN50" s="116"/>
      <c r="AO50" s="116">
        <v>205.05307568042417</v>
      </c>
      <c r="AP50" s="116">
        <v>0</v>
      </c>
      <c r="AQ50" s="116">
        <v>0</v>
      </c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293</v>
      </c>
      <c r="D51" s="116"/>
      <c r="E51" s="116"/>
      <c r="F51" s="116">
        <v>354.83626443569813</v>
      </c>
      <c r="G51" s="116">
        <v>0</v>
      </c>
      <c r="H51" s="116"/>
      <c r="I51" s="116"/>
      <c r="J51" s="116"/>
      <c r="K51" s="116"/>
      <c r="L51" s="116"/>
      <c r="M51" s="116"/>
      <c r="N51" s="116"/>
      <c r="O51" s="116"/>
      <c r="P51" s="116">
        <v>663.17440602435181</v>
      </c>
      <c r="Q51" s="116">
        <v>0</v>
      </c>
      <c r="R51" s="116">
        <v>0</v>
      </c>
      <c r="S51" s="116">
        <v>0</v>
      </c>
      <c r="T51" s="116"/>
      <c r="U51" s="116"/>
      <c r="V51" s="116"/>
      <c r="W51" s="116"/>
      <c r="X51" s="116"/>
      <c r="Y51" s="116"/>
      <c r="Z51" s="116"/>
      <c r="AA51" s="116"/>
      <c r="AB51" s="116"/>
      <c r="AC51" s="116">
        <v>205.3759579693027</v>
      </c>
      <c r="AD51" s="116">
        <v>0</v>
      </c>
      <c r="AE51" s="116">
        <v>0</v>
      </c>
      <c r="AF51" s="116"/>
      <c r="AG51" s="116"/>
      <c r="AH51" s="116"/>
      <c r="AI51" s="116"/>
      <c r="AJ51" s="116"/>
      <c r="AK51" s="116"/>
      <c r="AL51" s="116"/>
      <c r="AM51" s="116"/>
      <c r="AN51" s="116"/>
      <c r="AO51" s="116">
        <v>0</v>
      </c>
      <c r="AP51" s="116">
        <v>0</v>
      </c>
      <c r="AQ51" s="116">
        <v>0</v>
      </c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293</v>
      </c>
      <c r="D52" s="116"/>
      <c r="E52" s="116"/>
      <c r="F52" s="116">
        <v>0</v>
      </c>
      <c r="G52" s="116">
        <v>0</v>
      </c>
      <c r="H52" s="116"/>
      <c r="I52" s="116"/>
      <c r="J52" s="116"/>
      <c r="K52" s="116"/>
      <c r="L52" s="116"/>
      <c r="M52" s="116"/>
      <c r="N52" s="116"/>
      <c r="O52" s="116"/>
      <c r="P52" s="116">
        <v>4.419531754824618</v>
      </c>
      <c r="Q52" s="116">
        <v>0</v>
      </c>
      <c r="R52" s="116">
        <v>0</v>
      </c>
      <c r="S52" s="116">
        <v>0</v>
      </c>
      <c r="T52" s="116"/>
      <c r="U52" s="116"/>
      <c r="V52" s="116"/>
      <c r="W52" s="116"/>
      <c r="X52" s="116"/>
      <c r="Y52" s="116"/>
      <c r="Z52" s="116"/>
      <c r="AA52" s="116"/>
      <c r="AB52" s="116"/>
      <c r="AC52" s="116">
        <v>0</v>
      </c>
      <c r="AD52" s="116">
        <v>0</v>
      </c>
      <c r="AE52" s="116">
        <v>0</v>
      </c>
      <c r="AF52" s="116"/>
      <c r="AG52" s="116"/>
      <c r="AH52" s="116"/>
      <c r="AI52" s="116"/>
      <c r="AJ52" s="116"/>
      <c r="AK52" s="116"/>
      <c r="AL52" s="116"/>
      <c r="AM52" s="116"/>
      <c r="AN52" s="116"/>
      <c r="AO52" s="116">
        <v>0</v>
      </c>
      <c r="AP52" s="116">
        <v>0</v>
      </c>
      <c r="AQ52" s="116">
        <v>0</v>
      </c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293</v>
      </c>
      <c r="D53" s="116"/>
      <c r="E53" s="116"/>
      <c r="F53" s="116">
        <v>0</v>
      </c>
      <c r="G53" s="116">
        <v>0</v>
      </c>
      <c r="H53" s="116"/>
      <c r="I53" s="116"/>
      <c r="J53" s="116"/>
      <c r="K53" s="116"/>
      <c r="L53" s="116"/>
      <c r="M53" s="116"/>
      <c r="N53" s="116"/>
      <c r="O53" s="116"/>
      <c r="P53" s="116">
        <v>0</v>
      </c>
      <c r="Q53" s="116">
        <v>0</v>
      </c>
      <c r="R53" s="116">
        <v>0</v>
      </c>
      <c r="S53" s="116">
        <v>0</v>
      </c>
      <c r="T53" s="116"/>
      <c r="U53" s="116"/>
      <c r="V53" s="116"/>
      <c r="W53" s="116"/>
      <c r="X53" s="116"/>
      <c r="Y53" s="116"/>
      <c r="Z53" s="116"/>
      <c r="AA53" s="116"/>
      <c r="AB53" s="116"/>
      <c r="AC53" s="116">
        <v>0</v>
      </c>
      <c r="AD53" s="116">
        <v>0</v>
      </c>
      <c r="AE53" s="116">
        <v>0</v>
      </c>
      <c r="AF53" s="116"/>
      <c r="AG53" s="116"/>
      <c r="AH53" s="116"/>
      <c r="AI53" s="116"/>
      <c r="AJ53" s="116"/>
      <c r="AK53" s="116"/>
      <c r="AL53" s="116"/>
      <c r="AM53" s="116"/>
      <c r="AN53" s="116"/>
      <c r="AO53" s="116">
        <v>0</v>
      </c>
      <c r="AP53" s="116">
        <v>0</v>
      </c>
      <c r="AQ53" s="116">
        <v>0</v>
      </c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293</v>
      </c>
      <c r="D54" s="116"/>
      <c r="E54" s="116"/>
      <c r="F54" s="116">
        <v>0</v>
      </c>
      <c r="G54" s="116">
        <v>0</v>
      </c>
      <c r="H54" s="116"/>
      <c r="I54" s="116"/>
      <c r="J54" s="116"/>
      <c r="K54" s="116"/>
      <c r="L54" s="116"/>
      <c r="M54" s="116"/>
      <c r="N54" s="116"/>
      <c r="O54" s="116"/>
      <c r="P54" s="116">
        <v>0</v>
      </c>
      <c r="Q54" s="116">
        <v>0</v>
      </c>
      <c r="R54" s="116">
        <v>0</v>
      </c>
      <c r="S54" s="116">
        <v>0</v>
      </c>
      <c r="T54" s="116"/>
      <c r="U54" s="116"/>
      <c r="V54" s="116"/>
      <c r="W54" s="116"/>
      <c r="X54" s="116"/>
      <c r="Y54" s="116"/>
      <c r="Z54" s="116"/>
      <c r="AA54" s="116"/>
      <c r="AB54" s="116"/>
      <c r="AC54" s="116">
        <v>0</v>
      </c>
      <c r="AD54" s="116">
        <v>0</v>
      </c>
      <c r="AE54" s="116">
        <v>0</v>
      </c>
      <c r="AF54" s="116"/>
      <c r="AG54" s="116"/>
      <c r="AH54" s="116"/>
      <c r="AI54" s="116"/>
      <c r="AJ54" s="116"/>
      <c r="AK54" s="116"/>
      <c r="AL54" s="116"/>
      <c r="AM54" s="116"/>
      <c r="AN54" s="116"/>
      <c r="AO54" s="116">
        <v>0</v>
      </c>
      <c r="AP54" s="116">
        <v>0</v>
      </c>
      <c r="AQ54" s="116">
        <v>0</v>
      </c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293</v>
      </c>
      <c r="D55" s="116"/>
      <c r="E55" s="116"/>
      <c r="F55" s="116">
        <v>0</v>
      </c>
      <c r="G55" s="116">
        <v>0</v>
      </c>
      <c r="H55" s="116"/>
      <c r="I55" s="116"/>
      <c r="J55" s="116"/>
      <c r="K55" s="116"/>
      <c r="L55" s="116"/>
      <c r="M55" s="116"/>
      <c r="N55" s="116"/>
      <c r="O55" s="116"/>
      <c r="P55" s="116">
        <v>0</v>
      </c>
      <c r="Q55" s="116">
        <v>0</v>
      </c>
      <c r="R55" s="116">
        <v>0</v>
      </c>
      <c r="S55" s="116">
        <v>0</v>
      </c>
      <c r="T55" s="116"/>
      <c r="U55" s="116"/>
      <c r="V55" s="116"/>
      <c r="W55" s="116"/>
      <c r="X55" s="116"/>
      <c r="Y55" s="116"/>
      <c r="Z55" s="116"/>
      <c r="AA55" s="116"/>
      <c r="AB55" s="116"/>
      <c r="AC55" s="116">
        <v>0</v>
      </c>
      <c r="AD55" s="116">
        <v>0</v>
      </c>
      <c r="AE55" s="116">
        <v>0</v>
      </c>
      <c r="AF55" s="116"/>
      <c r="AG55" s="116"/>
      <c r="AH55" s="116"/>
      <c r="AI55" s="116"/>
      <c r="AJ55" s="116"/>
      <c r="AK55" s="116"/>
      <c r="AL55" s="116"/>
      <c r="AM55" s="116"/>
      <c r="AN55" s="116"/>
      <c r="AO55" s="116">
        <v>0</v>
      </c>
      <c r="AP55" s="116">
        <v>0</v>
      </c>
      <c r="AQ55" s="116">
        <v>0</v>
      </c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293</v>
      </c>
      <c r="D56" s="116"/>
      <c r="E56" s="116"/>
      <c r="F56" s="116">
        <v>0</v>
      </c>
      <c r="G56" s="116">
        <v>0</v>
      </c>
      <c r="H56" s="116"/>
      <c r="I56" s="116"/>
      <c r="J56" s="116"/>
      <c r="K56" s="116"/>
      <c r="L56" s="116"/>
      <c r="M56" s="116"/>
      <c r="N56" s="116"/>
      <c r="O56" s="116"/>
      <c r="P56" s="116">
        <v>0</v>
      </c>
      <c r="Q56" s="116">
        <v>0</v>
      </c>
      <c r="R56" s="116">
        <v>0</v>
      </c>
      <c r="S56" s="116">
        <v>0</v>
      </c>
      <c r="T56" s="116"/>
      <c r="U56" s="116"/>
      <c r="V56" s="116"/>
      <c r="W56" s="116"/>
      <c r="X56" s="116"/>
      <c r="Y56" s="116"/>
      <c r="Z56" s="116"/>
      <c r="AA56" s="116"/>
      <c r="AB56" s="116"/>
      <c r="AC56" s="116">
        <v>0</v>
      </c>
      <c r="AD56" s="116">
        <v>0</v>
      </c>
      <c r="AE56" s="116">
        <v>0</v>
      </c>
      <c r="AF56" s="116"/>
      <c r="AG56" s="116"/>
      <c r="AH56" s="116"/>
      <c r="AI56" s="116"/>
      <c r="AJ56" s="116"/>
      <c r="AK56" s="116"/>
      <c r="AL56" s="116"/>
      <c r="AM56" s="116"/>
      <c r="AN56" s="116"/>
      <c r="AO56" s="116">
        <v>0</v>
      </c>
      <c r="AP56" s="116">
        <v>0</v>
      </c>
      <c r="AQ56" s="116">
        <v>0</v>
      </c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293</v>
      </c>
      <c r="D57" s="116"/>
      <c r="E57" s="116"/>
      <c r="F57" s="116">
        <v>0</v>
      </c>
      <c r="G57" s="116">
        <v>0</v>
      </c>
      <c r="H57" s="116"/>
      <c r="I57" s="116"/>
      <c r="J57" s="116"/>
      <c r="K57" s="116"/>
      <c r="L57" s="116"/>
      <c r="M57" s="116"/>
      <c r="N57" s="116"/>
      <c r="O57" s="116"/>
      <c r="P57" s="116">
        <v>0</v>
      </c>
      <c r="Q57" s="116">
        <v>0</v>
      </c>
      <c r="R57" s="116">
        <v>0</v>
      </c>
      <c r="S57" s="116">
        <v>0</v>
      </c>
      <c r="T57" s="116"/>
      <c r="U57" s="116"/>
      <c r="V57" s="116"/>
      <c r="W57" s="116"/>
      <c r="X57" s="116"/>
      <c r="Y57" s="116"/>
      <c r="Z57" s="116"/>
      <c r="AA57" s="116"/>
      <c r="AB57" s="116"/>
      <c r="AC57" s="116">
        <v>0</v>
      </c>
      <c r="AD57" s="116">
        <v>0</v>
      </c>
      <c r="AE57" s="116">
        <v>0</v>
      </c>
      <c r="AF57" s="116"/>
      <c r="AG57" s="116"/>
      <c r="AH57" s="116"/>
      <c r="AI57" s="116"/>
      <c r="AJ57" s="116"/>
      <c r="AK57" s="116"/>
      <c r="AL57" s="116"/>
      <c r="AM57" s="116"/>
      <c r="AN57" s="116"/>
      <c r="AO57" s="116">
        <v>0</v>
      </c>
      <c r="AP57" s="116">
        <v>0</v>
      </c>
      <c r="AQ57" s="116">
        <v>0</v>
      </c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293</v>
      </c>
      <c r="D58" s="116"/>
      <c r="E58" s="116"/>
      <c r="F58" s="116">
        <v>0</v>
      </c>
      <c r="G58" s="116">
        <v>0</v>
      </c>
      <c r="H58" s="116"/>
      <c r="I58" s="116"/>
      <c r="J58" s="116"/>
      <c r="K58" s="116"/>
      <c r="L58" s="116"/>
      <c r="M58" s="116"/>
      <c r="N58" s="116"/>
      <c r="O58" s="116"/>
      <c r="P58" s="116">
        <v>0</v>
      </c>
      <c r="Q58" s="116">
        <v>0</v>
      </c>
      <c r="R58" s="116">
        <v>0</v>
      </c>
      <c r="S58" s="116">
        <v>0</v>
      </c>
      <c r="T58" s="116"/>
      <c r="U58" s="116"/>
      <c r="V58" s="116"/>
      <c r="W58" s="116"/>
      <c r="X58" s="116"/>
      <c r="Y58" s="116"/>
      <c r="Z58" s="116"/>
      <c r="AA58" s="116"/>
      <c r="AB58" s="116"/>
      <c r="AC58" s="116">
        <v>0</v>
      </c>
      <c r="AD58" s="116">
        <v>0</v>
      </c>
      <c r="AE58" s="116">
        <v>0</v>
      </c>
      <c r="AF58" s="116"/>
      <c r="AG58" s="116"/>
      <c r="AH58" s="116"/>
      <c r="AI58" s="116"/>
      <c r="AJ58" s="116"/>
      <c r="AK58" s="116"/>
      <c r="AL58" s="116"/>
      <c r="AM58" s="116"/>
      <c r="AN58" s="116"/>
      <c r="AO58" s="116">
        <v>0</v>
      </c>
      <c r="AP58" s="116">
        <v>0</v>
      </c>
      <c r="AQ58" s="116">
        <v>0</v>
      </c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293</v>
      </c>
      <c r="D59" s="116"/>
      <c r="E59" s="116"/>
      <c r="F59" s="116">
        <v>0</v>
      </c>
      <c r="G59" s="116">
        <v>0</v>
      </c>
      <c r="H59" s="116"/>
      <c r="I59" s="116"/>
      <c r="J59" s="116"/>
      <c r="K59" s="116"/>
      <c r="L59" s="116"/>
      <c r="M59" s="116"/>
      <c r="N59" s="116"/>
      <c r="O59" s="116"/>
      <c r="P59" s="116">
        <v>0</v>
      </c>
      <c r="Q59" s="116">
        <v>0</v>
      </c>
      <c r="R59" s="116">
        <v>0</v>
      </c>
      <c r="S59" s="116">
        <v>0</v>
      </c>
      <c r="T59" s="116"/>
      <c r="U59" s="116"/>
      <c r="V59" s="116"/>
      <c r="W59" s="116"/>
      <c r="X59" s="116"/>
      <c r="Y59" s="116"/>
      <c r="Z59" s="116"/>
      <c r="AA59" s="116"/>
      <c r="AB59" s="116"/>
      <c r="AC59" s="116">
        <v>0</v>
      </c>
      <c r="AD59" s="116">
        <v>0</v>
      </c>
      <c r="AE59" s="116">
        <v>0</v>
      </c>
      <c r="AF59" s="116"/>
      <c r="AG59" s="116"/>
      <c r="AH59" s="116"/>
      <c r="AI59" s="116"/>
      <c r="AJ59" s="116"/>
      <c r="AK59" s="116"/>
      <c r="AL59" s="116"/>
      <c r="AM59" s="116"/>
      <c r="AN59" s="116"/>
      <c r="AO59" s="116">
        <v>0</v>
      </c>
      <c r="AP59" s="116">
        <v>0</v>
      </c>
      <c r="AQ59" s="116">
        <v>0</v>
      </c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293</v>
      </c>
      <c r="D60" s="116"/>
      <c r="E60" s="116"/>
      <c r="F60" s="116">
        <v>0</v>
      </c>
      <c r="G60" s="116">
        <v>0</v>
      </c>
      <c r="H60" s="116"/>
      <c r="I60" s="116"/>
      <c r="J60" s="116"/>
      <c r="K60" s="116"/>
      <c r="L60" s="116"/>
      <c r="M60" s="116"/>
      <c r="N60" s="116"/>
      <c r="O60" s="116"/>
      <c r="P60" s="116">
        <v>0</v>
      </c>
      <c r="Q60" s="116">
        <v>0</v>
      </c>
      <c r="R60" s="116">
        <v>0</v>
      </c>
      <c r="S60" s="116">
        <v>0</v>
      </c>
      <c r="T60" s="116"/>
      <c r="U60" s="116"/>
      <c r="V60" s="116"/>
      <c r="W60" s="116"/>
      <c r="X60" s="116"/>
      <c r="Y60" s="116"/>
      <c r="Z60" s="116"/>
      <c r="AA60" s="116"/>
      <c r="AB60" s="116"/>
      <c r="AC60" s="116">
        <v>0</v>
      </c>
      <c r="AD60" s="116">
        <v>0</v>
      </c>
      <c r="AE60" s="116">
        <v>0</v>
      </c>
      <c r="AF60" s="116"/>
      <c r="AG60" s="116"/>
      <c r="AH60" s="116"/>
      <c r="AI60" s="116"/>
      <c r="AJ60" s="116"/>
      <c r="AK60" s="116"/>
      <c r="AL60" s="116"/>
      <c r="AM60" s="116"/>
      <c r="AN60" s="116"/>
      <c r="AO60" s="116">
        <v>0</v>
      </c>
      <c r="AP60" s="116">
        <v>0</v>
      </c>
      <c r="AQ60" s="116">
        <v>0</v>
      </c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293</v>
      </c>
      <c r="D61" s="116"/>
      <c r="E61" s="116"/>
      <c r="F61" s="116">
        <v>0</v>
      </c>
      <c r="G61" s="116">
        <v>0</v>
      </c>
      <c r="H61" s="116"/>
      <c r="I61" s="116"/>
      <c r="J61" s="116"/>
      <c r="K61" s="116"/>
      <c r="L61" s="116"/>
      <c r="M61" s="116"/>
      <c r="N61" s="116"/>
      <c r="O61" s="116"/>
      <c r="P61" s="116">
        <v>0</v>
      </c>
      <c r="Q61" s="116">
        <v>0</v>
      </c>
      <c r="R61" s="116">
        <v>0</v>
      </c>
      <c r="S61" s="116">
        <v>0</v>
      </c>
      <c r="T61" s="116"/>
      <c r="U61" s="116"/>
      <c r="V61" s="116"/>
      <c r="W61" s="116"/>
      <c r="X61" s="116"/>
      <c r="Y61" s="116"/>
      <c r="Z61" s="116"/>
      <c r="AA61" s="116"/>
      <c r="AB61" s="116"/>
      <c r="AC61" s="116">
        <v>0</v>
      </c>
      <c r="AD61" s="116">
        <v>0</v>
      </c>
      <c r="AE61" s="116">
        <v>0</v>
      </c>
      <c r="AF61" s="116"/>
      <c r="AG61" s="116"/>
      <c r="AH61" s="116"/>
      <c r="AI61" s="116"/>
      <c r="AJ61" s="116"/>
      <c r="AK61" s="116"/>
      <c r="AL61" s="116"/>
      <c r="AM61" s="116"/>
      <c r="AN61" s="116"/>
      <c r="AO61" s="116">
        <v>0</v>
      </c>
      <c r="AP61" s="116">
        <v>0</v>
      </c>
      <c r="AQ61" s="116">
        <v>0</v>
      </c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293</v>
      </c>
      <c r="D62" s="116"/>
      <c r="E62" s="116"/>
      <c r="F62" s="116">
        <v>0</v>
      </c>
      <c r="G62" s="116">
        <v>0</v>
      </c>
      <c r="H62" s="116"/>
      <c r="I62" s="116"/>
      <c r="J62" s="116"/>
      <c r="K62" s="116"/>
      <c r="L62" s="116"/>
      <c r="M62" s="116"/>
      <c r="N62" s="116"/>
      <c r="O62" s="116"/>
      <c r="P62" s="116">
        <v>0</v>
      </c>
      <c r="Q62" s="116">
        <v>0</v>
      </c>
      <c r="R62" s="116">
        <v>0</v>
      </c>
      <c r="S62" s="116">
        <v>0</v>
      </c>
      <c r="T62" s="116"/>
      <c r="U62" s="116"/>
      <c r="V62" s="116"/>
      <c r="W62" s="116"/>
      <c r="X62" s="116"/>
      <c r="Y62" s="116"/>
      <c r="Z62" s="116"/>
      <c r="AA62" s="116"/>
      <c r="AB62" s="116"/>
      <c r="AC62" s="116">
        <v>0</v>
      </c>
      <c r="AD62" s="116">
        <v>0</v>
      </c>
      <c r="AE62" s="116">
        <v>0</v>
      </c>
      <c r="AF62" s="116"/>
      <c r="AG62" s="116"/>
      <c r="AH62" s="116"/>
      <c r="AI62" s="116"/>
      <c r="AJ62" s="116"/>
      <c r="AK62" s="116"/>
      <c r="AL62" s="116"/>
      <c r="AM62" s="116"/>
      <c r="AN62" s="116"/>
      <c r="AO62" s="116">
        <v>0</v>
      </c>
      <c r="AP62" s="116">
        <v>0</v>
      </c>
      <c r="AQ62" s="116">
        <v>0</v>
      </c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293</v>
      </c>
      <c r="D63" s="116"/>
      <c r="E63" s="116"/>
      <c r="F63" s="116">
        <v>0</v>
      </c>
      <c r="G63" s="116">
        <v>0</v>
      </c>
      <c r="H63" s="116"/>
      <c r="I63" s="116"/>
      <c r="J63" s="116"/>
      <c r="K63" s="116"/>
      <c r="L63" s="116"/>
      <c r="M63" s="116"/>
      <c r="N63" s="116"/>
      <c r="O63" s="116"/>
      <c r="P63" s="116">
        <v>0</v>
      </c>
      <c r="Q63" s="116">
        <v>0</v>
      </c>
      <c r="R63" s="116">
        <v>0</v>
      </c>
      <c r="S63" s="116">
        <v>0</v>
      </c>
      <c r="T63" s="116"/>
      <c r="U63" s="116"/>
      <c r="V63" s="116"/>
      <c r="W63" s="116"/>
      <c r="X63" s="116"/>
      <c r="Y63" s="116"/>
      <c r="Z63" s="116"/>
      <c r="AA63" s="116"/>
      <c r="AB63" s="116"/>
      <c r="AC63" s="116">
        <v>0</v>
      </c>
      <c r="AD63" s="116">
        <v>0</v>
      </c>
      <c r="AE63" s="116">
        <v>0</v>
      </c>
      <c r="AF63" s="116"/>
      <c r="AG63" s="116"/>
      <c r="AH63" s="116"/>
      <c r="AI63" s="116"/>
      <c r="AJ63" s="116"/>
      <c r="AK63" s="116"/>
      <c r="AL63" s="116"/>
      <c r="AM63" s="116"/>
      <c r="AN63" s="116"/>
      <c r="AO63" s="116">
        <v>0</v>
      </c>
      <c r="AP63" s="116">
        <v>0</v>
      </c>
      <c r="AQ63" s="116">
        <v>0</v>
      </c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293</v>
      </c>
      <c r="D64" s="116"/>
      <c r="E64" s="116"/>
      <c r="F64" s="116">
        <v>0</v>
      </c>
      <c r="G64" s="116">
        <v>0</v>
      </c>
      <c r="H64" s="116"/>
      <c r="I64" s="116"/>
      <c r="J64" s="116"/>
      <c r="K64" s="116"/>
      <c r="L64" s="116"/>
      <c r="M64" s="116"/>
      <c r="N64" s="116"/>
      <c r="O64" s="116"/>
      <c r="P64" s="116">
        <v>0</v>
      </c>
      <c r="Q64" s="116">
        <v>0</v>
      </c>
      <c r="R64" s="116">
        <v>0</v>
      </c>
      <c r="S64" s="116">
        <v>0</v>
      </c>
      <c r="T64" s="116"/>
      <c r="U64" s="116"/>
      <c r="V64" s="116"/>
      <c r="W64" s="116"/>
      <c r="X64" s="116"/>
      <c r="Y64" s="116"/>
      <c r="Z64" s="116"/>
      <c r="AA64" s="116"/>
      <c r="AB64" s="116"/>
      <c r="AC64" s="116">
        <v>0</v>
      </c>
      <c r="AD64" s="116">
        <v>0</v>
      </c>
      <c r="AE64" s="116">
        <v>0</v>
      </c>
      <c r="AF64" s="116"/>
      <c r="AG64" s="116"/>
      <c r="AH64" s="116"/>
      <c r="AI64" s="116"/>
      <c r="AJ64" s="116"/>
      <c r="AK64" s="116"/>
      <c r="AL64" s="116"/>
      <c r="AM64" s="116"/>
      <c r="AN64" s="116"/>
      <c r="AO64" s="116">
        <v>0</v>
      </c>
      <c r="AP64" s="116">
        <v>0</v>
      </c>
      <c r="AQ64" s="116">
        <v>0</v>
      </c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293</v>
      </c>
      <c r="D65" s="116"/>
      <c r="E65" s="116"/>
      <c r="F65" s="116">
        <v>0</v>
      </c>
      <c r="G65" s="116">
        <v>0</v>
      </c>
      <c r="H65" s="116"/>
      <c r="I65" s="116"/>
      <c r="J65" s="116"/>
      <c r="K65" s="116"/>
      <c r="L65" s="116"/>
      <c r="M65" s="116"/>
      <c r="N65" s="116"/>
      <c r="O65" s="116"/>
      <c r="P65" s="116">
        <v>0</v>
      </c>
      <c r="Q65" s="116">
        <v>0</v>
      </c>
      <c r="R65" s="116">
        <v>0</v>
      </c>
      <c r="S65" s="116">
        <v>0</v>
      </c>
      <c r="T65" s="116"/>
      <c r="U65" s="116"/>
      <c r="V65" s="116"/>
      <c r="W65" s="116"/>
      <c r="X65" s="116"/>
      <c r="Y65" s="116"/>
      <c r="Z65" s="116"/>
      <c r="AA65" s="116"/>
      <c r="AB65" s="116"/>
      <c r="AC65" s="116">
        <v>0</v>
      </c>
      <c r="AD65" s="116">
        <v>0</v>
      </c>
      <c r="AE65" s="116">
        <v>0</v>
      </c>
      <c r="AF65" s="116"/>
      <c r="AG65" s="116"/>
      <c r="AH65" s="116"/>
      <c r="AI65" s="116"/>
      <c r="AJ65" s="116"/>
      <c r="AK65" s="116"/>
      <c r="AL65" s="116"/>
      <c r="AM65" s="116"/>
      <c r="AN65" s="116"/>
      <c r="AO65" s="116">
        <v>0</v>
      </c>
      <c r="AP65" s="116">
        <v>0</v>
      </c>
      <c r="AQ65" s="116">
        <v>0</v>
      </c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293</v>
      </c>
      <c r="D66" s="116"/>
      <c r="E66" s="116"/>
      <c r="F66" s="116">
        <v>0</v>
      </c>
      <c r="G66" s="116">
        <v>0</v>
      </c>
      <c r="H66" s="116"/>
      <c r="I66" s="116"/>
      <c r="J66" s="116"/>
      <c r="K66" s="116"/>
      <c r="L66" s="116"/>
      <c r="M66" s="116"/>
      <c r="N66" s="116"/>
      <c r="O66" s="116"/>
      <c r="P66" s="116">
        <v>0</v>
      </c>
      <c r="Q66" s="116">
        <v>0</v>
      </c>
      <c r="R66" s="116">
        <v>0</v>
      </c>
      <c r="S66" s="116">
        <v>0</v>
      </c>
      <c r="T66" s="116"/>
      <c r="U66" s="116"/>
      <c r="V66" s="116"/>
      <c r="W66" s="116"/>
      <c r="X66" s="116"/>
      <c r="Y66" s="116"/>
      <c r="Z66" s="116"/>
      <c r="AA66" s="116"/>
      <c r="AB66" s="116"/>
      <c r="AC66" s="116">
        <v>0</v>
      </c>
      <c r="AD66" s="116">
        <v>0</v>
      </c>
      <c r="AE66" s="116">
        <v>0</v>
      </c>
      <c r="AF66" s="116"/>
      <c r="AG66" s="116"/>
      <c r="AH66" s="116"/>
      <c r="AI66" s="116"/>
      <c r="AJ66" s="116"/>
      <c r="AK66" s="116"/>
      <c r="AL66" s="116"/>
      <c r="AM66" s="116"/>
      <c r="AN66" s="116"/>
      <c r="AO66" s="116">
        <v>0</v>
      </c>
      <c r="AP66" s="116">
        <v>0</v>
      </c>
      <c r="AQ66" s="116">
        <v>0</v>
      </c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293</v>
      </c>
      <c r="D67" s="116"/>
      <c r="E67" s="116"/>
      <c r="F67" s="116">
        <v>0</v>
      </c>
      <c r="G67" s="116">
        <v>0</v>
      </c>
      <c r="H67" s="116"/>
      <c r="I67" s="116"/>
      <c r="J67" s="116"/>
      <c r="K67" s="116"/>
      <c r="L67" s="116"/>
      <c r="M67" s="116"/>
      <c r="N67" s="116"/>
      <c r="O67" s="116"/>
      <c r="P67" s="116">
        <v>0</v>
      </c>
      <c r="Q67" s="116">
        <v>0</v>
      </c>
      <c r="R67" s="116">
        <v>0</v>
      </c>
      <c r="S67" s="116">
        <v>0</v>
      </c>
      <c r="T67" s="116"/>
      <c r="U67" s="116"/>
      <c r="V67" s="116"/>
      <c r="W67" s="116"/>
      <c r="X67" s="116"/>
      <c r="Y67" s="116"/>
      <c r="Z67" s="116"/>
      <c r="AA67" s="116"/>
      <c r="AB67" s="116"/>
      <c r="AC67" s="116">
        <v>0</v>
      </c>
      <c r="AD67" s="116">
        <v>0</v>
      </c>
      <c r="AE67" s="116">
        <v>0</v>
      </c>
      <c r="AF67" s="116"/>
      <c r="AG67" s="116"/>
      <c r="AH67" s="116"/>
      <c r="AI67" s="116"/>
      <c r="AJ67" s="116"/>
      <c r="AK67" s="116"/>
      <c r="AL67" s="116"/>
      <c r="AM67" s="116"/>
      <c r="AN67" s="116"/>
      <c r="AO67" s="116">
        <v>0</v>
      </c>
      <c r="AP67" s="116">
        <v>0</v>
      </c>
      <c r="AQ67" s="116">
        <v>0</v>
      </c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293</v>
      </c>
      <c r="D68" s="116"/>
      <c r="E68" s="116"/>
      <c r="F68" s="116">
        <v>0</v>
      </c>
      <c r="G68" s="116">
        <v>0</v>
      </c>
      <c r="H68" s="116"/>
      <c r="I68" s="116"/>
      <c r="J68" s="116"/>
      <c r="K68" s="116"/>
      <c r="L68" s="116"/>
      <c r="M68" s="116"/>
      <c r="N68" s="116"/>
      <c r="O68" s="116"/>
      <c r="P68" s="116">
        <v>0</v>
      </c>
      <c r="Q68" s="116">
        <v>0</v>
      </c>
      <c r="R68" s="116">
        <v>0</v>
      </c>
      <c r="S68" s="116">
        <v>0</v>
      </c>
      <c r="T68" s="116"/>
      <c r="U68" s="116"/>
      <c r="V68" s="116"/>
      <c r="W68" s="116"/>
      <c r="X68" s="116"/>
      <c r="Y68" s="116"/>
      <c r="Z68" s="116"/>
      <c r="AA68" s="116"/>
      <c r="AB68" s="116"/>
      <c r="AC68" s="116">
        <v>0</v>
      </c>
      <c r="AD68" s="116">
        <v>0</v>
      </c>
      <c r="AE68" s="116">
        <v>0</v>
      </c>
      <c r="AF68" s="116"/>
      <c r="AG68" s="116"/>
      <c r="AH68" s="116"/>
      <c r="AI68" s="116"/>
      <c r="AJ68" s="116"/>
      <c r="AK68" s="116"/>
      <c r="AL68" s="116"/>
      <c r="AM68" s="116"/>
      <c r="AN68" s="116"/>
      <c r="AO68" s="116">
        <v>0</v>
      </c>
      <c r="AP68" s="116">
        <v>0</v>
      </c>
      <c r="AQ68" s="116">
        <v>0</v>
      </c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293</v>
      </c>
      <c r="D69" s="116"/>
      <c r="E69" s="116"/>
      <c r="F69" s="116">
        <v>0</v>
      </c>
      <c r="G69" s="116">
        <v>0</v>
      </c>
      <c r="H69" s="116"/>
      <c r="I69" s="116"/>
      <c r="J69" s="116"/>
      <c r="K69" s="116"/>
      <c r="L69" s="116"/>
      <c r="M69" s="116"/>
      <c r="N69" s="116"/>
      <c r="O69" s="116"/>
      <c r="P69" s="116">
        <v>0</v>
      </c>
      <c r="Q69" s="116">
        <v>0</v>
      </c>
      <c r="R69" s="116">
        <v>0</v>
      </c>
      <c r="S69" s="116">
        <v>0</v>
      </c>
      <c r="T69" s="116"/>
      <c r="U69" s="116"/>
      <c r="V69" s="116"/>
      <c r="W69" s="116"/>
      <c r="X69" s="116"/>
      <c r="Y69" s="116"/>
      <c r="Z69" s="116"/>
      <c r="AA69" s="116"/>
      <c r="AB69" s="116"/>
      <c r="AC69" s="116">
        <v>0</v>
      </c>
      <c r="AD69" s="116">
        <v>0</v>
      </c>
      <c r="AE69" s="116">
        <v>0</v>
      </c>
      <c r="AF69" s="116"/>
      <c r="AG69" s="116"/>
      <c r="AH69" s="116"/>
      <c r="AI69" s="116"/>
      <c r="AJ69" s="116"/>
      <c r="AK69" s="116"/>
      <c r="AL69" s="116"/>
      <c r="AM69" s="116"/>
      <c r="AN69" s="116"/>
      <c r="AO69" s="116">
        <v>0</v>
      </c>
      <c r="AP69" s="116">
        <v>0</v>
      </c>
      <c r="AQ69" s="116">
        <v>0</v>
      </c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293</v>
      </c>
      <c r="D70" s="116"/>
      <c r="E70" s="116"/>
      <c r="F70" s="116">
        <v>0</v>
      </c>
      <c r="G70" s="116">
        <v>0</v>
      </c>
      <c r="H70" s="116"/>
      <c r="I70" s="116"/>
      <c r="J70" s="116"/>
      <c r="K70" s="116"/>
      <c r="L70" s="116"/>
      <c r="M70" s="116"/>
      <c r="N70" s="116"/>
      <c r="O70" s="116"/>
      <c r="P70" s="116">
        <v>0</v>
      </c>
      <c r="Q70" s="116">
        <v>0</v>
      </c>
      <c r="R70" s="116">
        <v>0</v>
      </c>
      <c r="S70" s="116">
        <v>0</v>
      </c>
      <c r="T70" s="116"/>
      <c r="U70" s="116"/>
      <c r="V70" s="116"/>
      <c r="W70" s="116"/>
      <c r="X70" s="116"/>
      <c r="Y70" s="116"/>
      <c r="Z70" s="116"/>
      <c r="AA70" s="116"/>
      <c r="AB70" s="116"/>
      <c r="AC70" s="116">
        <v>0</v>
      </c>
      <c r="AD70" s="116">
        <v>0</v>
      </c>
      <c r="AE70" s="116">
        <v>0</v>
      </c>
      <c r="AF70" s="116"/>
      <c r="AG70" s="116"/>
      <c r="AH70" s="116"/>
      <c r="AI70" s="116"/>
      <c r="AJ70" s="116"/>
      <c r="AK70" s="116"/>
      <c r="AL70" s="116"/>
      <c r="AM70" s="116"/>
      <c r="AN70" s="116"/>
      <c r="AO70" s="116">
        <v>0</v>
      </c>
      <c r="AP70" s="116">
        <v>0</v>
      </c>
      <c r="AQ70" s="116">
        <v>0</v>
      </c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293</v>
      </c>
      <c r="D71" s="116"/>
      <c r="E71" s="116"/>
      <c r="F71" s="116">
        <v>0</v>
      </c>
      <c r="G71" s="116">
        <v>0</v>
      </c>
      <c r="H71" s="116"/>
      <c r="I71" s="116"/>
      <c r="J71" s="116"/>
      <c r="K71" s="116"/>
      <c r="L71" s="116"/>
      <c r="M71" s="116"/>
      <c r="N71" s="116"/>
      <c r="O71" s="116"/>
      <c r="P71" s="116">
        <v>0</v>
      </c>
      <c r="Q71" s="116">
        <v>0</v>
      </c>
      <c r="R71" s="116">
        <v>0</v>
      </c>
      <c r="S71" s="116">
        <v>0</v>
      </c>
      <c r="T71" s="116"/>
      <c r="U71" s="116"/>
      <c r="V71" s="116"/>
      <c r="W71" s="116"/>
      <c r="X71" s="116"/>
      <c r="Y71" s="116"/>
      <c r="Z71" s="116"/>
      <c r="AA71" s="116"/>
      <c r="AB71" s="116"/>
      <c r="AC71" s="116">
        <v>0</v>
      </c>
      <c r="AD71" s="116">
        <v>0</v>
      </c>
      <c r="AE71" s="116">
        <v>0</v>
      </c>
      <c r="AF71" s="116"/>
      <c r="AG71" s="116"/>
      <c r="AH71" s="116"/>
      <c r="AI71" s="116"/>
      <c r="AJ71" s="116"/>
      <c r="AK71" s="116"/>
      <c r="AL71" s="116"/>
      <c r="AM71" s="116"/>
      <c r="AN71" s="116"/>
      <c r="AO71" s="116">
        <v>0</v>
      </c>
      <c r="AP71" s="116">
        <v>0</v>
      </c>
      <c r="AQ71" s="116">
        <v>0</v>
      </c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293</v>
      </c>
      <c r="D72" s="116"/>
      <c r="E72" s="116"/>
      <c r="F72" s="116">
        <v>0</v>
      </c>
      <c r="G72" s="116">
        <v>0</v>
      </c>
      <c r="H72" s="116"/>
      <c r="I72" s="116"/>
      <c r="J72" s="116"/>
      <c r="K72" s="116"/>
      <c r="L72" s="116"/>
      <c r="M72" s="116"/>
      <c r="N72" s="116"/>
      <c r="O72" s="116"/>
      <c r="P72" s="116">
        <v>0</v>
      </c>
      <c r="Q72" s="116">
        <v>0</v>
      </c>
      <c r="R72" s="116">
        <v>0</v>
      </c>
      <c r="S72" s="116">
        <v>0</v>
      </c>
      <c r="T72" s="116"/>
      <c r="U72" s="116"/>
      <c r="V72" s="116"/>
      <c r="W72" s="116"/>
      <c r="X72" s="116"/>
      <c r="Y72" s="116"/>
      <c r="Z72" s="116"/>
      <c r="AA72" s="116"/>
      <c r="AB72" s="116"/>
      <c r="AC72" s="116">
        <v>0</v>
      </c>
      <c r="AD72" s="116">
        <v>0</v>
      </c>
      <c r="AE72" s="116">
        <v>0</v>
      </c>
      <c r="AF72" s="116"/>
      <c r="AG72" s="116"/>
      <c r="AH72" s="116"/>
      <c r="AI72" s="116"/>
      <c r="AJ72" s="116"/>
      <c r="AK72" s="116"/>
      <c r="AL72" s="116"/>
      <c r="AM72" s="116"/>
      <c r="AN72" s="116"/>
      <c r="AO72" s="116">
        <v>0</v>
      </c>
      <c r="AP72" s="116">
        <v>0</v>
      </c>
      <c r="AQ72" s="116">
        <v>0</v>
      </c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293</v>
      </c>
      <c r="D73" s="116"/>
      <c r="E73" s="116"/>
      <c r="F73" s="116">
        <v>0</v>
      </c>
      <c r="G73" s="116">
        <v>0</v>
      </c>
      <c r="H73" s="116"/>
      <c r="I73" s="116"/>
      <c r="J73" s="116"/>
      <c r="K73" s="116"/>
      <c r="L73" s="116"/>
      <c r="M73" s="116"/>
      <c r="N73" s="116"/>
      <c r="O73" s="116"/>
      <c r="P73" s="116">
        <v>0</v>
      </c>
      <c r="Q73" s="116">
        <v>0</v>
      </c>
      <c r="R73" s="116">
        <v>0</v>
      </c>
      <c r="S73" s="116">
        <v>0</v>
      </c>
      <c r="T73" s="116"/>
      <c r="U73" s="116"/>
      <c r="V73" s="116"/>
      <c r="W73" s="116"/>
      <c r="X73" s="116"/>
      <c r="Y73" s="116"/>
      <c r="Z73" s="116"/>
      <c r="AA73" s="116"/>
      <c r="AB73" s="116"/>
      <c r="AC73" s="116">
        <v>0</v>
      </c>
      <c r="AD73" s="116">
        <v>0</v>
      </c>
      <c r="AE73" s="116">
        <v>0</v>
      </c>
      <c r="AF73" s="116"/>
      <c r="AG73" s="116"/>
      <c r="AH73" s="116"/>
      <c r="AI73" s="116"/>
      <c r="AJ73" s="116"/>
      <c r="AK73" s="116"/>
      <c r="AL73" s="116"/>
      <c r="AM73" s="116"/>
      <c r="AN73" s="116"/>
      <c r="AO73" s="116">
        <v>0</v>
      </c>
      <c r="AP73" s="116">
        <v>0</v>
      </c>
      <c r="AQ73" s="116">
        <v>0</v>
      </c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293</v>
      </c>
      <c r="D74" s="116"/>
      <c r="E74" s="116"/>
      <c r="F74" s="116">
        <v>0</v>
      </c>
      <c r="G74" s="116">
        <v>0</v>
      </c>
      <c r="H74" s="116"/>
      <c r="I74" s="116"/>
      <c r="J74" s="116"/>
      <c r="K74" s="116"/>
      <c r="L74" s="116"/>
      <c r="M74" s="116"/>
      <c r="N74" s="116"/>
      <c r="O74" s="116"/>
      <c r="P74" s="116">
        <v>0</v>
      </c>
      <c r="Q74" s="116">
        <v>0</v>
      </c>
      <c r="R74" s="116">
        <v>0</v>
      </c>
      <c r="S74" s="116">
        <v>0</v>
      </c>
      <c r="T74" s="116"/>
      <c r="U74" s="116"/>
      <c r="V74" s="116"/>
      <c r="W74" s="116"/>
      <c r="X74" s="116"/>
      <c r="Y74" s="116"/>
      <c r="Z74" s="116"/>
      <c r="AA74" s="116"/>
      <c r="AB74" s="116"/>
      <c r="AC74" s="116">
        <v>0</v>
      </c>
      <c r="AD74" s="116">
        <v>0</v>
      </c>
      <c r="AE74" s="116">
        <v>0</v>
      </c>
      <c r="AF74" s="116"/>
      <c r="AG74" s="116"/>
      <c r="AH74" s="116"/>
      <c r="AI74" s="116"/>
      <c r="AJ74" s="116"/>
      <c r="AK74" s="116"/>
      <c r="AL74" s="116"/>
      <c r="AM74" s="116"/>
      <c r="AN74" s="116"/>
      <c r="AO74" s="116">
        <v>0</v>
      </c>
      <c r="AP74" s="116">
        <v>0</v>
      </c>
      <c r="AQ74" s="116">
        <v>0</v>
      </c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293</v>
      </c>
      <c r="D75" s="116"/>
      <c r="E75" s="116"/>
      <c r="F75" s="116">
        <v>0</v>
      </c>
      <c r="G75" s="116">
        <v>0</v>
      </c>
      <c r="H75" s="116"/>
      <c r="I75" s="116"/>
      <c r="J75" s="116"/>
      <c r="K75" s="116"/>
      <c r="L75" s="116"/>
      <c r="M75" s="116"/>
      <c r="N75" s="116"/>
      <c r="O75" s="116"/>
      <c r="P75" s="116">
        <v>0</v>
      </c>
      <c r="Q75" s="116">
        <v>0</v>
      </c>
      <c r="R75" s="116">
        <v>0</v>
      </c>
      <c r="S75" s="116">
        <v>0</v>
      </c>
      <c r="T75" s="116"/>
      <c r="U75" s="116"/>
      <c r="V75" s="116"/>
      <c r="W75" s="116"/>
      <c r="X75" s="116"/>
      <c r="Y75" s="116"/>
      <c r="Z75" s="116"/>
      <c r="AA75" s="116"/>
      <c r="AB75" s="116"/>
      <c r="AC75" s="116">
        <v>0</v>
      </c>
      <c r="AD75" s="116">
        <v>0</v>
      </c>
      <c r="AE75" s="116">
        <v>0</v>
      </c>
      <c r="AF75" s="116"/>
      <c r="AG75" s="116"/>
      <c r="AH75" s="116"/>
      <c r="AI75" s="116"/>
      <c r="AJ75" s="116"/>
      <c r="AK75" s="116"/>
      <c r="AL75" s="116"/>
      <c r="AM75" s="116"/>
      <c r="AN75" s="116"/>
      <c r="AO75" s="116">
        <v>0</v>
      </c>
      <c r="AP75" s="116">
        <v>0</v>
      </c>
      <c r="AQ75" s="116">
        <v>0</v>
      </c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293</v>
      </c>
      <c r="D76" s="116"/>
      <c r="E76" s="116"/>
      <c r="F76" s="116">
        <v>0</v>
      </c>
      <c r="G76" s="116">
        <v>0</v>
      </c>
      <c r="H76" s="116"/>
      <c r="I76" s="116"/>
      <c r="J76" s="116"/>
      <c r="K76" s="116"/>
      <c r="L76" s="116"/>
      <c r="M76" s="116"/>
      <c r="N76" s="116"/>
      <c r="O76" s="116"/>
      <c r="P76" s="116">
        <v>0</v>
      </c>
      <c r="Q76" s="116">
        <v>0</v>
      </c>
      <c r="R76" s="116">
        <v>0</v>
      </c>
      <c r="S76" s="116">
        <v>0</v>
      </c>
      <c r="T76" s="116"/>
      <c r="U76" s="116"/>
      <c r="V76" s="116"/>
      <c r="W76" s="116"/>
      <c r="X76" s="116"/>
      <c r="Y76" s="116"/>
      <c r="Z76" s="116"/>
      <c r="AA76" s="116"/>
      <c r="AB76" s="116"/>
      <c r="AC76" s="116">
        <v>0</v>
      </c>
      <c r="AD76" s="116">
        <v>0</v>
      </c>
      <c r="AE76" s="116">
        <v>0</v>
      </c>
      <c r="AF76" s="116"/>
      <c r="AG76" s="116"/>
      <c r="AH76" s="116"/>
      <c r="AI76" s="116"/>
      <c r="AJ76" s="116"/>
      <c r="AK76" s="116"/>
      <c r="AL76" s="116"/>
      <c r="AM76" s="116"/>
      <c r="AN76" s="116"/>
      <c r="AO76" s="116">
        <v>0</v>
      </c>
      <c r="AP76" s="116">
        <v>0</v>
      </c>
      <c r="AQ76" s="116">
        <v>0</v>
      </c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293</v>
      </c>
      <c r="D77" s="116"/>
      <c r="E77" s="116"/>
      <c r="F77" s="116">
        <v>0</v>
      </c>
      <c r="G77" s="116">
        <v>0</v>
      </c>
      <c r="H77" s="116"/>
      <c r="I77" s="116"/>
      <c r="J77" s="116"/>
      <c r="K77" s="116"/>
      <c r="L77" s="116"/>
      <c r="M77" s="116"/>
      <c r="N77" s="116"/>
      <c r="O77" s="116"/>
      <c r="P77" s="116">
        <v>0</v>
      </c>
      <c r="Q77" s="116">
        <v>0</v>
      </c>
      <c r="R77" s="116">
        <v>0</v>
      </c>
      <c r="S77" s="116">
        <v>0</v>
      </c>
      <c r="T77" s="116"/>
      <c r="U77" s="116"/>
      <c r="V77" s="116"/>
      <c r="W77" s="116"/>
      <c r="X77" s="116"/>
      <c r="Y77" s="116"/>
      <c r="Z77" s="116"/>
      <c r="AA77" s="116"/>
      <c r="AB77" s="116"/>
      <c r="AC77" s="116">
        <v>0</v>
      </c>
      <c r="AD77" s="116">
        <v>0</v>
      </c>
      <c r="AE77" s="116">
        <v>0</v>
      </c>
      <c r="AF77" s="116"/>
      <c r="AG77" s="116"/>
      <c r="AH77" s="116"/>
      <c r="AI77" s="116"/>
      <c r="AJ77" s="116"/>
      <c r="AK77" s="116"/>
      <c r="AL77" s="116"/>
      <c r="AM77" s="116"/>
      <c r="AN77" s="116"/>
      <c r="AO77" s="116">
        <v>0</v>
      </c>
      <c r="AP77" s="116">
        <v>0</v>
      </c>
      <c r="AQ77" s="116">
        <v>0</v>
      </c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293</v>
      </c>
      <c r="D78" s="116"/>
      <c r="E78" s="116"/>
      <c r="F78" s="116">
        <v>0</v>
      </c>
      <c r="G78" s="116">
        <v>0</v>
      </c>
      <c r="H78" s="116"/>
      <c r="I78" s="116"/>
      <c r="J78" s="116"/>
      <c r="K78" s="116"/>
      <c r="L78" s="116"/>
      <c r="M78" s="116"/>
      <c r="N78" s="116"/>
      <c r="O78" s="116"/>
      <c r="P78" s="116">
        <v>0</v>
      </c>
      <c r="Q78" s="116">
        <v>0</v>
      </c>
      <c r="R78" s="116">
        <v>0</v>
      </c>
      <c r="S78" s="116">
        <v>0</v>
      </c>
      <c r="T78" s="116"/>
      <c r="U78" s="116"/>
      <c r="V78" s="116"/>
      <c r="W78" s="116"/>
      <c r="X78" s="116"/>
      <c r="Y78" s="116"/>
      <c r="Z78" s="116"/>
      <c r="AA78" s="116"/>
      <c r="AB78" s="116"/>
      <c r="AC78" s="116">
        <v>0</v>
      </c>
      <c r="AD78" s="116">
        <v>0</v>
      </c>
      <c r="AE78" s="116">
        <v>0</v>
      </c>
      <c r="AF78" s="116"/>
      <c r="AG78" s="116"/>
      <c r="AH78" s="116"/>
      <c r="AI78" s="116"/>
      <c r="AJ78" s="116"/>
      <c r="AK78" s="116"/>
      <c r="AL78" s="116"/>
      <c r="AM78" s="116"/>
      <c r="AN78" s="116"/>
      <c r="AO78" s="116">
        <v>0</v>
      </c>
      <c r="AP78" s="116">
        <v>0</v>
      </c>
      <c r="AQ78" s="116">
        <v>0</v>
      </c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293</v>
      </c>
      <c r="D79" s="116"/>
      <c r="E79" s="116"/>
      <c r="F79" s="116">
        <v>0</v>
      </c>
      <c r="G79" s="116">
        <v>0</v>
      </c>
      <c r="H79" s="116"/>
      <c r="I79" s="116"/>
      <c r="J79" s="116"/>
      <c r="K79" s="116"/>
      <c r="L79" s="116"/>
      <c r="M79" s="116"/>
      <c r="N79" s="116"/>
      <c r="O79" s="116"/>
      <c r="P79" s="116">
        <v>0</v>
      </c>
      <c r="Q79" s="116">
        <v>0</v>
      </c>
      <c r="R79" s="116">
        <v>0</v>
      </c>
      <c r="S79" s="116">
        <v>0</v>
      </c>
      <c r="T79" s="116"/>
      <c r="U79" s="116"/>
      <c r="V79" s="116"/>
      <c r="W79" s="116"/>
      <c r="X79" s="116"/>
      <c r="Y79" s="116"/>
      <c r="Z79" s="116"/>
      <c r="AA79" s="116"/>
      <c r="AB79" s="116"/>
      <c r="AC79" s="116">
        <v>0</v>
      </c>
      <c r="AD79" s="116">
        <v>0</v>
      </c>
      <c r="AE79" s="116">
        <v>0</v>
      </c>
      <c r="AF79" s="116"/>
      <c r="AG79" s="116"/>
      <c r="AH79" s="116"/>
      <c r="AI79" s="116"/>
      <c r="AJ79" s="116"/>
      <c r="AK79" s="116"/>
      <c r="AL79" s="116"/>
      <c r="AM79" s="116"/>
      <c r="AN79" s="116"/>
      <c r="AO79" s="116">
        <v>0</v>
      </c>
      <c r="AP79" s="116">
        <v>0</v>
      </c>
      <c r="AQ79" s="116">
        <v>0</v>
      </c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293</v>
      </c>
      <c r="D80" s="116"/>
      <c r="E80" s="116"/>
      <c r="F80" s="116">
        <v>0</v>
      </c>
      <c r="G80" s="116">
        <v>0</v>
      </c>
      <c r="H80" s="116"/>
      <c r="I80" s="116"/>
      <c r="J80" s="116"/>
      <c r="K80" s="116"/>
      <c r="L80" s="116"/>
      <c r="M80" s="116"/>
      <c r="N80" s="116"/>
      <c r="O80" s="116"/>
      <c r="P80" s="116">
        <v>0</v>
      </c>
      <c r="Q80" s="116">
        <v>0</v>
      </c>
      <c r="R80" s="116">
        <v>0</v>
      </c>
      <c r="S80" s="116">
        <v>0</v>
      </c>
      <c r="T80" s="116"/>
      <c r="U80" s="116"/>
      <c r="V80" s="116"/>
      <c r="W80" s="116"/>
      <c r="X80" s="116"/>
      <c r="Y80" s="116"/>
      <c r="Z80" s="116"/>
      <c r="AA80" s="116"/>
      <c r="AB80" s="116"/>
      <c r="AC80" s="116">
        <v>0</v>
      </c>
      <c r="AD80" s="116">
        <v>0</v>
      </c>
      <c r="AE80" s="116">
        <v>0</v>
      </c>
      <c r="AF80" s="116"/>
      <c r="AG80" s="116"/>
      <c r="AH80" s="116"/>
      <c r="AI80" s="116"/>
      <c r="AJ80" s="116"/>
      <c r="AK80" s="116"/>
      <c r="AL80" s="116"/>
      <c r="AM80" s="116"/>
      <c r="AN80" s="116"/>
      <c r="AO80" s="116">
        <v>0</v>
      </c>
      <c r="AP80" s="116">
        <v>0</v>
      </c>
      <c r="AQ80" s="116">
        <v>0</v>
      </c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293</v>
      </c>
      <c r="D81" s="116">
        <v>0</v>
      </c>
      <c r="E81" s="116">
        <v>0</v>
      </c>
      <c r="F81" s="116">
        <v>0</v>
      </c>
      <c r="G81" s="116">
        <v>0</v>
      </c>
      <c r="H81" s="116">
        <v>0</v>
      </c>
      <c r="I81" s="116">
        <v>0</v>
      </c>
      <c r="J81" s="116">
        <v>0</v>
      </c>
      <c r="K81" s="116">
        <v>0</v>
      </c>
      <c r="L81" s="116">
        <v>0</v>
      </c>
      <c r="M81" s="116">
        <v>0</v>
      </c>
      <c r="N81" s="116">
        <v>0</v>
      </c>
      <c r="O81" s="116">
        <v>0</v>
      </c>
      <c r="P81" s="116">
        <v>0</v>
      </c>
      <c r="Q81" s="116">
        <v>0</v>
      </c>
      <c r="R81" s="116">
        <v>0</v>
      </c>
      <c r="S81" s="116">
        <v>0</v>
      </c>
      <c r="T81" s="116">
        <v>0</v>
      </c>
      <c r="U81" s="116">
        <v>0</v>
      </c>
      <c r="V81" s="116">
        <v>0</v>
      </c>
      <c r="W81" s="116">
        <v>0</v>
      </c>
      <c r="X81" s="116">
        <v>0</v>
      </c>
      <c r="Y81" s="116">
        <v>0</v>
      </c>
      <c r="Z81" s="116">
        <v>0</v>
      </c>
      <c r="AA81" s="116">
        <v>0</v>
      </c>
      <c r="AB81" s="116">
        <v>0</v>
      </c>
      <c r="AC81" s="116">
        <v>0</v>
      </c>
      <c r="AD81" s="116">
        <v>0</v>
      </c>
      <c r="AE81" s="116">
        <v>0</v>
      </c>
      <c r="AF81" s="116">
        <v>0</v>
      </c>
      <c r="AG81" s="116">
        <v>0</v>
      </c>
      <c r="AH81" s="116">
        <v>0</v>
      </c>
      <c r="AI81" s="116">
        <v>0</v>
      </c>
      <c r="AJ81" s="116">
        <v>0</v>
      </c>
      <c r="AK81" s="116">
        <v>0</v>
      </c>
      <c r="AL81" s="116">
        <v>0</v>
      </c>
      <c r="AM81" s="116">
        <v>0</v>
      </c>
      <c r="AN81" s="116">
        <v>0</v>
      </c>
      <c r="AO81" s="116">
        <v>0</v>
      </c>
      <c r="AP81" s="116">
        <v>0</v>
      </c>
      <c r="AQ81" s="116">
        <v>0</v>
      </c>
      <c r="AR81" s="116">
        <v>0</v>
      </c>
      <c r="AS81" s="116">
        <v>0</v>
      </c>
      <c r="AT81" s="116">
        <v>0</v>
      </c>
      <c r="AU81" s="116">
        <v>0</v>
      </c>
      <c r="AV81" s="116">
        <v>0</v>
      </c>
      <c r="AW81" s="116">
        <v>0</v>
      </c>
      <c r="AX81" s="116">
        <v>0</v>
      </c>
      <c r="AY81" s="116">
        <v>0</v>
      </c>
    </row>
    <row r="82" spans="1:52" x14ac:dyDescent="0.2">
      <c r="A82" s="115"/>
      <c r="B82" s="136">
        <v>38</v>
      </c>
      <c r="C82" s="115" t="s">
        <v>293</v>
      </c>
      <c r="D82" s="116">
        <v>0</v>
      </c>
      <c r="E82" s="116">
        <v>0</v>
      </c>
      <c r="F82" s="116">
        <v>0</v>
      </c>
      <c r="G82" s="116">
        <v>0</v>
      </c>
      <c r="H82" s="116">
        <v>0</v>
      </c>
      <c r="I82" s="116">
        <v>0</v>
      </c>
      <c r="J82" s="116">
        <v>0</v>
      </c>
      <c r="K82" s="116">
        <v>0</v>
      </c>
      <c r="L82" s="116">
        <v>0</v>
      </c>
      <c r="M82" s="116">
        <v>0</v>
      </c>
      <c r="N82" s="116">
        <v>0</v>
      </c>
      <c r="O82" s="116">
        <v>0</v>
      </c>
      <c r="P82" s="116">
        <v>0</v>
      </c>
      <c r="Q82" s="116">
        <v>0</v>
      </c>
      <c r="R82" s="116">
        <v>0</v>
      </c>
      <c r="S82" s="116">
        <v>0</v>
      </c>
      <c r="T82" s="116">
        <v>0</v>
      </c>
      <c r="U82" s="116">
        <v>0</v>
      </c>
      <c r="V82" s="116">
        <v>0</v>
      </c>
      <c r="W82" s="116">
        <v>0</v>
      </c>
      <c r="X82" s="116">
        <v>0</v>
      </c>
      <c r="Y82" s="116">
        <v>0</v>
      </c>
      <c r="Z82" s="116">
        <v>0</v>
      </c>
      <c r="AA82" s="116">
        <v>0</v>
      </c>
      <c r="AB82" s="116">
        <v>0</v>
      </c>
      <c r="AC82" s="116">
        <v>0</v>
      </c>
      <c r="AD82" s="116">
        <v>0</v>
      </c>
      <c r="AE82" s="116">
        <v>0</v>
      </c>
      <c r="AF82" s="116">
        <v>0</v>
      </c>
      <c r="AG82" s="116">
        <v>0</v>
      </c>
      <c r="AH82" s="116">
        <v>0</v>
      </c>
      <c r="AI82" s="116">
        <v>0</v>
      </c>
      <c r="AJ82" s="116">
        <v>0</v>
      </c>
      <c r="AK82" s="116">
        <v>0</v>
      </c>
      <c r="AL82" s="116">
        <v>0</v>
      </c>
      <c r="AM82" s="116">
        <v>0</v>
      </c>
      <c r="AN82" s="116">
        <v>0</v>
      </c>
      <c r="AO82" s="116">
        <v>0</v>
      </c>
      <c r="AP82" s="116">
        <v>0</v>
      </c>
      <c r="AQ82" s="116">
        <v>0</v>
      </c>
      <c r="AR82" s="116">
        <v>0</v>
      </c>
      <c r="AS82" s="116">
        <v>0</v>
      </c>
      <c r="AT82" s="116">
        <v>0</v>
      </c>
      <c r="AU82" s="116">
        <v>0</v>
      </c>
      <c r="AV82" s="116">
        <v>0</v>
      </c>
      <c r="AW82" s="116">
        <v>0</v>
      </c>
      <c r="AX82" s="116">
        <v>0</v>
      </c>
      <c r="AY82" s="116">
        <v>0</v>
      </c>
    </row>
    <row r="83" spans="1:52" x14ac:dyDescent="0.2">
      <c r="A83" s="115"/>
      <c r="B83" s="136">
        <v>39</v>
      </c>
      <c r="C83" s="115" t="s">
        <v>293</v>
      </c>
      <c r="D83" s="116">
        <v>0</v>
      </c>
      <c r="E83" s="116">
        <v>0</v>
      </c>
      <c r="F83" s="116">
        <v>0</v>
      </c>
      <c r="G83" s="116">
        <v>0</v>
      </c>
      <c r="H83" s="116">
        <v>0</v>
      </c>
      <c r="I83" s="116">
        <v>0</v>
      </c>
      <c r="J83" s="116">
        <v>0</v>
      </c>
      <c r="K83" s="116">
        <v>0</v>
      </c>
      <c r="L83" s="116">
        <v>0</v>
      </c>
      <c r="M83" s="116">
        <v>0</v>
      </c>
      <c r="N83" s="116">
        <v>0</v>
      </c>
      <c r="O83" s="116">
        <v>0</v>
      </c>
      <c r="P83" s="116">
        <v>0</v>
      </c>
      <c r="Q83" s="116">
        <v>0</v>
      </c>
      <c r="R83" s="116">
        <v>0</v>
      </c>
      <c r="S83" s="116">
        <v>0</v>
      </c>
      <c r="T83" s="116">
        <v>0</v>
      </c>
      <c r="U83" s="116">
        <v>0</v>
      </c>
      <c r="V83" s="116">
        <v>0</v>
      </c>
      <c r="W83" s="116">
        <v>0</v>
      </c>
      <c r="X83" s="116">
        <v>0</v>
      </c>
      <c r="Y83" s="116">
        <v>0</v>
      </c>
      <c r="Z83" s="116">
        <v>0</v>
      </c>
      <c r="AA83" s="116">
        <v>0</v>
      </c>
      <c r="AB83" s="116">
        <v>0</v>
      </c>
      <c r="AC83" s="116">
        <v>0</v>
      </c>
      <c r="AD83" s="116">
        <v>0</v>
      </c>
      <c r="AE83" s="116">
        <v>0</v>
      </c>
      <c r="AF83" s="116">
        <v>0</v>
      </c>
      <c r="AG83" s="116">
        <v>0</v>
      </c>
      <c r="AH83" s="116">
        <v>0</v>
      </c>
      <c r="AI83" s="116">
        <v>0</v>
      </c>
      <c r="AJ83" s="116">
        <v>0</v>
      </c>
      <c r="AK83" s="116">
        <v>0</v>
      </c>
      <c r="AL83" s="116">
        <v>0</v>
      </c>
      <c r="AM83" s="116">
        <v>0</v>
      </c>
      <c r="AN83" s="116">
        <v>0</v>
      </c>
      <c r="AO83" s="116">
        <v>0</v>
      </c>
      <c r="AP83" s="116">
        <v>0</v>
      </c>
      <c r="AQ83" s="116">
        <v>0</v>
      </c>
      <c r="AR83" s="116">
        <v>0</v>
      </c>
      <c r="AS83" s="116">
        <v>0</v>
      </c>
      <c r="AT83" s="116">
        <v>0</v>
      </c>
      <c r="AU83" s="116">
        <v>0</v>
      </c>
      <c r="AV83" s="116">
        <v>0</v>
      </c>
      <c r="AW83" s="116">
        <v>0</v>
      </c>
      <c r="AX83" s="116">
        <v>0</v>
      </c>
      <c r="AY83" s="116">
        <v>0</v>
      </c>
    </row>
    <row r="84" spans="1:52" x14ac:dyDescent="0.2">
      <c r="A84" s="115"/>
      <c r="B84" s="136">
        <v>40</v>
      </c>
      <c r="C84" s="115" t="s">
        <v>293</v>
      </c>
      <c r="D84" s="116">
        <v>0</v>
      </c>
      <c r="E84" s="116">
        <v>0</v>
      </c>
      <c r="F84" s="116">
        <v>0</v>
      </c>
      <c r="G84" s="116">
        <v>0</v>
      </c>
      <c r="H84" s="116">
        <v>0</v>
      </c>
      <c r="I84" s="116">
        <v>0</v>
      </c>
      <c r="J84" s="116">
        <v>0</v>
      </c>
      <c r="K84" s="116">
        <v>0</v>
      </c>
      <c r="L84" s="116">
        <v>0</v>
      </c>
      <c r="M84" s="116">
        <v>0</v>
      </c>
      <c r="N84" s="116">
        <v>0</v>
      </c>
      <c r="O84" s="116">
        <v>0</v>
      </c>
      <c r="P84" s="116">
        <v>0</v>
      </c>
      <c r="Q84" s="116">
        <v>0</v>
      </c>
      <c r="R84" s="116">
        <v>0</v>
      </c>
      <c r="S84" s="116">
        <v>0</v>
      </c>
      <c r="T84" s="116">
        <v>0</v>
      </c>
      <c r="U84" s="116">
        <v>0</v>
      </c>
      <c r="V84" s="116">
        <v>0</v>
      </c>
      <c r="W84" s="116">
        <v>0</v>
      </c>
      <c r="X84" s="116">
        <v>0</v>
      </c>
      <c r="Y84" s="116">
        <v>0</v>
      </c>
      <c r="Z84" s="116">
        <v>0</v>
      </c>
      <c r="AA84" s="116">
        <v>0</v>
      </c>
      <c r="AB84" s="116">
        <v>0</v>
      </c>
      <c r="AC84" s="116">
        <v>0</v>
      </c>
      <c r="AD84" s="116">
        <v>0</v>
      </c>
      <c r="AE84" s="116">
        <v>0</v>
      </c>
      <c r="AF84" s="116">
        <v>0</v>
      </c>
      <c r="AG84" s="116">
        <v>0</v>
      </c>
      <c r="AH84" s="116">
        <v>0</v>
      </c>
      <c r="AI84" s="116">
        <v>0</v>
      </c>
      <c r="AJ84" s="116">
        <v>0</v>
      </c>
      <c r="AK84" s="116">
        <v>0</v>
      </c>
      <c r="AL84" s="116">
        <v>0</v>
      </c>
      <c r="AM84" s="116">
        <v>0</v>
      </c>
      <c r="AN84" s="116">
        <v>0</v>
      </c>
      <c r="AO84" s="116">
        <v>0</v>
      </c>
      <c r="AP84" s="116">
        <v>0</v>
      </c>
      <c r="AQ84" s="116">
        <v>0</v>
      </c>
      <c r="AR84" s="116">
        <v>0</v>
      </c>
      <c r="AS84" s="116">
        <v>0</v>
      </c>
      <c r="AT84" s="116">
        <v>0</v>
      </c>
      <c r="AU84" s="116">
        <v>0</v>
      </c>
      <c r="AV84" s="116">
        <v>0</v>
      </c>
      <c r="AW84" s="116">
        <v>0</v>
      </c>
      <c r="AX84" s="116">
        <v>0</v>
      </c>
      <c r="AY84" s="116">
        <v>0</v>
      </c>
    </row>
    <row r="85" spans="1:52" x14ac:dyDescent="0.2">
      <c r="A85" s="115"/>
      <c r="B85" s="136">
        <v>41</v>
      </c>
      <c r="C85" s="115" t="s">
        <v>293</v>
      </c>
      <c r="D85" s="116">
        <v>0</v>
      </c>
      <c r="E85" s="116">
        <v>0</v>
      </c>
      <c r="F85" s="116">
        <v>0</v>
      </c>
      <c r="G85" s="116">
        <v>0</v>
      </c>
      <c r="H85" s="116">
        <v>0</v>
      </c>
      <c r="I85" s="116">
        <v>0</v>
      </c>
      <c r="J85" s="116">
        <v>0</v>
      </c>
      <c r="K85" s="116">
        <v>0</v>
      </c>
      <c r="L85" s="116">
        <v>0</v>
      </c>
      <c r="M85" s="116">
        <v>0</v>
      </c>
      <c r="N85" s="116">
        <v>0</v>
      </c>
      <c r="O85" s="116">
        <v>0</v>
      </c>
      <c r="P85" s="116">
        <v>0</v>
      </c>
      <c r="Q85" s="116">
        <v>0</v>
      </c>
      <c r="R85" s="116">
        <v>0</v>
      </c>
      <c r="S85" s="116">
        <v>0</v>
      </c>
      <c r="T85" s="116">
        <v>0</v>
      </c>
      <c r="U85" s="116">
        <v>0</v>
      </c>
      <c r="V85" s="116">
        <v>0</v>
      </c>
      <c r="W85" s="116">
        <v>0</v>
      </c>
      <c r="X85" s="116">
        <v>0</v>
      </c>
      <c r="Y85" s="116">
        <v>0</v>
      </c>
      <c r="Z85" s="116">
        <v>0</v>
      </c>
      <c r="AA85" s="116">
        <v>0</v>
      </c>
      <c r="AB85" s="116">
        <v>0</v>
      </c>
      <c r="AC85" s="116">
        <v>0</v>
      </c>
      <c r="AD85" s="116">
        <v>0</v>
      </c>
      <c r="AE85" s="116">
        <v>0</v>
      </c>
      <c r="AF85" s="116">
        <v>0</v>
      </c>
      <c r="AG85" s="116">
        <v>0</v>
      </c>
      <c r="AH85" s="116">
        <v>0</v>
      </c>
      <c r="AI85" s="116">
        <v>0</v>
      </c>
      <c r="AJ85" s="116">
        <v>0</v>
      </c>
      <c r="AK85" s="116">
        <v>0</v>
      </c>
      <c r="AL85" s="116">
        <v>0</v>
      </c>
      <c r="AM85" s="116">
        <v>0</v>
      </c>
      <c r="AN85" s="116">
        <v>0</v>
      </c>
      <c r="AO85" s="116">
        <v>0</v>
      </c>
      <c r="AP85" s="116">
        <v>0</v>
      </c>
      <c r="AQ85" s="116">
        <v>0</v>
      </c>
      <c r="AR85" s="116">
        <v>0</v>
      </c>
      <c r="AS85" s="116">
        <v>0</v>
      </c>
      <c r="AT85" s="116">
        <v>0</v>
      </c>
      <c r="AU85" s="116">
        <v>0</v>
      </c>
      <c r="AV85" s="116">
        <v>0</v>
      </c>
      <c r="AW85" s="116">
        <v>0</v>
      </c>
      <c r="AX85" s="116">
        <v>0</v>
      </c>
      <c r="AY85" s="116">
        <v>0</v>
      </c>
    </row>
    <row r="86" spans="1:52" x14ac:dyDescent="0.2">
      <c r="A86" s="115"/>
      <c r="B86" s="136">
        <v>42</v>
      </c>
      <c r="C86" s="115" t="s">
        <v>293</v>
      </c>
      <c r="D86" s="116">
        <v>0</v>
      </c>
      <c r="E86" s="116">
        <v>0</v>
      </c>
      <c r="F86" s="116">
        <v>0</v>
      </c>
      <c r="G86" s="116">
        <v>0</v>
      </c>
      <c r="H86" s="116">
        <v>0</v>
      </c>
      <c r="I86" s="116">
        <v>0</v>
      </c>
      <c r="J86" s="116">
        <v>0</v>
      </c>
      <c r="K86" s="116">
        <v>0</v>
      </c>
      <c r="L86" s="116">
        <v>0</v>
      </c>
      <c r="M86" s="116">
        <v>0</v>
      </c>
      <c r="N86" s="116">
        <v>0</v>
      </c>
      <c r="O86" s="116">
        <v>0</v>
      </c>
      <c r="P86" s="116">
        <v>0</v>
      </c>
      <c r="Q86" s="116">
        <v>0</v>
      </c>
      <c r="R86" s="116">
        <v>0</v>
      </c>
      <c r="S86" s="116">
        <v>0</v>
      </c>
      <c r="T86" s="116">
        <v>0</v>
      </c>
      <c r="U86" s="116">
        <v>0</v>
      </c>
      <c r="V86" s="116">
        <v>0</v>
      </c>
      <c r="W86" s="116">
        <v>0</v>
      </c>
      <c r="X86" s="116">
        <v>0</v>
      </c>
      <c r="Y86" s="116">
        <v>0</v>
      </c>
      <c r="Z86" s="116">
        <v>0</v>
      </c>
      <c r="AA86" s="116">
        <v>0</v>
      </c>
      <c r="AB86" s="116">
        <v>0</v>
      </c>
      <c r="AC86" s="116">
        <v>0</v>
      </c>
      <c r="AD86" s="116">
        <v>0</v>
      </c>
      <c r="AE86" s="116">
        <v>0</v>
      </c>
      <c r="AF86" s="116">
        <v>0</v>
      </c>
      <c r="AG86" s="116">
        <v>0</v>
      </c>
      <c r="AH86" s="116">
        <v>0</v>
      </c>
      <c r="AI86" s="116">
        <v>0</v>
      </c>
      <c r="AJ86" s="116">
        <v>0</v>
      </c>
      <c r="AK86" s="116">
        <v>0</v>
      </c>
      <c r="AL86" s="116">
        <v>0</v>
      </c>
      <c r="AM86" s="116">
        <v>0</v>
      </c>
      <c r="AN86" s="116">
        <v>0</v>
      </c>
      <c r="AO86" s="116">
        <v>0</v>
      </c>
      <c r="AP86" s="116">
        <v>0</v>
      </c>
      <c r="AQ86" s="116">
        <v>0</v>
      </c>
      <c r="AR86" s="116">
        <v>0</v>
      </c>
      <c r="AS86" s="116">
        <v>0</v>
      </c>
      <c r="AT86" s="116">
        <v>0</v>
      </c>
      <c r="AU86" s="116">
        <v>0</v>
      </c>
      <c r="AV86" s="116">
        <v>0</v>
      </c>
      <c r="AW86" s="116">
        <v>0</v>
      </c>
      <c r="AX86" s="116">
        <v>0</v>
      </c>
      <c r="AY86" s="116">
        <v>0</v>
      </c>
    </row>
    <row r="87" spans="1:52" x14ac:dyDescent="0.2">
      <c r="A87" s="115"/>
      <c r="B87" s="136">
        <v>43</v>
      </c>
      <c r="C87" s="115" t="s">
        <v>293</v>
      </c>
      <c r="D87" s="116">
        <v>0</v>
      </c>
      <c r="E87" s="116">
        <v>0</v>
      </c>
      <c r="F87" s="116">
        <v>0</v>
      </c>
      <c r="G87" s="116">
        <v>0</v>
      </c>
      <c r="H87" s="116">
        <v>0</v>
      </c>
      <c r="I87" s="116">
        <v>0</v>
      </c>
      <c r="J87" s="116">
        <v>0</v>
      </c>
      <c r="K87" s="116">
        <v>0</v>
      </c>
      <c r="L87" s="116">
        <v>0</v>
      </c>
      <c r="M87" s="116">
        <v>0</v>
      </c>
      <c r="N87" s="116">
        <v>0</v>
      </c>
      <c r="O87" s="116">
        <v>0</v>
      </c>
      <c r="P87" s="116">
        <v>0</v>
      </c>
      <c r="Q87" s="116">
        <v>0</v>
      </c>
      <c r="R87" s="116">
        <v>0</v>
      </c>
      <c r="S87" s="116">
        <v>0</v>
      </c>
      <c r="T87" s="116">
        <v>0</v>
      </c>
      <c r="U87" s="116">
        <v>0</v>
      </c>
      <c r="V87" s="116">
        <v>0</v>
      </c>
      <c r="W87" s="116">
        <v>0</v>
      </c>
      <c r="X87" s="116">
        <v>0</v>
      </c>
      <c r="Y87" s="116">
        <v>0</v>
      </c>
      <c r="Z87" s="116">
        <v>0</v>
      </c>
      <c r="AA87" s="116">
        <v>0</v>
      </c>
      <c r="AB87" s="116">
        <v>0</v>
      </c>
      <c r="AC87" s="116">
        <v>0</v>
      </c>
      <c r="AD87" s="116">
        <v>0</v>
      </c>
      <c r="AE87" s="116">
        <v>0</v>
      </c>
      <c r="AF87" s="116">
        <v>0</v>
      </c>
      <c r="AG87" s="116">
        <v>0</v>
      </c>
      <c r="AH87" s="116">
        <v>0</v>
      </c>
      <c r="AI87" s="116">
        <v>0</v>
      </c>
      <c r="AJ87" s="116">
        <v>0</v>
      </c>
      <c r="AK87" s="116">
        <v>0</v>
      </c>
      <c r="AL87" s="116">
        <v>0</v>
      </c>
      <c r="AM87" s="116">
        <v>0</v>
      </c>
      <c r="AN87" s="116">
        <v>0</v>
      </c>
      <c r="AO87" s="116">
        <v>0</v>
      </c>
      <c r="AP87" s="116">
        <v>0</v>
      </c>
      <c r="AQ87" s="116">
        <v>0</v>
      </c>
      <c r="AR87" s="116">
        <v>0</v>
      </c>
      <c r="AS87" s="116">
        <v>0</v>
      </c>
      <c r="AT87" s="116">
        <v>0</v>
      </c>
      <c r="AU87" s="116">
        <v>0</v>
      </c>
      <c r="AV87" s="116">
        <v>0</v>
      </c>
      <c r="AW87" s="116">
        <v>0</v>
      </c>
      <c r="AX87" s="116">
        <v>0</v>
      </c>
      <c r="AY87" s="116">
        <v>0</v>
      </c>
    </row>
    <row r="88" spans="1:52" x14ac:dyDescent="0.2">
      <c r="A88" s="115"/>
      <c r="B88" s="136">
        <v>44</v>
      </c>
      <c r="C88" s="115" t="s">
        <v>293</v>
      </c>
      <c r="D88" s="116">
        <v>0</v>
      </c>
      <c r="E88" s="116">
        <v>0</v>
      </c>
      <c r="F88" s="116">
        <v>0</v>
      </c>
      <c r="G88" s="116">
        <v>0</v>
      </c>
      <c r="H88" s="116">
        <v>0</v>
      </c>
      <c r="I88" s="116">
        <v>0</v>
      </c>
      <c r="J88" s="116">
        <v>0</v>
      </c>
      <c r="K88" s="116">
        <v>0</v>
      </c>
      <c r="L88" s="116">
        <v>0</v>
      </c>
      <c r="M88" s="116">
        <v>0</v>
      </c>
      <c r="N88" s="116">
        <v>0</v>
      </c>
      <c r="O88" s="116">
        <v>0</v>
      </c>
      <c r="P88" s="116">
        <v>0</v>
      </c>
      <c r="Q88" s="116">
        <v>0</v>
      </c>
      <c r="R88" s="116">
        <v>0</v>
      </c>
      <c r="S88" s="116">
        <v>0</v>
      </c>
      <c r="T88" s="116">
        <v>0</v>
      </c>
      <c r="U88" s="116">
        <v>0</v>
      </c>
      <c r="V88" s="116">
        <v>0</v>
      </c>
      <c r="W88" s="116">
        <v>0</v>
      </c>
      <c r="X88" s="116">
        <v>0</v>
      </c>
      <c r="Y88" s="116">
        <v>0</v>
      </c>
      <c r="Z88" s="116">
        <v>0</v>
      </c>
      <c r="AA88" s="116">
        <v>0</v>
      </c>
      <c r="AB88" s="116">
        <v>0</v>
      </c>
      <c r="AC88" s="116">
        <v>0</v>
      </c>
      <c r="AD88" s="116">
        <v>0</v>
      </c>
      <c r="AE88" s="116">
        <v>0</v>
      </c>
      <c r="AF88" s="116">
        <v>0</v>
      </c>
      <c r="AG88" s="116">
        <v>0</v>
      </c>
      <c r="AH88" s="116">
        <v>0</v>
      </c>
      <c r="AI88" s="116">
        <v>0</v>
      </c>
      <c r="AJ88" s="116">
        <v>0</v>
      </c>
      <c r="AK88" s="116">
        <v>0</v>
      </c>
      <c r="AL88" s="116">
        <v>0</v>
      </c>
      <c r="AM88" s="116">
        <v>0</v>
      </c>
      <c r="AN88" s="116">
        <v>0</v>
      </c>
      <c r="AO88" s="116">
        <v>0</v>
      </c>
      <c r="AP88" s="116">
        <v>0</v>
      </c>
      <c r="AQ88" s="116">
        <v>0</v>
      </c>
      <c r="AR88" s="116">
        <v>0</v>
      </c>
      <c r="AS88" s="116">
        <v>0</v>
      </c>
      <c r="AT88" s="116">
        <v>0</v>
      </c>
      <c r="AU88" s="116">
        <v>0</v>
      </c>
      <c r="AV88" s="116">
        <v>0</v>
      </c>
      <c r="AW88" s="116">
        <v>0</v>
      </c>
      <c r="AX88" s="116">
        <v>0</v>
      </c>
      <c r="AY88" s="116">
        <v>0</v>
      </c>
    </row>
    <row r="89" spans="1:52" x14ac:dyDescent="0.2">
      <c r="A89" s="115"/>
      <c r="B89" s="136">
        <v>45</v>
      </c>
      <c r="C89" s="115" t="s">
        <v>293</v>
      </c>
      <c r="D89" s="116">
        <v>0</v>
      </c>
      <c r="E89" s="116">
        <v>0</v>
      </c>
      <c r="F89" s="116">
        <v>0</v>
      </c>
      <c r="G89" s="116">
        <v>0</v>
      </c>
      <c r="H89" s="116">
        <v>0</v>
      </c>
      <c r="I89" s="116">
        <v>0</v>
      </c>
      <c r="J89" s="116">
        <v>0</v>
      </c>
      <c r="K89" s="116">
        <v>0</v>
      </c>
      <c r="L89" s="116">
        <v>0</v>
      </c>
      <c r="M89" s="116">
        <v>0</v>
      </c>
      <c r="N89" s="116">
        <v>0</v>
      </c>
      <c r="O89" s="116">
        <v>0</v>
      </c>
      <c r="P89" s="116">
        <v>0</v>
      </c>
      <c r="Q89" s="116">
        <v>0</v>
      </c>
      <c r="R89" s="116">
        <v>0</v>
      </c>
      <c r="S89" s="116">
        <v>0</v>
      </c>
      <c r="T89" s="116">
        <v>0</v>
      </c>
      <c r="U89" s="116">
        <v>0</v>
      </c>
      <c r="V89" s="116">
        <v>0</v>
      </c>
      <c r="W89" s="116">
        <v>0</v>
      </c>
      <c r="X89" s="116">
        <v>0</v>
      </c>
      <c r="Y89" s="116">
        <v>0</v>
      </c>
      <c r="Z89" s="116">
        <v>0</v>
      </c>
      <c r="AA89" s="116">
        <v>0</v>
      </c>
      <c r="AB89" s="116">
        <v>0</v>
      </c>
      <c r="AC89" s="116">
        <v>0</v>
      </c>
      <c r="AD89" s="116">
        <v>0</v>
      </c>
      <c r="AE89" s="116">
        <v>0</v>
      </c>
      <c r="AF89" s="116">
        <v>0</v>
      </c>
      <c r="AG89" s="116">
        <v>0</v>
      </c>
      <c r="AH89" s="116">
        <v>0</v>
      </c>
      <c r="AI89" s="116">
        <v>0</v>
      </c>
      <c r="AJ89" s="116">
        <v>0</v>
      </c>
      <c r="AK89" s="116">
        <v>0</v>
      </c>
      <c r="AL89" s="116">
        <v>0</v>
      </c>
      <c r="AM89" s="116">
        <v>0</v>
      </c>
      <c r="AN89" s="116">
        <v>0</v>
      </c>
      <c r="AO89" s="116">
        <v>0</v>
      </c>
      <c r="AP89" s="116">
        <v>0</v>
      </c>
      <c r="AQ89" s="116">
        <v>0</v>
      </c>
      <c r="AR89" s="116">
        <v>0</v>
      </c>
      <c r="AS89" s="116">
        <v>0</v>
      </c>
      <c r="AT89" s="116">
        <v>0</v>
      </c>
      <c r="AU89" s="116">
        <v>0</v>
      </c>
      <c r="AV89" s="116">
        <v>0</v>
      </c>
      <c r="AW89" s="116">
        <v>0</v>
      </c>
      <c r="AX89" s="116">
        <v>0</v>
      </c>
      <c r="AY89" s="116">
        <v>0</v>
      </c>
    </row>
    <row r="90" spans="1:52" x14ac:dyDescent="0.2">
      <c r="A90" s="115"/>
      <c r="B90" s="136">
        <v>46</v>
      </c>
      <c r="C90" s="115" t="s">
        <v>293</v>
      </c>
      <c r="D90" s="116">
        <v>0</v>
      </c>
      <c r="E90" s="116">
        <v>0</v>
      </c>
      <c r="F90" s="116">
        <v>0</v>
      </c>
      <c r="G90" s="116">
        <v>0</v>
      </c>
      <c r="H90" s="116">
        <v>0</v>
      </c>
      <c r="I90" s="116">
        <v>0</v>
      </c>
      <c r="J90" s="116">
        <v>0</v>
      </c>
      <c r="K90" s="116">
        <v>0</v>
      </c>
      <c r="L90" s="116">
        <v>0</v>
      </c>
      <c r="M90" s="116">
        <v>0</v>
      </c>
      <c r="N90" s="116">
        <v>0</v>
      </c>
      <c r="O90" s="116">
        <v>0</v>
      </c>
      <c r="P90" s="116">
        <v>0</v>
      </c>
      <c r="Q90" s="116">
        <v>0</v>
      </c>
      <c r="R90" s="116">
        <v>0</v>
      </c>
      <c r="S90" s="116">
        <v>0</v>
      </c>
      <c r="T90" s="116">
        <v>0</v>
      </c>
      <c r="U90" s="116">
        <v>0</v>
      </c>
      <c r="V90" s="116">
        <v>0</v>
      </c>
      <c r="W90" s="116">
        <v>0</v>
      </c>
      <c r="X90" s="116">
        <v>0</v>
      </c>
      <c r="Y90" s="116">
        <v>0</v>
      </c>
      <c r="Z90" s="116">
        <v>0</v>
      </c>
      <c r="AA90" s="116">
        <v>0</v>
      </c>
      <c r="AB90" s="116">
        <v>0</v>
      </c>
      <c r="AC90" s="116">
        <v>0</v>
      </c>
      <c r="AD90" s="116">
        <v>0</v>
      </c>
      <c r="AE90" s="116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0</v>
      </c>
      <c r="AM90" s="116">
        <v>0</v>
      </c>
      <c r="AN90" s="116">
        <v>0</v>
      </c>
      <c r="AO90" s="116">
        <v>0</v>
      </c>
      <c r="AP90" s="116">
        <v>0</v>
      </c>
      <c r="AQ90" s="116">
        <v>0</v>
      </c>
      <c r="AR90" s="116">
        <v>0</v>
      </c>
      <c r="AS90" s="116">
        <v>0</v>
      </c>
      <c r="AT90" s="116">
        <v>0</v>
      </c>
      <c r="AU90" s="116">
        <v>0</v>
      </c>
      <c r="AV90" s="116">
        <v>0</v>
      </c>
      <c r="AW90" s="116">
        <v>0</v>
      </c>
      <c r="AX90" s="116">
        <v>0</v>
      </c>
      <c r="AY90" s="116">
        <v>0</v>
      </c>
    </row>
    <row r="91" spans="1:52" x14ac:dyDescent="0.2">
      <c r="A91" s="115"/>
      <c r="B91" s="136">
        <v>47</v>
      </c>
      <c r="C91" s="115" t="s">
        <v>293</v>
      </c>
      <c r="D91" s="116">
        <v>0</v>
      </c>
      <c r="E91" s="116">
        <v>0</v>
      </c>
      <c r="F91" s="116">
        <v>0</v>
      </c>
      <c r="G91" s="116">
        <v>0</v>
      </c>
      <c r="H91" s="116">
        <v>0</v>
      </c>
      <c r="I91" s="116">
        <v>0</v>
      </c>
      <c r="J91" s="116">
        <v>0</v>
      </c>
      <c r="K91" s="116">
        <v>0</v>
      </c>
      <c r="L91" s="116">
        <v>0</v>
      </c>
      <c r="M91" s="116">
        <v>0</v>
      </c>
      <c r="N91" s="116">
        <v>0</v>
      </c>
      <c r="O91" s="116">
        <v>0</v>
      </c>
      <c r="P91" s="116">
        <v>0</v>
      </c>
      <c r="Q91" s="116">
        <v>0</v>
      </c>
      <c r="R91" s="116">
        <v>0</v>
      </c>
      <c r="S91" s="116">
        <v>0</v>
      </c>
      <c r="T91" s="116">
        <v>0</v>
      </c>
      <c r="U91" s="116">
        <v>0</v>
      </c>
      <c r="V91" s="116">
        <v>0</v>
      </c>
      <c r="W91" s="116">
        <v>0</v>
      </c>
      <c r="X91" s="116">
        <v>0</v>
      </c>
      <c r="Y91" s="116">
        <v>0</v>
      </c>
      <c r="Z91" s="116">
        <v>0</v>
      </c>
      <c r="AA91" s="116">
        <v>0</v>
      </c>
      <c r="AB91" s="116">
        <v>0</v>
      </c>
      <c r="AC91" s="116">
        <v>0</v>
      </c>
      <c r="AD91" s="116">
        <v>0</v>
      </c>
      <c r="AE91" s="116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>
        <v>0</v>
      </c>
      <c r="AS91" s="116">
        <v>0</v>
      </c>
      <c r="AT91" s="116">
        <v>0</v>
      </c>
      <c r="AU91" s="116">
        <v>0</v>
      </c>
      <c r="AV91" s="116">
        <v>0</v>
      </c>
      <c r="AW91" s="116">
        <v>0</v>
      </c>
      <c r="AX91" s="116">
        <v>0</v>
      </c>
      <c r="AY91" s="116">
        <v>0</v>
      </c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1160100.2838529572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0</v>
      </c>
      <c r="D95" s="116">
        <v>0</v>
      </c>
      <c r="E95" s="116">
        <v>0</v>
      </c>
      <c r="F95" s="116">
        <v>0</v>
      </c>
      <c r="G95" s="116">
        <v>0</v>
      </c>
      <c r="H95" s="116">
        <v>0</v>
      </c>
      <c r="I95" s="116">
        <v>0</v>
      </c>
      <c r="J95" s="116">
        <v>0</v>
      </c>
      <c r="K95" s="116">
        <v>0</v>
      </c>
      <c r="L95" s="116">
        <v>0</v>
      </c>
      <c r="M95" s="116">
        <v>0</v>
      </c>
      <c r="N95" s="116">
        <v>0</v>
      </c>
      <c r="O95" s="116">
        <v>0</v>
      </c>
      <c r="P95" s="116">
        <v>0</v>
      </c>
      <c r="Q95" s="116">
        <v>0</v>
      </c>
      <c r="R95" s="116">
        <v>0</v>
      </c>
      <c r="S95" s="116">
        <v>0</v>
      </c>
      <c r="T95" s="116">
        <v>0</v>
      </c>
      <c r="U95" s="116">
        <v>0</v>
      </c>
      <c r="V95" s="116">
        <v>0</v>
      </c>
      <c r="W95" s="116">
        <v>0</v>
      </c>
      <c r="X95" s="116">
        <v>0</v>
      </c>
      <c r="Y95" s="116">
        <v>0</v>
      </c>
      <c r="Z95" s="116">
        <v>0</v>
      </c>
      <c r="AA95" s="116">
        <v>0</v>
      </c>
      <c r="AB95" s="116">
        <v>0</v>
      </c>
      <c r="AC95" s="116">
        <v>0</v>
      </c>
      <c r="AD95" s="116">
        <v>0</v>
      </c>
      <c r="AE95" s="116">
        <v>0</v>
      </c>
      <c r="AF95" s="116">
        <v>0</v>
      </c>
      <c r="AG95" s="116">
        <v>0</v>
      </c>
      <c r="AH95" s="116">
        <v>0</v>
      </c>
      <c r="AI95" s="116">
        <v>0</v>
      </c>
      <c r="AJ95" s="116">
        <v>0</v>
      </c>
      <c r="AK95" s="116">
        <v>0</v>
      </c>
      <c r="AL95" s="116">
        <v>0</v>
      </c>
      <c r="AM95" s="116">
        <v>0</v>
      </c>
      <c r="AN95" s="116">
        <v>0</v>
      </c>
      <c r="AO95" s="116">
        <v>0</v>
      </c>
      <c r="AP95" s="116">
        <v>0</v>
      </c>
      <c r="AQ95" s="116">
        <v>0</v>
      </c>
      <c r="AR95" s="116">
        <v>0</v>
      </c>
      <c r="AS95" s="116">
        <v>0</v>
      </c>
      <c r="AT95" s="116">
        <v>0</v>
      </c>
      <c r="AU95" s="116">
        <v>0</v>
      </c>
      <c r="AV95" s="116">
        <v>0</v>
      </c>
      <c r="AW95" s="116">
        <v>0</v>
      </c>
      <c r="AX95" s="116">
        <v>0</v>
      </c>
      <c r="AY95" s="116">
        <v>0</v>
      </c>
    </row>
    <row r="96" spans="1:52" x14ac:dyDescent="0.2">
      <c r="A96" s="115"/>
      <c r="B96" s="126">
        <v>2</v>
      </c>
      <c r="C96" s="116">
        <v>0</v>
      </c>
      <c r="D96" s="116">
        <v>0</v>
      </c>
      <c r="E96" s="116">
        <v>0</v>
      </c>
      <c r="F96" s="116">
        <v>0</v>
      </c>
      <c r="G96" s="116">
        <v>0</v>
      </c>
      <c r="H96" s="116">
        <v>0</v>
      </c>
      <c r="I96" s="116">
        <v>0</v>
      </c>
      <c r="J96" s="116">
        <v>0</v>
      </c>
      <c r="K96" s="116">
        <v>0</v>
      </c>
      <c r="L96" s="116">
        <v>0</v>
      </c>
      <c r="M96" s="116">
        <v>0</v>
      </c>
      <c r="N96" s="116">
        <v>0</v>
      </c>
      <c r="O96" s="116">
        <v>0</v>
      </c>
      <c r="P96" s="116">
        <v>0</v>
      </c>
      <c r="Q96" s="116">
        <v>0</v>
      </c>
      <c r="R96" s="116">
        <v>0</v>
      </c>
      <c r="S96" s="116">
        <v>0</v>
      </c>
      <c r="T96" s="116">
        <v>0</v>
      </c>
      <c r="U96" s="116">
        <v>0</v>
      </c>
      <c r="V96" s="116">
        <v>0</v>
      </c>
      <c r="W96" s="116">
        <v>0</v>
      </c>
      <c r="X96" s="116">
        <v>0</v>
      </c>
      <c r="Y96" s="116">
        <v>0</v>
      </c>
      <c r="Z96" s="116">
        <v>0</v>
      </c>
      <c r="AA96" s="116">
        <v>0</v>
      </c>
      <c r="AB96" s="116">
        <v>0</v>
      </c>
      <c r="AC96" s="116">
        <v>0</v>
      </c>
      <c r="AD96" s="116">
        <v>0</v>
      </c>
      <c r="AE96" s="116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116">
        <v>0</v>
      </c>
      <c r="AO96" s="116">
        <v>0</v>
      </c>
      <c r="AP96" s="116">
        <v>0</v>
      </c>
      <c r="AQ96" s="116">
        <v>0</v>
      </c>
      <c r="AR96" s="116">
        <v>0</v>
      </c>
      <c r="AS96" s="116">
        <v>0</v>
      </c>
      <c r="AT96" s="116">
        <v>0</v>
      </c>
      <c r="AU96" s="116">
        <v>0</v>
      </c>
      <c r="AV96" s="116">
        <v>0</v>
      </c>
      <c r="AW96" s="116">
        <v>0</v>
      </c>
      <c r="AX96" s="116">
        <v>0</v>
      </c>
      <c r="AY96" s="116">
        <v>0</v>
      </c>
    </row>
    <row r="97" spans="1:52" x14ac:dyDescent="0.2">
      <c r="A97" s="115"/>
      <c r="B97" s="133">
        <v>3</v>
      </c>
      <c r="C97" s="116">
        <v>0</v>
      </c>
      <c r="D97" s="116">
        <v>0</v>
      </c>
      <c r="E97" s="116">
        <v>0</v>
      </c>
      <c r="F97" s="116">
        <v>0</v>
      </c>
      <c r="G97" s="116">
        <v>0</v>
      </c>
      <c r="H97" s="116">
        <v>0</v>
      </c>
      <c r="I97" s="116">
        <v>0</v>
      </c>
      <c r="J97" s="116">
        <v>0</v>
      </c>
      <c r="K97" s="116">
        <v>0</v>
      </c>
      <c r="L97" s="116">
        <v>0</v>
      </c>
      <c r="M97" s="116">
        <v>0</v>
      </c>
      <c r="N97" s="116">
        <v>0</v>
      </c>
      <c r="O97" s="116">
        <v>0</v>
      </c>
      <c r="P97" s="116">
        <v>0</v>
      </c>
      <c r="Q97" s="116">
        <v>0</v>
      </c>
      <c r="R97" s="116">
        <v>0</v>
      </c>
      <c r="S97" s="116">
        <v>0</v>
      </c>
      <c r="T97" s="116">
        <v>0</v>
      </c>
      <c r="U97" s="116">
        <v>0</v>
      </c>
      <c r="V97" s="116">
        <v>0</v>
      </c>
      <c r="W97" s="116">
        <v>0</v>
      </c>
      <c r="X97" s="116">
        <v>0</v>
      </c>
      <c r="Y97" s="116">
        <v>0</v>
      </c>
      <c r="Z97" s="116">
        <v>0</v>
      </c>
      <c r="AA97" s="116">
        <v>0</v>
      </c>
      <c r="AB97" s="116">
        <v>0</v>
      </c>
      <c r="AC97" s="116">
        <v>0</v>
      </c>
      <c r="AD97" s="116">
        <v>0</v>
      </c>
      <c r="AE97" s="116">
        <v>0</v>
      </c>
      <c r="AF97" s="116">
        <v>0</v>
      </c>
      <c r="AG97" s="116">
        <v>0</v>
      </c>
      <c r="AH97" s="116">
        <v>0</v>
      </c>
      <c r="AI97" s="116">
        <v>0</v>
      </c>
      <c r="AJ97" s="116">
        <v>0</v>
      </c>
      <c r="AK97" s="116">
        <v>0</v>
      </c>
      <c r="AL97" s="116">
        <v>0</v>
      </c>
      <c r="AM97" s="116">
        <v>0</v>
      </c>
      <c r="AN97" s="116">
        <v>0</v>
      </c>
      <c r="AO97" s="116">
        <v>0</v>
      </c>
      <c r="AP97" s="116">
        <v>0</v>
      </c>
      <c r="AQ97" s="116">
        <v>0</v>
      </c>
      <c r="AR97" s="116">
        <v>0</v>
      </c>
      <c r="AS97" s="116">
        <v>0</v>
      </c>
      <c r="AT97" s="116">
        <v>0</v>
      </c>
      <c r="AU97" s="116">
        <v>0</v>
      </c>
      <c r="AV97" s="116">
        <v>0</v>
      </c>
      <c r="AW97" s="116">
        <v>0</v>
      </c>
      <c r="AX97" s="116">
        <v>0</v>
      </c>
      <c r="AY97" s="116">
        <v>0</v>
      </c>
    </row>
    <row r="98" spans="1:52" x14ac:dyDescent="0.2">
      <c r="A98" s="115"/>
      <c r="B98" s="136">
        <v>4</v>
      </c>
      <c r="C98" s="112">
        <v>0</v>
      </c>
      <c r="D98" s="116">
        <v>0</v>
      </c>
      <c r="E98" s="116">
        <v>0</v>
      </c>
      <c r="F98" s="116">
        <v>0</v>
      </c>
      <c r="G98" s="116">
        <v>0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296</v>
      </c>
      <c r="C99" s="131">
        <v>0</v>
      </c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0</v>
      </c>
    </row>
    <row r="100" spans="1:52" x14ac:dyDescent="0.2">
      <c r="A100" s="137" t="s">
        <v>133</v>
      </c>
      <c r="B100" s="125">
        <v>1</v>
      </c>
      <c r="C100" s="112">
        <v>0</v>
      </c>
      <c r="D100" s="112">
        <v>0</v>
      </c>
      <c r="E100" s="112">
        <v>0</v>
      </c>
      <c r="F100" s="112">
        <v>0</v>
      </c>
      <c r="G100" s="112">
        <v>0</v>
      </c>
      <c r="H100" s="112">
        <v>0</v>
      </c>
      <c r="I100" s="112">
        <v>0</v>
      </c>
      <c r="J100" s="112">
        <v>0</v>
      </c>
      <c r="K100" s="112">
        <v>0</v>
      </c>
      <c r="L100" s="112">
        <v>0</v>
      </c>
      <c r="M100" s="112">
        <v>0</v>
      </c>
      <c r="N100" s="112">
        <v>0</v>
      </c>
      <c r="O100" s="112">
        <v>0</v>
      </c>
      <c r="P100" s="112">
        <v>0</v>
      </c>
      <c r="Q100" s="112">
        <v>0</v>
      </c>
      <c r="R100" s="112">
        <v>0</v>
      </c>
      <c r="S100" s="112">
        <v>0</v>
      </c>
      <c r="T100" s="112">
        <v>0</v>
      </c>
      <c r="U100" s="112">
        <v>0</v>
      </c>
      <c r="V100" s="112">
        <v>0</v>
      </c>
      <c r="W100" s="112">
        <v>0</v>
      </c>
      <c r="X100" s="112">
        <v>0</v>
      </c>
      <c r="Y100" s="112">
        <v>0</v>
      </c>
      <c r="Z100" s="112">
        <v>0</v>
      </c>
      <c r="AA100" s="112">
        <v>0</v>
      </c>
      <c r="AB100" s="112">
        <v>0</v>
      </c>
      <c r="AC100" s="112">
        <v>0</v>
      </c>
      <c r="AD100" s="112">
        <v>0</v>
      </c>
      <c r="AE100" s="112">
        <v>0</v>
      </c>
      <c r="AF100" s="112">
        <v>0</v>
      </c>
      <c r="AG100" s="112">
        <v>0</v>
      </c>
      <c r="AH100" s="112">
        <v>0</v>
      </c>
      <c r="AI100" s="112">
        <v>0</v>
      </c>
      <c r="AJ100" s="112">
        <v>0</v>
      </c>
      <c r="AK100" s="112">
        <v>0</v>
      </c>
      <c r="AL100" s="112">
        <v>0</v>
      </c>
      <c r="AM100" s="112">
        <v>0</v>
      </c>
      <c r="AN100" s="112">
        <v>0</v>
      </c>
      <c r="AO100" s="112">
        <v>0</v>
      </c>
      <c r="AP100" s="112">
        <v>0</v>
      </c>
      <c r="AQ100" s="112">
        <v>0</v>
      </c>
      <c r="AR100" s="112">
        <v>0</v>
      </c>
      <c r="AS100" s="112">
        <v>0</v>
      </c>
      <c r="AT100" s="112">
        <v>0</v>
      </c>
      <c r="AU100" s="112">
        <v>0</v>
      </c>
      <c r="AV100" s="112">
        <v>0</v>
      </c>
      <c r="AW100" s="112">
        <v>0</v>
      </c>
      <c r="AX100" s="112">
        <v>0</v>
      </c>
      <c r="AY100" s="112">
        <v>0</v>
      </c>
    </row>
    <row r="101" spans="1:52" x14ac:dyDescent="0.2">
      <c r="A101" s="115"/>
      <c r="B101" s="125">
        <v>2</v>
      </c>
      <c r="C101" s="112">
        <v>0</v>
      </c>
      <c r="D101" s="112">
        <v>0</v>
      </c>
      <c r="E101" s="112">
        <v>0</v>
      </c>
      <c r="F101" s="112">
        <v>0</v>
      </c>
      <c r="G101" s="112">
        <v>0</v>
      </c>
      <c r="H101" s="112">
        <v>0</v>
      </c>
      <c r="I101" s="112">
        <v>0</v>
      </c>
      <c r="J101" s="112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0</v>
      </c>
      <c r="P101" s="112">
        <v>0</v>
      </c>
      <c r="Q101" s="112">
        <v>0</v>
      </c>
      <c r="R101" s="112">
        <v>0</v>
      </c>
      <c r="S101" s="112">
        <v>0</v>
      </c>
      <c r="T101" s="112">
        <v>0</v>
      </c>
      <c r="U101" s="112">
        <v>0</v>
      </c>
      <c r="V101" s="112">
        <v>0</v>
      </c>
      <c r="W101" s="112">
        <v>0</v>
      </c>
      <c r="X101" s="112">
        <v>0</v>
      </c>
      <c r="Y101" s="112">
        <v>0</v>
      </c>
      <c r="Z101" s="112">
        <v>0</v>
      </c>
      <c r="AA101" s="112">
        <v>0</v>
      </c>
      <c r="AB101" s="112">
        <v>0</v>
      </c>
      <c r="AC101" s="112">
        <v>0</v>
      </c>
      <c r="AD101" s="112">
        <v>0</v>
      </c>
      <c r="AE101" s="112">
        <v>0</v>
      </c>
      <c r="AF101" s="112">
        <v>0</v>
      </c>
      <c r="AG101" s="112">
        <v>0</v>
      </c>
      <c r="AH101" s="112">
        <v>0</v>
      </c>
      <c r="AI101" s="112">
        <v>0</v>
      </c>
      <c r="AJ101" s="112">
        <v>0</v>
      </c>
      <c r="AK101" s="112">
        <v>0</v>
      </c>
      <c r="AL101" s="112">
        <v>0</v>
      </c>
      <c r="AM101" s="112">
        <v>0</v>
      </c>
      <c r="AN101" s="112">
        <v>0</v>
      </c>
      <c r="AO101" s="112">
        <v>0</v>
      </c>
      <c r="AP101" s="112">
        <v>0</v>
      </c>
      <c r="AQ101" s="112">
        <v>0</v>
      </c>
      <c r="AR101" s="112">
        <v>0</v>
      </c>
      <c r="AS101" s="112">
        <v>0</v>
      </c>
      <c r="AT101" s="112">
        <v>0</v>
      </c>
      <c r="AU101" s="112">
        <v>0</v>
      </c>
      <c r="AV101" s="112">
        <v>0</v>
      </c>
      <c r="AW101" s="112">
        <v>0</v>
      </c>
      <c r="AX101" s="112">
        <v>0</v>
      </c>
      <c r="AY101" s="112">
        <v>0</v>
      </c>
    </row>
    <row r="102" spans="1:52" x14ac:dyDescent="0.2">
      <c r="A102" s="115"/>
      <c r="B102" s="126">
        <v>3</v>
      </c>
      <c r="C102" s="112">
        <v>0</v>
      </c>
      <c r="D102" s="112">
        <v>0</v>
      </c>
      <c r="E102" s="112">
        <v>0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15088.146537426213</v>
      </c>
      <c r="D109" s="112">
        <v>6909.2651078651652</v>
      </c>
      <c r="E109" s="112">
        <v>2018.4508384444598</v>
      </c>
      <c r="F109" s="112">
        <v>0</v>
      </c>
      <c r="G109" s="112">
        <v>0</v>
      </c>
      <c r="H109" s="112">
        <v>778.91682134038274</v>
      </c>
      <c r="I109" s="112">
        <v>2518.4091252145518</v>
      </c>
      <c r="J109" s="112">
        <v>3873.8248259424181</v>
      </c>
      <c r="K109" s="112">
        <v>4326.5586174769232</v>
      </c>
      <c r="L109" s="112">
        <v>4637.3319082165181</v>
      </c>
      <c r="M109" s="112">
        <v>3353.2770696465486</v>
      </c>
      <c r="N109" s="112">
        <v>2662.1740518965962</v>
      </c>
      <c r="O109" s="112">
        <v>2256.6803422230842</v>
      </c>
      <c r="P109" s="112">
        <v>0</v>
      </c>
      <c r="Q109" s="112">
        <v>0</v>
      </c>
      <c r="R109" s="112">
        <v>0</v>
      </c>
      <c r="S109" s="112">
        <v>0</v>
      </c>
      <c r="T109" s="112">
        <v>1822.91682134039</v>
      </c>
      <c r="U109" s="112">
        <v>2403.8319859866278</v>
      </c>
      <c r="V109" s="112">
        <v>2969.587976441504</v>
      </c>
      <c r="W109" s="112">
        <v>3040.7127794540866</v>
      </c>
      <c r="X109" s="112">
        <v>3361.2091481117277</v>
      </c>
      <c r="Y109" s="112">
        <v>3258.690343824881</v>
      </c>
      <c r="Z109" s="112">
        <v>3261.3191551973723</v>
      </c>
      <c r="AA109" s="112">
        <v>3356.8159229909361</v>
      </c>
      <c r="AB109" s="112">
        <v>505.79086984262176</v>
      </c>
      <c r="AC109" s="112">
        <v>0</v>
      </c>
      <c r="AD109" s="112">
        <v>0</v>
      </c>
      <c r="AE109" s="112">
        <v>0</v>
      </c>
      <c r="AF109" s="112">
        <v>720.91682134040093</v>
      </c>
      <c r="AG109" s="112">
        <v>1963.385632949452</v>
      </c>
      <c r="AH109" s="112">
        <v>2762.8107913945969</v>
      </c>
      <c r="AI109" s="112">
        <v>2982.9799385747865</v>
      </c>
      <c r="AJ109" s="112">
        <v>3352.3377683837825</v>
      </c>
      <c r="AK109" s="112">
        <v>3087.6392414140755</v>
      </c>
      <c r="AL109" s="112">
        <v>3213.9276938628427</v>
      </c>
      <c r="AM109" s="112">
        <v>3225.8326202872558</v>
      </c>
      <c r="AN109" s="112">
        <v>564.21283391685938</v>
      </c>
      <c r="AO109" s="112">
        <v>0</v>
      </c>
      <c r="AP109" s="112">
        <v>0</v>
      </c>
      <c r="AQ109" s="112">
        <v>0</v>
      </c>
      <c r="AR109" s="112">
        <v>2044.9168213404009</v>
      </c>
      <c r="AS109" s="112">
        <v>2904.2322494841428</v>
      </c>
      <c r="AT109" s="112">
        <v>3422.5011528392897</v>
      </c>
      <c r="AU109" s="112">
        <v>3870.5882066530648</v>
      </c>
      <c r="AV109" s="112">
        <v>4020.7157817516272</v>
      </c>
      <c r="AW109" s="112">
        <v>3207.1940027007331</v>
      </c>
      <c r="AX109" s="112">
        <v>2874.9986548043526</v>
      </c>
      <c r="AY109" s="112">
        <v>2859.8564047739601</v>
      </c>
    </row>
    <row r="110" spans="1:52" x14ac:dyDescent="0.2">
      <c r="A110" s="115"/>
      <c r="B110" s="125">
        <v>2</v>
      </c>
      <c r="C110" s="112">
        <v>0</v>
      </c>
      <c r="D110" s="112">
        <v>0</v>
      </c>
      <c r="E110" s="112">
        <v>0</v>
      </c>
      <c r="F110" s="112">
        <v>0</v>
      </c>
      <c r="G110" s="112">
        <v>0</v>
      </c>
      <c r="H110" s="112">
        <v>0</v>
      </c>
      <c r="I110" s="112">
        <v>0</v>
      </c>
      <c r="J110" s="112">
        <v>0</v>
      </c>
      <c r="K110" s="112">
        <v>0</v>
      </c>
      <c r="L110" s="112">
        <v>0</v>
      </c>
      <c r="M110" s="112">
        <v>0</v>
      </c>
      <c r="N110" s="112">
        <v>0</v>
      </c>
      <c r="O110" s="112">
        <v>0</v>
      </c>
      <c r="P110" s="112">
        <v>0</v>
      </c>
      <c r="Q110" s="112">
        <v>0</v>
      </c>
      <c r="R110" s="112">
        <v>0</v>
      </c>
      <c r="S110" s="112">
        <v>0</v>
      </c>
      <c r="T110" s="112">
        <v>0</v>
      </c>
      <c r="U110" s="112">
        <v>0</v>
      </c>
      <c r="V110" s="112">
        <v>0</v>
      </c>
      <c r="W110" s="112">
        <v>0</v>
      </c>
      <c r="X110" s="112">
        <v>0</v>
      </c>
      <c r="Y110" s="112">
        <v>0</v>
      </c>
      <c r="Z110" s="112">
        <v>0</v>
      </c>
      <c r="AA110" s="112">
        <v>0</v>
      </c>
      <c r="AB110" s="112">
        <v>0</v>
      </c>
      <c r="AC110" s="112">
        <v>0</v>
      </c>
      <c r="AD110" s="112">
        <v>0</v>
      </c>
      <c r="AE110" s="112">
        <v>0</v>
      </c>
      <c r="AF110" s="112">
        <v>0</v>
      </c>
      <c r="AG110" s="112">
        <v>0</v>
      </c>
      <c r="AH110" s="112">
        <v>0</v>
      </c>
      <c r="AI110" s="112">
        <v>0</v>
      </c>
      <c r="AJ110" s="112">
        <v>0</v>
      </c>
      <c r="AK110" s="112">
        <v>0</v>
      </c>
      <c r="AL110" s="112">
        <v>0</v>
      </c>
      <c r="AM110" s="112">
        <v>0</v>
      </c>
      <c r="AN110" s="112">
        <v>0</v>
      </c>
      <c r="AO110" s="112">
        <v>0</v>
      </c>
      <c r="AP110" s="112">
        <v>0</v>
      </c>
      <c r="AQ110" s="112">
        <v>0</v>
      </c>
      <c r="AR110" s="112">
        <v>0</v>
      </c>
      <c r="AS110" s="112">
        <v>0</v>
      </c>
      <c r="AT110" s="112">
        <v>0</v>
      </c>
      <c r="AU110" s="112">
        <v>0</v>
      </c>
      <c r="AV110" s="112">
        <v>0</v>
      </c>
      <c r="AW110" s="112">
        <v>0</v>
      </c>
      <c r="AX110" s="112">
        <v>0</v>
      </c>
      <c r="AY110" s="112">
        <v>0</v>
      </c>
    </row>
    <row r="111" spans="1:52" x14ac:dyDescent="0.2">
      <c r="A111" s="115"/>
      <c r="B111" s="125">
        <v>3</v>
      </c>
      <c r="C111" s="112">
        <v>0</v>
      </c>
      <c r="D111" s="112">
        <v>0</v>
      </c>
      <c r="E111" s="112">
        <v>0</v>
      </c>
      <c r="F111" s="112">
        <v>0</v>
      </c>
      <c r="G111" s="112">
        <v>0</v>
      </c>
      <c r="H111" s="112">
        <v>0</v>
      </c>
      <c r="I111" s="112">
        <v>0</v>
      </c>
      <c r="J111" s="112">
        <v>0</v>
      </c>
      <c r="K111" s="112">
        <v>0</v>
      </c>
      <c r="L111" s="112">
        <v>0</v>
      </c>
      <c r="M111" s="112">
        <v>0</v>
      </c>
      <c r="N111" s="112">
        <v>0</v>
      </c>
      <c r="O111" s="112">
        <v>0</v>
      </c>
      <c r="P111" s="112">
        <v>0</v>
      </c>
      <c r="Q111" s="112">
        <v>0</v>
      </c>
      <c r="R111" s="112">
        <v>0</v>
      </c>
      <c r="S111" s="112">
        <v>0</v>
      </c>
      <c r="T111" s="112">
        <v>0</v>
      </c>
      <c r="U111" s="112">
        <v>0</v>
      </c>
      <c r="V111" s="112">
        <v>0</v>
      </c>
      <c r="W111" s="112">
        <v>0</v>
      </c>
      <c r="X111" s="112">
        <v>0</v>
      </c>
      <c r="Y111" s="112">
        <v>0</v>
      </c>
      <c r="Z111" s="112">
        <v>0</v>
      </c>
      <c r="AA111" s="112">
        <v>0</v>
      </c>
      <c r="AB111" s="112">
        <v>0</v>
      </c>
      <c r="AC111" s="112">
        <v>0</v>
      </c>
      <c r="AD111" s="112">
        <v>0</v>
      </c>
      <c r="AE111" s="112">
        <v>0</v>
      </c>
      <c r="AF111" s="112">
        <v>0</v>
      </c>
      <c r="AG111" s="112">
        <v>0</v>
      </c>
      <c r="AH111" s="112">
        <v>0</v>
      </c>
      <c r="AI111" s="112">
        <v>0</v>
      </c>
      <c r="AJ111" s="112">
        <v>0</v>
      </c>
      <c r="AK111" s="112">
        <v>0</v>
      </c>
      <c r="AL111" s="112">
        <v>0</v>
      </c>
      <c r="AM111" s="112">
        <v>0</v>
      </c>
      <c r="AN111" s="112">
        <v>0</v>
      </c>
      <c r="AO111" s="112">
        <v>0</v>
      </c>
      <c r="AP111" s="112">
        <v>0</v>
      </c>
      <c r="AQ111" s="112">
        <v>0</v>
      </c>
      <c r="AR111" s="112">
        <v>0</v>
      </c>
      <c r="AS111" s="112">
        <v>0</v>
      </c>
      <c r="AT111" s="112">
        <v>0</v>
      </c>
      <c r="AU111" s="112">
        <v>0</v>
      </c>
      <c r="AV111" s="112">
        <v>0</v>
      </c>
      <c r="AW111" s="112">
        <v>0</v>
      </c>
      <c r="AX111" s="112">
        <v>0</v>
      </c>
      <c r="AY111" s="112">
        <v>0</v>
      </c>
    </row>
    <row r="112" spans="1:52" x14ac:dyDescent="0.2">
      <c r="A112" s="115"/>
      <c r="B112" s="126">
        <v>4</v>
      </c>
      <c r="C112" s="112">
        <v>0</v>
      </c>
      <c r="D112" s="112">
        <v>0</v>
      </c>
      <c r="E112" s="112">
        <v>0</v>
      </c>
      <c r="F112" s="112">
        <v>0</v>
      </c>
      <c r="G112" s="112">
        <v>0</v>
      </c>
      <c r="H112" s="112">
        <v>0</v>
      </c>
      <c r="I112" s="112">
        <v>0</v>
      </c>
      <c r="J112" s="112">
        <v>0</v>
      </c>
      <c r="K112" s="112">
        <v>0</v>
      </c>
      <c r="L112" s="112">
        <v>0</v>
      </c>
      <c r="M112" s="112">
        <v>0</v>
      </c>
      <c r="N112" s="112">
        <v>0</v>
      </c>
      <c r="O112" s="112">
        <v>0</v>
      </c>
      <c r="P112" s="112">
        <v>0</v>
      </c>
      <c r="Q112" s="112">
        <v>0</v>
      </c>
      <c r="R112" s="112">
        <v>0</v>
      </c>
      <c r="S112" s="112">
        <v>0</v>
      </c>
      <c r="T112" s="112">
        <v>0</v>
      </c>
      <c r="U112" s="112">
        <v>0</v>
      </c>
      <c r="V112" s="112">
        <v>0</v>
      </c>
      <c r="W112" s="112">
        <v>0</v>
      </c>
      <c r="X112" s="112">
        <v>0</v>
      </c>
      <c r="Y112" s="112">
        <v>0</v>
      </c>
      <c r="Z112" s="112">
        <v>0</v>
      </c>
      <c r="AA112" s="112">
        <v>0</v>
      </c>
      <c r="AB112" s="112">
        <v>0</v>
      </c>
      <c r="AC112" s="112">
        <v>0</v>
      </c>
      <c r="AD112" s="112">
        <v>0</v>
      </c>
      <c r="AE112" s="112">
        <v>0</v>
      </c>
      <c r="AF112" s="112">
        <v>0</v>
      </c>
      <c r="AG112" s="112">
        <v>0</v>
      </c>
      <c r="AH112" s="112">
        <v>0</v>
      </c>
      <c r="AI112" s="112">
        <v>0</v>
      </c>
      <c r="AJ112" s="112">
        <v>0</v>
      </c>
      <c r="AK112" s="112">
        <v>0</v>
      </c>
      <c r="AL112" s="112">
        <v>0</v>
      </c>
      <c r="AM112" s="112">
        <v>0</v>
      </c>
      <c r="AN112" s="112">
        <v>0</v>
      </c>
      <c r="AO112" s="112">
        <v>0</v>
      </c>
      <c r="AP112" s="112">
        <v>0</v>
      </c>
      <c r="AQ112" s="112">
        <v>0</v>
      </c>
      <c r="AR112" s="112">
        <v>0</v>
      </c>
      <c r="AS112" s="112">
        <v>0</v>
      </c>
      <c r="AT112" s="112">
        <v>0</v>
      </c>
      <c r="AU112" s="112">
        <v>0</v>
      </c>
      <c r="AV112" s="112">
        <v>0</v>
      </c>
      <c r="AW112" s="112">
        <v>0</v>
      </c>
      <c r="AX112" s="112">
        <v>0</v>
      </c>
      <c r="AY112" s="112">
        <v>0</v>
      </c>
    </row>
    <row r="113" spans="1:52" x14ac:dyDescent="0.2">
      <c r="A113" s="115"/>
      <c r="B113" s="126">
        <v>5</v>
      </c>
      <c r="C113" s="112">
        <v>0</v>
      </c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0</v>
      </c>
      <c r="J113" s="112">
        <v>0</v>
      </c>
      <c r="K113" s="112">
        <v>0</v>
      </c>
      <c r="L113" s="112">
        <v>0</v>
      </c>
      <c r="M113" s="112">
        <v>0</v>
      </c>
      <c r="N113" s="112">
        <v>0</v>
      </c>
      <c r="O113" s="112">
        <v>0</v>
      </c>
      <c r="P113" s="112">
        <v>0</v>
      </c>
      <c r="Q113" s="112">
        <v>0</v>
      </c>
      <c r="R113" s="112">
        <v>0</v>
      </c>
      <c r="S113" s="112">
        <v>0</v>
      </c>
      <c r="T113" s="112">
        <v>0</v>
      </c>
      <c r="U113" s="112">
        <v>0</v>
      </c>
      <c r="V113" s="112">
        <v>0</v>
      </c>
      <c r="W113" s="112">
        <v>0</v>
      </c>
      <c r="X113" s="112">
        <v>0</v>
      </c>
      <c r="Y113" s="112">
        <v>0</v>
      </c>
      <c r="Z113" s="112">
        <v>0</v>
      </c>
      <c r="AA113" s="112">
        <v>0</v>
      </c>
      <c r="AB113" s="112">
        <v>0</v>
      </c>
      <c r="AC113" s="112">
        <v>0</v>
      </c>
      <c r="AD113" s="112">
        <v>0</v>
      </c>
      <c r="AE113" s="112">
        <v>0</v>
      </c>
      <c r="AF113" s="112">
        <v>0</v>
      </c>
      <c r="AG113" s="112">
        <v>0</v>
      </c>
      <c r="AH113" s="112">
        <v>0</v>
      </c>
      <c r="AI113" s="112">
        <v>0</v>
      </c>
      <c r="AJ113" s="112">
        <v>0</v>
      </c>
      <c r="AK113" s="112">
        <v>0</v>
      </c>
      <c r="AL113" s="112">
        <v>0</v>
      </c>
      <c r="AM113" s="112">
        <v>0</v>
      </c>
      <c r="AN113" s="112">
        <v>0</v>
      </c>
      <c r="AO113" s="112">
        <v>0</v>
      </c>
      <c r="AP113" s="112">
        <v>0</v>
      </c>
      <c r="AQ113" s="112">
        <v>0</v>
      </c>
      <c r="AR113" s="112">
        <v>0</v>
      </c>
      <c r="AS113" s="112">
        <v>0</v>
      </c>
      <c r="AT113" s="112">
        <v>0</v>
      </c>
      <c r="AU113" s="112">
        <v>0</v>
      </c>
      <c r="AV113" s="112">
        <v>0</v>
      </c>
      <c r="AW113" s="112">
        <v>0</v>
      </c>
      <c r="AX113" s="112">
        <v>0</v>
      </c>
      <c r="AY113" s="112">
        <v>0</v>
      </c>
    </row>
    <row r="114" spans="1:52" x14ac:dyDescent="0.2">
      <c r="A114" s="115"/>
      <c r="B114" s="126">
        <v>6</v>
      </c>
      <c r="C114" s="112">
        <v>0</v>
      </c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0</v>
      </c>
      <c r="L114" s="112">
        <v>0</v>
      </c>
      <c r="M114" s="112">
        <v>0</v>
      </c>
      <c r="N114" s="112">
        <v>0</v>
      </c>
      <c r="O114" s="112">
        <v>0</v>
      </c>
      <c r="P114" s="112">
        <v>0</v>
      </c>
      <c r="Q114" s="112">
        <v>0</v>
      </c>
      <c r="R114" s="112">
        <v>0</v>
      </c>
      <c r="S114" s="112">
        <v>0</v>
      </c>
      <c r="T114" s="112">
        <v>0</v>
      </c>
      <c r="U114" s="112">
        <v>0</v>
      </c>
      <c r="V114" s="112">
        <v>0</v>
      </c>
      <c r="W114" s="112">
        <v>0</v>
      </c>
      <c r="X114" s="112">
        <v>0</v>
      </c>
      <c r="Y114" s="112">
        <v>0</v>
      </c>
      <c r="Z114" s="112">
        <v>0</v>
      </c>
      <c r="AA114" s="112">
        <v>0</v>
      </c>
      <c r="AB114" s="112">
        <v>0</v>
      </c>
      <c r="AC114" s="112">
        <v>0</v>
      </c>
      <c r="AD114" s="112">
        <v>0</v>
      </c>
      <c r="AE114" s="112">
        <v>0</v>
      </c>
      <c r="AF114" s="112">
        <v>0</v>
      </c>
      <c r="AG114" s="112">
        <v>0</v>
      </c>
      <c r="AH114" s="112">
        <v>0</v>
      </c>
      <c r="AI114" s="112">
        <v>0</v>
      </c>
      <c r="AJ114" s="112">
        <v>0</v>
      </c>
      <c r="AK114" s="112">
        <v>0</v>
      </c>
      <c r="AL114" s="112">
        <v>0</v>
      </c>
      <c r="AM114" s="112">
        <v>0</v>
      </c>
      <c r="AN114" s="112">
        <v>0</v>
      </c>
      <c r="AO114" s="112">
        <v>0</v>
      </c>
      <c r="AP114" s="112">
        <v>0</v>
      </c>
      <c r="AQ114" s="112">
        <v>0</v>
      </c>
      <c r="AR114" s="112">
        <v>0</v>
      </c>
      <c r="AS114" s="112">
        <v>0</v>
      </c>
      <c r="AT114" s="112">
        <v>0</v>
      </c>
      <c r="AU114" s="112">
        <v>0</v>
      </c>
      <c r="AV114" s="112">
        <v>0</v>
      </c>
      <c r="AW114" s="112">
        <v>0</v>
      </c>
      <c r="AX114" s="112">
        <v>0</v>
      </c>
      <c r="AY114" s="112">
        <v>0</v>
      </c>
    </row>
    <row r="115" spans="1:52" x14ac:dyDescent="0.2">
      <c r="A115" s="115"/>
      <c r="B115" s="133">
        <v>7</v>
      </c>
      <c r="C115" s="112">
        <v>0</v>
      </c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N115" s="112">
        <v>0</v>
      </c>
      <c r="O115" s="112">
        <v>0</v>
      </c>
      <c r="P115" s="112">
        <v>0</v>
      </c>
      <c r="Q115" s="112">
        <v>0</v>
      </c>
      <c r="R115" s="112">
        <v>0</v>
      </c>
      <c r="S115" s="112">
        <v>0</v>
      </c>
      <c r="T115" s="112">
        <v>0</v>
      </c>
      <c r="U115" s="112">
        <v>0</v>
      </c>
      <c r="V115" s="112">
        <v>0</v>
      </c>
      <c r="W115" s="112">
        <v>0</v>
      </c>
      <c r="X115" s="112">
        <v>0</v>
      </c>
      <c r="Y115" s="112">
        <v>0</v>
      </c>
      <c r="Z115" s="112">
        <v>0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0</v>
      </c>
      <c r="AJ115" s="112">
        <v>0</v>
      </c>
      <c r="AK115" s="112">
        <v>0</v>
      </c>
      <c r="AL115" s="112">
        <v>0</v>
      </c>
      <c r="AM115" s="112">
        <v>0</v>
      </c>
      <c r="AN115" s="112">
        <v>0</v>
      </c>
      <c r="AO115" s="112">
        <v>0</v>
      </c>
      <c r="AP115" s="112">
        <v>0</v>
      </c>
      <c r="AQ115" s="112">
        <v>0</v>
      </c>
      <c r="AR115" s="112">
        <v>0</v>
      </c>
      <c r="AS115" s="112">
        <v>0</v>
      </c>
      <c r="AT115" s="112">
        <v>0</v>
      </c>
      <c r="AU115" s="112">
        <v>0</v>
      </c>
      <c r="AV115" s="112">
        <v>0</v>
      </c>
      <c r="AW115" s="112">
        <v>0</v>
      </c>
      <c r="AX115" s="112">
        <v>0</v>
      </c>
      <c r="AY115" s="112">
        <v>0</v>
      </c>
    </row>
    <row r="116" spans="1:52" x14ac:dyDescent="0.2">
      <c r="A116" s="115"/>
      <c r="B116" s="133">
        <v>8</v>
      </c>
      <c r="C116" s="112">
        <v>0</v>
      </c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0</v>
      </c>
      <c r="P116" s="112">
        <v>0</v>
      </c>
      <c r="Q116" s="112">
        <v>0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>
        <v>0</v>
      </c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>
        <v>16130.388605707827</v>
      </c>
      <c r="D122" s="112">
        <v>24195.582908561741</v>
      </c>
      <c r="E122" s="112">
        <v>24195.582908561741</v>
      </c>
      <c r="F122" s="112">
        <v>24195.582908561741</v>
      </c>
      <c r="G122" s="112">
        <v>24195.582908561741</v>
      </c>
      <c r="H122" s="112">
        <v>21507.184807610436</v>
      </c>
      <c r="I122" s="112">
        <v>21507.184807610436</v>
      </c>
      <c r="J122" s="112">
        <v>21507.184807610436</v>
      </c>
      <c r="K122" s="112">
        <v>21507.184807610436</v>
      </c>
      <c r="L122" s="112">
        <v>21507.184807610436</v>
      </c>
      <c r="M122" s="112">
        <v>21507.184807610436</v>
      </c>
      <c r="N122" s="112">
        <v>21507.184807610436</v>
      </c>
      <c r="O122" s="112">
        <v>21507.184807610436</v>
      </c>
      <c r="P122" s="112">
        <v>24195.582908561741</v>
      </c>
      <c r="Q122" s="112">
        <v>24195.582908561741</v>
      </c>
      <c r="R122" s="112">
        <v>24195.582908561741</v>
      </c>
      <c r="S122" s="112">
        <v>24195.582908561741</v>
      </c>
      <c r="T122" s="112">
        <v>21507.184807610436</v>
      </c>
      <c r="U122" s="112">
        <v>21507.184807610436</v>
      </c>
      <c r="V122" s="112">
        <v>21507.184807610436</v>
      </c>
      <c r="W122" s="112">
        <v>21507.184807610436</v>
      </c>
      <c r="X122" s="112">
        <v>21507.184807610436</v>
      </c>
      <c r="Y122" s="112">
        <v>21507.184807610436</v>
      </c>
      <c r="Z122" s="112">
        <v>21507.184807610436</v>
      </c>
      <c r="AA122" s="112">
        <v>21507.184807610436</v>
      </c>
      <c r="AB122" s="112">
        <v>24195.582908561741</v>
      </c>
      <c r="AC122" s="112">
        <v>24195.582908561741</v>
      </c>
      <c r="AD122" s="112">
        <v>24195.582908561741</v>
      </c>
      <c r="AE122" s="112">
        <v>24195.582908561741</v>
      </c>
      <c r="AF122" s="112">
        <v>21507.184807610436</v>
      </c>
      <c r="AG122" s="112">
        <v>21507.184807610436</v>
      </c>
      <c r="AH122" s="112">
        <v>21507.184807610436</v>
      </c>
      <c r="AI122" s="112">
        <v>21507.184807610436</v>
      </c>
      <c r="AJ122" s="112">
        <v>21507.184807610436</v>
      </c>
      <c r="AK122" s="112">
        <v>21507.184807610436</v>
      </c>
      <c r="AL122" s="112">
        <v>21507.184807610436</v>
      </c>
      <c r="AM122" s="112">
        <v>21507.184807610436</v>
      </c>
      <c r="AN122" s="112">
        <v>24195.582908561741</v>
      </c>
      <c r="AO122" s="112">
        <v>24195.582908561741</v>
      </c>
      <c r="AP122" s="112">
        <v>24195.582908561741</v>
      </c>
      <c r="AQ122" s="112">
        <v>24195.582908561741</v>
      </c>
      <c r="AR122" s="112">
        <v>21507.184807610436</v>
      </c>
      <c r="AS122" s="112">
        <v>21507.184807610436</v>
      </c>
      <c r="AT122" s="112">
        <v>21507.184807610436</v>
      </c>
      <c r="AU122" s="112">
        <v>21507.184807610436</v>
      </c>
      <c r="AV122" s="112">
        <v>21507.184807610436</v>
      </c>
      <c r="AW122" s="112">
        <v>21507.184807610436</v>
      </c>
      <c r="AX122" s="112">
        <v>21507.184807610436</v>
      </c>
      <c r="AY122" s="112">
        <v>21507.184807610436</v>
      </c>
    </row>
    <row r="123" spans="1:52" x14ac:dyDescent="0.2">
      <c r="A123" s="115"/>
      <c r="B123" s="125">
        <v>2</v>
      </c>
      <c r="C123" s="112">
        <v>9184.1683336877159</v>
      </c>
      <c r="D123" s="112">
        <v>9184.1683336877159</v>
      </c>
      <c r="E123" s="112">
        <v>13776.252500531575</v>
      </c>
      <c r="F123" s="112">
        <v>13776.252500531575</v>
      </c>
      <c r="G123" s="112">
        <v>13776.252500531575</v>
      </c>
      <c r="H123" s="112">
        <v>13776.252500531575</v>
      </c>
      <c r="I123" s="112">
        <v>12245.557778250286</v>
      </c>
      <c r="J123" s="112">
        <v>12245.557778250286</v>
      </c>
      <c r="K123" s="112">
        <v>12245.557778250286</v>
      </c>
      <c r="L123" s="112">
        <v>12245.557778250286</v>
      </c>
      <c r="M123" s="112">
        <v>12245.557778250286</v>
      </c>
      <c r="N123" s="112">
        <v>12245.557778250286</v>
      </c>
      <c r="O123" s="112">
        <v>12245.557778250286</v>
      </c>
      <c r="P123" s="112">
        <v>12245.557778250286</v>
      </c>
      <c r="Q123" s="112">
        <v>13776.252500531573</v>
      </c>
      <c r="R123" s="112">
        <v>13776.252500531573</v>
      </c>
      <c r="S123" s="112">
        <v>13776.252500531573</v>
      </c>
      <c r="T123" s="112">
        <v>13776.252500531573</v>
      </c>
      <c r="U123" s="112">
        <v>12245.557778250286</v>
      </c>
      <c r="V123" s="112">
        <v>12245.557778250286</v>
      </c>
      <c r="W123" s="112">
        <v>12245.557778250286</v>
      </c>
      <c r="X123" s="112">
        <v>12245.557778250286</v>
      </c>
      <c r="Y123" s="112">
        <v>12245.557778250286</v>
      </c>
      <c r="Z123" s="112">
        <v>12245.557778250286</v>
      </c>
      <c r="AA123" s="112">
        <v>12245.557778250286</v>
      </c>
      <c r="AB123" s="112">
        <v>12245.557778250286</v>
      </c>
      <c r="AC123" s="112">
        <v>13776.252500531573</v>
      </c>
      <c r="AD123" s="112">
        <v>13776.252500531573</v>
      </c>
      <c r="AE123" s="112">
        <v>13776.252500531573</v>
      </c>
      <c r="AF123" s="112">
        <v>13776.252500531573</v>
      </c>
      <c r="AG123" s="112">
        <v>12245.557778250286</v>
      </c>
      <c r="AH123" s="112">
        <v>12245.557778250286</v>
      </c>
      <c r="AI123" s="112">
        <v>12245.557778250286</v>
      </c>
      <c r="AJ123" s="112">
        <v>12245.557778250286</v>
      </c>
      <c r="AK123" s="112">
        <v>12245.557778250286</v>
      </c>
      <c r="AL123" s="112">
        <v>12245.557778250286</v>
      </c>
      <c r="AM123" s="112">
        <v>12245.557778250286</v>
      </c>
      <c r="AN123" s="112">
        <v>12245.557778250286</v>
      </c>
      <c r="AO123" s="112">
        <v>13776.252500531573</v>
      </c>
      <c r="AP123" s="112">
        <v>13776.252500531573</v>
      </c>
      <c r="AQ123" s="112">
        <v>13776.252500531573</v>
      </c>
      <c r="AR123" s="112">
        <v>13776.252500531573</v>
      </c>
      <c r="AS123" s="112">
        <v>12245.557778250286</v>
      </c>
      <c r="AT123" s="112">
        <v>12245.557778250286</v>
      </c>
      <c r="AU123" s="112">
        <v>12245.557778250286</v>
      </c>
      <c r="AV123" s="112">
        <v>12245.557778250286</v>
      </c>
      <c r="AW123" s="112">
        <v>12245.557778250288</v>
      </c>
      <c r="AX123" s="112">
        <v>12245.557778250288</v>
      </c>
      <c r="AY123" s="112">
        <v>12245.557778250288</v>
      </c>
    </row>
    <row r="124" spans="1:52" x14ac:dyDescent="0.2">
      <c r="A124" s="115"/>
      <c r="B124" s="125">
        <v>3</v>
      </c>
      <c r="C124" s="112">
        <v>5229.1950332594506</v>
      </c>
      <c r="D124" s="112">
        <v>5229.1950332594506</v>
      </c>
      <c r="E124" s="112">
        <v>5229.1950332594506</v>
      </c>
      <c r="F124" s="112">
        <v>7843.7925498891764</v>
      </c>
      <c r="G124" s="112">
        <v>7843.7925498891764</v>
      </c>
      <c r="H124" s="112">
        <v>7843.7925498891764</v>
      </c>
      <c r="I124" s="112">
        <v>7843.7925498891746</v>
      </c>
      <c r="J124" s="112">
        <v>6972.2600443459314</v>
      </c>
      <c r="K124" s="112">
        <v>6972.2600443459314</v>
      </c>
      <c r="L124" s="112">
        <v>6972.2600443459314</v>
      </c>
      <c r="M124" s="112">
        <v>6972.2600443459314</v>
      </c>
      <c r="N124" s="112">
        <v>6972.2600443459314</v>
      </c>
      <c r="O124" s="112">
        <v>6972.2600443459314</v>
      </c>
      <c r="P124" s="112">
        <v>6972.2600443459314</v>
      </c>
      <c r="Q124" s="112">
        <v>6972.2600443459314</v>
      </c>
      <c r="R124" s="112">
        <v>7843.7925498891736</v>
      </c>
      <c r="S124" s="112">
        <v>7843.7925498891736</v>
      </c>
      <c r="T124" s="112">
        <v>7843.7925498891736</v>
      </c>
      <c r="U124" s="112">
        <v>7843.7925498891736</v>
      </c>
      <c r="V124" s="112">
        <v>6972.2600443459314</v>
      </c>
      <c r="W124" s="112">
        <v>6972.2600443459314</v>
      </c>
      <c r="X124" s="112">
        <v>6972.2600443459314</v>
      </c>
      <c r="Y124" s="112">
        <v>6972.2600443459314</v>
      </c>
      <c r="Z124" s="112">
        <v>6972.2600443459314</v>
      </c>
      <c r="AA124" s="112">
        <v>6972.2600443459314</v>
      </c>
      <c r="AB124" s="112">
        <v>6972.2600443459314</v>
      </c>
      <c r="AC124" s="112">
        <v>6972.2600443459314</v>
      </c>
      <c r="AD124" s="112">
        <v>7843.7925498891736</v>
      </c>
      <c r="AE124" s="112">
        <v>7843.7925498891736</v>
      </c>
      <c r="AF124" s="112">
        <v>7843.7925498891736</v>
      </c>
      <c r="AG124" s="112">
        <v>7843.7925498891736</v>
      </c>
      <c r="AH124" s="112">
        <v>6972.2600443459314</v>
      </c>
      <c r="AI124" s="112">
        <v>6972.2600443459314</v>
      </c>
      <c r="AJ124" s="112">
        <v>6972.2600443459314</v>
      </c>
      <c r="AK124" s="112">
        <v>6972.2600443459314</v>
      </c>
      <c r="AL124" s="112">
        <v>6972.2600443459314</v>
      </c>
      <c r="AM124" s="112">
        <v>6972.2600443459314</v>
      </c>
      <c r="AN124" s="112">
        <v>6972.2600443459314</v>
      </c>
      <c r="AO124" s="112">
        <v>6972.2600443459314</v>
      </c>
      <c r="AP124" s="112">
        <v>7843.7925498891736</v>
      </c>
      <c r="AQ124" s="112">
        <v>7843.7925498891736</v>
      </c>
      <c r="AR124" s="112">
        <v>7843.7925498891736</v>
      </c>
      <c r="AS124" s="112">
        <v>7843.7925498891736</v>
      </c>
      <c r="AT124" s="112">
        <v>6972.2600443459314</v>
      </c>
      <c r="AU124" s="112">
        <v>6972.2600443459314</v>
      </c>
      <c r="AV124" s="112">
        <v>6972.2600443459314</v>
      </c>
      <c r="AW124" s="112">
        <v>6972.2600443459332</v>
      </c>
      <c r="AX124" s="112">
        <v>6972.2600443459341</v>
      </c>
      <c r="AY124" s="112">
        <v>6972.2600443459341</v>
      </c>
    </row>
    <row r="125" spans="1:52" x14ac:dyDescent="0.2">
      <c r="A125" s="115"/>
      <c r="B125" s="125">
        <v>4</v>
      </c>
      <c r="C125" s="112">
        <v>2977.3496850624128</v>
      </c>
      <c r="D125" s="112">
        <v>2977.3496850624128</v>
      </c>
      <c r="E125" s="112">
        <v>2977.3496850624128</v>
      </c>
      <c r="F125" s="112">
        <v>2977.3496850624128</v>
      </c>
      <c r="G125" s="112">
        <v>4466.0245275936195</v>
      </c>
      <c r="H125" s="112">
        <v>4466.0245275936195</v>
      </c>
      <c r="I125" s="112">
        <v>4466.0245275936186</v>
      </c>
      <c r="J125" s="112">
        <v>4466.0245275936177</v>
      </c>
      <c r="K125" s="112">
        <v>3969.799580083215</v>
      </c>
      <c r="L125" s="112">
        <v>3969.799580083215</v>
      </c>
      <c r="M125" s="112">
        <v>3969.799580083215</v>
      </c>
      <c r="N125" s="112">
        <v>3969.799580083215</v>
      </c>
      <c r="O125" s="112">
        <v>3969.799580083215</v>
      </c>
      <c r="P125" s="112">
        <v>3969.799580083215</v>
      </c>
      <c r="Q125" s="112">
        <v>3969.799580083215</v>
      </c>
      <c r="R125" s="112">
        <v>3969.799580083215</v>
      </c>
      <c r="S125" s="112">
        <v>4466.0245275936168</v>
      </c>
      <c r="T125" s="112">
        <v>4466.0245275936168</v>
      </c>
      <c r="U125" s="112">
        <v>4466.0245275936168</v>
      </c>
      <c r="V125" s="112">
        <v>4466.0245275936168</v>
      </c>
      <c r="W125" s="112">
        <v>3969.799580083215</v>
      </c>
      <c r="X125" s="112">
        <v>3969.799580083215</v>
      </c>
      <c r="Y125" s="112">
        <v>3969.799580083215</v>
      </c>
      <c r="Z125" s="112">
        <v>3969.799580083215</v>
      </c>
      <c r="AA125" s="112">
        <v>3969.799580083215</v>
      </c>
      <c r="AB125" s="112">
        <v>3969.799580083215</v>
      </c>
      <c r="AC125" s="112">
        <v>3969.799580083215</v>
      </c>
      <c r="AD125" s="112">
        <v>3969.799580083215</v>
      </c>
      <c r="AE125" s="112">
        <v>4466.0245275936168</v>
      </c>
      <c r="AF125" s="112">
        <v>4466.0245275936168</v>
      </c>
      <c r="AG125" s="112">
        <v>4466.0245275936168</v>
      </c>
      <c r="AH125" s="112">
        <v>4466.0245275936168</v>
      </c>
      <c r="AI125" s="112">
        <v>3969.799580083215</v>
      </c>
      <c r="AJ125" s="112">
        <v>3969.799580083215</v>
      </c>
      <c r="AK125" s="112">
        <v>3969.799580083215</v>
      </c>
      <c r="AL125" s="112">
        <v>3969.799580083215</v>
      </c>
      <c r="AM125" s="112">
        <v>3969.799580083215</v>
      </c>
      <c r="AN125" s="112">
        <v>3969.799580083215</v>
      </c>
      <c r="AO125" s="112">
        <v>3969.799580083215</v>
      </c>
      <c r="AP125" s="112">
        <v>3969.799580083215</v>
      </c>
      <c r="AQ125" s="112">
        <v>4466.0245275936168</v>
      </c>
      <c r="AR125" s="112">
        <v>4466.0245275936168</v>
      </c>
      <c r="AS125" s="112">
        <v>4466.0245275936168</v>
      </c>
      <c r="AT125" s="112">
        <v>4466.0245275936168</v>
      </c>
      <c r="AU125" s="112">
        <v>3969.799580083215</v>
      </c>
      <c r="AV125" s="112">
        <v>3969.799580083215</v>
      </c>
      <c r="AW125" s="112">
        <v>3969.7995800832155</v>
      </c>
      <c r="AX125" s="112">
        <v>3969.7995800832168</v>
      </c>
      <c r="AY125" s="112">
        <v>3969.7995800832173</v>
      </c>
    </row>
    <row r="126" spans="1:52" x14ac:dyDescent="0.2">
      <c r="A126" s="115"/>
      <c r="B126" s="125">
        <v>5</v>
      </c>
      <c r="C126" s="112">
        <v>1695.2152464689727</v>
      </c>
      <c r="D126" s="112">
        <v>1695.215246468973</v>
      </c>
      <c r="E126" s="112">
        <v>1695.215246468973</v>
      </c>
      <c r="F126" s="112">
        <v>1695.215246468973</v>
      </c>
      <c r="G126" s="112">
        <v>718.34751342389472</v>
      </c>
      <c r="H126" s="112">
        <v>2542.8228697034597</v>
      </c>
      <c r="I126" s="112">
        <v>2419.031211441923</v>
      </c>
      <c r="J126" s="112">
        <v>1935.1480162573121</v>
      </c>
      <c r="K126" s="112">
        <v>1978.6391722332082</v>
      </c>
      <c r="L126" s="112">
        <v>1667.8658814936243</v>
      </c>
      <c r="M126" s="112">
        <v>2260.2869952919623</v>
      </c>
      <c r="N126" s="112">
        <v>2260.2869952919623</v>
      </c>
      <c r="O126" s="112">
        <v>2260.2869952919623</v>
      </c>
      <c r="P126" s="112">
        <v>2260.2869952919623</v>
      </c>
      <c r="Q126" s="112">
        <v>2086.1049664775337</v>
      </c>
      <c r="R126" s="112">
        <v>1214.5724609342979</v>
      </c>
      <c r="S126" s="112">
        <v>718.34751342390291</v>
      </c>
      <c r="T126" s="112">
        <v>1583.8287930348138</v>
      </c>
      <c r="U126" s="112">
        <v>2533.6083506698574</v>
      </c>
      <c r="V126" s="112">
        <v>2542.8228697034574</v>
      </c>
      <c r="W126" s="112">
        <v>2542.8228697034574</v>
      </c>
      <c r="X126" s="112">
        <v>2260.2869952919623</v>
      </c>
      <c r="Y126" s="112">
        <v>2260.2869952919623</v>
      </c>
      <c r="Z126" s="112">
        <v>2260.2869952919623</v>
      </c>
      <c r="AA126" s="112">
        <v>2260.2869952919623</v>
      </c>
      <c r="AB126" s="112">
        <v>2260.2869952919623</v>
      </c>
      <c r="AC126" s="112">
        <v>2086.1049664775487</v>
      </c>
      <c r="AD126" s="112">
        <v>1214.5724609343026</v>
      </c>
      <c r="AE126" s="112">
        <v>718.34751342389109</v>
      </c>
      <c r="AF126" s="112">
        <v>2542.8228697034574</v>
      </c>
      <c r="AG126" s="112">
        <v>2542.8228697034574</v>
      </c>
      <c r="AH126" s="112">
        <v>2542.8228697034574</v>
      </c>
      <c r="AI126" s="112">
        <v>2542.8228697034574</v>
      </c>
      <c r="AJ126" s="112">
        <v>2260.2869952919623</v>
      </c>
      <c r="AK126" s="112">
        <v>2260.2869952919623</v>
      </c>
      <c r="AL126" s="112">
        <v>2260.2869952919623</v>
      </c>
      <c r="AM126" s="112">
        <v>2260.2869952919623</v>
      </c>
      <c r="AN126" s="112">
        <v>2260.2869952919623</v>
      </c>
      <c r="AO126" s="112">
        <v>2086.1049664775419</v>
      </c>
      <c r="AP126" s="112">
        <v>1214.572460934306</v>
      </c>
      <c r="AQ126" s="112">
        <v>718.34751342389654</v>
      </c>
      <c r="AR126" s="112">
        <v>1361.8287930348101</v>
      </c>
      <c r="AS126" s="112">
        <v>2033.2080871723469</v>
      </c>
      <c r="AT126" s="112">
        <v>2386.4716893604359</v>
      </c>
      <c r="AU126" s="112">
        <v>2434.6095830570725</v>
      </c>
      <c r="AV126" s="112">
        <v>2260.2869952919623</v>
      </c>
      <c r="AW126" s="112">
        <v>2260.2869952919627</v>
      </c>
      <c r="AX126" s="112">
        <v>2260.2869952919632</v>
      </c>
      <c r="AY126" s="112">
        <v>2260.2869952919636</v>
      </c>
    </row>
    <row r="127" spans="1:52" x14ac:dyDescent="0.2">
      <c r="A127" s="115"/>
      <c r="B127" s="125">
        <v>6</v>
      </c>
      <c r="C127" s="112">
        <v>695.53655838740667</v>
      </c>
      <c r="D127" s="112">
        <v>809.22368509454782</v>
      </c>
      <c r="E127" s="112">
        <v>965.20564792194352</v>
      </c>
      <c r="F127" s="112">
        <v>511.80710948612477</v>
      </c>
      <c r="G127" s="112">
        <v>0</v>
      </c>
      <c r="H127" s="112">
        <v>85.005923331351767</v>
      </c>
      <c r="I127" s="112">
        <v>0</v>
      </c>
      <c r="J127" s="112">
        <v>0</v>
      </c>
      <c r="K127" s="112">
        <v>0</v>
      </c>
      <c r="L127" s="112">
        <v>0</v>
      </c>
      <c r="M127" s="112">
        <v>691.63372477161192</v>
      </c>
      <c r="N127" s="112">
        <v>1286.9408638959235</v>
      </c>
      <c r="O127" s="112">
        <v>1286.9408638959235</v>
      </c>
      <c r="P127" s="112">
        <v>1286.9408638959235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296.56199605476149</v>
      </c>
      <c r="W127" s="112">
        <v>721.66214055259331</v>
      </c>
      <c r="X127" s="112">
        <v>683.70164630644342</v>
      </c>
      <c r="Y127" s="112">
        <v>786.22045059328639</v>
      </c>
      <c r="Z127" s="112">
        <v>783.59163922079279</v>
      </c>
      <c r="AA127" s="112">
        <v>688.09487142724129</v>
      </c>
      <c r="AB127" s="112">
        <v>850.72182362424473</v>
      </c>
      <c r="AC127" s="112">
        <v>0</v>
      </c>
      <c r="AD127" s="112">
        <v>0</v>
      </c>
      <c r="AE127" s="112">
        <v>0</v>
      </c>
      <c r="AF127" s="112">
        <v>143.00592333134961</v>
      </c>
      <c r="AG127" s="112">
        <v>431.23183400357618</v>
      </c>
      <c r="AH127" s="112">
        <v>503.33918110167838</v>
      </c>
      <c r="AI127" s="112">
        <v>779.39498143188735</v>
      </c>
      <c r="AJ127" s="112">
        <v>692.57302603438256</v>
      </c>
      <c r="AK127" s="112">
        <v>957.27155300408799</v>
      </c>
      <c r="AL127" s="112">
        <v>830.98310055531795</v>
      </c>
      <c r="AM127" s="112">
        <v>819.07817413091675</v>
      </c>
      <c r="AN127" s="112">
        <v>792.29985955000348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24.195012666542652</v>
      </c>
      <c r="AW127" s="112">
        <v>837.71679171743972</v>
      </c>
      <c r="AX127" s="112">
        <v>1169.9121396138141</v>
      </c>
      <c r="AY127" s="112">
        <v>1185.0543896442114</v>
      </c>
    </row>
    <row r="128" spans="1:52" x14ac:dyDescent="0.2">
      <c r="A128" s="115"/>
      <c r="B128" s="125">
        <v>7</v>
      </c>
      <c r="C128" s="112">
        <v>0</v>
      </c>
      <c r="D128" s="112">
        <v>0</v>
      </c>
      <c r="E128" s="112">
        <v>142.74813974943891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95.795878625652165</v>
      </c>
      <c r="O128" s="112">
        <v>501.28958829915888</v>
      </c>
      <c r="P128" s="112">
        <v>69.571829570943351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0.43062944370491801</v>
      </c>
      <c r="D172" s="140">
        <v>0.43062944370491801</v>
      </c>
      <c r="E172" s="140">
        <v>0.43062944370491801</v>
      </c>
      <c r="F172" s="140">
        <v>0.43062944370491801</v>
      </c>
      <c r="G172" s="140">
        <v>0.43062944370491801</v>
      </c>
      <c r="H172" s="140">
        <v>0.43062944370491818</v>
      </c>
      <c r="I172" s="140">
        <v>0.43062944370491818</v>
      </c>
      <c r="J172" s="140">
        <v>0.43062944370491818</v>
      </c>
      <c r="K172" s="140">
        <v>0.43062944370491818</v>
      </c>
      <c r="L172" s="140">
        <v>0.43062944370491818</v>
      </c>
      <c r="M172" s="140">
        <v>0.43062944370491818</v>
      </c>
      <c r="N172" s="140">
        <v>0.43062944370491818</v>
      </c>
      <c r="O172" s="140">
        <v>0.43062944370491818</v>
      </c>
      <c r="P172" s="140">
        <v>0.43062944370491818</v>
      </c>
      <c r="Q172" s="140">
        <v>0.43062944370491818</v>
      </c>
      <c r="R172" s="140">
        <v>0.43062944370491818</v>
      </c>
      <c r="S172" s="140">
        <v>0.43062944370491818</v>
      </c>
      <c r="T172" s="140">
        <v>0.43062944370491818</v>
      </c>
      <c r="U172" s="140">
        <v>0.43062944370491818</v>
      </c>
      <c r="V172" s="140">
        <v>0.43062944370491818</v>
      </c>
      <c r="W172" s="140">
        <v>0.43062944370491818</v>
      </c>
      <c r="X172" s="140">
        <v>0.43062944370491818</v>
      </c>
      <c r="Y172" s="140">
        <v>0.43062944370491818</v>
      </c>
      <c r="Z172" s="140">
        <v>0.43062944370491818</v>
      </c>
      <c r="AA172" s="140">
        <v>0.43062944370491818</v>
      </c>
      <c r="AB172" s="140">
        <v>0.43062944370491818</v>
      </c>
      <c r="AC172" s="140">
        <v>0.43062944370491818</v>
      </c>
      <c r="AD172" s="140">
        <v>0.43062944370491818</v>
      </c>
      <c r="AE172" s="140">
        <v>0.43062944370491818</v>
      </c>
      <c r="AF172" s="140">
        <v>0.43062944370491818</v>
      </c>
      <c r="AG172" s="140">
        <v>0.43062944370491818</v>
      </c>
      <c r="AH172" s="140">
        <v>0.43062944370491818</v>
      </c>
      <c r="AI172" s="140">
        <v>0.43062944370491818</v>
      </c>
      <c r="AJ172" s="140">
        <v>0.43062944370491818</v>
      </c>
      <c r="AK172" s="140">
        <v>0.43062944370491818</v>
      </c>
      <c r="AL172" s="140">
        <v>0.43062944370491818</v>
      </c>
      <c r="AM172" s="140">
        <v>0.43062944370491818</v>
      </c>
      <c r="AN172" s="140">
        <v>0.43062944370491818</v>
      </c>
      <c r="AO172" s="140">
        <v>0.43062944370491818</v>
      </c>
      <c r="AP172" s="140">
        <v>0.43062944370491818</v>
      </c>
      <c r="AQ172" s="140">
        <v>0.43062944370491818</v>
      </c>
      <c r="AR172" s="140">
        <v>0.43062944370491818</v>
      </c>
      <c r="AS172" s="140">
        <v>0.43062944370491818</v>
      </c>
      <c r="AT172" s="140">
        <v>0.43062944370491818</v>
      </c>
      <c r="AU172" s="140">
        <v>0.43062944370491818</v>
      </c>
      <c r="AV172" s="140">
        <v>0.43062944370491801</v>
      </c>
      <c r="AW172" s="140">
        <v>0.43062944370491801</v>
      </c>
      <c r="AX172" s="140">
        <v>0.43062944370491801</v>
      </c>
      <c r="AY172" s="140">
        <v>0.43062944370491801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0</v>
      </c>
      <c r="E175" s="130">
        <f t="shared" si="1"/>
        <v>0</v>
      </c>
      <c r="F175" s="130">
        <f t="shared" si="1"/>
        <v>0</v>
      </c>
      <c r="G175" s="130">
        <f t="shared" si="1"/>
        <v>0</v>
      </c>
      <c r="H175" s="130">
        <f t="shared" si="1"/>
        <v>0</v>
      </c>
      <c r="I175" s="130">
        <f t="shared" si="1"/>
        <v>0</v>
      </c>
      <c r="J175" s="130">
        <f t="shared" si="1"/>
        <v>0</v>
      </c>
      <c r="K175" s="130">
        <f t="shared" si="1"/>
        <v>0</v>
      </c>
      <c r="L175" s="130">
        <f t="shared" si="1"/>
        <v>0</v>
      </c>
      <c r="M175" s="130">
        <f t="shared" si="1"/>
        <v>0</v>
      </c>
      <c r="N175" s="130">
        <f t="shared" si="1"/>
        <v>0</v>
      </c>
      <c r="O175" s="130">
        <f t="shared" si="1"/>
        <v>0</v>
      </c>
      <c r="P175" s="130">
        <f t="shared" si="1"/>
        <v>0</v>
      </c>
      <c r="Q175" s="130">
        <f t="shared" si="1"/>
        <v>0</v>
      </c>
      <c r="R175" s="130">
        <f t="shared" si="1"/>
        <v>0</v>
      </c>
      <c r="S175" s="130">
        <f t="shared" si="1"/>
        <v>0</v>
      </c>
      <c r="T175" s="130">
        <f t="shared" si="1"/>
        <v>0</v>
      </c>
      <c r="U175" s="130">
        <f t="shared" si="1"/>
        <v>0</v>
      </c>
      <c r="V175" s="130">
        <f t="shared" si="1"/>
        <v>0</v>
      </c>
      <c r="W175" s="130">
        <f t="shared" si="1"/>
        <v>0</v>
      </c>
      <c r="X175" s="130">
        <f t="shared" si="1"/>
        <v>0</v>
      </c>
      <c r="Y175" s="130">
        <f t="shared" si="1"/>
        <v>0</v>
      </c>
      <c r="Z175" s="130">
        <f t="shared" si="1"/>
        <v>0</v>
      </c>
      <c r="AA175" s="130">
        <f t="shared" si="1"/>
        <v>0</v>
      </c>
      <c r="AB175" s="130">
        <f t="shared" si="1"/>
        <v>0</v>
      </c>
      <c r="AC175" s="130">
        <f t="shared" si="1"/>
        <v>0</v>
      </c>
      <c r="AD175" s="130">
        <f t="shared" si="1"/>
        <v>0</v>
      </c>
      <c r="AE175" s="130">
        <f t="shared" si="1"/>
        <v>0</v>
      </c>
      <c r="AF175" s="130">
        <f t="shared" si="1"/>
        <v>0</v>
      </c>
      <c r="AG175" s="130">
        <f t="shared" si="1"/>
        <v>0</v>
      </c>
      <c r="AH175" s="130">
        <f t="shared" si="1"/>
        <v>0</v>
      </c>
      <c r="AI175" s="130">
        <f t="shared" si="1"/>
        <v>0</v>
      </c>
      <c r="AJ175" s="130">
        <f t="shared" si="1"/>
        <v>0</v>
      </c>
      <c r="AK175" s="130">
        <f t="shared" si="1"/>
        <v>0</v>
      </c>
      <c r="AL175" s="130">
        <f t="shared" si="1"/>
        <v>0</v>
      </c>
      <c r="AM175" s="130">
        <f t="shared" si="1"/>
        <v>0</v>
      </c>
      <c r="AN175" s="130">
        <f t="shared" si="1"/>
        <v>0</v>
      </c>
      <c r="AO175" s="130">
        <f t="shared" si="1"/>
        <v>0</v>
      </c>
      <c r="AP175" s="130">
        <f t="shared" si="1"/>
        <v>0</v>
      </c>
      <c r="AQ175" s="130">
        <f t="shared" si="1"/>
        <v>0</v>
      </c>
      <c r="AR175" s="130">
        <f t="shared" si="1"/>
        <v>0</v>
      </c>
      <c r="AS175" s="130">
        <f t="shared" si="1"/>
        <v>0</v>
      </c>
      <c r="AT175" s="130">
        <f t="shared" si="1"/>
        <v>0</v>
      </c>
      <c r="AU175" s="130">
        <f t="shared" si="1"/>
        <v>0</v>
      </c>
      <c r="AV175" s="130">
        <f t="shared" si="1"/>
        <v>0</v>
      </c>
      <c r="AW175" s="130">
        <f t="shared" si="1"/>
        <v>0</v>
      </c>
      <c r="AX175" s="130">
        <f t="shared" si="1"/>
        <v>0</v>
      </c>
      <c r="AY175" s="130">
        <f t="shared" si="1"/>
        <v>0</v>
      </c>
    </row>
    <row r="176" spans="1:52" x14ac:dyDescent="0.2">
      <c r="A176" s="131"/>
      <c r="B176" s="142" t="s">
        <v>299</v>
      </c>
      <c r="C176" s="131" t="s">
        <v>293</v>
      </c>
      <c r="D176" s="131">
        <v>0</v>
      </c>
      <c r="E176" s="131">
        <v>0</v>
      </c>
      <c r="F176" s="131">
        <v>0</v>
      </c>
      <c r="G176" s="131">
        <v>0</v>
      </c>
      <c r="H176" s="131">
        <v>0</v>
      </c>
      <c r="I176" s="131">
        <v>0</v>
      </c>
      <c r="J176" s="131">
        <v>0</v>
      </c>
      <c r="K176" s="131">
        <v>0</v>
      </c>
      <c r="L176" s="131">
        <v>0</v>
      </c>
      <c r="M176" s="131">
        <v>0</v>
      </c>
      <c r="N176" s="131">
        <v>0</v>
      </c>
      <c r="O176" s="131">
        <v>0</v>
      </c>
      <c r="P176" s="131">
        <v>0</v>
      </c>
      <c r="Q176" s="131">
        <v>0</v>
      </c>
      <c r="R176" s="131">
        <v>0</v>
      </c>
      <c r="S176" s="131">
        <v>0</v>
      </c>
      <c r="T176" s="131">
        <v>0</v>
      </c>
      <c r="U176" s="131">
        <v>0</v>
      </c>
      <c r="V176" s="131">
        <v>0</v>
      </c>
      <c r="W176" s="131">
        <v>0</v>
      </c>
      <c r="X176" s="131">
        <v>0</v>
      </c>
      <c r="Y176" s="131">
        <v>0</v>
      </c>
      <c r="Z176" s="131">
        <v>0</v>
      </c>
      <c r="AA176" s="131">
        <v>0</v>
      </c>
      <c r="AB176" s="131">
        <v>0</v>
      </c>
      <c r="AC176" s="131">
        <v>0</v>
      </c>
      <c r="AD176" s="131">
        <v>0</v>
      </c>
      <c r="AE176" s="131">
        <v>0</v>
      </c>
      <c r="AF176" s="131">
        <v>0</v>
      </c>
      <c r="AG176" s="131">
        <v>0</v>
      </c>
      <c r="AH176" s="131">
        <v>0</v>
      </c>
      <c r="AI176" s="131">
        <v>0</v>
      </c>
      <c r="AJ176" s="131">
        <v>0</v>
      </c>
      <c r="AK176" s="131">
        <v>0</v>
      </c>
      <c r="AL176" s="131">
        <v>0</v>
      </c>
      <c r="AM176" s="131">
        <v>0</v>
      </c>
      <c r="AN176" s="131">
        <v>0</v>
      </c>
      <c r="AO176" s="131">
        <v>0</v>
      </c>
      <c r="AP176" s="131">
        <v>0</v>
      </c>
      <c r="AQ176" s="131">
        <v>0</v>
      </c>
      <c r="AR176" s="131">
        <v>0</v>
      </c>
      <c r="AS176" s="131">
        <v>0</v>
      </c>
      <c r="AT176" s="131">
        <v>0</v>
      </c>
      <c r="AU176" s="131">
        <v>0</v>
      </c>
      <c r="AV176" s="131">
        <v>0</v>
      </c>
      <c r="AW176" s="131">
        <v>0</v>
      </c>
      <c r="AX176" s="131">
        <v>0</v>
      </c>
      <c r="AY176" s="131">
        <v>0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0</v>
      </c>
      <c r="E177" s="130">
        <f t="shared" si="2"/>
        <v>0</v>
      </c>
      <c r="F177" s="130">
        <f t="shared" si="2"/>
        <v>0</v>
      </c>
      <c r="G177" s="130">
        <f t="shared" si="2"/>
        <v>0</v>
      </c>
      <c r="H177" s="130">
        <f t="shared" si="2"/>
        <v>0</v>
      </c>
      <c r="I177" s="130">
        <f t="shared" si="2"/>
        <v>0</v>
      </c>
      <c r="J177" s="130">
        <f t="shared" si="2"/>
        <v>0</v>
      </c>
      <c r="K177" s="130">
        <f t="shared" si="2"/>
        <v>0</v>
      </c>
      <c r="L177" s="130">
        <f t="shared" si="2"/>
        <v>0</v>
      </c>
      <c r="M177" s="130">
        <f t="shared" si="2"/>
        <v>0</v>
      </c>
      <c r="N177" s="130">
        <f t="shared" si="2"/>
        <v>0</v>
      </c>
      <c r="O177" s="130">
        <f t="shared" si="2"/>
        <v>0</v>
      </c>
      <c r="P177" s="130">
        <f t="shared" si="2"/>
        <v>0</v>
      </c>
      <c r="Q177" s="130">
        <f t="shared" si="2"/>
        <v>0</v>
      </c>
      <c r="R177" s="130">
        <f t="shared" si="2"/>
        <v>0</v>
      </c>
      <c r="S177" s="130">
        <f t="shared" si="2"/>
        <v>0</v>
      </c>
      <c r="T177" s="130">
        <f t="shared" si="2"/>
        <v>0</v>
      </c>
      <c r="U177" s="130">
        <f t="shared" si="2"/>
        <v>0</v>
      </c>
      <c r="V177" s="130">
        <f t="shared" si="2"/>
        <v>0</v>
      </c>
      <c r="W177" s="130">
        <f t="shared" si="2"/>
        <v>0</v>
      </c>
      <c r="X177" s="130">
        <f t="shared" si="2"/>
        <v>0</v>
      </c>
      <c r="Y177" s="130">
        <f t="shared" si="2"/>
        <v>0</v>
      </c>
      <c r="Z177" s="130">
        <f t="shared" si="2"/>
        <v>0</v>
      </c>
      <c r="AA177" s="130">
        <f t="shared" si="2"/>
        <v>0</v>
      </c>
      <c r="AB177" s="130">
        <f t="shared" si="2"/>
        <v>0</v>
      </c>
      <c r="AC177" s="130">
        <f t="shared" si="2"/>
        <v>0</v>
      </c>
      <c r="AD177" s="130">
        <f t="shared" si="2"/>
        <v>0</v>
      </c>
      <c r="AE177" s="130">
        <f t="shared" si="2"/>
        <v>0</v>
      </c>
      <c r="AF177" s="130">
        <f t="shared" si="2"/>
        <v>0</v>
      </c>
      <c r="AG177" s="130">
        <f t="shared" si="2"/>
        <v>0</v>
      </c>
      <c r="AH177" s="130">
        <f t="shared" si="2"/>
        <v>0</v>
      </c>
      <c r="AI177" s="130">
        <f t="shared" si="2"/>
        <v>0</v>
      </c>
      <c r="AJ177" s="130">
        <f t="shared" si="2"/>
        <v>0</v>
      </c>
      <c r="AK177" s="130">
        <f t="shared" si="2"/>
        <v>0</v>
      </c>
      <c r="AL177" s="130">
        <f t="shared" si="2"/>
        <v>0</v>
      </c>
      <c r="AM177" s="130">
        <f t="shared" si="2"/>
        <v>0</v>
      </c>
      <c r="AN177" s="130">
        <f t="shared" si="2"/>
        <v>0</v>
      </c>
      <c r="AO177" s="130">
        <f t="shared" si="2"/>
        <v>0</v>
      </c>
      <c r="AP177" s="130">
        <f t="shared" si="2"/>
        <v>0</v>
      </c>
      <c r="AQ177" s="130">
        <f t="shared" si="2"/>
        <v>0</v>
      </c>
      <c r="AR177" s="130">
        <f t="shared" si="2"/>
        <v>0</v>
      </c>
      <c r="AS177" s="130">
        <f t="shared" si="2"/>
        <v>0</v>
      </c>
      <c r="AT177" s="130">
        <f t="shared" si="2"/>
        <v>0</v>
      </c>
      <c r="AU177" s="130">
        <f t="shared" si="2"/>
        <v>0</v>
      </c>
      <c r="AV177" s="130">
        <f t="shared" si="2"/>
        <v>0</v>
      </c>
      <c r="AW177" s="130">
        <f t="shared" si="2"/>
        <v>0</v>
      </c>
      <c r="AX177" s="130">
        <f t="shared" si="2"/>
        <v>0</v>
      </c>
      <c r="AY177" s="130">
        <f t="shared" si="2"/>
        <v>0</v>
      </c>
    </row>
    <row r="178" spans="1:51" x14ac:dyDescent="0.2">
      <c r="A178" s="131"/>
      <c r="B178" s="142" t="s">
        <v>299</v>
      </c>
      <c r="C178" s="131" t="s">
        <v>293</v>
      </c>
      <c r="D178" s="131">
        <v>0</v>
      </c>
      <c r="E178" s="131">
        <v>0</v>
      </c>
      <c r="F178" s="131">
        <v>0</v>
      </c>
      <c r="G178" s="131">
        <v>0</v>
      </c>
      <c r="H178" s="131">
        <v>0</v>
      </c>
      <c r="I178" s="131">
        <v>0</v>
      </c>
      <c r="J178" s="131">
        <v>0</v>
      </c>
      <c r="K178" s="131">
        <v>0</v>
      </c>
      <c r="L178" s="131">
        <v>0</v>
      </c>
      <c r="M178" s="131">
        <v>0</v>
      </c>
      <c r="N178" s="131">
        <v>0</v>
      </c>
      <c r="O178" s="131">
        <v>0</v>
      </c>
      <c r="P178" s="131">
        <v>0</v>
      </c>
      <c r="Q178" s="131">
        <v>0</v>
      </c>
      <c r="R178" s="131">
        <v>0</v>
      </c>
      <c r="S178" s="131">
        <v>0</v>
      </c>
      <c r="T178" s="131">
        <v>0</v>
      </c>
      <c r="U178" s="131">
        <v>0</v>
      </c>
      <c r="V178" s="131">
        <v>0</v>
      </c>
      <c r="W178" s="131">
        <v>0</v>
      </c>
      <c r="X178" s="131">
        <v>0</v>
      </c>
      <c r="Y178" s="131">
        <v>0</v>
      </c>
      <c r="Z178" s="131">
        <v>0</v>
      </c>
      <c r="AA178" s="131">
        <v>0</v>
      </c>
      <c r="AB178" s="131">
        <v>0</v>
      </c>
      <c r="AC178" s="131">
        <v>0</v>
      </c>
      <c r="AD178" s="131">
        <v>0</v>
      </c>
      <c r="AE178" s="131">
        <v>0</v>
      </c>
      <c r="AF178" s="131">
        <v>0</v>
      </c>
      <c r="AG178" s="131">
        <v>0</v>
      </c>
      <c r="AH178" s="131">
        <v>0</v>
      </c>
      <c r="AI178" s="131">
        <v>0</v>
      </c>
      <c r="AJ178" s="131">
        <v>0</v>
      </c>
      <c r="AK178" s="131">
        <v>0</v>
      </c>
      <c r="AL178" s="131">
        <v>0</v>
      </c>
      <c r="AM178" s="131">
        <v>0</v>
      </c>
      <c r="AN178" s="131">
        <v>0</v>
      </c>
      <c r="AO178" s="131">
        <v>0</v>
      </c>
      <c r="AP178" s="131">
        <v>0</v>
      </c>
      <c r="AQ178" s="131">
        <v>0</v>
      </c>
      <c r="AR178" s="131">
        <v>0</v>
      </c>
      <c r="AS178" s="131">
        <v>0</v>
      </c>
      <c r="AT178" s="131">
        <v>0</v>
      </c>
      <c r="AU178" s="131">
        <v>0</v>
      </c>
      <c r="AV178" s="131">
        <v>0</v>
      </c>
      <c r="AW178" s="131">
        <v>0</v>
      </c>
      <c r="AX178" s="131">
        <v>0</v>
      </c>
      <c r="AY178" s="131">
        <v>0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6909.2651078651652</v>
      </c>
      <c r="E179" s="130">
        <f t="shared" si="3"/>
        <v>2018.4508384444598</v>
      </c>
      <c r="F179" s="130">
        <f t="shared" si="3"/>
        <v>0</v>
      </c>
      <c r="G179" s="130">
        <f t="shared" si="3"/>
        <v>0</v>
      </c>
      <c r="H179" s="130">
        <f t="shared" si="3"/>
        <v>778.91682134038274</v>
      </c>
      <c r="I179" s="130">
        <f t="shared" si="3"/>
        <v>2518.4091252145518</v>
      </c>
      <c r="J179" s="130">
        <f t="shared" si="3"/>
        <v>3873.8248259424181</v>
      </c>
      <c r="K179" s="130">
        <f t="shared" si="3"/>
        <v>4326.5586174769232</v>
      </c>
      <c r="L179" s="130">
        <f t="shared" si="3"/>
        <v>4637.3319082165181</v>
      </c>
      <c r="M179" s="130">
        <f t="shared" si="3"/>
        <v>3353.2770696465486</v>
      </c>
      <c r="N179" s="130">
        <f t="shared" si="3"/>
        <v>2662.1740518965962</v>
      </c>
      <c r="O179" s="130">
        <f t="shared" si="3"/>
        <v>2256.6803422230842</v>
      </c>
      <c r="P179" s="130">
        <f t="shared" si="3"/>
        <v>0</v>
      </c>
      <c r="Q179" s="130">
        <f t="shared" si="3"/>
        <v>0</v>
      </c>
      <c r="R179" s="130">
        <f t="shared" si="3"/>
        <v>0</v>
      </c>
      <c r="S179" s="130">
        <f t="shared" si="3"/>
        <v>0</v>
      </c>
      <c r="T179" s="130">
        <f t="shared" si="3"/>
        <v>1822.91682134039</v>
      </c>
      <c r="U179" s="130">
        <f t="shared" si="3"/>
        <v>2403.8319859866278</v>
      </c>
      <c r="V179" s="130">
        <f t="shared" si="3"/>
        <v>2969.587976441504</v>
      </c>
      <c r="W179" s="130">
        <f t="shared" si="3"/>
        <v>3040.7127794540866</v>
      </c>
      <c r="X179" s="130">
        <f t="shared" si="3"/>
        <v>3361.2091481117277</v>
      </c>
      <c r="Y179" s="130">
        <f t="shared" si="3"/>
        <v>3258.690343824881</v>
      </c>
      <c r="Z179" s="130">
        <f t="shared" si="3"/>
        <v>3261.3191551973723</v>
      </c>
      <c r="AA179" s="130">
        <f t="shared" si="3"/>
        <v>3356.8159229909361</v>
      </c>
      <c r="AB179" s="130">
        <f t="shared" si="3"/>
        <v>505.79086984262176</v>
      </c>
      <c r="AC179" s="130">
        <f t="shared" si="3"/>
        <v>0</v>
      </c>
      <c r="AD179" s="130">
        <f t="shared" si="3"/>
        <v>0</v>
      </c>
      <c r="AE179" s="130">
        <f t="shared" si="3"/>
        <v>0</v>
      </c>
      <c r="AF179" s="130">
        <f t="shared" si="3"/>
        <v>720.91682134040093</v>
      </c>
      <c r="AG179" s="130">
        <f t="shared" si="3"/>
        <v>1963.385632949452</v>
      </c>
      <c r="AH179" s="130">
        <f t="shared" si="3"/>
        <v>2762.8107913945969</v>
      </c>
      <c r="AI179" s="130">
        <f t="shared" si="3"/>
        <v>2982.9799385747865</v>
      </c>
      <c r="AJ179" s="130">
        <f t="shared" si="3"/>
        <v>3352.3377683837825</v>
      </c>
      <c r="AK179" s="130">
        <f t="shared" si="3"/>
        <v>3087.6392414140755</v>
      </c>
      <c r="AL179" s="130">
        <f t="shared" si="3"/>
        <v>3213.9276938628427</v>
      </c>
      <c r="AM179" s="130">
        <f t="shared" si="3"/>
        <v>3225.8326202872558</v>
      </c>
      <c r="AN179" s="130">
        <f t="shared" si="3"/>
        <v>564.21283391685938</v>
      </c>
      <c r="AO179" s="130">
        <f t="shared" si="3"/>
        <v>0</v>
      </c>
      <c r="AP179" s="130">
        <f t="shared" si="3"/>
        <v>0</v>
      </c>
      <c r="AQ179" s="130">
        <f t="shared" si="3"/>
        <v>0</v>
      </c>
      <c r="AR179" s="130">
        <f t="shared" si="3"/>
        <v>2044.9168213404009</v>
      </c>
      <c r="AS179" s="130">
        <f t="shared" si="3"/>
        <v>2904.2322494841428</v>
      </c>
      <c r="AT179" s="130">
        <f t="shared" si="3"/>
        <v>3422.5011528392897</v>
      </c>
      <c r="AU179" s="130">
        <f t="shared" si="3"/>
        <v>3870.5882066530648</v>
      </c>
      <c r="AV179" s="130">
        <f t="shared" si="3"/>
        <v>4020.7157817516272</v>
      </c>
      <c r="AW179" s="130">
        <f t="shared" si="3"/>
        <v>3207.1940027007331</v>
      </c>
      <c r="AX179" s="130">
        <f t="shared" si="3"/>
        <v>2874.9986548043526</v>
      </c>
      <c r="AY179" s="130">
        <f t="shared" si="3"/>
        <v>2859.8564047739601</v>
      </c>
    </row>
    <row r="180" spans="1:51" x14ac:dyDescent="0.2">
      <c r="A180" s="131"/>
      <c r="B180" s="142" t="s">
        <v>299</v>
      </c>
      <c r="C180" s="131" t="s">
        <v>293</v>
      </c>
      <c r="D180" s="131">
        <v>2275</v>
      </c>
      <c r="E180" s="131">
        <v>2018.4508384444598</v>
      </c>
      <c r="F180" s="131">
        <v>0</v>
      </c>
      <c r="G180" s="131">
        <v>0</v>
      </c>
      <c r="H180" s="131">
        <v>778.91682134038274</v>
      </c>
      <c r="I180" s="131">
        <v>2106</v>
      </c>
      <c r="J180" s="131">
        <v>2192</v>
      </c>
      <c r="K180" s="131">
        <v>2067</v>
      </c>
      <c r="L180" s="131">
        <v>1034</v>
      </c>
      <c r="M180" s="131">
        <v>865</v>
      </c>
      <c r="N180" s="131">
        <v>828</v>
      </c>
      <c r="O180" s="131">
        <v>968</v>
      </c>
      <c r="P180" s="131">
        <v>0</v>
      </c>
      <c r="Q180" s="131">
        <v>0</v>
      </c>
      <c r="R180" s="131">
        <v>0</v>
      </c>
      <c r="S180" s="131">
        <v>0</v>
      </c>
      <c r="T180" s="131">
        <v>583</v>
      </c>
      <c r="U180" s="131">
        <v>462</v>
      </c>
      <c r="V180" s="131">
        <v>437</v>
      </c>
      <c r="W180" s="131">
        <v>590</v>
      </c>
      <c r="X180" s="131">
        <v>628</v>
      </c>
      <c r="Y180" s="131">
        <v>506</v>
      </c>
      <c r="Z180" s="131">
        <v>523</v>
      </c>
      <c r="AA180" s="131">
        <v>515</v>
      </c>
      <c r="AB180" s="131">
        <v>505.79086984262176</v>
      </c>
      <c r="AC180" s="131">
        <v>0</v>
      </c>
      <c r="AD180" s="131">
        <v>0</v>
      </c>
      <c r="AE180" s="131">
        <v>0</v>
      </c>
      <c r="AF180" s="131">
        <v>720.91682134040093</v>
      </c>
      <c r="AG180" s="131">
        <v>1963.385632949452</v>
      </c>
      <c r="AH180" s="131">
        <v>2188</v>
      </c>
      <c r="AI180" s="131">
        <v>1912</v>
      </c>
      <c r="AJ180" s="131">
        <v>995</v>
      </c>
      <c r="AK180" s="131">
        <v>720</v>
      </c>
      <c r="AL180" s="131">
        <v>842</v>
      </c>
      <c r="AM180" s="131">
        <v>775</v>
      </c>
      <c r="AN180" s="131">
        <v>564.21283391685938</v>
      </c>
      <c r="AO180" s="131">
        <v>0</v>
      </c>
      <c r="AP180" s="131">
        <v>0</v>
      </c>
      <c r="AQ180" s="131">
        <v>0</v>
      </c>
      <c r="AR180" s="131">
        <v>2044.9168213404009</v>
      </c>
      <c r="AS180" s="131">
        <v>2465</v>
      </c>
      <c r="AT180" s="131">
        <v>2058</v>
      </c>
      <c r="AU180" s="131">
        <v>2110</v>
      </c>
      <c r="AV180" s="131">
        <v>1798</v>
      </c>
      <c r="AW180" s="131">
        <v>1744</v>
      </c>
      <c r="AX180" s="131">
        <v>1433</v>
      </c>
      <c r="AY180" s="131">
        <v>1539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25103.966252993792</v>
      </c>
      <c r="E181" s="130">
        <f t="shared" si="4"/>
        <v>27888.65189430978</v>
      </c>
      <c r="F181" s="130">
        <f t="shared" si="4"/>
        <v>29037.898371049178</v>
      </c>
      <c r="G181" s="130">
        <f t="shared" si="4"/>
        <v>29037.898371049181</v>
      </c>
      <c r="H181" s="130">
        <f t="shared" si="4"/>
        <v>28594.406067175001</v>
      </c>
      <c r="I181" s="130">
        <f t="shared" si="4"/>
        <v>27603.990366447149</v>
      </c>
      <c r="J181" s="130">
        <f t="shared" si="4"/>
        <v>26832.256574912641</v>
      </c>
      <c r="K181" s="130">
        <f t="shared" si="4"/>
        <v>26574.483284173053</v>
      </c>
      <c r="L181" s="130">
        <f t="shared" si="4"/>
        <v>26397.538122743004</v>
      </c>
      <c r="M181" s="130">
        <f t="shared" si="4"/>
        <v>27128.641140492975</v>
      </c>
      <c r="N181" s="130">
        <f t="shared" si="4"/>
        <v>27522.134850166476</v>
      </c>
      <c r="O181" s="130">
        <f t="shared" si="4"/>
        <v>27753.011029217439</v>
      </c>
      <c r="P181" s="130">
        <f t="shared" si="4"/>
        <v>29037.898371049174</v>
      </c>
      <c r="Q181" s="130">
        <f t="shared" si="4"/>
        <v>29037.89837104917</v>
      </c>
      <c r="R181" s="130">
        <f t="shared" si="4"/>
        <v>29037.898371049174</v>
      </c>
      <c r="S181" s="130">
        <f t="shared" si="4"/>
        <v>29037.898371049178</v>
      </c>
      <c r="T181" s="130">
        <f t="shared" si="4"/>
        <v>27999.983206402932</v>
      </c>
      <c r="U181" s="130">
        <f t="shared" si="4"/>
        <v>27669.227215948053</v>
      </c>
      <c r="V181" s="130">
        <f t="shared" si="4"/>
        <v>27347.102412935485</v>
      </c>
      <c r="W181" s="130">
        <f t="shared" si="4"/>
        <v>27306.60604427784</v>
      </c>
      <c r="X181" s="130">
        <f t="shared" si="4"/>
        <v>27124.124848564683</v>
      </c>
      <c r="Y181" s="130">
        <f t="shared" si="4"/>
        <v>27182.496037192192</v>
      </c>
      <c r="Z181" s="130">
        <f t="shared" si="4"/>
        <v>27180.999269398639</v>
      </c>
      <c r="AA181" s="130">
        <f t="shared" si="4"/>
        <v>27126.626221595638</v>
      </c>
      <c r="AB181" s="130">
        <f t="shared" si="4"/>
        <v>28749.915942117907</v>
      </c>
      <c r="AC181" s="130">
        <f t="shared" si="4"/>
        <v>29037.898371049178</v>
      </c>
      <c r="AD181" s="130">
        <f t="shared" si="4"/>
        <v>29037.898371049174</v>
      </c>
      <c r="AE181" s="130">
        <f t="shared" si="4"/>
        <v>29037.89837104917</v>
      </c>
      <c r="AF181" s="130">
        <f t="shared" si="4"/>
        <v>28627.429559440108</v>
      </c>
      <c r="AG181" s="130">
        <f t="shared" si="4"/>
        <v>27920.004400994971</v>
      </c>
      <c r="AH181" s="130">
        <f t="shared" si="4"/>
        <v>27464.835253814777</v>
      </c>
      <c r="AI181" s="130">
        <f t="shared" si="4"/>
        <v>27339.477424005774</v>
      </c>
      <c r="AJ181" s="130">
        <f t="shared" si="4"/>
        <v>27129.175950975485</v>
      </c>
      <c r="AK181" s="130">
        <f t="shared" si="4"/>
        <v>27279.887498526714</v>
      </c>
      <c r="AL181" s="130">
        <f t="shared" si="4"/>
        <v>27207.982572102315</v>
      </c>
      <c r="AM181" s="130">
        <f t="shared" si="4"/>
        <v>27201.2042575214</v>
      </c>
      <c r="AN181" s="130">
        <f t="shared" si="4"/>
        <v>28716.652195933104</v>
      </c>
      <c r="AO181" s="130">
        <f t="shared" si="4"/>
        <v>29037.898371049174</v>
      </c>
      <c r="AP181" s="130">
        <f t="shared" si="4"/>
        <v>29037.898371049178</v>
      </c>
      <c r="AQ181" s="130">
        <f t="shared" si="4"/>
        <v>29037.898371049174</v>
      </c>
      <c r="AR181" s="130">
        <f t="shared" si="4"/>
        <v>27873.582942905421</v>
      </c>
      <c r="AS181" s="130">
        <f t="shared" si="4"/>
        <v>27384.314039550271</v>
      </c>
      <c r="AT181" s="130">
        <f t="shared" si="4"/>
        <v>27089.226985736506</v>
      </c>
      <c r="AU181" s="130">
        <f t="shared" si="4"/>
        <v>26834.099410637937</v>
      </c>
      <c r="AV181" s="130">
        <f t="shared" si="4"/>
        <v>26748.621189688838</v>
      </c>
      <c r="AW181" s="130">
        <f t="shared" si="4"/>
        <v>27211.816537585215</v>
      </c>
      <c r="AX181" s="130">
        <f t="shared" si="4"/>
        <v>27400.958787615611</v>
      </c>
      <c r="AY181" s="130">
        <f t="shared" si="4"/>
        <v>27409.580338938977</v>
      </c>
    </row>
    <row r="182" spans="1:51" x14ac:dyDescent="0.2">
      <c r="A182" s="131"/>
      <c r="B182" s="142" t="s">
        <v>299</v>
      </c>
      <c r="C182" s="131" t="s">
        <v>293</v>
      </c>
      <c r="D182" s="131">
        <v>318</v>
      </c>
      <c r="E182" s="131">
        <v>276</v>
      </c>
      <c r="F182" s="131">
        <v>356</v>
      </c>
      <c r="G182" s="131">
        <v>324</v>
      </c>
      <c r="H182" s="131">
        <v>1620</v>
      </c>
      <c r="I182" s="131">
        <v>1985</v>
      </c>
      <c r="J182" s="131">
        <v>1666</v>
      </c>
      <c r="K182" s="131">
        <v>1719</v>
      </c>
      <c r="L182" s="131">
        <v>258</v>
      </c>
      <c r="M182" s="131">
        <v>298</v>
      </c>
      <c r="N182" s="131">
        <v>286</v>
      </c>
      <c r="O182" s="131">
        <v>281</v>
      </c>
      <c r="P182" s="131">
        <v>1259</v>
      </c>
      <c r="Q182" s="131">
        <v>1097</v>
      </c>
      <c r="R182" s="131">
        <v>1525</v>
      </c>
      <c r="S182" s="131">
        <v>1368</v>
      </c>
      <c r="T182" s="131">
        <v>911</v>
      </c>
      <c r="U182" s="131">
        <v>1146</v>
      </c>
      <c r="V182" s="131">
        <v>895</v>
      </c>
      <c r="W182" s="131">
        <v>1175</v>
      </c>
      <c r="X182" s="131">
        <v>890</v>
      </c>
      <c r="Y182" s="131">
        <v>951</v>
      </c>
      <c r="Z182" s="131">
        <v>1045</v>
      </c>
      <c r="AA182" s="131">
        <v>828</v>
      </c>
      <c r="AB182" s="131">
        <v>279</v>
      </c>
      <c r="AC182" s="131">
        <v>304</v>
      </c>
      <c r="AD182" s="131">
        <v>352</v>
      </c>
      <c r="AE182" s="131">
        <v>266</v>
      </c>
      <c r="AF182" s="131">
        <v>1098</v>
      </c>
      <c r="AG182" s="131">
        <v>1190</v>
      </c>
      <c r="AH182" s="131">
        <v>955</v>
      </c>
      <c r="AI182" s="131">
        <v>1199</v>
      </c>
      <c r="AJ182" s="131">
        <v>724</v>
      </c>
      <c r="AK182" s="131">
        <v>1001</v>
      </c>
      <c r="AL182" s="131">
        <v>941</v>
      </c>
      <c r="AM182" s="131">
        <v>961</v>
      </c>
      <c r="AN182" s="131">
        <v>1533</v>
      </c>
      <c r="AO182" s="131">
        <v>1495</v>
      </c>
      <c r="AP182" s="131">
        <v>1649</v>
      </c>
      <c r="AQ182" s="131">
        <v>1590</v>
      </c>
      <c r="AR182" s="131">
        <v>1285</v>
      </c>
      <c r="AS182" s="131">
        <v>1314</v>
      </c>
      <c r="AT182" s="131">
        <v>1467</v>
      </c>
      <c r="AU182" s="131">
        <v>1362</v>
      </c>
      <c r="AV182" s="131">
        <v>463</v>
      </c>
      <c r="AW182" s="131">
        <v>594</v>
      </c>
      <c r="AX182" s="131">
        <v>768</v>
      </c>
      <c r="AY182" s="131">
        <v>796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0</v>
      </c>
      <c r="D188" s="112">
        <v>0</v>
      </c>
      <c r="E188" s="112">
        <v>0</v>
      </c>
      <c r="F188" s="112">
        <v>0</v>
      </c>
      <c r="G188" s="112">
        <v>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>
        <v>0</v>
      </c>
      <c r="D189" s="130">
        <v>0</v>
      </c>
      <c r="E189" s="130">
        <v>0</v>
      </c>
      <c r="F189" s="130">
        <v>0</v>
      </c>
      <c r="G189" s="130">
        <v>0</v>
      </c>
      <c r="H189" s="130">
        <v>0</v>
      </c>
      <c r="I189" s="130">
        <v>0</v>
      </c>
      <c r="J189" s="130">
        <v>0</v>
      </c>
      <c r="K189" s="130">
        <v>0</v>
      </c>
      <c r="L189" s="130">
        <v>0</v>
      </c>
      <c r="M189" s="130">
        <v>0</v>
      </c>
      <c r="N189" s="130">
        <v>0</v>
      </c>
      <c r="O189" s="130">
        <v>0</v>
      </c>
      <c r="P189" s="130">
        <v>0</v>
      </c>
      <c r="Q189" s="130">
        <v>0</v>
      </c>
      <c r="R189" s="130">
        <v>0</v>
      </c>
      <c r="S189" s="130">
        <v>0</v>
      </c>
      <c r="T189" s="130">
        <v>0</v>
      </c>
      <c r="U189" s="130">
        <v>0</v>
      </c>
      <c r="V189" s="130">
        <v>0</v>
      </c>
      <c r="W189" s="130">
        <v>0</v>
      </c>
      <c r="X189" s="130">
        <v>0</v>
      </c>
      <c r="Y189" s="130">
        <v>0</v>
      </c>
      <c r="Z189" s="130">
        <v>0</v>
      </c>
      <c r="AA189" s="130">
        <v>0</v>
      </c>
      <c r="AB189" s="130">
        <v>0</v>
      </c>
      <c r="AC189" s="130">
        <v>0</v>
      </c>
      <c r="AD189" s="130">
        <v>0</v>
      </c>
      <c r="AE189" s="130">
        <v>0</v>
      </c>
      <c r="AF189" s="130">
        <v>0</v>
      </c>
      <c r="AG189" s="130">
        <v>0</v>
      </c>
      <c r="AH189" s="130">
        <v>0</v>
      </c>
      <c r="AI189" s="130">
        <v>0</v>
      </c>
      <c r="AJ189" s="130">
        <v>0</v>
      </c>
      <c r="AK189" s="130">
        <v>0</v>
      </c>
      <c r="AL189" s="130">
        <v>0</v>
      </c>
      <c r="AM189" s="130">
        <v>0</v>
      </c>
      <c r="AN189" s="130">
        <v>0</v>
      </c>
      <c r="AO189" s="130">
        <v>0</v>
      </c>
      <c r="AP189" s="130">
        <v>0</v>
      </c>
      <c r="AQ189" s="130">
        <v>0</v>
      </c>
      <c r="AR189" s="130">
        <v>0</v>
      </c>
      <c r="AS189" s="130">
        <v>0</v>
      </c>
      <c r="AT189" s="130">
        <v>0</v>
      </c>
      <c r="AU189" s="130">
        <v>0</v>
      </c>
      <c r="AV189" s="130">
        <v>0</v>
      </c>
      <c r="AW189" s="130">
        <v>0</v>
      </c>
      <c r="AX189" s="130">
        <v>0</v>
      </c>
      <c r="AY189" s="130">
        <v>0</v>
      </c>
    </row>
    <row r="190" spans="1:51" x14ac:dyDescent="0.2">
      <c r="A190" s="115"/>
      <c r="B190" s="125">
        <v>2</v>
      </c>
      <c r="C190" s="112">
        <v>0</v>
      </c>
      <c r="D190" s="112">
        <v>0</v>
      </c>
      <c r="E190" s="112">
        <v>0</v>
      </c>
      <c r="F190" s="112">
        <v>0</v>
      </c>
      <c r="G190" s="112">
        <v>0</v>
      </c>
      <c r="H190" s="112">
        <v>0</v>
      </c>
      <c r="I190" s="112">
        <v>0</v>
      </c>
      <c r="J190" s="112">
        <v>0</v>
      </c>
      <c r="K190" s="112">
        <v>0</v>
      </c>
      <c r="L190" s="112">
        <v>0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0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0</v>
      </c>
      <c r="AN190" s="112">
        <v>0</v>
      </c>
      <c r="AO190" s="112">
        <v>0</v>
      </c>
      <c r="AP190" s="112">
        <v>0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0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1620</v>
      </c>
      <c r="D197" s="112">
        <v>2275</v>
      </c>
      <c r="E197" s="112">
        <v>2018.4508384444598</v>
      </c>
      <c r="F197" s="112">
        <v>0</v>
      </c>
      <c r="G197" s="112">
        <v>0</v>
      </c>
      <c r="H197" s="112">
        <v>778.91682134038274</v>
      </c>
      <c r="I197" s="112">
        <v>2106</v>
      </c>
      <c r="J197" s="112">
        <v>2192</v>
      </c>
      <c r="K197" s="112">
        <v>2067</v>
      </c>
      <c r="L197" s="112">
        <v>1034</v>
      </c>
      <c r="M197" s="112">
        <v>865</v>
      </c>
      <c r="N197" s="112">
        <v>828</v>
      </c>
      <c r="O197" s="112">
        <v>968</v>
      </c>
      <c r="P197" s="112">
        <v>0</v>
      </c>
      <c r="Q197" s="112">
        <v>0</v>
      </c>
      <c r="R197" s="112">
        <v>0</v>
      </c>
      <c r="S197" s="112">
        <v>0</v>
      </c>
      <c r="T197" s="112">
        <v>583</v>
      </c>
      <c r="U197" s="112">
        <v>462</v>
      </c>
      <c r="V197" s="112">
        <v>437</v>
      </c>
      <c r="W197" s="112">
        <v>590</v>
      </c>
      <c r="X197" s="112">
        <v>628</v>
      </c>
      <c r="Y197" s="112">
        <v>506</v>
      </c>
      <c r="Z197" s="112">
        <v>523</v>
      </c>
      <c r="AA197" s="112">
        <v>515</v>
      </c>
      <c r="AB197" s="112">
        <v>505.79086984262176</v>
      </c>
      <c r="AC197" s="112">
        <v>0</v>
      </c>
      <c r="AD197" s="112">
        <v>0</v>
      </c>
      <c r="AE197" s="112">
        <v>0</v>
      </c>
      <c r="AF197" s="112">
        <v>720.91682134040093</v>
      </c>
      <c r="AG197" s="112">
        <v>1963.385632949452</v>
      </c>
      <c r="AH197" s="112">
        <v>2188</v>
      </c>
      <c r="AI197" s="112">
        <v>1912</v>
      </c>
      <c r="AJ197" s="112">
        <v>995</v>
      </c>
      <c r="AK197" s="112">
        <v>720</v>
      </c>
      <c r="AL197" s="112">
        <v>842</v>
      </c>
      <c r="AM197" s="112">
        <v>775</v>
      </c>
      <c r="AN197" s="112">
        <v>564.21283391685938</v>
      </c>
      <c r="AO197" s="112">
        <v>0</v>
      </c>
      <c r="AP197" s="112">
        <v>0</v>
      </c>
      <c r="AQ197" s="112">
        <v>0</v>
      </c>
      <c r="AR197" s="112">
        <v>2044.9168213404009</v>
      </c>
      <c r="AS197" s="112">
        <v>2465</v>
      </c>
      <c r="AT197" s="112">
        <v>2058</v>
      </c>
      <c r="AU197" s="112">
        <v>2110</v>
      </c>
      <c r="AV197" s="112">
        <v>1798</v>
      </c>
      <c r="AW197" s="112">
        <v>1744</v>
      </c>
      <c r="AX197" s="112">
        <v>1433</v>
      </c>
      <c r="AY197" s="112">
        <v>1539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>
        <v>0</v>
      </c>
      <c r="D210" s="116">
        <v>0</v>
      </c>
      <c r="E210" s="116">
        <v>0</v>
      </c>
      <c r="F210" s="116">
        <v>0</v>
      </c>
      <c r="G210" s="116">
        <v>0</v>
      </c>
      <c r="H210" s="116">
        <v>0</v>
      </c>
      <c r="I210" s="116">
        <v>0</v>
      </c>
      <c r="J210" s="116">
        <v>0</v>
      </c>
      <c r="K210" s="116">
        <v>0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0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0</v>
      </c>
      <c r="Y210" s="116">
        <v>0</v>
      </c>
      <c r="Z210" s="116">
        <v>0</v>
      </c>
      <c r="AA210" s="116">
        <v>0</v>
      </c>
      <c r="AB210" s="116">
        <v>0</v>
      </c>
      <c r="AC210" s="116">
        <v>0</v>
      </c>
      <c r="AD210" s="116">
        <v>0</v>
      </c>
      <c r="AE210" s="116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0</v>
      </c>
      <c r="AO210" s="116">
        <v>0</v>
      </c>
      <c r="AP210" s="116">
        <v>0</v>
      </c>
      <c r="AQ210" s="116">
        <v>0</v>
      </c>
      <c r="AR210" s="116">
        <v>0</v>
      </c>
      <c r="AS210" s="116">
        <v>0</v>
      </c>
      <c r="AT210" s="116">
        <v>0</v>
      </c>
      <c r="AU210" s="116">
        <v>0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>
        <v>0</v>
      </c>
      <c r="D211" s="116">
        <v>0</v>
      </c>
      <c r="E211" s="116">
        <v>0</v>
      </c>
      <c r="F211" s="116">
        <v>0</v>
      </c>
      <c r="G211" s="116">
        <v>0</v>
      </c>
      <c r="H211" s="116">
        <v>0</v>
      </c>
      <c r="I211" s="116">
        <v>0</v>
      </c>
      <c r="J211" s="116">
        <v>0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0</v>
      </c>
      <c r="Y211" s="116">
        <v>0</v>
      </c>
      <c r="Z211" s="116">
        <v>0</v>
      </c>
      <c r="AA211" s="116">
        <v>0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0</v>
      </c>
      <c r="G212" s="116">
        <v>0</v>
      </c>
      <c r="H212" s="116">
        <v>123.79165826153599</v>
      </c>
      <c r="I212" s="116">
        <v>607.6748534461467</v>
      </c>
      <c r="J212" s="116">
        <v>564.18369747025008</v>
      </c>
      <c r="K212" s="116">
        <v>592.42111379833796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833.45820225715227</v>
      </c>
      <c r="S212" s="116">
        <v>958.99407666864363</v>
      </c>
      <c r="T212" s="116">
        <v>9.2145190336000269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307.23325474674903</v>
      </c>
      <c r="AP212" s="116">
        <v>957.4582022571476</v>
      </c>
      <c r="AQ212" s="116">
        <v>1180.9940766686473</v>
      </c>
      <c r="AR212" s="116">
        <v>509.61478253111034</v>
      </c>
      <c r="AS212" s="116">
        <v>156.3511803430215</v>
      </c>
      <c r="AT212" s="116">
        <v>108.21328664638486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155.98196282739553</v>
      </c>
      <c r="D213" s="116">
        <v>0</v>
      </c>
      <c r="E213" s="116">
        <v>0</v>
      </c>
      <c r="F213" s="116">
        <v>64.592101356107207</v>
      </c>
      <c r="G213" s="116">
        <v>324</v>
      </c>
      <c r="H213" s="116">
        <v>1447.8084718829152</v>
      </c>
      <c r="I213" s="116">
        <v>1377.3251465538533</v>
      </c>
      <c r="J213" s="116">
        <v>1101.8163025297499</v>
      </c>
      <c r="K213" s="116">
        <v>1126.578886201662</v>
      </c>
      <c r="L213" s="116">
        <v>258</v>
      </c>
      <c r="M213" s="116">
        <v>0</v>
      </c>
      <c r="N213" s="116">
        <v>0</v>
      </c>
      <c r="O213" s="116">
        <v>0</v>
      </c>
      <c r="P213" s="116">
        <v>486.64161309943017</v>
      </c>
      <c r="Q213" s="116">
        <v>1097</v>
      </c>
      <c r="R213" s="116">
        <v>691.54179774284773</v>
      </c>
      <c r="S213" s="116">
        <v>409.00592333135637</v>
      </c>
      <c r="T213" s="116">
        <v>901.78548096639997</v>
      </c>
      <c r="U213" s="116">
        <v>1146</v>
      </c>
      <c r="V213" s="116">
        <v>726.14633133032055</v>
      </c>
      <c r="W213" s="116">
        <v>764.10682557647044</v>
      </c>
      <c r="X213" s="116">
        <v>500.72041330263704</v>
      </c>
      <c r="Y213" s="116">
        <v>503.34922467513064</v>
      </c>
      <c r="Z213" s="116">
        <v>598.8459924686822</v>
      </c>
      <c r="AA213" s="116">
        <v>436.21904027167881</v>
      </c>
      <c r="AB213" s="116">
        <v>0</v>
      </c>
      <c r="AC213" s="116">
        <v>304</v>
      </c>
      <c r="AD213" s="116">
        <v>352</v>
      </c>
      <c r="AE213" s="116">
        <v>266</v>
      </c>
      <c r="AF213" s="116">
        <v>1016.5766378793377</v>
      </c>
      <c r="AG213" s="116">
        <v>944.46929078123549</v>
      </c>
      <c r="AH213" s="116">
        <v>668.41349045102652</v>
      </c>
      <c r="AI213" s="116">
        <v>755.2354458485313</v>
      </c>
      <c r="AJ213" s="116">
        <v>329.66931089183544</v>
      </c>
      <c r="AK213" s="116">
        <v>455.95776334060554</v>
      </c>
      <c r="AL213" s="116">
        <v>467.86268976500668</v>
      </c>
      <c r="AM213" s="116">
        <v>494.64100434592001</v>
      </c>
      <c r="AN213" s="116">
        <v>1081.8877882154993</v>
      </c>
      <c r="AO213" s="116">
        <v>1187.766745253251</v>
      </c>
      <c r="AP213" s="116">
        <v>691.5417977428524</v>
      </c>
      <c r="AQ213" s="116">
        <v>409.00592333135273</v>
      </c>
      <c r="AR213" s="116">
        <v>775.38521746888966</v>
      </c>
      <c r="AS213" s="116">
        <v>1157.6488196569785</v>
      </c>
      <c r="AT213" s="116">
        <v>1358.7867133536151</v>
      </c>
      <c r="AU213" s="116">
        <v>1362</v>
      </c>
      <c r="AV213" s="116">
        <v>449.22407217848405</v>
      </c>
      <c r="AW213" s="116">
        <v>117.02872428211009</v>
      </c>
      <c r="AX213" s="116">
        <v>101.88647425171314</v>
      </c>
      <c r="AY213" s="116">
        <v>121.26492292834655</v>
      </c>
    </row>
    <row r="214" spans="1:51" x14ac:dyDescent="0.2">
      <c r="A214" s="115"/>
      <c r="B214" s="125">
        <v>6</v>
      </c>
      <c r="C214" s="112">
        <v>396.01803717260447</v>
      </c>
      <c r="D214" s="116">
        <v>318</v>
      </c>
      <c r="E214" s="116">
        <v>194.72341226077387</v>
      </c>
      <c r="F214" s="116">
        <v>291.40789864389279</v>
      </c>
      <c r="G214" s="116">
        <v>0</v>
      </c>
      <c r="H214" s="116">
        <v>48.399869855548829</v>
      </c>
      <c r="I214" s="116">
        <v>0</v>
      </c>
      <c r="J214" s="116">
        <v>0</v>
      </c>
      <c r="K214" s="116">
        <v>0</v>
      </c>
      <c r="L214" s="116">
        <v>0</v>
      </c>
      <c r="M214" s="116">
        <v>298</v>
      </c>
      <c r="N214" s="116">
        <v>231.45664729613628</v>
      </c>
      <c r="O214" s="116">
        <v>0</v>
      </c>
      <c r="P214" s="116">
        <v>732.74623559529516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168.85366866967942</v>
      </c>
      <c r="W214" s="116">
        <v>410.89317442352956</v>
      </c>
      <c r="X214" s="116">
        <v>389.27958669736296</v>
      </c>
      <c r="Y214" s="116">
        <v>447.65077532486936</v>
      </c>
      <c r="Z214" s="116">
        <v>446.15400753131786</v>
      </c>
      <c r="AA214" s="116">
        <v>391.78095972832119</v>
      </c>
      <c r="AB214" s="116">
        <v>279</v>
      </c>
      <c r="AC214" s="116">
        <v>0</v>
      </c>
      <c r="AD214" s="116">
        <v>0</v>
      </c>
      <c r="AE214" s="116">
        <v>0</v>
      </c>
      <c r="AF214" s="116">
        <v>81.423362120662347</v>
      </c>
      <c r="AG214" s="116">
        <v>245.53070921876454</v>
      </c>
      <c r="AH214" s="116">
        <v>286.58650954897354</v>
      </c>
      <c r="AI214" s="116">
        <v>443.76455415146864</v>
      </c>
      <c r="AJ214" s="116">
        <v>394.33068910816456</v>
      </c>
      <c r="AK214" s="116">
        <v>545.04223665939446</v>
      </c>
      <c r="AL214" s="116">
        <v>473.13731023499332</v>
      </c>
      <c r="AM214" s="116">
        <v>466.35899565407999</v>
      </c>
      <c r="AN214" s="116">
        <v>451.11221178450069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13.775927821515944</v>
      </c>
      <c r="AW214" s="116">
        <v>476.97127571788991</v>
      </c>
      <c r="AX214" s="116">
        <v>666.11352574828686</v>
      </c>
      <c r="AY214" s="116">
        <v>674.73507707165345</v>
      </c>
    </row>
    <row r="215" spans="1:51" x14ac:dyDescent="0.2">
      <c r="A215" s="115"/>
      <c r="B215" s="125">
        <v>7</v>
      </c>
      <c r="C215" s="112">
        <v>0</v>
      </c>
      <c r="D215" s="116">
        <v>0</v>
      </c>
      <c r="E215" s="116">
        <v>81.27658773922613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54.543352703863711</v>
      </c>
      <c r="O215" s="116">
        <v>281</v>
      </c>
      <c r="P215" s="116">
        <v>39.612151305274637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12341399.615441678</v>
      </c>
      <c r="E259" s="130">
        <f t="shared" ref="E259:AX259" si="5">F$14*$B$259</f>
        <v>13710383.22370974</v>
      </c>
      <c r="F259" s="130">
        <f t="shared" si="5"/>
        <v>14275366.058818033</v>
      </c>
      <c r="G259" s="130">
        <f t="shared" si="5"/>
        <v>14275366.058818035</v>
      </c>
      <c r="H259" s="130">
        <f t="shared" si="5"/>
        <v>14057340.122465</v>
      </c>
      <c r="I259" s="130">
        <f t="shared" si="5"/>
        <v>13570440.330419889</v>
      </c>
      <c r="J259" s="130">
        <f t="shared" si="5"/>
        <v>13191047.089444214</v>
      </c>
      <c r="K259" s="130">
        <f t="shared" si="5"/>
        <v>13064322.763927514</v>
      </c>
      <c r="L259" s="130">
        <f t="shared" si="5"/>
        <v>12977334.479876315</v>
      </c>
      <c r="M259" s="130">
        <f t="shared" si="5"/>
        <v>13336753.163409308</v>
      </c>
      <c r="N259" s="130">
        <f t="shared" si="5"/>
        <v>13530199.213659003</v>
      </c>
      <c r="O259" s="130">
        <f t="shared" si="5"/>
        <v>13643700.608563658</v>
      </c>
      <c r="P259" s="130">
        <f t="shared" si="5"/>
        <v>14275366.058818037</v>
      </c>
      <c r="Q259" s="130">
        <f t="shared" si="5"/>
        <v>14275366.058818035</v>
      </c>
      <c r="R259" s="130">
        <f t="shared" si="5"/>
        <v>14275366.058818037</v>
      </c>
      <c r="S259" s="130">
        <f t="shared" si="5"/>
        <v>14275366.058818039</v>
      </c>
      <c r="T259" s="130">
        <f t="shared" si="5"/>
        <v>13765114.98196684</v>
      </c>
      <c r="U259" s="130">
        <f t="shared" si="5"/>
        <v>13602511.518742455</v>
      </c>
      <c r="V259" s="130">
        <f t="shared" si="5"/>
        <v>13444151.246904954</v>
      </c>
      <c r="W259" s="130">
        <f t="shared" si="5"/>
        <v>13424242.764574252</v>
      </c>
      <c r="X259" s="130">
        <f t="shared" si="5"/>
        <v>13334532.902160335</v>
      </c>
      <c r="Y259" s="130">
        <f t="shared" si="5"/>
        <v>13363228.852338905</v>
      </c>
      <c r="Z259" s="130">
        <f t="shared" si="5"/>
        <v>13362493.024012594</v>
      </c>
      <c r="AA259" s="130">
        <f t="shared" si="5"/>
        <v>13335762.606018731</v>
      </c>
      <c r="AB259" s="130">
        <f t="shared" si="5"/>
        <v>14133790.572225658</v>
      </c>
      <c r="AC259" s="130">
        <f t="shared" si="5"/>
        <v>14275366.058818039</v>
      </c>
      <c r="AD259" s="130">
        <f t="shared" si="5"/>
        <v>14275366.058818037</v>
      </c>
      <c r="AE259" s="130">
        <f t="shared" si="5"/>
        <v>14275366.058818035</v>
      </c>
      <c r="AF259" s="130">
        <f t="shared" si="5"/>
        <v>14073574.852492671</v>
      </c>
      <c r="AG259" s="130">
        <f t="shared" si="5"/>
        <v>13725796.477936124</v>
      </c>
      <c r="AH259" s="130">
        <f t="shared" si="5"/>
        <v>13502030.07061391</v>
      </c>
      <c r="AI259" s="130">
        <f t="shared" si="5"/>
        <v>13440402.714322634</v>
      </c>
      <c r="AJ259" s="130">
        <f t="shared" si="5"/>
        <v>13337016.082416477</v>
      </c>
      <c r="AK259" s="130">
        <f t="shared" si="5"/>
        <v>13411107.619038485</v>
      </c>
      <c r="AL259" s="130">
        <f t="shared" si="5"/>
        <v>13375758.327122645</v>
      </c>
      <c r="AM259" s="130">
        <f t="shared" si="5"/>
        <v>13372426.029424379</v>
      </c>
      <c r="AN259" s="130">
        <f t="shared" si="5"/>
        <v>14117437.730597522</v>
      </c>
      <c r="AO259" s="130">
        <f t="shared" si="5"/>
        <v>14275366.058818037</v>
      </c>
      <c r="AP259" s="130">
        <f t="shared" si="5"/>
        <v>14275366.058818039</v>
      </c>
      <c r="AQ259" s="130">
        <f t="shared" si="5"/>
        <v>14275366.058818037</v>
      </c>
      <c r="AR259" s="130">
        <f t="shared" si="5"/>
        <v>13702975.153240219</v>
      </c>
      <c r="AS259" s="130">
        <f t="shared" si="5"/>
        <v>13462444.912127631</v>
      </c>
      <c r="AT259" s="130">
        <f t="shared" si="5"/>
        <v>13317376.70992573</v>
      </c>
      <c r="AU259" s="130">
        <f t="shared" si="5"/>
        <v>13191953.048760852</v>
      </c>
      <c r="AV259" s="130">
        <f t="shared" si="5"/>
        <v>13149930.968563695</v>
      </c>
      <c r="AW259" s="130">
        <f t="shared" si="5"/>
        <v>13377643.148814136</v>
      </c>
      <c r="AX259" s="130">
        <f t="shared" si="5"/>
        <v>13470627.662427021</v>
      </c>
      <c r="AY259" s="130">
        <f>AZ$14*$B$259</f>
        <v>13474866.116586592</v>
      </c>
      <c r="AZ259" s="145">
        <f>SUM($D259:$AY259)</f>
        <v>655996509.41008818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1765213.8816515375</v>
      </c>
      <c r="E260" s="131">
        <f t="shared" ref="E260:AY260" si="6">(E$175-E$176+E$177-E$178+E$179-E$180+E$181-E$182)*$B$260</f>
        <v>1656759.1136585867</v>
      </c>
      <c r="F260" s="131">
        <f t="shared" si="6"/>
        <v>1720913.9022629505</v>
      </c>
      <c r="G260" s="131">
        <f t="shared" si="6"/>
        <v>1722833.9022629508</v>
      </c>
      <c r="H260" s="131">
        <f t="shared" si="6"/>
        <v>1618464.3640305002</v>
      </c>
      <c r="I260" s="131">
        <f t="shared" si="6"/>
        <v>1561883.9694997021</v>
      </c>
      <c r="J260" s="131">
        <f t="shared" si="6"/>
        <v>1610884.8840513036</v>
      </c>
      <c r="K260" s="131">
        <f t="shared" si="6"/>
        <v>1626902.5140989986</v>
      </c>
      <c r="L260" s="131">
        <f t="shared" si="6"/>
        <v>1784572.2018575713</v>
      </c>
      <c r="M260" s="131">
        <f t="shared" si="6"/>
        <v>1759135.0926083715</v>
      </c>
      <c r="N260" s="131">
        <f t="shared" si="6"/>
        <v>1744218.5341237844</v>
      </c>
      <c r="O260" s="131">
        <f t="shared" si="6"/>
        <v>1725641.4822864314</v>
      </c>
      <c r="P260" s="131">
        <f t="shared" si="6"/>
        <v>1666733.9022629503</v>
      </c>
      <c r="Q260" s="131">
        <f t="shared" si="6"/>
        <v>1676453.9022629503</v>
      </c>
      <c r="R260" s="131">
        <f t="shared" si="6"/>
        <v>1650773.9022629503</v>
      </c>
      <c r="S260" s="131">
        <f t="shared" si="6"/>
        <v>1660193.9022629505</v>
      </c>
      <c r="T260" s="131">
        <f t="shared" si="6"/>
        <v>1699734.0016645994</v>
      </c>
      <c r="U260" s="131">
        <f t="shared" si="6"/>
        <v>1707903.5521160809</v>
      </c>
      <c r="V260" s="131">
        <f t="shared" si="6"/>
        <v>1739081.4233626192</v>
      </c>
      <c r="W260" s="131">
        <f t="shared" si="6"/>
        <v>1714939.1294239156</v>
      </c>
      <c r="X260" s="131">
        <f t="shared" si="6"/>
        <v>1738040.0398005845</v>
      </c>
      <c r="Y260" s="131">
        <f t="shared" si="6"/>
        <v>1739051.1828610243</v>
      </c>
      <c r="Z260" s="131">
        <f t="shared" si="6"/>
        <v>1732459.1054757608</v>
      </c>
      <c r="AA260" s="131">
        <f t="shared" si="6"/>
        <v>1748426.5286751944</v>
      </c>
      <c r="AB260" s="131">
        <f t="shared" si="6"/>
        <v>1708254.9565270743</v>
      </c>
      <c r="AC260" s="131">
        <f t="shared" si="6"/>
        <v>1724033.9022629505</v>
      </c>
      <c r="AD260" s="131">
        <f t="shared" si="6"/>
        <v>1721153.9022629503</v>
      </c>
      <c r="AE260" s="131">
        <f t="shared" si="6"/>
        <v>1726313.9022629503</v>
      </c>
      <c r="AF260" s="131">
        <f t="shared" si="6"/>
        <v>1651765.7735664065</v>
      </c>
      <c r="AG260" s="131">
        <f t="shared" si="6"/>
        <v>1603800.2640596982</v>
      </c>
      <c r="AH260" s="131">
        <f t="shared" si="6"/>
        <v>1625078.7627125625</v>
      </c>
      <c r="AI260" s="131">
        <f t="shared" si="6"/>
        <v>1632687.4417548336</v>
      </c>
      <c r="AJ260" s="131">
        <f t="shared" si="6"/>
        <v>1725750.8231615559</v>
      </c>
      <c r="AK260" s="131">
        <f t="shared" si="6"/>
        <v>1718791.6043964473</v>
      </c>
      <c r="AL260" s="131">
        <f t="shared" si="6"/>
        <v>1718334.6159579095</v>
      </c>
      <c r="AM260" s="131">
        <f t="shared" si="6"/>
        <v>1721462.2126685195</v>
      </c>
      <c r="AN260" s="131">
        <f t="shared" si="6"/>
        <v>1631019.1317559863</v>
      </c>
      <c r="AO260" s="131">
        <f t="shared" si="6"/>
        <v>1652573.9022629503</v>
      </c>
      <c r="AP260" s="131">
        <f t="shared" si="6"/>
        <v>1643333.9022629505</v>
      </c>
      <c r="AQ260" s="131">
        <f t="shared" si="6"/>
        <v>1646873.9022629503</v>
      </c>
      <c r="AR260" s="131">
        <f t="shared" si="6"/>
        <v>1595314.9765743252</v>
      </c>
      <c r="AS260" s="131">
        <f t="shared" si="6"/>
        <v>1590572.7773420648</v>
      </c>
      <c r="AT260" s="131">
        <f t="shared" si="6"/>
        <v>1619203.6883145478</v>
      </c>
      <c r="AU260" s="131">
        <f t="shared" si="6"/>
        <v>1633961.2570374601</v>
      </c>
      <c r="AV260" s="131">
        <f t="shared" si="6"/>
        <v>1710500.2182864279</v>
      </c>
      <c r="AW260" s="131">
        <f t="shared" si="6"/>
        <v>1684860.6324171568</v>
      </c>
      <c r="AX260" s="131">
        <f t="shared" si="6"/>
        <v>1684497.4465451979</v>
      </c>
      <c r="AY260" s="131">
        <f t="shared" si="6"/>
        <v>1676066.2046227762</v>
      </c>
      <c r="AZ260" s="147">
        <f>SUM($D260:$AY260)</f>
        <v>80817420.616102904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173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174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175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176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177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178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179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181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182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183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184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185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186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187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188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189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191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192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193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194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195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196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197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198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199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200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201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202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203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204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205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206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207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208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209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210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211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212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213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214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215</v>
      </c>
      <c r="D49" s="106">
        <v>5</v>
      </c>
      <c r="E49" s="106">
        <v>4926</v>
      </c>
      <c r="F49" s="106">
        <v>3</v>
      </c>
      <c r="G49" s="106">
        <v>2955.6</v>
      </c>
      <c r="H49" s="106">
        <v>5</v>
      </c>
      <c r="I49" s="106">
        <v>4926</v>
      </c>
      <c r="J49" s="106">
        <v>3</v>
      </c>
      <c r="K49" s="106">
        <v>2955.6</v>
      </c>
      <c r="L49" s="106">
        <v>5</v>
      </c>
      <c r="M49" s="106">
        <v>4926</v>
      </c>
      <c r="N49" s="106">
        <v>3</v>
      </c>
      <c r="O49" s="106">
        <v>2955.6</v>
      </c>
      <c r="P49" s="106">
        <v>3</v>
      </c>
      <c r="Q49" s="106">
        <v>2955.6</v>
      </c>
      <c r="R49" s="106">
        <v>5</v>
      </c>
      <c r="S49" s="106">
        <v>4926</v>
      </c>
      <c r="T49" s="106">
        <v>46</v>
      </c>
      <c r="U49" s="106">
        <v>45319.199999999997</v>
      </c>
      <c r="V49" s="106">
        <v>38</v>
      </c>
      <c r="W49" s="106">
        <v>37437.599999999999</v>
      </c>
      <c r="X49" s="106">
        <v>37</v>
      </c>
      <c r="Y49" s="106">
        <v>36452.399999999994</v>
      </c>
      <c r="Z49" s="106">
        <v>57</v>
      </c>
      <c r="AA49" s="106">
        <v>56156.399999999994</v>
      </c>
      <c r="AB49" s="106">
        <v>10</v>
      </c>
      <c r="AC49" s="106">
        <v>9852</v>
      </c>
      <c r="AD49" s="106">
        <v>9</v>
      </c>
      <c r="AE49" s="106">
        <v>8866.7999999999993</v>
      </c>
      <c r="AF49" s="106">
        <v>8</v>
      </c>
      <c r="AG49" s="106">
        <v>7881.5999999999995</v>
      </c>
      <c r="AH49" s="106">
        <v>9</v>
      </c>
      <c r="AI49" s="106">
        <v>8866.7999999999993</v>
      </c>
      <c r="AJ49" s="106">
        <v>10</v>
      </c>
      <c r="AK49" s="106">
        <v>9852</v>
      </c>
      <c r="AL49" s="106">
        <v>18</v>
      </c>
      <c r="AM49" s="106">
        <v>17733.599999999999</v>
      </c>
      <c r="AN49" s="106">
        <v>12</v>
      </c>
      <c r="AO49" s="106">
        <v>11822.4</v>
      </c>
      <c r="AP49" s="106">
        <v>17</v>
      </c>
      <c r="AQ49" s="106">
        <v>16748.399999999998</v>
      </c>
      <c r="AR49" s="106">
        <v>3</v>
      </c>
      <c r="AS49" s="106">
        <v>2955.6</v>
      </c>
      <c r="AT49" s="106">
        <v>4</v>
      </c>
      <c r="AU49" s="106">
        <v>3940.7999999999997</v>
      </c>
      <c r="AV49" s="106">
        <v>3</v>
      </c>
      <c r="AW49" s="106">
        <v>2955.6</v>
      </c>
      <c r="AX49" s="106">
        <v>3</v>
      </c>
      <c r="AY49" s="106">
        <v>2955.6</v>
      </c>
      <c r="AZ49" s="106">
        <v>5</v>
      </c>
      <c r="BA49" s="106">
        <v>4926</v>
      </c>
      <c r="BB49" s="106">
        <v>4</v>
      </c>
      <c r="BC49" s="106">
        <v>3940.7999999999997</v>
      </c>
      <c r="BD49" s="106">
        <v>4</v>
      </c>
      <c r="BE49" s="106">
        <v>3940.7999999999997</v>
      </c>
      <c r="BF49" s="106">
        <v>4</v>
      </c>
      <c r="BG49" s="106">
        <v>3940.7999999999997</v>
      </c>
      <c r="BH49" s="106">
        <v>5</v>
      </c>
      <c r="BI49" s="106">
        <v>4926</v>
      </c>
      <c r="BJ49" s="106">
        <v>6</v>
      </c>
      <c r="BK49" s="106">
        <v>5911.2</v>
      </c>
      <c r="BL49" s="106">
        <v>6</v>
      </c>
      <c r="BM49" s="106">
        <v>5911.2</v>
      </c>
      <c r="BN49" s="106">
        <v>4</v>
      </c>
      <c r="BO49" s="106">
        <v>3940.7999999999997</v>
      </c>
      <c r="BP49" s="106">
        <v>6</v>
      </c>
      <c r="BQ49" s="106">
        <v>5911.2</v>
      </c>
      <c r="BR49" s="106">
        <v>9</v>
      </c>
      <c r="BS49" s="106">
        <v>8866.7999999999993</v>
      </c>
      <c r="BT49" s="106">
        <v>10</v>
      </c>
      <c r="BU49" s="106">
        <v>9852</v>
      </c>
      <c r="BV49" s="106">
        <v>10</v>
      </c>
      <c r="BW49" s="106">
        <v>9852</v>
      </c>
      <c r="BX49" s="106">
        <v>3</v>
      </c>
      <c r="BY49" s="106">
        <v>2955.6</v>
      </c>
      <c r="BZ49" s="106">
        <v>4</v>
      </c>
      <c r="CA49" s="106">
        <v>3940.7999999999997</v>
      </c>
      <c r="CB49" s="106">
        <v>4</v>
      </c>
      <c r="CC49" s="106">
        <v>3940.7999999999997</v>
      </c>
      <c r="CD49" s="106">
        <v>4</v>
      </c>
      <c r="CE49" s="106">
        <v>3940.7999999999997</v>
      </c>
      <c r="CF49" s="106">
        <v>52</v>
      </c>
      <c r="CG49" s="106">
        <v>51230.399999999994</v>
      </c>
      <c r="CH49" s="106">
        <v>32</v>
      </c>
      <c r="CI49" s="106">
        <v>31526.399999999998</v>
      </c>
      <c r="CJ49" s="106">
        <v>45</v>
      </c>
      <c r="CK49" s="106">
        <v>44334</v>
      </c>
      <c r="CL49" s="106">
        <v>52</v>
      </c>
      <c r="CM49" s="106">
        <v>51230.399999999994</v>
      </c>
      <c r="CN49" s="106">
        <v>9</v>
      </c>
      <c r="CO49" s="106">
        <v>8866.7999999999993</v>
      </c>
      <c r="CP49" s="106">
        <v>6</v>
      </c>
      <c r="CQ49" s="106">
        <v>5911.2</v>
      </c>
      <c r="CR49" s="106">
        <v>8</v>
      </c>
      <c r="CS49" s="106">
        <v>7881.5999999999995</v>
      </c>
      <c r="CT49" s="106">
        <v>8</v>
      </c>
      <c r="CU49" s="106">
        <v>7881.5999999999995</v>
      </c>
    </row>
    <row r="50" spans="2:99" x14ac:dyDescent="0.2">
      <c r="C50" s="105" t="s">
        <v>216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217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218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219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220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221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222</v>
      </c>
      <c r="D56" s="106">
        <v>5</v>
      </c>
      <c r="E56" s="106">
        <v>5754</v>
      </c>
      <c r="F56" s="106">
        <v>3</v>
      </c>
      <c r="G56" s="106">
        <v>3452.3999999999996</v>
      </c>
      <c r="H56" s="106">
        <v>5</v>
      </c>
      <c r="I56" s="106">
        <v>5754</v>
      </c>
      <c r="J56" s="106">
        <v>3</v>
      </c>
      <c r="K56" s="106">
        <v>3452.3999999999996</v>
      </c>
      <c r="L56" s="106">
        <v>5</v>
      </c>
      <c r="M56" s="106">
        <v>5754</v>
      </c>
      <c r="N56" s="106">
        <v>3</v>
      </c>
      <c r="O56" s="106">
        <v>3452.3999999999996</v>
      </c>
      <c r="P56" s="106">
        <v>3</v>
      </c>
      <c r="Q56" s="106">
        <v>3452.3999999999996</v>
      </c>
      <c r="R56" s="106">
        <v>5</v>
      </c>
      <c r="S56" s="106">
        <v>5754</v>
      </c>
      <c r="T56" s="106">
        <v>46</v>
      </c>
      <c r="U56" s="106">
        <v>52936.799999999996</v>
      </c>
      <c r="V56" s="106">
        <v>38</v>
      </c>
      <c r="W56" s="106">
        <v>43730.400000000001</v>
      </c>
      <c r="X56" s="106">
        <v>35</v>
      </c>
      <c r="Y56" s="106">
        <v>40278</v>
      </c>
      <c r="Z56" s="106">
        <v>55</v>
      </c>
      <c r="AA56" s="106">
        <v>63294</v>
      </c>
      <c r="AB56" s="106">
        <v>11</v>
      </c>
      <c r="AC56" s="106">
        <v>12658.8</v>
      </c>
      <c r="AD56" s="106">
        <v>8</v>
      </c>
      <c r="AE56" s="106">
        <v>9206.4</v>
      </c>
      <c r="AF56" s="106">
        <v>7</v>
      </c>
      <c r="AG56" s="106">
        <v>8055.5999999999995</v>
      </c>
      <c r="AH56" s="106">
        <v>9</v>
      </c>
      <c r="AI56" s="106">
        <v>10357.199999999999</v>
      </c>
      <c r="AJ56" s="106">
        <v>10</v>
      </c>
      <c r="AK56" s="106">
        <v>11508</v>
      </c>
      <c r="AL56" s="106">
        <v>18</v>
      </c>
      <c r="AM56" s="106">
        <v>20714.399999999998</v>
      </c>
      <c r="AN56" s="106">
        <v>10</v>
      </c>
      <c r="AO56" s="106">
        <v>11508</v>
      </c>
      <c r="AP56" s="106">
        <v>18</v>
      </c>
      <c r="AQ56" s="106">
        <v>20714.399999999998</v>
      </c>
      <c r="AR56" s="106">
        <v>4</v>
      </c>
      <c r="AS56" s="106">
        <v>4603.2</v>
      </c>
      <c r="AT56" s="106">
        <v>4</v>
      </c>
      <c r="AU56" s="106">
        <v>4603.2</v>
      </c>
      <c r="AV56" s="106">
        <v>3</v>
      </c>
      <c r="AW56" s="106">
        <v>3452.3999999999996</v>
      </c>
      <c r="AX56" s="106">
        <v>3</v>
      </c>
      <c r="AY56" s="106">
        <v>3452.3999999999996</v>
      </c>
      <c r="AZ56" s="106">
        <v>4</v>
      </c>
      <c r="BA56" s="106">
        <v>4603.2</v>
      </c>
      <c r="BB56" s="106">
        <v>3</v>
      </c>
      <c r="BC56" s="106">
        <v>3452.3999999999996</v>
      </c>
      <c r="BD56" s="106">
        <v>4</v>
      </c>
      <c r="BE56" s="106">
        <v>4603.2</v>
      </c>
      <c r="BF56" s="106">
        <v>4</v>
      </c>
      <c r="BG56" s="106">
        <v>4603.2</v>
      </c>
      <c r="BH56" s="106">
        <v>6</v>
      </c>
      <c r="BI56" s="106">
        <v>6904.7999999999993</v>
      </c>
      <c r="BJ56" s="106">
        <v>6</v>
      </c>
      <c r="BK56" s="106">
        <v>6904.7999999999993</v>
      </c>
      <c r="BL56" s="106">
        <v>6</v>
      </c>
      <c r="BM56" s="106">
        <v>6904.7999999999993</v>
      </c>
      <c r="BN56" s="106">
        <v>4</v>
      </c>
      <c r="BO56" s="106">
        <v>4603.2</v>
      </c>
      <c r="BP56" s="106">
        <v>7</v>
      </c>
      <c r="BQ56" s="106">
        <v>8055.5999999999995</v>
      </c>
      <c r="BR56" s="106">
        <v>9</v>
      </c>
      <c r="BS56" s="106">
        <v>10357.199999999999</v>
      </c>
      <c r="BT56" s="106">
        <v>9</v>
      </c>
      <c r="BU56" s="106">
        <v>10357.199999999999</v>
      </c>
      <c r="BV56" s="106">
        <v>9</v>
      </c>
      <c r="BW56" s="106">
        <v>10357.199999999999</v>
      </c>
      <c r="BX56" s="106">
        <v>2</v>
      </c>
      <c r="BY56" s="106">
        <v>2301.6</v>
      </c>
      <c r="BZ56" s="106">
        <v>4</v>
      </c>
      <c r="CA56" s="106">
        <v>4603.2</v>
      </c>
      <c r="CB56" s="106">
        <v>4</v>
      </c>
      <c r="CC56" s="106">
        <v>4603.2</v>
      </c>
      <c r="CD56" s="106">
        <v>4</v>
      </c>
      <c r="CE56" s="106">
        <v>4603.2</v>
      </c>
      <c r="CF56" s="106">
        <v>48</v>
      </c>
      <c r="CG56" s="106">
        <v>55238.399999999994</v>
      </c>
      <c r="CH56" s="106">
        <v>34</v>
      </c>
      <c r="CI56" s="106">
        <v>39127.199999999997</v>
      </c>
      <c r="CJ56" s="106">
        <v>47</v>
      </c>
      <c r="CK56" s="106">
        <v>54087.6</v>
      </c>
      <c r="CL56" s="106">
        <v>45</v>
      </c>
      <c r="CM56" s="106">
        <v>51786</v>
      </c>
      <c r="CN56" s="106">
        <v>9</v>
      </c>
      <c r="CO56" s="106">
        <v>10357.199999999999</v>
      </c>
      <c r="CP56" s="106">
        <v>6</v>
      </c>
      <c r="CQ56" s="106">
        <v>6904.7999999999993</v>
      </c>
      <c r="CR56" s="106">
        <v>8</v>
      </c>
      <c r="CS56" s="106">
        <v>9206.4</v>
      </c>
      <c r="CT56" s="106">
        <v>9</v>
      </c>
      <c r="CU56" s="106">
        <v>10357.199999999999</v>
      </c>
    </row>
    <row r="57" spans="2:99" x14ac:dyDescent="0.2">
      <c r="C57" s="105" t="s">
        <v>223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224</v>
      </c>
      <c r="D58" s="106">
        <v>5</v>
      </c>
      <c r="E58" s="106">
        <v>5886</v>
      </c>
      <c r="F58" s="106">
        <v>4</v>
      </c>
      <c r="G58" s="106">
        <v>4708.8</v>
      </c>
      <c r="H58" s="106">
        <v>5</v>
      </c>
      <c r="I58" s="106">
        <v>5886</v>
      </c>
      <c r="J58" s="106">
        <v>3</v>
      </c>
      <c r="K58" s="106">
        <v>3531.6000000000004</v>
      </c>
      <c r="L58" s="106">
        <v>4</v>
      </c>
      <c r="M58" s="106">
        <v>4708.8</v>
      </c>
      <c r="N58" s="106">
        <v>3</v>
      </c>
      <c r="O58" s="106">
        <v>3531.6000000000004</v>
      </c>
      <c r="P58" s="106">
        <v>3</v>
      </c>
      <c r="Q58" s="106">
        <v>3531.6000000000004</v>
      </c>
      <c r="R58" s="106">
        <v>5</v>
      </c>
      <c r="S58" s="106">
        <v>5886</v>
      </c>
      <c r="T58" s="106">
        <v>41</v>
      </c>
      <c r="U58" s="106">
        <v>48265.200000000004</v>
      </c>
      <c r="V58" s="106">
        <v>38</v>
      </c>
      <c r="W58" s="106">
        <v>44733.599999999999</v>
      </c>
      <c r="X58" s="106">
        <v>34</v>
      </c>
      <c r="Y58" s="106">
        <v>40024.800000000003</v>
      </c>
      <c r="Z58" s="106">
        <v>53</v>
      </c>
      <c r="AA58" s="106">
        <v>62391.600000000006</v>
      </c>
      <c r="AB58" s="106">
        <v>11</v>
      </c>
      <c r="AC58" s="106">
        <v>12949.2</v>
      </c>
      <c r="AD58" s="106">
        <v>8</v>
      </c>
      <c r="AE58" s="106">
        <v>9417.6</v>
      </c>
      <c r="AF58" s="106">
        <v>7</v>
      </c>
      <c r="AG58" s="106">
        <v>8240.4</v>
      </c>
      <c r="AH58" s="106">
        <v>8</v>
      </c>
      <c r="AI58" s="106">
        <v>9417.6</v>
      </c>
      <c r="AJ58" s="106">
        <v>11</v>
      </c>
      <c r="AK58" s="106">
        <v>12949.2</v>
      </c>
      <c r="AL58" s="106">
        <v>17</v>
      </c>
      <c r="AM58" s="106">
        <v>20012.400000000001</v>
      </c>
      <c r="AN58" s="106">
        <v>9</v>
      </c>
      <c r="AO58" s="106">
        <v>10594.800000000001</v>
      </c>
      <c r="AP58" s="106">
        <v>16</v>
      </c>
      <c r="AQ58" s="106">
        <v>18835.2</v>
      </c>
      <c r="AR58" s="106">
        <v>4</v>
      </c>
      <c r="AS58" s="106">
        <v>4708.8</v>
      </c>
      <c r="AT58" s="106">
        <v>5</v>
      </c>
      <c r="AU58" s="106">
        <v>5886</v>
      </c>
      <c r="AV58" s="106">
        <v>3</v>
      </c>
      <c r="AW58" s="106">
        <v>3531.6000000000004</v>
      </c>
      <c r="AX58" s="106">
        <v>3</v>
      </c>
      <c r="AY58" s="106">
        <v>3531.6000000000004</v>
      </c>
      <c r="AZ58" s="106">
        <v>4</v>
      </c>
      <c r="BA58" s="106">
        <v>4708.8</v>
      </c>
      <c r="BB58" s="106">
        <v>4</v>
      </c>
      <c r="BC58" s="106">
        <v>4708.8</v>
      </c>
      <c r="BD58" s="106">
        <v>4</v>
      </c>
      <c r="BE58" s="106">
        <v>4708.8</v>
      </c>
      <c r="BF58" s="106">
        <v>3</v>
      </c>
      <c r="BG58" s="106">
        <v>3531.6000000000004</v>
      </c>
      <c r="BH58" s="106">
        <v>5</v>
      </c>
      <c r="BI58" s="106">
        <v>5886</v>
      </c>
      <c r="BJ58" s="106">
        <v>6</v>
      </c>
      <c r="BK58" s="106">
        <v>7063.2000000000007</v>
      </c>
      <c r="BL58" s="106">
        <v>6</v>
      </c>
      <c r="BM58" s="106">
        <v>7063.2000000000007</v>
      </c>
      <c r="BN58" s="106">
        <v>4</v>
      </c>
      <c r="BO58" s="106">
        <v>4708.8</v>
      </c>
      <c r="BP58" s="106">
        <v>7</v>
      </c>
      <c r="BQ58" s="106">
        <v>8240.4</v>
      </c>
      <c r="BR58" s="106">
        <v>9</v>
      </c>
      <c r="BS58" s="106">
        <v>10594.800000000001</v>
      </c>
      <c r="BT58" s="106">
        <v>11</v>
      </c>
      <c r="BU58" s="106">
        <v>12949.2</v>
      </c>
      <c r="BV58" s="106">
        <v>9</v>
      </c>
      <c r="BW58" s="106">
        <v>10594.800000000001</v>
      </c>
      <c r="BX58" s="106">
        <v>2</v>
      </c>
      <c r="BY58" s="106">
        <v>2354.4</v>
      </c>
      <c r="BZ58" s="106">
        <v>4</v>
      </c>
      <c r="CA58" s="106">
        <v>4708.8</v>
      </c>
      <c r="CB58" s="106">
        <v>4</v>
      </c>
      <c r="CC58" s="106">
        <v>4708.8</v>
      </c>
      <c r="CD58" s="106">
        <v>4</v>
      </c>
      <c r="CE58" s="106">
        <v>4708.8</v>
      </c>
      <c r="CF58" s="106">
        <v>54</v>
      </c>
      <c r="CG58" s="106">
        <v>63568.800000000003</v>
      </c>
      <c r="CH58" s="106">
        <v>32</v>
      </c>
      <c r="CI58" s="106">
        <v>37670.400000000001</v>
      </c>
      <c r="CJ58" s="106">
        <v>41</v>
      </c>
      <c r="CK58" s="106">
        <v>48265.200000000004</v>
      </c>
      <c r="CL58" s="106">
        <v>44</v>
      </c>
      <c r="CM58" s="106">
        <v>51796.800000000003</v>
      </c>
      <c r="CN58" s="106">
        <v>8</v>
      </c>
      <c r="CO58" s="106">
        <v>9417.6</v>
      </c>
      <c r="CP58" s="106">
        <v>6</v>
      </c>
      <c r="CQ58" s="106">
        <v>7063.2000000000007</v>
      </c>
      <c r="CR58" s="106">
        <v>7</v>
      </c>
      <c r="CS58" s="106">
        <v>8240.4</v>
      </c>
      <c r="CT58" s="106">
        <v>8</v>
      </c>
      <c r="CU58" s="106">
        <v>9417.6</v>
      </c>
    </row>
    <row r="59" spans="2:99" x14ac:dyDescent="0.2">
      <c r="C59" s="105" t="s">
        <v>225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226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227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228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229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230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231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232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233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234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235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236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237</v>
      </c>
      <c r="D71" s="106">
        <v>22</v>
      </c>
      <c r="E71" s="106">
        <v>12408</v>
      </c>
      <c r="F71" s="106">
        <v>21</v>
      </c>
      <c r="G71" s="106">
        <v>11844</v>
      </c>
      <c r="H71" s="106">
        <v>22</v>
      </c>
      <c r="I71" s="106">
        <v>12408</v>
      </c>
      <c r="J71" s="106">
        <v>18</v>
      </c>
      <c r="K71" s="106">
        <v>10152</v>
      </c>
      <c r="L71" s="106">
        <v>21</v>
      </c>
      <c r="M71" s="106">
        <v>11844</v>
      </c>
      <c r="N71" s="106">
        <v>16</v>
      </c>
      <c r="O71" s="106">
        <v>9024</v>
      </c>
      <c r="P71" s="106">
        <v>17</v>
      </c>
      <c r="Q71" s="106">
        <v>9588</v>
      </c>
      <c r="R71" s="106">
        <v>23</v>
      </c>
      <c r="S71" s="106">
        <v>12972</v>
      </c>
      <c r="T71" s="106">
        <v>9</v>
      </c>
      <c r="U71" s="106">
        <v>5076</v>
      </c>
      <c r="V71" s="106">
        <v>19</v>
      </c>
      <c r="W71" s="106">
        <v>10716</v>
      </c>
      <c r="X71" s="106">
        <v>10</v>
      </c>
      <c r="Y71" s="106">
        <v>5640</v>
      </c>
      <c r="Z71" s="106">
        <v>14</v>
      </c>
      <c r="AA71" s="106">
        <v>7896</v>
      </c>
      <c r="AB71" s="106">
        <v>7</v>
      </c>
      <c r="AC71" s="106">
        <v>3948</v>
      </c>
      <c r="AD71" s="106">
        <v>14</v>
      </c>
      <c r="AE71" s="106">
        <v>7896</v>
      </c>
      <c r="AF71" s="106">
        <v>14</v>
      </c>
      <c r="AG71" s="106">
        <v>7896</v>
      </c>
      <c r="AH71" s="106">
        <v>9</v>
      </c>
      <c r="AI71" s="106">
        <v>5076</v>
      </c>
      <c r="AJ71" s="106">
        <v>27</v>
      </c>
      <c r="AK71" s="106">
        <v>15228</v>
      </c>
      <c r="AL71" s="106">
        <v>24</v>
      </c>
      <c r="AM71" s="106">
        <v>13536</v>
      </c>
      <c r="AN71" s="106">
        <v>22</v>
      </c>
      <c r="AO71" s="106">
        <v>12408</v>
      </c>
      <c r="AP71" s="106">
        <v>19</v>
      </c>
      <c r="AQ71" s="106">
        <v>10716</v>
      </c>
      <c r="AR71" s="106">
        <v>29</v>
      </c>
      <c r="AS71" s="106">
        <v>16356</v>
      </c>
      <c r="AT71" s="106">
        <v>32</v>
      </c>
      <c r="AU71" s="106">
        <v>18048</v>
      </c>
      <c r="AV71" s="106">
        <v>36</v>
      </c>
      <c r="AW71" s="106">
        <v>20304</v>
      </c>
      <c r="AX71" s="106">
        <v>28</v>
      </c>
      <c r="AY71" s="106">
        <v>15792</v>
      </c>
      <c r="AZ71" s="106">
        <v>3</v>
      </c>
      <c r="BA71" s="106">
        <v>1692</v>
      </c>
      <c r="BB71" s="106">
        <v>3</v>
      </c>
      <c r="BC71" s="106">
        <v>1692</v>
      </c>
      <c r="BD71" s="106">
        <v>4</v>
      </c>
      <c r="BE71" s="106">
        <v>2256</v>
      </c>
      <c r="BF71" s="106">
        <v>4</v>
      </c>
      <c r="BG71" s="106">
        <v>2256</v>
      </c>
      <c r="BH71" s="106">
        <v>3</v>
      </c>
      <c r="BI71" s="106">
        <v>1692</v>
      </c>
      <c r="BJ71" s="106">
        <v>2</v>
      </c>
      <c r="BK71" s="106">
        <v>1128</v>
      </c>
      <c r="BL71" s="106">
        <v>3</v>
      </c>
      <c r="BM71" s="106">
        <v>1692</v>
      </c>
      <c r="BN71" s="106">
        <v>2</v>
      </c>
      <c r="BO71" s="106">
        <v>1128</v>
      </c>
      <c r="BP71" s="106">
        <v>3</v>
      </c>
      <c r="BQ71" s="106">
        <v>1692</v>
      </c>
      <c r="BR71" s="106">
        <v>4</v>
      </c>
      <c r="BS71" s="106">
        <v>2256</v>
      </c>
      <c r="BT71" s="106">
        <v>3</v>
      </c>
      <c r="BU71" s="106">
        <v>1692</v>
      </c>
      <c r="BV71" s="106">
        <v>4</v>
      </c>
      <c r="BW71" s="106">
        <v>2256</v>
      </c>
      <c r="BX71" s="106">
        <v>28</v>
      </c>
      <c r="BY71" s="106">
        <v>15792</v>
      </c>
      <c r="BZ71" s="106">
        <v>14</v>
      </c>
      <c r="CA71" s="106">
        <v>7896</v>
      </c>
      <c r="CB71" s="106">
        <v>19</v>
      </c>
      <c r="CC71" s="106">
        <v>10716</v>
      </c>
      <c r="CD71" s="106">
        <v>14</v>
      </c>
      <c r="CE71" s="106">
        <v>7896</v>
      </c>
      <c r="CF71" s="106">
        <v>3</v>
      </c>
      <c r="CG71" s="106">
        <v>1692</v>
      </c>
      <c r="CH71" s="106">
        <v>3</v>
      </c>
      <c r="CI71" s="106">
        <v>1692</v>
      </c>
      <c r="CJ71" s="106">
        <v>2</v>
      </c>
      <c r="CK71" s="106">
        <v>1128</v>
      </c>
      <c r="CL71" s="106">
        <v>2</v>
      </c>
      <c r="CM71" s="106">
        <v>1128</v>
      </c>
      <c r="CN71" s="106">
        <v>5</v>
      </c>
      <c r="CO71" s="106">
        <v>2820</v>
      </c>
      <c r="CP71" s="106">
        <v>5</v>
      </c>
      <c r="CQ71" s="106">
        <v>2820</v>
      </c>
      <c r="CR71" s="106">
        <v>5</v>
      </c>
      <c r="CS71" s="106">
        <v>2820</v>
      </c>
      <c r="CT71" s="106">
        <v>5</v>
      </c>
      <c r="CU71" s="106">
        <v>2820</v>
      </c>
    </row>
    <row r="72" spans="2:99" x14ac:dyDescent="0.2">
      <c r="C72" s="105" t="s">
        <v>238</v>
      </c>
      <c r="D72" s="106">
        <v>23</v>
      </c>
      <c r="E72" s="106">
        <v>1711.1999999999998</v>
      </c>
      <c r="F72" s="106">
        <v>22</v>
      </c>
      <c r="G72" s="106">
        <v>1636.7999999999997</v>
      </c>
      <c r="H72" s="106">
        <v>29</v>
      </c>
      <c r="I72" s="106">
        <v>2157.6</v>
      </c>
      <c r="J72" s="106">
        <v>20</v>
      </c>
      <c r="K72" s="106">
        <v>1487.9999999999998</v>
      </c>
      <c r="L72" s="106">
        <v>21</v>
      </c>
      <c r="M72" s="106">
        <v>1562.3999999999999</v>
      </c>
      <c r="N72" s="106">
        <v>17</v>
      </c>
      <c r="O72" s="106">
        <v>1264.8</v>
      </c>
      <c r="P72" s="106">
        <v>19</v>
      </c>
      <c r="Q72" s="106">
        <v>1413.6</v>
      </c>
      <c r="R72" s="106">
        <v>25</v>
      </c>
      <c r="S72" s="106">
        <v>1859.9999999999998</v>
      </c>
      <c r="T72" s="106">
        <v>10</v>
      </c>
      <c r="U72" s="106">
        <v>743.99999999999989</v>
      </c>
      <c r="V72" s="106">
        <v>17</v>
      </c>
      <c r="W72" s="106">
        <v>1264.8</v>
      </c>
      <c r="X72" s="106">
        <v>11</v>
      </c>
      <c r="Y72" s="106">
        <v>818.39999999999986</v>
      </c>
      <c r="Z72" s="106">
        <v>17</v>
      </c>
      <c r="AA72" s="106">
        <v>1264.8</v>
      </c>
      <c r="AB72" s="106">
        <v>9</v>
      </c>
      <c r="AC72" s="106">
        <v>669.59999999999991</v>
      </c>
      <c r="AD72" s="106">
        <v>16</v>
      </c>
      <c r="AE72" s="106">
        <v>1190.3999999999999</v>
      </c>
      <c r="AF72" s="106">
        <v>14</v>
      </c>
      <c r="AG72" s="106">
        <v>1041.5999999999999</v>
      </c>
      <c r="AH72" s="106">
        <v>11</v>
      </c>
      <c r="AI72" s="106">
        <v>818.39999999999986</v>
      </c>
      <c r="AJ72" s="106">
        <v>30</v>
      </c>
      <c r="AK72" s="106">
        <v>2231.9999999999995</v>
      </c>
      <c r="AL72" s="106">
        <v>26</v>
      </c>
      <c r="AM72" s="106">
        <v>1934.3999999999999</v>
      </c>
      <c r="AN72" s="106">
        <v>25</v>
      </c>
      <c r="AO72" s="106">
        <v>1859.9999999999998</v>
      </c>
      <c r="AP72" s="106">
        <v>20</v>
      </c>
      <c r="AQ72" s="106">
        <v>1487.9999999999998</v>
      </c>
      <c r="AR72" s="106">
        <v>30</v>
      </c>
      <c r="AS72" s="106">
        <v>2231.9999999999995</v>
      </c>
      <c r="AT72" s="106">
        <v>38</v>
      </c>
      <c r="AU72" s="106">
        <v>2827.2</v>
      </c>
      <c r="AV72" s="106">
        <v>36</v>
      </c>
      <c r="AW72" s="106">
        <v>2678.3999999999996</v>
      </c>
      <c r="AX72" s="106">
        <v>29</v>
      </c>
      <c r="AY72" s="106">
        <v>2157.6</v>
      </c>
      <c r="AZ72" s="106">
        <v>3</v>
      </c>
      <c r="BA72" s="106">
        <v>223.2</v>
      </c>
      <c r="BB72" s="106">
        <v>3</v>
      </c>
      <c r="BC72" s="106">
        <v>223.2</v>
      </c>
      <c r="BD72" s="106">
        <v>4</v>
      </c>
      <c r="BE72" s="106">
        <v>297.59999999999997</v>
      </c>
      <c r="BF72" s="106">
        <v>3</v>
      </c>
      <c r="BG72" s="106">
        <v>223.2</v>
      </c>
      <c r="BH72" s="106">
        <v>3</v>
      </c>
      <c r="BI72" s="106">
        <v>223.2</v>
      </c>
      <c r="BJ72" s="106">
        <v>2</v>
      </c>
      <c r="BK72" s="106">
        <v>148.79999999999998</v>
      </c>
      <c r="BL72" s="106">
        <v>4</v>
      </c>
      <c r="BM72" s="106">
        <v>297.59999999999997</v>
      </c>
      <c r="BN72" s="106">
        <v>2</v>
      </c>
      <c r="BO72" s="106">
        <v>148.79999999999998</v>
      </c>
      <c r="BP72" s="106">
        <v>3</v>
      </c>
      <c r="BQ72" s="106">
        <v>223.2</v>
      </c>
      <c r="BR72" s="106">
        <v>4</v>
      </c>
      <c r="BS72" s="106">
        <v>297.59999999999997</v>
      </c>
      <c r="BT72" s="106">
        <v>3</v>
      </c>
      <c r="BU72" s="106">
        <v>223.2</v>
      </c>
      <c r="BV72" s="106">
        <v>3</v>
      </c>
      <c r="BW72" s="106">
        <v>223.2</v>
      </c>
      <c r="BX72" s="106">
        <v>29</v>
      </c>
      <c r="BY72" s="106">
        <v>2157.6</v>
      </c>
      <c r="BZ72" s="106">
        <v>16</v>
      </c>
      <c r="CA72" s="106">
        <v>1190.3999999999999</v>
      </c>
      <c r="CB72" s="106">
        <v>23</v>
      </c>
      <c r="CC72" s="106">
        <v>1711.1999999999998</v>
      </c>
      <c r="CD72" s="106">
        <v>17</v>
      </c>
      <c r="CE72" s="106">
        <v>1264.8</v>
      </c>
      <c r="CF72" s="106">
        <v>2</v>
      </c>
      <c r="CG72" s="106">
        <v>148.79999999999998</v>
      </c>
      <c r="CH72" s="106">
        <v>3</v>
      </c>
      <c r="CI72" s="106">
        <v>223.2</v>
      </c>
      <c r="CJ72" s="106">
        <v>2</v>
      </c>
      <c r="CK72" s="106">
        <v>148.79999999999998</v>
      </c>
      <c r="CL72" s="106">
        <v>2</v>
      </c>
      <c r="CM72" s="106">
        <v>148.79999999999998</v>
      </c>
      <c r="CN72" s="106">
        <v>5</v>
      </c>
      <c r="CO72" s="106">
        <v>371.99999999999994</v>
      </c>
      <c r="CP72" s="106">
        <v>5</v>
      </c>
      <c r="CQ72" s="106">
        <v>371.99999999999994</v>
      </c>
      <c r="CR72" s="106">
        <v>5</v>
      </c>
      <c r="CS72" s="106">
        <v>371.99999999999994</v>
      </c>
      <c r="CT72" s="106">
        <v>6</v>
      </c>
      <c r="CU72" s="106">
        <v>446.4</v>
      </c>
    </row>
    <row r="73" spans="2:99" x14ac:dyDescent="0.2">
      <c r="C73" s="105" t="s">
        <v>239</v>
      </c>
      <c r="D73" s="106">
        <v>23</v>
      </c>
      <c r="E73" s="106">
        <v>12861.599999999999</v>
      </c>
      <c r="F73" s="106">
        <v>23</v>
      </c>
      <c r="G73" s="106">
        <v>12861.599999999999</v>
      </c>
      <c r="H73" s="106">
        <v>23</v>
      </c>
      <c r="I73" s="106">
        <v>12861.599999999999</v>
      </c>
      <c r="J73" s="106">
        <v>17</v>
      </c>
      <c r="K73" s="106">
        <v>9506.4</v>
      </c>
      <c r="L73" s="106">
        <v>21</v>
      </c>
      <c r="M73" s="106">
        <v>11743.199999999999</v>
      </c>
      <c r="N73" s="106">
        <v>16</v>
      </c>
      <c r="O73" s="106">
        <v>8947.1999999999989</v>
      </c>
      <c r="P73" s="106">
        <v>19</v>
      </c>
      <c r="Q73" s="106">
        <v>10624.8</v>
      </c>
      <c r="R73" s="106">
        <v>21</v>
      </c>
      <c r="S73" s="106">
        <v>11743.199999999999</v>
      </c>
      <c r="T73" s="106">
        <v>10</v>
      </c>
      <c r="U73" s="106">
        <v>5591.9999999999991</v>
      </c>
      <c r="V73" s="106">
        <v>18</v>
      </c>
      <c r="W73" s="106">
        <v>10065.599999999999</v>
      </c>
      <c r="X73" s="106">
        <v>10</v>
      </c>
      <c r="Y73" s="106">
        <v>5591.9999999999991</v>
      </c>
      <c r="Z73" s="106">
        <v>17</v>
      </c>
      <c r="AA73" s="106">
        <v>9506.4</v>
      </c>
      <c r="AB73" s="106">
        <v>8</v>
      </c>
      <c r="AC73" s="106">
        <v>4473.5999999999995</v>
      </c>
      <c r="AD73" s="106">
        <v>12</v>
      </c>
      <c r="AE73" s="106">
        <v>6710.4</v>
      </c>
      <c r="AF73" s="106">
        <v>12</v>
      </c>
      <c r="AG73" s="106">
        <v>6710.4</v>
      </c>
      <c r="AH73" s="106">
        <v>10</v>
      </c>
      <c r="AI73" s="106">
        <v>5591.9999999999991</v>
      </c>
      <c r="AJ73" s="106">
        <v>29</v>
      </c>
      <c r="AK73" s="106">
        <v>16216.799999999997</v>
      </c>
      <c r="AL73" s="106">
        <v>20</v>
      </c>
      <c r="AM73" s="106">
        <v>11183.999999999998</v>
      </c>
      <c r="AN73" s="106">
        <v>20</v>
      </c>
      <c r="AO73" s="106">
        <v>11183.999999999998</v>
      </c>
      <c r="AP73" s="106">
        <v>16</v>
      </c>
      <c r="AQ73" s="106">
        <v>8947.1999999999989</v>
      </c>
      <c r="AR73" s="106">
        <v>29</v>
      </c>
      <c r="AS73" s="106">
        <v>16216.799999999997</v>
      </c>
      <c r="AT73" s="106">
        <v>33</v>
      </c>
      <c r="AU73" s="106">
        <v>18453.599999999999</v>
      </c>
      <c r="AV73" s="106">
        <v>35</v>
      </c>
      <c r="AW73" s="106">
        <v>19571.999999999996</v>
      </c>
      <c r="AX73" s="106">
        <v>28</v>
      </c>
      <c r="AY73" s="106">
        <v>15657.599999999999</v>
      </c>
      <c r="AZ73" s="106">
        <v>3</v>
      </c>
      <c r="BA73" s="106">
        <v>1677.6</v>
      </c>
      <c r="BB73" s="106">
        <v>3</v>
      </c>
      <c r="BC73" s="106">
        <v>1677.6</v>
      </c>
      <c r="BD73" s="106">
        <v>4</v>
      </c>
      <c r="BE73" s="106">
        <v>2236.7999999999997</v>
      </c>
      <c r="BF73" s="106">
        <v>3</v>
      </c>
      <c r="BG73" s="106">
        <v>1677.6</v>
      </c>
      <c r="BH73" s="106">
        <v>3</v>
      </c>
      <c r="BI73" s="106">
        <v>1677.6</v>
      </c>
      <c r="BJ73" s="106">
        <v>2</v>
      </c>
      <c r="BK73" s="106">
        <v>1118.3999999999999</v>
      </c>
      <c r="BL73" s="106">
        <v>3</v>
      </c>
      <c r="BM73" s="106">
        <v>1677.6</v>
      </c>
      <c r="BN73" s="106">
        <v>2</v>
      </c>
      <c r="BO73" s="106">
        <v>1118.3999999999999</v>
      </c>
      <c r="BP73" s="106">
        <v>3</v>
      </c>
      <c r="BQ73" s="106">
        <v>1677.6</v>
      </c>
      <c r="BR73" s="106">
        <v>4</v>
      </c>
      <c r="BS73" s="106">
        <v>2236.7999999999997</v>
      </c>
      <c r="BT73" s="106">
        <v>3</v>
      </c>
      <c r="BU73" s="106">
        <v>1677.6</v>
      </c>
      <c r="BV73" s="106">
        <v>3</v>
      </c>
      <c r="BW73" s="106">
        <v>1677.6</v>
      </c>
      <c r="BX73" s="106">
        <v>26</v>
      </c>
      <c r="BY73" s="106">
        <v>14539.199999999999</v>
      </c>
      <c r="BZ73" s="106">
        <v>16</v>
      </c>
      <c r="CA73" s="106">
        <v>8947.1999999999989</v>
      </c>
      <c r="CB73" s="106">
        <v>23</v>
      </c>
      <c r="CC73" s="106">
        <v>12861.599999999999</v>
      </c>
      <c r="CD73" s="106">
        <v>15</v>
      </c>
      <c r="CE73" s="106">
        <v>8387.9999999999982</v>
      </c>
      <c r="CF73" s="106">
        <v>2</v>
      </c>
      <c r="CG73" s="106">
        <v>1118.3999999999999</v>
      </c>
      <c r="CH73" s="106">
        <v>3</v>
      </c>
      <c r="CI73" s="106">
        <v>1677.6</v>
      </c>
      <c r="CJ73" s="106">
        <v>2</v>
      </c>
      <c r="CK73" s="106">
        <v>1118.3999999999999</v>
      </c>
      <c r="CL73" s="106">
        <v>2</v>
      </c>
      <c r="CM73" s="106">
        <v>1118.3999999999999</v>
      </c>
      <c r="CN73" s="106">
        <v>5</v>
      </c>
      <c r="CO73" s="106">
        <v>2795.9999999999995</v>
      </c>
      <c r="CP73" s="106">
        <v>5</v>
      </c>
      <c r="CQ73" s="106">
        <v>2795.9999999999995</v>
      </c>
      <c r="CR73" s="106">
        <v>5</v>
      </c>
      <c r="CS73" s="106">
        <v>2795.9999999999995</v>
      </c>
      <c r="CT73" s="106">
        <v>6</v>
      </c>
      <c r="CU73" s="106">
        <v>3355.2</v>
      </c>
    </row>
    <row r="74" spans="2:99" x14ac:dyDescent="0.2">
      <c r="C74" s="105" t="s">
        <v>240</v>
      </c>
      <c r="D74" s="106">
        <v>23</v>
      </c>
      <c r="E74" s="106">
        <v>9273.6</v>
      </c>
      <c r="F74" s="106">
        <v>22</v>
      </c>
      <c r="G74" s="106">
        <v>8870.4</v>
      </c>
      <c r="H74" s="106">
        <v>26</v>
      </c>
      <c r="I74" s="106">
        <v>10483.199999999999</v>
      </c>
      <c r="J74" s="106">
        <v>21</v>
      </c>
      <c r="K74" s="106">
        <v>8467.1999999999989</v>
      </c>
      <c r="L74" s="106">
        <v>18</v>
      </c>
      <c r="M74" s="106">
        <v>7257.5999999999995</v>
      </c>
      <c r="N74" s="106">
        <v>19</v>
      </c>
      <c r="O74" s="106">
        <v>7660.8</v>
      </c>
      <c r="P74" s="106">
        <v>18</v>
      </c>
      <c r="Q74" s="106">
        <v>7257.5999999999995</v>
      </c>
      <c r="R74" s="106">
        <v>23</v>
      </c>
      <c r="S74" s="106">
        <v>9273.6</v>
      </c>
      <c r="T74" s="106">
        <v>10</v>
      </c>
      <c r="U74" s="106">
        <v>4032</v>
      </c>
      <c r="V74" s="106">
        <v>18</v>
      </c>
      <c r="W74" s="106">
        <v>7257.5999999999995</v>
      </c>
      <c r="X74" s="106">
        <v>10</v>
      </c>
      <c r="Y74" s="106">
        <v>4032</v>
      </c>
      <c r="Z74" s="106">
        <v>15</v>
      </c>
      <c r="AA74" s="106">
        <v>6048</v>
      </c>
      <c r="AB74" s="106">
        <v>8</v>
      </c>
      <c r="AC74" s="106">
        <v>3225.6</v>
      </c>
      <c r="AD74" s="106">
        <v>14</v>
      </c>
      <c r="AE74" s="106">
        <v>5644.8</v>
      </c>
      <c r="AF74" s="106">
        <v>13</v>
      </c>
      <c r="AG74" s="106">
        <v>5241.5999999999995</v>
      </c>
      <c r="AH74" s="106">
        <v>10</v>
      </c>
      <c r="AI74" s="106">
        <v>4032</v>
      </c>
      <c r="AJ74" s="106">
        <v>29</v>
      </c>
      <c r="AK74" s="106">
        <v>11692.8</v>
      </c>
      <c r="AL74" s="106">
        <v>24</v>
      </c>
      <c r="AM74" s="106">
        <v>9676.7999999999993</v>
      </c>
      <c r="AN74" s="106">
        <v>23</v>
      </c>
      <c r="AO74" s="106">
        <v>9273.6</v>
      </c>
      <c r="AP74" s="106">
        <v>19</v>
      </c>
      <c r="AQ74" s="106">
        <v>7660.8</v>
      </c>
      <c r="AR74" s="106">
        <v>30</v>
      </c>
      <c r="AS74" s="106">
        <v>12096</v>
      </c>
      <c r="AT74" s="106">
        <v>37</v>
      </c>
      <c r="AU74" s="106">
        <v>14918.4</v>
      </c>
      <c r="AV74" s="106">
        <v>33</v>
      </c>
      <c r="AW74" s="106">
        <v>13305.6</v>
      </c>
      <c r="AX74" s="106">
        <v>26</v>
      </c>
      <c r="AY74" s="106">
        <v>10483.199999999999</v>
      </c>
      <c r="AZ74" s="106">
        <v>3</v>
      </c>
      <c r="BA74" s="106">
        <v>1209.5999999999999</v>
      </c>
      <c r="BB74" s="106">
        <v>3</v>
      </c>
      <c r="BC74" s="106">
        <v>1209.5999999999999</v>
      </c>
      <c r="BD74" s="106">
        <v>4</v>
      </c>
      <c r="BE74" s="106">
        <v>1612.8</v>
      </c>
      <c r="BF74" s="106">
        <v>4</v>
      </c>
      <c r="BG74" s="106">
        <v>1612.8</v>
      </c>
      <c r="BH74" s="106">
        <v>3</v>
      </c>
      <c r="BI74" s="106">
        <v>1209.5999999999999</v>
      </c>
      <c r="BJ74" s="106">
        <v>2</v>
      </c>
      <c r="BK74" s="106">
        <v>806.4</v>
      </c>
      <c r="BL74" s="106">
        <v>3</v>
      </c>
      <c r="BM74" s="106">
        <v>1209.5999999999999</v>
      </c>
      <c r="BN74" s="106">
        <v>2</v>
      </c>
      <c r="BO74" s="106">
        <v>806.4</v>
      </c>
      <c r="BP74" s="106">
        <v>3</v>
      </c>
      <c r="BQ74" s="106">
        <v>1209.5999999999999</v>
      </c>
      <c r="BR74" s="106">
        <v>4</v>
      </c>
      <c r="BS74" s="106">
        <v>1612.8</v>
      </c>
      <c r="BT74" s="106">
        <v>3</v>
      </c>
      <c r="BU74" s="106">
        <v>1209.5999999999999</v>
      </c>
      <c r="BV74" s="106">
        <v>3</v>
      </c>
      <c r="BW74" s="106">
        <v>1209.5999999999999</v>
      </c>
      <c r="BX74" s="106">
        <v>28</v>
      </c>
      <c r="BY74" s="106">
        <v>11289.6</v>
      </c>
      <c r="BZ74" s="106">
        <v>17</v>
      </c>
      <c r="CA74" s="106">
        <v>6854.4</v>
      </c>
      <c r="CB74" s="106">
        <v>23</v>
      </c>
      <c r="CC74" s="106">
        <v>9273.6</v>
      </c>
      <c r="CD74" s="106">
        <v>15</v>
      </c>
      <c r="CE74" s="106">
        <v>6048</v>
      </c>
      <c r="CF74" s="106">
        <v>2</v>
      </c>
      <c r="CG74" s="106">
        <v>806.4</v>
      </c>
      <c r="CH74" s="106">
        <v>3</v>
      </c>
      <c r="CI74" s="106">
        <v>1209.5999999999999</v>
      </c>
      <c r="CJ74" s="106">
        <v>2</v>
      </c>
      <c r="CK74" s="106">
        <v>806.4</v>
      </c>
      <c r="CL74" s="106">
        <v>2</v>
      </c>
      <c r="CM74" s="106">
        <v>806.4</v>
      </c>
      <c r="CN74" s="106">
        <v>5</v>
      </c>
      <c r="CO74" s="106">
        <v>2016</v>
      </c>
      <c r="CP74" s="106">
        <v>5</v>
      </c>
      <c r="CQ74" s="106">
        <v>2016</v>
      </c>
      <c r="CR74" s="106">
        <v>5</v>
      </c>
      <c r="CS74" s="106">
        <v>2016</v>
      </c>
      <c r="CT74" s="106">
        <v>5</v>
      </c>
      <c r="CU74" s="106">
        <v>2016</v>
      </c>
    </row>
    <row r="75" spans="2:99" x14ac:dyDescent="0.2">
      <c r="C75" s="105" t="s">
        <v>241</v>
      </c>
      <c r="D75" s="106">
        <v>22</v>
      </c>
      <c r="E75" s="106">
        <v>14150.399999999998</v>
      </c>
      <c r="F75" s="106">
        <v>24</v>
      </c>
      <c r="G75" s="106">
        <v>15436.8</v>
      </c>
      <c r="H75" s="106">
        <v>23</v>
      </c>
      <c r="I75" s="106">
        <v>14793.599999999999</v>
      </c>
      <c r="J75" s="106">
        <v>17</v>
      </c>
      <c r="K75" s="106">
        <v>10934.4</v>
      </c>
      <c r="L75" s="106">
        <v>20</v>
      </c>
      <c r="M75" s="106">
        <v>12863.999999999998</v>
      </c>
      <c r="N75" s="106">
        <v>17</v>
      </c>
      <c r="O75" s="106">
        <v>10934.4</v>
      </c>
      <c r="P75" s="106">
        <v>17</v>
      </c>
      <c r="Q75" s="106">
        <v>10934.4</v>
      </c>
      <c r="R75" s="106">
        <v>21</v>
      </c>
      <c r="S75" s="106">
        <v>13507.199999999999</v>
      </c>
      <c r="T75" s="106">
        <v>8</v>
      </c>
      <c r="U75" s="106">
        <v>5145.5999999999995</v>
      </c>
      <c r="V75" s="106">
        <v>18</v>
      </c>
      <c r="W75" s="106">
        <v>11577.599999999999</v>
      </c>
      <c r="X75" s="106">
        <v>11</v>
      </c>
      <c r="Y75" s="106">
        <v>7075.1999999999989</v>
      </c>
      <c r="Z75" s="106">
        <v>16</v>
      </c>
      <c r="AA75" s="106">
        <v>10291.199999999999</v>
      </c>
      <c r="AB75" s="106">
        <v>8</v>
      </c>
      <c r="AC75" s="106">
        <v>5145.5999999999995</v>
      </c>
      <c r="AD75" s="106">
        <v>13</v>
      </c>
      <c r="AE75" s="106">
        <v>8361.5999999999985</v>
      </c>
      <c r="AF75" s="106">
        <v>13</v>
      </c>
      <c r="AG75" s="106">
        <v>8361.5999999999985</v>
      </c>
      <c r="AH75" s="106">
        <v>10</v>
      </c>
      <c r="AI75" s="106">
        <v>6431.9999999999991</v>
      </c>
      <c r="AJ75" s="106">
        <v>27</v>
      </c>
      <c r="AK75" s="106">
        <v>17366.399999999998</v>
      </c>
      <c r="AL75" s="106">
        <v>22</v>
      </c>
      <c r="AM75" s="106">
        <v>14150.399999999998</v>
      </c>
      <c r="AN75" s="106">
        <v>24</v>
      </c>
      <c r="AO75" s="106">
        <v>15436.8</v>
      </c>
      <c r="AP75" s="106">
        <v>17</v>
      </c>
      <c r="AQ75" s="106">
        <v>10934.4</v>
      </c>
      <c r="AR75" s="106">
        <v>25</v>
      </c>
      <c r="AS75" s="106">
        <v>16079.999999999998</v>
      </c>
      <c r="AT75" s="106">
        <v>33</v>
      </c>
      <c r="AU75" s="106">
        <v>21225.599999999999</v>
      </c>
      <c r="AV75" s="106">
        <v>30</v>
      </c>
      <c r="AW75" s="106">
        <v>19295.999999999996</v>
      </c>
      <c r="AX75" s="106">
        <v>24</v>
      </c>
      <c r="AY75" s="106">
        <v>15436.8</v>
      </c>
      <c r="AZ75" s="106">
        <v>3</v>
      </c>
      <c r="BA75" s="106">
        <v>1929.6</v>
      </c>
      <c r="BB75" s="106">
        <v>3</v>
      </c>
      <c r="BC75" s="106">
        <v>1929.6</v>
      </c>
      <c r="BD75" s="106">
        <v>3</v>
      </c>
      <c r="BE75" s="106">
        <v>1929.6</v>
      </c>
      <c r="BF75" s="106">
        <v>4</v>
      </c>
      <c r="BG75" s="106">
        <v>2572.7999999999997</v>
      </c>
      <c r="BH75" s="106">
        <v>3</v>
      </c>
      <c r="BI75" s="106">
        <v>1929.6</v>
      </c>
      <c r="BJ75" s="106">
        <v>2</v>
      </c>
      <c r="BK75" s="106">
        <v>1286.3999999999999</v>
      </c>
      <c r="BL75" s="106">
        <v>3</v>
      </c>
      <c r="BM75" s="106">
        <v>1929.6</v>
      </c>
      <c r="BN75" s="106">
        <v>2</v>
      </c>
      <c r="BO75" s="106">
        <v>1286.3999999999999</v>
      </c>
      <c r="BP75" s="106">
        <v>3</v>
      </c>
      <c r="BQ75" s="106">
        <v>1929.6</v>
      </c>
      <c r="BR75" s="106">
        <v>4</v>
      </c>
      <c r="BS75" s="106">
        <v>2572.7999999999997</v>
      </c>
      <c r="BT75" s="106">
        <v>3</v>
      </c>
      <c r="BU75" s="106">
        <v>1929.6</v>
      </c>
      <c r="BV75" s="106">
        <v>4</v>
      </c>
      <c r="BW75" s="106">
        <v>2572.7999999999997</v>
      </c>
      <c r="BX75" s="106">
        <v>26</v>
      </c>
      <c r="BY75" s="106">
        <v>16723.199999999997</v>
      </c>
      <c r="BZ75" s="106">
        <v>14</v>
      </c>
      <c r="CA75" s="106">
        <v>9004.7999999999993</v>
      </c>
      <c r="CB75" s="106">
        <v>21</v>
      </c>
      <c r="CC75" s="106">
        <v>13507.199999999999</v>
      </c>
      <c r="CD75" s="106">
        <v>15</v>
      </c>
      <c r="CE75" s="106">
        <v>9647.9999999999982</v>
      </c>
      <c r="CF75" s="106">
        <v>3</v>
      </c>
      <c r="CG75" s="106">
        <v>1929.6</v>
      </c>
      <c r="CH75" s="106">
        <v>3</v>
      </c>
      <c r="CI75" s="106">
        <v>1929.6</v>
      </c>
      <c r="CJ75" s="106">
        <v>2</v>
      </c>
      <c r="CK75" s="106">
        <v>1286.3999999999999</v>
      </c>
      <c r="CL75" s="106">
        <v>2</v>
      </c>
      <c r="CM75" s="106">
        <v>1286.3999999999999</v>
      </c>
      <c r="CN75" s="106">
        <v>5</v>
      </c>
      <c r="CO75" s="106">
        <v>3215.9999999999995</v>
      </c>
      <c r="CP75" s="106">
        <v>4</v>
      </c>
      <c r="CQ75" s="106">
        <v>2572.7999999999997</v>
      </c>
      <c r="CR75" s="106">
        <v>6</v>
      </c>
      <c r="CS75" s="106">
        <v>3859.2</v>
      </c>
      <c r="CT75" s="106">
        <v>5</v>
      </c>
      <c r="CU75" s="106">
        <v>3215.9999999999995</v>
      </c>
    </row>
    <row r="76" spans="2:99" x14ac:dyDescent="0.2">
      <c r="C76" s="105" t="s">
        <v>242</v>
      </c>
      <c r="D76" s="106">
        <v>21</v>
      </c>
      <c r="E76" s="106">
        <v>16354.8</v>
      </c>
      <c r="F76" s="106">
        <v>24</v>
      </c>
      <c r="G76" s="106">
        <v>18691.199999999997</v>
      </c>
      <c r="H76" s="106">
        <v>24</v>
      </c>
      <c r="I76" s="106">
        <v>18691.199999999997</v>
      </c>
      <c r="J76" s="106">
        <v>18</v>
      </c>
      <c r="K76" s="106">
        <v>14018.4</v>
      </c>
      <c r="L76" s="106">
        <v>19</v>
      </c>
      <c r="M76" s="106">
        <v>14797.199999999999</v>
      </c>
      <c r="N76" s="106">
        <v>16</v>
      </c>
      <c r="O76" s="106">
        <v>12460.8</v>
      </c>
      <c r="P76" s="106">
        <v>19</v>
      </c>
      <c r="Q76" s="106">
        <v>14797.199999999999</v>
      </c>
      <c r="R76" s="106">
        <v>20</v>
      </c>
      <c r="S76" s="106">
        <v>15576</v>
      </c>
      <c r="T76" s="106">
        <v>9</v>
      </c>
      <c r="U76" s="106">
        <v>7009.2</v>
      </c>
      <c r="V76" s="106">
        <v>19</v>
      </c>
      <c r="W76" s="106">
        <v>14797.199999999999</v>
      </c>
      <c r="X76" s="106">
        <v>10</v>
      </c>
      <c r="Y76" s="106">
        <v>7788</v>
      </c>
      <c r="Z76" s="106">
        <v>16</v>
      </c>
      <c r="AA76" s="106">
        <v>12460.8</v>
      </c>
      <c r="AB76" s="106">
        <v>8</v>
      </c>
      <c r="AC76" s="106">
        <v>6230.4</v>
      </c>
      <c r="AD76" s="106">
        <v>13</v>
      </c>
      <c r="AE76" s="106">
        <v>10124.4</v>
      </c>
      <c r="AF76" s="106">
        <v>13</v>
      </c>
      <c r="AG76" s="106">
        <v>10124.4</v>
      </c>
      <c r="AH76" s="106">
        <v>10</v>
      </c>
      <c r="AI76" s="106">
        <v>7788</v>
      </c>
      <c r="AJ76" s="106">
        <v>26</v>
      </c>
      <c r="AK76" s="106">
        <v>20248.8</v>
      </c>
      <c r="AL76" s="106">
        <v>21</v>
      </c>
      <c r="AM76" s="106">
        <v>16354.8</v>
      </c>
      <c r="AN76" s="106">
        <v>20</v>
      </c>
      <c r="AO76" s="106">
        <v>15576</v>
      </c>
      <c r="AP76" s="106">
        <v>18</v>
      </c>
      <c r="AQ76" s="106">
        <v>14018.4</v>
      </c>
      <c r="AR76" s="106">
        <v>25</v>
      </c>
      <c r="AS76" s="106">
        <v>19470</v>
      </c>
      <c r="AT76" s="106">
        <v>34</v>
      </c>
      <c r="AU76" s="106">
        <v>26479.199999999997</v>
      </c>
      <c r="AV76" s="106">
        <v>32</v>
      </c>
      <c r="AW76" s="106">
        <v>24921.599999999999</v>
      </c>
      <c r="AX76" s="106">
        <v>27</v>
      </c>
      <c r="AY76" s="106">
        <v>21027.599999999999</v>
      </c>
      <c r="AZ76" s="106">
        <v>2</v>
      </c>
      <c r="BA76" s="106">
        <v>1557.6</v>
      </c>
      <c r="BB76" s="106">
        <v>3</v>
      </c>
      <c r="BC76" s="106">
        <v>2336.3999999999996</v>
      </c>
      <c r="BD76" s="106">
        <v>4</v>
      </c>
      <c r="BE76" s="106">
        <v>3115.2</v>
      </c>
      <c r="BF76" s="106">
        <v>3</v>
      </c>
      <c r="BG76" s="106">
        <v>2336.3999999999996</v>
      </c>
      <c r="BH76" s="106">
        <v>3</v>
      </c>
      <c r="BI76" s="106">
        <v>2336.3999999999996</v>
      </c>
      <c r="BJ76" s="106">
        <v>2</v>
      </c>
      <c r="BK76" s="106">
        <v>1557.6</v>
      </c>
      <c r="BL76" s="106">
        <v>3</v>
      </c>
      <c r="BM76" s="106">
        <v>2336.3999999999996</v>
      </c>
      <c r="BN76" s="106">
        <v>2</v>
      </c>
      <c r="BO76" s="106">
        <v>1557.6</v>
      </c>
      <c r="BP76" s="106">
        <v>3</v>
      </c>
      <c r="BQ76" s="106">
        <v>2336.3999999999996</v>
      </c>
      <c r="BR76" s="106">
        <v>4</v>
      </c>
      <c r="BS76" s="106">
        <v>3115.2</v>
      </c>
      <c r="BT76" s="106">
        <v>3</v>
      </c>
      <c r="BU76" s="106">
        <v>2336.3999999999996</v>
      </c>
      <c r="BV76" s="106">
        <v>4</v>
      </c>
      <c r="BW76" s="106">
        <v>3115.2</v>
      </c>
      <c r="BX76" s="106">
        <v>28</v>
      </c>
      <c r="BY76" s="106">
        <v>21806.399999999998</v>
      </c>
      <c r="BZ76" s="106">
        <v>14</v>
      </c>
      <c r="CA76" s="106">
        <v>10903.199999999999</v>
      </c>
      <c r="CB76" s="106">
        <v>21</v>
      </c>
      <c r="CC76" s="106">
        <v>16354.8</v>
      </c>
      <c r="CD76" s="106">
        <v>13</v>
      </c>
      <c r="CE76" s="106">
        <v>10124.4</v>
      </c>
      <c r="CF76" s="106">
        <v>2</v>
      </c>
      <c r="CG76" s="106">
        <v>1557.6</v>
      </c>
      <c r="CH76" s="106">
        <v>3</v>
      </c>
      <c r="CI76" s="106">
        <v>2336.3999999999996</v>
      </c>
      <c r="CJ76" s="106">
        <v>2</v>
      </c>
      <c r="CK76" s="106">
        <v>1557.6</v>
      </c>
      <c r="CL76" s="106">
        <v>2</v>
      </c>
      <c r="CM76" s="106">
        <v>1557.6</v>
      </c>
      <c r="CN76" s="106">
        <v>5</v>
      </c>
      <c r="CO76" s="106">
        <v>3894</v>
      </c>
      <c r="CP76" s="106">
        <v>5</v>
      </c>
      <c r="CQ76" s="106">
        <v>3894</v>
      </c>
      <c r="CR76" s="106">
        <v>5</v>
      </c>
      <c r="CS76" s="106">
        <v>3894</v>
      </c>
      <c r="CT76" s="106">
        <v>5</v>
      </c>
      <c r="CU76" s="106">
        <v>3894</v>
      </c>
    </row>
    <row r="77" spans="2:99" x14ac:dyDescent="0.2">
      <c r="C77" s="105" t="s">
        <v>243</v>
      </c>
      <c r="D77" s="106">
        <v>20</v>
      </c>
      <c r="E77" s="106">
        <v>5568</v>
      </c>
      <c r="F77" s="106">
        <v>22</v>
      </c>
      <c r="G77" s="106">
        <v>6124.7999999999993</v>
      </c>
      <c r="H77" s="106">
        <v>26</v>
      </c>
      <c r="I77" s="106">
        <v>7238.4</v>
      </c>
      <c r="J77" s="106">
        <v>22</v>
      </c>
      <c r="K77" s="106">
        <v>6124.7999999999993</v>
      </c>
      <c r="L77" s="106">
        <v>18</v>
      </c>
      <c r="M77" s="106">
        <v>5011.2</v>
      </c>
      <c r="N77" s="106">
        <v>19</v>
      </c>
      <c r="O77" s="106">
        <v>5289.5999999999995</v>
      </c>
      <c r="P77" s="106">
        <v>18</v>
      </c>
      <c r="Q77" s="106">
        <v>5011.2</v>
      </c>
      <c r="R77" s="106">
        <v>24</v>
      </c>
      <c r="S77" s="106">
        <v>6681.5999999999995</v>
      </c>
      <c r="T77" s="106">
        <v>10</v>
      </c>
      <c r="U77" s="106">
        <v>2784</v>
      </c>
      <c r="V77" s="106">
        <v>18</v>
      </c>
      <c r="W77" s="106">
        <v>5011.2</v>
      </c>
      <c r="X77" s="106">
        <v>11</v>
      </c>
      <c r="Y77" s="106">
        <v>3062.3999999999996</v>
      </c>
      <c r="Z77" s="106">
        <v>18</v>
      </c>
      <c r="AA77" s="106">
        <v>5011.2</v>
      </c>
      <c r="AB77" s="106">
        <v>8</v>
      </c>
      <c r="AC77" s="106">
        <v>2227.1999999999998</v>
      </c>
      <c r="AD77" s="106">
        <v>13</v>
      </c>
      <c r="AE77" s="106">
        <v>3619.2</v>
      </c>
      <c r="AF77" s="106">
        <v>14</v>
      </c>
      <c r="AG77" s="106">
        <v>3897.5999999999995</v>
      </c>
      <c r="AH77" s="106">
        <v>10</v>
      </c>
      <c r="AI77" s="106">
        <v>2784</v>
      </c>
      <c r="AJ77" s="106">
        <v>28</v>
      </c>
      <c r="AK77" s="106">
        <v>7795.1999999999989</v>
      </c>
      <c r="AL77" s="106">
        <v>24</v>
      </c>
      <c r="AM77" s="106">
        <v>6681.5999999999995</v>
      </c>
      <c r="AN77" s="106">
        <v>24</v>
      </c>
      <c r="AO77" s="106">
        <v>6681.5999999999995</v>
      </c>
      <c r="AP77" s="106">
        <v>19</v>
      </c>
      <c r="AQ77" s="106">
        <v>5289.5999999999995</v>
      </c>
      <c r="AR77" s="106">
        <v>26</v>
      </c>
      <c r="AS77" s="106">
        <v>7238.4</v>
      </c>
      <c r="AT77" s="106">
        <v>34</v>
      </c>
      <c r="AU77" s="106">
        <v>9465.5999999999985</v>
      </c>
      <c r="AV77" s="106">
        <v>35</v>
      </c>
      <c r="AW77" s="106">
        <v>9744</v>
      </c>
      <c r="AX77" s="106">
        <v>31</v>
      </c>
      <c r="AY77" s="106">
        <v>8630.4</v>
      </c>
      <c r="AZ77" s="106">
        <v>3</v>
      </c>
      <c r="BA77" s="106">
        <v>835.19999999999993</v>
      </c>
      <c r="BB77" s="106">
        <v>3</v>
      </c>
      <c r="BC77" s="106">
        <v>835.19999999999993</v>
      </c>
      <c r="BD77" s="106">
        <v>4</v>
      </c>
      <c r="BE77" s="106">
        <v>1113.5999999999999</v>
      </c>
      <c r="BF77" s="106">
        <v>3</v>
      </c>
      <c r="BG77" s="106">
        <v>835.19999999999993</v>
      </c>
      <c r="BH77" s="106">
        <v>3</v>
      </c>
      <c r="BI77" s="106">
        <v>835.19999999999993</v>
      </c>
      <c r="BJ77" s="106">
        <v>2</v>
      </c>
      <c r="BK77" s="106">
        <v>556.79999999999995</v>
      </c>
      <c r="BL77" s="106">
        <v>3</v>
      </c>
      <c r="BM77" s="106">
        <v>835.19999999999993</v>
      </c>
      <c r="BN77" s="106">
        <v>2</v>
      </c>
      <c r="BO77" s="106">
        <v>556.79999999999995</v>
      </c>
      <c r="BP77" s="106">
        <v>3</v>
      </c>
      <c r="BQ77" s="106">
        <v>835.19999999999993</v>
      </c>
      <c r="BR77" s="106">
        <v>4</v>
      </c>
      <c r="BS77" s="106">
        <v>1113.5999999999999</v>
      </c>
      <c r="BT77" s="106">
        <v>3</v>
      </c>
      <c r="BU77" s="106">
        <v>835.19999999999993</v>
      </c>
      <c r="BV77" s="106">
        <v>4</v>
      </c>
      <c r="BW77" s="106">
        <v>1113.5999999999999</v>
      </c>
      <c r="BX77" s="106">
        <v>30</v>
      </c>
      <c r="BY77" s="106">
        <v>8352</v>
      </c>
      <c r="BZ77" s="106">
        <v>17</v>
      </c>
      <c r="CA77" s="106">
        <v>4732.7999999999993</v>
      </c>
      <c r="CB77" s="106">
        <v>20</v>
      </c>
      <c r="CC77" s="106">
        <v>5568</v>
      </c>
      <c r="CD77" s="106">
        <v>15</v>
      </c>
      <c r="CE77" s="106">
        <v>4176</v>
      </c>
      <c r="CF77" s="106">
        <v>2</v>
      </c>
      <c r="CG77" s="106">
        <v>556.79999999999995</v>
      </c>
      <c r="CH77" s="106">
        <v>3</v>
      </c>
      <c r="CI77" s="106">
        <v>835.19999999999993</v>
      </c>
      <c r="CJ77" s="106">
        <v>2</v>
      </c>
      <c r="CK77" s="106">
        <v>556.79999999999995</v>
      </c>
      <c r="CL77" s="106">
        <v>2</v>
      </c>
      <c r="CM77" s="106">
        <v>556.79999999999995</v>
      </c>
      <c r="CN77" s="106">
        <v>5</v>
      </c>
      <c r="CO77" s="106">
        <v>1392</v>
      </c>
      <c r="CP77" s="106">
        <v>5</v>
      </c>
      <c r="CQ77" s="106">
        <v>1392</v>
      </c>
      <c r="CR77" s="106">
        <v>5</v>
      </c>
      <c r="CS77" s="106">
        <v>1392</v>
      </c>
      <c r="CT77" s="106">
        <v>6</v>
      </c>
      <c r="CU77" s="106">
        <v>1670.3999999999999</v>
      </c>
    </row>
    <row r="78" spans="2:99" x14ac:dyDescent="0.2">
      <c r="C78" s="105" t="s">
        <v>244</v>
      </c>
      <c r="D78" s="106">
        <v>19</v>
      </c>
      <c r="E78" s="106">
        <v>10488</v>
      </c>
      <c r="F78" s="106">
        <v>23</v>
      </c>
      <c r="G78" s="106">
        <v>12696</v>
      </c>
      <c r="H78" s="106">
        <v>24</v>
      </c>
      <c r="I78" s="106">
        <v>13248</v>
      </c>
      <c r="J78" s="106">
        <v>19</v>
      </c>
      <c r="K78" s="106">
        <v>10488</v>
      </c>
      <c r="L78" s="106">
        <v>20</v>
      </c>
      <c r="M78" s="106">
        <v>11040</v>
      </c>
      <c r="N78" s="106">
        <v>17</v>
      </c>
      <c r="O78" s="106">
        <v>9384</v>
      </c>
      <c r="P78" s="106">
        <v>20</v>
      </c>
      <c r="Q78" s="106">
        <v>11040</v>
      </c>
      <c r="R78" s="106">
        <v>21</v>
      </c>
      <c r="S78" s="106">
        <v>11592</v>
      </c>
      <c r="T78" s="106">
        <v>10</v>
      </c>
      <c r="U78" s="106">
        <v>5520</v>
      </c>
      <c r="V78" s="106">
        <v>18</v>
      </c>
      <c r="W78" s="106">
        <v>9936</v>
      </c>
      <c r="X78" s="106">
        <v>11</v>
      </c>
      <c r="Y78" s="106">
        <v>6072</v>
      </c>
      <c r="Z78" s="106">
        <v>17</v>
      </c>
      <c r="AA78" s="106">
        <v>9384</v>
      </c>
      <c r="AB78" s="106">
        <v>8</v>
      </c>
      <c r="AC78" s="106">
        <v>4416</v>
      </c>
      <c r="AD78" s="106">
        <v>13</v>
      </c>
      <c r="AE78" s="106">
        <v>7176</v>
      </c>
      <c r="AF78" s="106">
        <v>12</v>
      </c>
      <c r="AG78" s="106">
        <v>6624</v>
      </c>
      <c r="AH78" s="106">
        <v>10</v>
      </c>
      <c r="AI78" s="106">
        <v>5520</v>
      </c>
      <c r="AJ78" s="106">
        <v>29</v>
      </c>
      <c r="AK78" s="106">
        <v>16008</v>
      </c>
      <c r="AL78" s="106">
        <v>22</v>
      </c>
      <c r="AM78" s="106">
        <v>12144</v>
      </c>
      <c r="AN78" s="106">
        <v>21</v>
      </c>
      <c r="AO78" s="106">
        <v>11592</v>
      </c>
      <c r="AP78" s="106">
        <v>19</v>
      </c>
      <c r="AQ78" s="106">
        <v>10488</v>
      </c>
      <c r="AR78" s="106">
        <v>27</v>
      </c>
      <c r="AS78" s="106">
        <v>14904</v>
      </c>
      <c r="AT78" s="106">
        <v>32</v>
      </c>
      <c r="AU78" s="106">
        <v>17664</v>
      </c>
      <c r="AV78" s="106">
        <v>34</v>
      </c>
      <c r="AW78" s="106">
        <v>18768</v>
      </c>
      <c r="AX78" s="106">
        <v>28</v>
      </c>
      <c r="AY78" s="106">
        <v>15456</v>
      </c>
      <c r="AZ78" s="106">
        <v>3</v>
      </c>
      <c r="BA78" s="106">
        <v>1656</v>
      </c>
      <c r="BB78" s="106">
        <v>3</v>
      </c>
      <c r="BC78" s="106">
        <v>1656</v>
      </c>
      <c r="BD78" s="106">
        <v>4</v>
      </c>
      <c r="BE78" s="106">
        <v>2208</v>
      </c>
      <c r="BF78" s="106">
        <v>3</v>
      </c>
      <c r="BG78" s="106">
        <v>1656</v>
      </c>
      <c r="BH78" s="106">
        <v>3</v>
      </c>
      <c r="BI78" s="106">
        <v>1656</v>
      </c>
      <c r="BJ78" s="106">
        <v>2</v>
      </c>
      <c r="BK78" s="106">
        <v>1104</v>
      </c>
      <c r="BL78" s="106">
        <v>3</v>
      </c>
      <c r="BM78" s="106">
        <v>1656</v>
      </c>
      <c r="BN78" s="106">
        <v>2</v>
      </c>
      <c r="BO78" s="106">
        <v>1104</v>
      </c>
      <c r="BP78" s="106">
        <v>3</v>
      </c>
      <c r="BQ78" s="106">
        <v>1656</v>
      </c>
      <c r="BR78" s="106">
        <v>4</v>
      </c>
      <c r="BS78" s="106">
        <v>2208</v>
      </c>
      <c r="BT78" s="106">
        <v>3</v>
      </c>
      <c r="BU78" s="106">
        <v>1656</v>
      </c>
      <c r="BV78" s="106">
        <v>4</v>
      </c>
      <c r="BW78" s="106">
        <v>2208</v>
      </c>
      <c r="BX78" s="106">
        <v>28</v>
      </c>
      <c r="BY78" s="106">
        <v>15456</v>
      </c>
      <c r="BZ78" s="106">
        <v>16</v>
      </c>
      <c r="CA78" s="106">
        <v>8832</v>
      </c>
      <c r="CB78" s="106">
        <v>21</v>
      </c>
      <c r="CC78" s="106">
        <v>11592</v>
      </c>
      <c r="CD78" s="106">
        <v>15</v>
      </c>
      <c r="CE78" s="106">
        <v>8280</v>
      </c>
      <c r="CF78" s="106">
        <v>2</v>
      </c>
      <c r="CG78" s="106">
        <v>1104</v>
      </c>
      <c r="CH78" s="106">
        <v>3</v>
      </c>
      <c r="CI78" s="106">
        <v>1656</v>
      </c>
      <c r="CJ78" s="106">
        <v>2</v>
      </c>
      <c r="CK78" s="106">
        <v>1104</v>
      </c>
      <c r="CL78" s="106">
        <v>2</v>
      </c>
      <c r="CM78" s="106">
        <v>1104</v>
      </c>
      <c r="CN78" s="106">
        <v>5</v>
      </c>
      <c r="CO78" s="106">
        <v>2760</v>
      </c>
      <c r="CP78" s="106">
        <v>5</v>
      </c>
      <c r="CQ78" s="106">
        <v>2760</v>
      </c>
      <c r="CR78" s="106">
        <v>5</v>
      </c>
      <c r="CS78" s="106">
        <v>2760</v>
      </c>
      <c r="CT78" s="106">
        <v>5</v>
      </c>
      <c r="CU78" s="106">
        <v>2760</v>
      </c>
    </row>
    <row r="79" spans="2:99" x14ac:dyDescent="0.2">
      <c r="C79" s="105" t="s">
        <v>245</v>
      </c>
      <c r="D79" s="106">
        <v>21</v>
      </c>
      <c r="E79" s="106">
        <v>15901.199999999999</v>
      </c>
      <c r="F79" s="106">
        <v>21</v>
      </c>
      <c r="G79" s="106">
        <v>15901.199999999999</v>
      </c>
      <c r="H79" s="106">
        <v>26</v>
      </c>
      <c r="I79" s="106">
        <v>19687.199999999997</v>
      </c>
      <c r="J79" s="106">
        <v>17</v>
      </c>
      <c r="K79" s="106">
        <v>12872.4</v>
      </c>
      <c r="L79" s="106">
        <v>17</v>
      </c>
      <c r="M79" s="106">
        <v>12872.4</v>
      </c>
      <c r="N79" s="106">
        <v>16</v>
      </c>
      <c r="O79" s="106">
        <v>12115.199999999999</v>
      </c>
      <c r="P79" s="106">
        <v>18</v>
      </c>
      <c r="Q79" s="106">
        <v>13629.599999999999</v>
      </c>
      <c r="R79" s="106">
        <v>20</v>
      </c>
      <c r="S79" s="106">
        <v>15143.999999999998</v>
      </c>
      <c r="T79" s="106">
        <v>9</v>
      </c>
      <c r="U79" s="106">
        <v>6814.7999999999993</v>
      </c>
      <c r="V79" s="106">
        <v>18</v>
      </c>
      <c r="W79" s="106">
        <v>13629.599999999999</v>
      </c>
      <c r="X79" s="106">
        <v>10</v>
      </c>
      <c r="Y79" s="106">
        <v>7571.9999999999991</v>
      </c>
      <c r="Z79" s="106">
        <v>15</v>
      </c>
      <c r="AA79" s="106">
        <v>11357.999999999998</v>
      </c>
      <c r="AB79" s="106">
        <v>7</v>
      </c>
      <c r="AC79" s="106">
        <v>5300.4</v>
      </c>
      <c r="AD79" s="106">
        <v>15</v>
      </c>
      <c r="AE79" s="106">
        <v>11357.999999999998</v>
      </c>
      <c r="AF79" s="106">
        <v>12</v>
      </c>
      <c r="AG79" s="106">
        <v>9086.4</v>
      </c>
      <c r="AH79" s="106">
        <v>10</v>
      </c>
      <c r="AI79" s="106">
        <v>7571.9999999999991</v>
      </c>
      <c r="AJ79" s="106">
        <v>27</v>
      </c>
      <c r="AK79" s="106">
        <v>20444.399999999998</v>
      </c>
      <c r="AL79" s="106">
        <v>20</v>
      </c>
      <c r="AM79" s="106">
        <v>15143.999999999998</v>
      </c>
      <c r="AN79" s="106">
        <v>21</v>
      </c>
      <c r="AO79" s="106">
        <v>15901.199999999999</v>
      </c>
      <c r="AP79" s="106">
        <v>18</v>
      </c>
      <c r="AQ79" s="106">
        <v>13629.599999999999</v>
      </c>
      <c r="AR79" s="106">
        <v>25</v>
      </c>
      <c r="AS79" s="106">
        <v>18930</v>
      </c>
      <c r="AT79" s="106">
        <v>32</v>
      </c>
      <c r="AU79" s="106">
        <v>24230.399999999998</v>
      </c>
      <c r="AV79" s="106">
        <v>31</v>
      </c>
      <c r="AW79" s="106">
        <v>23473.199999999997</v>
      </c>
      <c r="AX79" s="106">
        <v>28</v>
      </c>
      <c r="AY79" s="106">
        <v>21201.599999999999</v>
      </c>
      <c r="AZ79" s="106">
        <v>3</v>
      </c>
      <c r="BA79" s="106">
        <v>2271.6</v>
      </c>
      <c r="BB79" s="106">
        <v>3</v>
      </c>
      <c r="BC79" s="106">
        <v>2271.6</v>
      </c>
      <c r="BD79" s="106">
        <v>4</v>
      </c>
      <c r="BE79" s="106">
        <v>3028.7999999999997</v>
      </c>
      <c r="BF79" s="106">
        <v>3</v>
      </c>
      <c r="BG79" s="106">
        <v>2271.6</v>
      </c>
      <c r="BH79" s="106">
        <v>3</v>
      </c>
      <c r="BI79" s="106">
        <v>2271.6</v>
      </c>
      <c r="BJ79" s="106">
        <v>2</v>
      </c>
      <c r="BK79" s="106">
        <v>1514.3999999999999</v>
      </c>
      <c r="BL79" s="106">
        <v>3</v>
      </c>
      <c r="BM79" s="106">
        <v>2271.6</v>
      </c>
      <c r="BN79" s="106">
        <v>2</v>
      </c>
      <c r="BO79" s="106">
        <v>1514.3999999999999</v>
      </c>
      <c r="BP79" s="106">
        <v>3</v>
      </c>
      <c r="BQ79" s="106">
        <v>2271.6</v>
      </c>
      <c r="BR79" s="106">
        <v>4</v>
      </c>
      <c r="BS79" s="106">
        <v>3028.7999999999997</v>
      </c>
      <c r="BT79" s="106">
        <v>3</v>
      </c>
      <c r="BU79" s="106">
        <v>2271.6</v>
      </c>
      <c r="BV79" s="106">
        <v>3</v>
      </c>
      <c r="BW79" s="106">
        <v>2271.6</v>
      </c>
      <c r="BX79" s="106">
        <v>26</v>
      </c>
      <c r="BY79" s="106">
        <v>19687.199999999997</v>
      </c>
      <c r="BZ79" s="106">
        <v>13</v>
      </c>
      <c r="CA79" s="106">
        <v>9843.5999999999985</v>
      </c>
      <c r="CB79" s="106">
        <v>22</v>
      </c>
      <c r="CC79" s="106">
        <v>16658.399999999998</v>
      </c>
      <c r="CD79" s="106">
        <v>14</v>
      </c>
      <c r="CE79" s="106">
        <v>10600.8</v>
      </c>
      <c r="CF79" s="106">
        <v>3</v>
      </c>
      <c r="CG79" s="106">
        <v>2271.6</v>
      </c>
      <c r="CH79" s="106">
        <v>3</v>
      </c>
      <c r="CI79" s="106">
        <v>2271.6</v>
      </c>
      <c r="CJ79" s="106">
        <v>2</v>
      </c>
      <c r="CK79" s="106">
        <v>1514.3999999999999</v>
      </c>
      <c r="CL79" s="106">
        <v>2</v>
      </c>
      <c r="CM79" s="106">
        <v>1514.3999999999999</v>
      </c>
      <c r="CN79" s="106">
        <v>6</v>
      </c>
      <c r="CO79" s="106">
        <v>4543.2</v>
      </c>
      <c r="CP79" s="106">
        <v>5</v>
      </c>
      <c r="CQ79" s="106">
        <v>3785.9999999999995</v>
      </c>
      <c r="CR79" s="106">
        <v>5</v>
      </c>
      <c r="CS79" s="106">
        <v>3785.9999999999995</v>
      </c>
      <c r="CT79" s="106">
        <v>6</v>
      </c>
      <c r="CU79" s="106">
        <v>4543.2</v>
      </c>
    </row>
    <row r="80" spans="2:99" x14ac:dyDescent="0.2">
      <c r="C80" s="105" t="s">
        <v>246</v>
      </c>
      <c r="D80" s="106">
        <v>19</v>
      </c>
      <c r="E80" s="106">
        <v>15298.8</v>
      </c>
      <c r="F80" s="106">
        <v>20</v>
      </c>
      <c r="G80" s="106">
        <v>16103.999999999998</v>
      </c>
      <c r="H80" s="106">
        <v>23</v>
      </c>
      <c r="I80" s="106">
        <v>18519.599999999999</v>
      </c>
      <c r="J80" s="106">
        <v>20</v>
      </c>
      <c r="K80" s="106">
        <v>16103.999999999998</v>
      </c>
      <c r="L80" s="106">
        <v>17</v>
      </c>
      <c r="M80" s="106">
        <v>13688.4</v>
      </c>
      <c r="N80" s="106">
        <v>15</v>
      </c>
      <c r="O80" s="106">
        <v>12077.999999999998</v>
      </c>
      <c r="P80" s="106">
        <v>19</v>
      </c>
      <c r="Q80" s="106">
        <v>15298.8</v>
      </c>
      <c r="R80" s="106">
        <v>22</v>
      </c>
      <c r="S80" s="106">
        <v>17714.399999999998</v>
      </c>
      <c r="T80" s="106">
        <v>8</v>
      </c>
      <c r="U80" s="106">
        <v>6441.5999999999995</v>
      </c>
      <c r="V80" s="106">
        <v>18</v>
      </c>
      <c r="W80" s="106">
        <v>14493.599999999999</v>
      </c>
      <c r="X80" s="106">
        <v>10</v>
      </c>
      <c r="Y80" s="106">
        <v>8051.9999999999991</v>
      </c>
      <c r="Z80" s="106">
        <v>15</v>
      </c>
      <c r="AA80" s="106">
        <v>12077.999999999998</v>
      </c>
      <c r="AB80" s="106">
        <v>8</v>
      </c>
      <c r="AC80" s="106">
        <v>6441.5999999999995</v>
      </c>
      <c r="AD80" s="106">
        <v>14</v>
      </c>
      <c r="AE80" s="106">
        <v>11272.8</v>
      </c>
      <c r="AF80" s="106">
        <v>14</v>
      </c>
      <c r="AG80" s="106">
        <v>11272.8</v>
      </c>
      <c r="AH80" s="106">
        <v>9</v>
      </c>
      <c r="AI80" s="106">
        <v>7246.7999999999993</v>
      </c>
      <c r="AJ80" s="106">
        <v>29</v>
      </c>
      <c r="AK80" s="106">
        <v>23350.799999999999</v>
      </c>
      <c r="AL80" s="106">
        <v>19</v>
      </c>
      <c r="AM80" s="106">
        <v>15298.8</v>
      </c>
      <c r="AN80" s="106">
        <v>20</v>
      </c>
      <c r="AO80" s="106">
        <v>16103.999999999998</v>
      </c>
      <c r="AP80" s="106">
        <v>18</v>
      </c>
      <c r="AQ80" s="106">
        <v>14493.599999999999</v>
      </c>
      <c r="AR80" s="106">
        <v>26</v>
      </c>
      <c r="AS80" s="106">
        <v>20935.199999999997</v>
      </c>
      <c r="AT80" s="106">
        <v>33</v>
      </c>
      <c r="AU80" s="106">
        <v>26571.599999999999</v>
      </c>
      <c r="AV80" s="106">
        <v>30</v>
      </c>
      <c r="AW80" s="106">
        <v>24155.999999999996</v>
      </c>
      <c r="AX80" s="106">
        <v>25</v>
      </c>
      <c r="AY80" s="106">
        <v>20130</v>
      </c>
      <c r="AZ80" s="106">
        <v>2</v>
      </c>
      <c r="BA80" s="106">
        <v>1610.3999999999999</v>
      </c>
      <c r="BB80" s="106">
        <v>3</v>
      </c>
      <c r="BC80" s="106">
        <v>2415.6</v>
      </c>
      <c r="BD80" s="106">
        <v>4</v>
      </c>
      <c r="BE80" s="106">
        <v>3220.7999999999997</v>
      </c>
      <c r="BF80" s="106">
        <v>3</v>
      </c>
      <c r="BG80" s="106">
        <v>2415.6</v>
      </c>
      <c r="BH80" s="106">
        <v>3</v>
      </c>
      <c r="BI80" s="106">
        <v>2415.6</v>
      </c>
      <c r="BJ80" s="106">
        <v>2</v>
      </c>
      <c r="BK80" s="106">
        <v>1610.3999999999999</v>
      </c>
      <c r="BL80" s="106">
        <v>3</v>
      </c>
      <c r="BM80" s="106">
        <v>2415.6</v>
      </c>
      <c r="BN80" s="106">
        <v>2</v>
      </c>
      <c r="BO80" s="106">
        <v>1610.3999999999999</v>
      </c>
      <c r="BP80" s="106">
        <v>3</v>
      </c>
      <c r="BQ80" s="106">
        <v>2415.6</v>
      </c>
      <c r="BR80" s="106">
        <v>4</v>
      </c>
      <c r="BS80" s="106">
        <v>3220.7999999999997</v>
      </c>
      <c r="BT80" s="106">
        <v>3</v>
      </c>
      <c r="BU80" s="106">
        <v>2415.6</v>
      </c>
      <c r="BV80" s="106">
        <v>3</v>
      </c>
      <c r="BW80" s="106">
        <v>2415.6</v>
      </c>
      <c r="BX80" s="106">
        <v>25</v>
      </c>
      <c r="BY80" s="106">
        <v>20130</v>
      </c>
      <c r="BZ80" s="106">
        <v>15</v>
      </c>
      <c r="CA80" s="106">
        <v>12077.999999999998</v>
      </c>
      <c r="CB80" s="106">
        <v>22</v>
      </c>
      <c r="CC80" s="106">
        <v>17714.399999999998</v>
      </c>
      <c r="CD80" s="106">
        <v>13</v>
      </c>
      <c r="CE80" s="106">
        <v>10467.599999999999</v>
      </c>
      <c r="CF80" s="106">
        <v>2</v>
      </c>
      <c r="CG80" s="106">
        <v>1610.3999999999999</v>
      </c>
      <c r="CH80" s="106">
        <v>3</v>
      </c>
      <c r="CI80" s="106">
        <v>2415.6</v>
      </c>
      <c r="CJ80" s="106">
        <v>2</v>
      </c>
      <c r="CK80" s="106">
        <v>1610.3999999999999</v>
      </c>
      <c r="CL80" s="106">
        <v>2</v>
      </c>
      <c r="CM80" s="106">
        <v>1610.3999999999999</v>
      </c>
      <c r="CN80" s="106">
        <v>5</v>
      </c>
      <c r="CO80" s="106">
        <v>4025.9999999999995</v>
      </c>
      <c r="CP80" s="106">
        <v>5</v>
      </c>
      <c r="CQ80" s="106">
        <v>4025.9999999999995</v>
      </c>
      <c r="CR80" s="106">
        <v>5</v>
      </c>
      <c r="CS80" s="106">
        <v>4025.9999999999995</v>
      </c>
      <c r="CT80" s="106">
        <v>5</v>
      </c>
      <c r="CU80" s="106">
        <v>4025.9999999999995</v>
      </c>
    </row>
    <row r="81" spans="2:99" x14ac:dyDescent="0.2">
      <c r="C81" s="105" t="s">
        <v>247</v>
      </c>
      <c r="D81" s="106">
        <v>20</v>
      </c>
      <c r="E81" s="106">
        <v>15072</v>
      </c>
      <c r="F81" s="106">
        <v>24</v>
      </c>
      <c r="G81" s="106">
        <v>18086.400000000001</v>
      </c>
      <c r="H81" s="106">
        <v>21</v>
      </c>
      <c r="I81" s="106">
        <v>15825.6</v>
      </c>
      <c r="J81" s="106">
        <v>20</v>
      </c>
      <c r="K81" s="106">
        <v>15072</v>
      </c>
      <c r="L81" s="106">
        <v>20</v>
      </c>
      <c r="M81" s="106">
        <v>15072</v>
      </c>
      <c r="N81" s="106">
        <v>15</v>
      </c>
      <c r="O81" s="106">
        <v>11304</v>
      </c>
      <c r="P81" s="106">
        <v>19</v>
      </c>
      <c r="Q81" s="106">
        <v>14318.4</v>
      </c>
      <c r="R81" s="106">
        <v>22</v>
      </c>
      <c r="S81" s="106">
        <v>16579.2</v>
      </c>
      <c r="T81" s="106">
        <v>8</v>
      </c>
      <c r="U81" s="106">
        <v>6028.8</v>
      </c>
      <c r="V81" s="106">
        <v>19</v>
      </c>
      <c r="W81" s="106">
        <v>14318.4</v>
      </c>
      <c r="X81" s="106">
        <v>10</v>
      </c>
      <c r="Y81" s="106">
        <v>7536</v>
      </c>
      <c r="Z81" s="106">
        <v>15</v>
      </c>
      <c r="AA81" s="106">
        <v>11304</v>
      </c>
      <c r="AB81" s="106">
        <v>8</v>
      </c>
      <c r="AC81" s="106">
        <v>6028.8</v>
      </c>
      <c r="AD81" s="106">
        <v>14</v>
      </c>
      <c r="AE81" s="106">
        <v>10550.4</v>
      </c>
      <c r="AF81" s="106">
        <v>14</v>
      </c>
      <c r="AG81" s="106">
        <v>10550.4</v>
      </c>
      <c r="AH81" s="106">
        <v>10</v>
      </c>
      <c r="AI81" s="106">
        <v>7536</v>
      </c>
      <c r="AJ81" s="106">
        <v>30</v>
      </c>
      <c r="AK81" s="106">
        <v>22608</v>
      </c>
      <c r="AL81" s="106">
        <v>20</v>
      </c>
      <c r="AM81" s="106">
        <v>15072</v>
      </c>
      <c r="AN81" s="106">
        <v>19</v>
      </c>
      <c r="AO81" s="106">
        <v>14318.4</v>
      </c>
      <c r="AP81" s="106">
        <v>17</v>
      </c>
      <c r="AQ81" s="106">
        <v>12811.2</v>
      </c>
      <c r="AR81" s="106">
        <v>25</v>
      </c>
      <c r="AS81" s="106">
        <v>18840</v>
      </c>
      <c r="AT81" s="106">
        <v>34</v>
      </c>
      <c r="AU81" s="106">
        <v>25622.400000000001</v>
      </c>
      <c r="AV81" s="106">
        <v>32</v>
      </c>
      <c r="AW81" s="106">
        <v>24115.200000000001</v>
      </c>
      <c r="AX81" s="106">
        <v>27</v>
      </c>
      <c r="AY81" s="106">
        <v>20347.2</v>
      </c>
      <c r="AZ81" s="106">
        <v>2</v>
      </c>
      <c r="BA81" s="106">
        <v>1507.2</v>
      </c>
      <c r="BB81" s="106">
        <v>3</v>
      </c>
      <c r="BC81" s="106">
        <v>2260.8000000000002</v>
      </c>
      <c r="BD81" s="106">
        <v>3</v>
      </c>
      <c r="BE81" s="106">
        <v>2260.8000000000002</v>
      </c>
      <c r="BF81" s="106">
        <v>4</v>
      </c>
      <c r="BG81" s="106">
        <v>3014.4</v>
      </c>
      <c r="BH81" s="106">
        <v>3</v>
      </c>
      <c r="BI81" s="106">
        <v>2260.8000000000002</v>
      </c>
      <c r="BJ81" s="106">
        <v>2</v>
      </c>
      <c r="BK81" s="106">
        <v>1507.2</v>
      </c>
      <c r="BL81" s="106">
        <v>3</v>
      </c>
      <c r="BM81" s="106">
        <v>2260.8000000000002</v>
      </c>
      <c r="BN81" s="106">
        <v>3</v>
      </c>
      <c r="BO81" s="106">
        <v>2260.8000000000002</v>
      </c>
      <c r="BP81" s="106">
        <v>3</v>
      </c>
      <c r="BQ81" s="106">
        <v>2260.8000000000002</v>
      </c>
      <c r="BR81" s="106">
        <v>4</v>
      </c>
      <c r="BS81" s="106">
        <v>3014.4</v>
      </c>
      <c r="BT81" s="106">
        <v>3</v>
      </c>
      <c r="BU81" s="106">
        <v>2260.8000000000002</v>
      </c>
      <c r="BV81" s="106">
        <v>4</v>
      </c>
      <c r="BW81" s="106">
        <v>3014.4</v>
      </c>
      <c r="BX81" s="106">
        <v>25</v>
      </c>
      <c r="BY81" s="106">
        <v>18840</v>
      </c>
      <c r="BZ81" s="106">
        <v>15</v>
      </c>
      <c r="CA81" s="106">
        <v>11304</v>
      </c>
      <c r="CB81" s="106">
        <v>22</v>
      </c>
      <c r="CC81" s="106">
        <v>16579.2</v>
      </c>
      <c r="CD81" s="106">
        <v>15</v>
      </c>
      <c r="CE81" s="106">
        <v>11304</v>
      </c>
      <c r="CF81" s="106">
        <v>3</v>
      </c>
      <c r="CG81" s="106">
        <v>2260.8000000000002</v>
      </c>
      <c r="CH81" s="106">
        <v>3</v>
      </c>
      <c r="CI81" s="106">
        <v>2260.8000000000002</v>
      </c>
      <c r="CJ81" s="106">
        <v>2</v>
      </c>
      <c r="CK81" s="106">
        <v>1507.2</v>
      </c>
      <c r="CL81" s="106">
        <v>2</v>
      </c>
      <c r="CM81" s="106">
        <v>1507.2</v>
      </c>
      <c r="CN81" s="106">
        <v>5</v>
      </c>
      <c r="CO81" s="106">
        <v>3768</v>
      </c>
      <c r="CP81" s="106">
        <v>5</v>
      </c>
      <c r="CQ81" s="106">
        <v>3768</v>
      </c>
      <c r="CR81" s="106">
        <v>5</v>
      </c>
      <c r="CS81" s="106">
        <v>3768</v>
      </c>
      <c r="CT81" s="106">
        <v>5</v>
      </c>
      <c r="CU81" s="106">
        <v>3768</v>
      </c>
    </row>
    <row r="82" spans="2:99" x14ac:dyDescent="0.2">
      <c r="C82" s="105" t="s">
        <v>248</v>
      </c>
      <c r="D82" s="106">
        <v>20</v>
      </c>
      <c r="E82" s="106">
        <v>10175.999999999998</v>
      </c>
      <c r="F82" s="106">
        <v>22</v>
      </c>
      <c r="G82" s="106">
        <v>11193.599999999999</v>
      </c>
      <c r="H82" s="106">
        <v>27</v>
      </c>
      <c r="I82" s="106">
        <v>13737.599999999997</v>
      </c>
      <c r="J82" s="106">
        <v>20</v>
      </c>
      <c r="K82" s="106">
        <v>10175.999999999998</v>
      </c>
      <c r="L82" s="106">
        <v>17</v>
      </c>
      <c r="M82" s="106">
        <v>8649.5999999999985</v>
      </c>
      <c r="N82" s="106">
        <v>17</v>
      </c>
      <c r="O82" s="106">
        <v>8649.5999999999985</v>
      </c>
      <c r="P82" s="106">
        <v>17</v>
      </c>
      <c r="Q82" s="106">
        <v>8649.5999999999985</v>
      </c>
      <c r="R82" s="106">
        <v>20</v>
      </c>
      <c r="S82" s="106">
        <v>10175.999999999998</v>
      </c>
      <c r="T82" s="106">
        <v>8</v>
      </c>
      <c r="U82" s="106">
        <v>4070.3999999999992</v>
      </c>
      <c r="V82" s="106">
        <v>18</v>
      </c>
      <c r="W82" s="106">
        <v>9158.3999999999978</v>
      </c>
      <c r="X82" s="106">
        <v>10</v>
      </c>
      <c r="Y82" s="106">
        <v>5087.9999999999991</v>
      </c>
      <c r="Z82" s="106">
        <v>17</v>
      </c>
      <c r="AA82" s="106">
        <v>8649.5999999999985</v>
      </c>
      <c r="AB82" s="106">
        <v>9</v>
      </c>
      <c r="AC82" s="106">
        <v>4579.1999999999989</v>
      </c>
      <c r="AD82" s="106">
        <v>14</v>
      </c>
      <c r="AE82" s="106">
        <v>7123.1999999999989</v>
      </c>
      <c r="AF82" s="106">
        <v>13</v>
      </c>
      <c r="AG82" s="106">
        <v>6614.3999999999987</v>
      </c>
      <c r="AH82" s="106">
        <v>11</v>
      </c>
      <c r="AI82" s="106">
        <v>5596.7999999999993</v>
      </c>
      <c r="AJ82" s="106">
        <v>28</v>
      </c>
      <c r="AK82" s="106">
        <v>14246.399999999998</v>
      </c>
      <c r="AL82" s="106">
        <v>21</v>
      </c>
      <c r="AM82" s="106">
        <v>10684.799999999997</v>
      </c>
      <c r="AN82" s="106">
        <v>22</v>
      </c>
      <c r="AO82" s="106">
        <v>11193.599999999999</v>
      </c>
      <c r="AP82" s="106">
        <v>18</v>
      </c>
      <c r="AQ82" s="106">
        <v>9158.3999999999978</v>
      </c>
      <c r="AR82" s="106">
        <v>26</v>
      </c>
      <c r="AS82" s="106">
        <v>13228.799999999997</v>
      </c>
      <c r="AT82" s="106">
        <v>34</v>
      </c>
      <c r="AU82" s="106">
        <v>17299.199999999997</v>
      </c>
      <c r="AV82" s="106">
        <v>31</v>
      </c>
      <c r="AW82" s="106">
        <v>15772.799999999997</v>
      </c>
      <c r="AX82" s="106">
        <v>25</v>
      </c>
      <c r="AY82" s="106">
        <v>12719.999999999998</v>
      </c>
      <c r="AZ82" s="106">
        <v>3</v>
      </c>
      <c r="BA82" s="106">
        <v>1526.3999999999996</v>
      </c>
      <c r="BB82" s="106">
        <v>3</v>
      </c>
      <c r="BC82" s="106">
        <v>1526.3999999999996</v>
      </c>
      <c r="BD82" s="106">
        <v>4</v>
      </c>
      <c r="BE82" s="106">
        <v>2035.1999999999996</v>
      </c>
      <c r="BF82" s="106">
        <v>4</v>
      </c>
      <c r="BG82" s="106">
        <v>2035.1999999999996</v>
      </c>
      <c r="BH82" s="106">
        <v>3</v>
      </c>
      <c r="BI82" s="106">
        <v>1526.3999999999996</v>
      </c>
      <c r="BJ82" s="106">
        <v>2</v>
      </c>
      <c r="BK82" s="106">
        <v>1017.5999999999998</v>
      </c>
      <c r="BL82" s="106">
        <v>3</v>
      </c>
      <c r="BM82" s="106">
        <v>1526.3999999999996</v>
      </c>
      <c r="BN82" s="106">
        <v>2</v>
      </c>
      <c r="BO82" s="106">
        <v>1017.5999999999998</v>
      </c>
      <c r="BP82" s="106">
        <v>3</v>
      </c>
      <c r="BQ82" s="106">
        <v>1526.3999999999996</v>
      </c>
      <c r="BR82" s="106">
        <v>4</v>
      </c>
      <c r="BS82" s="106">
        <v>2035.1999999999996</v>
      </c>
      <c r="BT82" s="106">
        <v>3</v>
      </c>
      <c r="BU82" s="106">
        <v>1526.3999999999996</v>
      </c>
      <c r="BV82" s="106">
        <v>3</v>
      </c>
      <c r="BW82" s="106">
        <v>1526.3999999999996</v>
      </c>
      <c r="BX82" s="106">
        <v>28</v>
      </c>
      <c r="BY82" s="106">
        <v>14246.399999999998</v>
      </c>
      <c r="BZ82" s="106">
        <v>15</v>
      </c>
      <c r="CA82" s="106">
        <v>7631.9999999999982</v>
      </c>
      <c r="CB82" s="106">
        <v>23</v>
      </c>
      <c r="CC82" s="106">
        <v>11702.399999999998</v>
      </c>
      <c r="CD82" s="106">
        <v>15</v>
      </c>
      <c r="CE82" s="106">
        <v>7631.9999999999982</v>
      </c>
      <c r="CF82" s="106">
        <v>2</v>
      </c>
      <c r="CG82" s="106">
        <v>1017.5999999999998</v>
      </c>
      <c r="CH82" s="106">
        <v>3</v>
      </c>
      <c r="CI82" s="106">
        <v>1526.3999999999996</v>
      </c>
      <c r="CJ82" s="106">
        <v>2</v>
      </c>
      <c r="CK82" s="106">
        <v>1017.5999999999998</v>
      </c>
      <c r="CL82" s="106">
        <v>2</v>
      </c>
      <c r="CM82" s="106">
        <v>1017.5999999999998</v>
      </c>
      <c r="CN82" s="106">
        <v>5</v>
      </c>
      <c r="CO82" s="106">
        <v>2543.9999999999995</v>
      </c>
      <c r="CP82" s="106">
        <v>5</v>
      </c>
      <c r="CQ82" s="106">
        <v>2543.9999999999995</v>
      </c>
      <c r="CR82" s="106">
        <v>6</v>
      </c>
      <c r="CS82" s="106">
        <v>3052.7999999999993</v>
      </c>
      <c r="CT82" s="106">
        <v>5</v>
      </c>
      <c r="CU82" s="106">
        <v>2543.9999999999995</v>
      </c>
    </row>
    <row r="83" spans="2:99" x14ac:dyDescent="0.2">
      <c r="C83" s="105" t="s">
        <v>249</v>
      </c>
      <c r="D83" s="106">
        <v>22</v>
      </c>
      <c r="E83" s="106">
        <v>18928.8</v>
      </c>
      <c r="F83" s="106">
        <v>22</v>
      </c>
      <c r="G83" s="106">
        <v>18928.8</v>
      </c>
      <c r="H83" s="106">
        <v>23</v>
      </c>
      <c r="I83" s="106">
        <v>19789.2</v>
      </c>
      <c r="J83" s="106">
        <v>19</v>
      </c>
      <c r="K83" s="106">
        <v>16347.6</v>
      </c>
      <c r="L83" s="106">
        <v>20</v>
      </c>
      <c r="M83" s="106">
        <v>17208</v>
      </c>
      <c r="N83" s="106">
        <v>16</v>
      </c>
      <c r="O83" s="106">
        <v>13766.4</v>
      </c>
      <c r="P83" s="106">
        <v>17</v>
      </c>
      <c r="Q83" s="106">
        <v>14626.8</v>
      </c>
      <c r="R83" s="106">
        <v>19</v>
      </c>
      <c r="S83" s="106">
        <v>16347.6</v>
      </c>
      <c r="T83" s="106">
        <v>9</v>
      </c>
      <c r="U83" s="106">
        <v>7743.5999999999995</v>
      </c>
      <c r="V83" s="106">
        <v>16</v>
      </c>
      <c r="W83" s="106">
        <v>13766.4</v>
      </c>
      <c r="X83" s="106">
        <v>10</v>
      </c>
      <c r="Y83" s="106">
        <v>8604</v>
      </c>
      <c r="Z83" s="106">
        <v>15</v>
      </c>
      <c r="AA83" s="106">
        <v>12906</v>
      </c>
      <c r="AB83" s="106">
        <v>8</v>
      </c>
      <c r="AC83" s="106">
        <v>6883.2</v>
      </c>
      <c r="AD83" s="106">
        <v>12</v>
      </c>
      <c r="AE83" s="106">
        <v>10324.799999999999</v>
      </c>
      <c r="AF83" s="106">
        <v>12</v>
      </c>
      <c r="AG83" s="106">
        <v>10324.799999999999</v>
      </c>
      <c r="AH83" s="106">
        <v>9</v>
      </c>
      <c r="AI83" s="106">
        <v>7743.5999999999995</v>
      </c>
      <c r="AJ83" s="106">
        <v>25</v>
      </c>
      <c r="AK83" s="106">
        <v>21510</v>
      </c>
      <c r="AL83" s="106">
        <v>22</v>
      </c>
      <c r="AM83" s="106">
        <v>18928.8</v>
      </c>
      <c r="AN83" s="106">
        <v>21</v>
      </c>
      <c r="AO83" s="106">
        <v>18068.399999999998</v>
      </c>
      <c r="AP83" s="106">
        <v>16</v>
      </c>
      <c r="AQ83" s="106">
        <v>13766.4</v>
      </c>
      <c r="AR83" s="106">
        <v>23</v>
      </c>
      <c r="AS83" s="106">
        <v>19789.2</v>
      </c>
      <c r="AT83" s="106">
        <v>29</v>
      </c>
      <c r="AU83" s="106">
        <v>24951.599999999999</v>
      </c>
      <c r="AV83" s="106">
        <v>29</v>
      </c>
      <c r="AW83" s="106">
        <v>24951.599999999999</v>
      </c>
      <c r="AX83" s="106">
        <v>27</v>
      </c>
      <c r="AY83" s="106">
        <v>23230.799999999999</v>
      </c>
      <c r="AZ83" s="106">
        <v>3</v>
      </c>
      <c r="BA83" s="106">
        <v>2581.1999999999998</v>
      </c>
      <c r="BB83" s="106">
        <v>3</v>
      </c>
      <c r="BC83" s="106">
        <v>2581.1999999999998</v>
      </c>
      <c r="BD83" s="106">
        <v>4</v>
      </c>
      <c r="BE83" s="106">
        <v>3441.6</v>
      </c>
      <c r="BF83" s="106">
        <v>3</v>
      </c>
      <c r="BG83" s="106">
        <v>2581.1999999999998</v>
      </c>
      <c r="BH83" s="106">
        <v>3</v>
      </c>
      <c r="BI83" s="106">
        <v>2581.1999999999998</v>
      </c>
      <c r="BJ83" s="106">
        <v>2</v>
      </c>
      <c r="BK83" s="106">
        <v>1720.8</v>
      </c>
      <c r="BL83" s="106">
        <v>3</v>
      </c>
      <c r="BM83" s="106">
        <v>2581.1999999999998</v>
      </c>
      <c r="BN83" s="106">
        <v>2</v>
      </c>
      <c r="BO83" s="106">
        <v>1720.8</v>
      </c>
      <c r="BP83" s="106">
        <v>3</v>
      </c>
      <c r="BQ83" s="106">
        <v>2581.1999999999998</v>
      </c>
      <c r="BR83" s="106">
        <v>4</v>
      </c>
      <c r="BS83" s="106">
        <v>3441.6</v>
      </c>
      <c r="BT83" s="106">
        <v>3</v>
      </c>
      <c r="BU83" s="106">
        <v>2581.1999999999998</v>
      </c>
      <c r="BV83" s="106">
        <v>3</v>
      </c>
      <c r="BW83" s="106">
        <v>2581.1999999999998</v>
      </c>
      <c r="BX83" s="106">
        <v>27</v>
      </c>
      <c r="BY83" s="106">
        <v>23230.799999999999</v>
      </c>
      <c r="BZ83" s="106">
        <v>15</v>
      </c>
      <c r="CA83" s="106">
        <v>12906</v>
      </c>
      <c r="CB83" s="106">
        <v>19</v>
      </c>
      <c r="CC83" s="106">
        <v>16347.6</v>
      </c>
      <c r="CD83" s="106">
        <v>14</v>
      </c>
      <c r="CE83" s="106">
        <v>12045.6</v>
      </c>
      <c r="CF83" s="106">
        <v>2</v>
      </c>
      <c r="CG83" s="106">
        <v>1720.8</v>
      </c>
      <c r="CH83" s="106">
        <v>3</v>
      </c>
      <c r="CI83" s="106">
        <v>2581.1999999999998</v>
      </c>
      <c r="CJ83" s="106">
        <v>2</v>
      </c>
      <c r="CK83" s="106">
        <v>1720.8</v>
      </c>
      <c r="CL83" s="106">
        <v>2</v>
      </c>
      <c r="CM83" s="106">
        <v>1720.8</v>
      </c>
      <c r="CN83" s="106">
        <v>5</v>
      </c>
      <c r="CO83" s="106">
        <v>4302</v>
      </c>
      <c r="CP83" s="106">
        <v>5</v>
      </c>
      <c r="CQ83" s="106">
        <v>4302</v>
      </c>
      <c r="CR83" s="106">
        <v>5</v>
      </c>
      <c r="CS83" s="106">
        <v>4302</v>
      </c>
      <c r="CT83" s="106">
        <v>5</v>
      </c>
      <c r="CU83" s="106">
        <v>4302</v>
      </c>
    </row>
    <row r="84" spans="2:99" x14ac:dyDescent="0.2">
      <c r="C84" s="105" t="s">
        <v>250</v>
      </c>
      <c r="D84" s="106">
        <v>20</v>
      </c>
      <c r="E84" s="106">
        <v>15623.999999999998</v>
      </c>
      <c r="F84" s="106">
        <v>22</v>
      </c>
      <c r="G84" s="106">
        <v>17186.399999999998</v>
      </c>
      <c r="H84" s="106">
        <v>23</v>
      </c>
      <c r="I84" s="106">
        <v>17967.599999999999</v>
      </c>
      <c r="J84" s="106">
        <v>19</v>
      </c>
      <c r="K84" s="106">
        <v>14842.8</v>
      </c>
      <c r="L84" s="106">
        <v>17</v>
      </c>
      <c r="M84" s="106">
        <v>13280.4</v>
      </c>
      <c r="N84" s="106">
        <v>17</v>
      </c>
      <c r="O84" s="106">
        <v>13280.4</v>
      </c>
      <c r="P84" s="106">
        <v>19</v>
      </c>
      <c r="Q84" s="106">
        <v>14842.8</v>
      </c>
      <c r="R84" s="106">
        <v>20</v>
      </c>
      <c r="S84" s="106">
        <v>15623.999999999998</v>
      </c>
      <c r="T84" s="106">
        <v>9</v>
      </c>
      <c r="U84" s="106">
        <v>7030.7999999999993</v>
      </c>
      <c r="V84" s="106">
        <v>15</v>
      </c>
      <c r="W84" s="106">
        <v>11717.999999999998</v>
      </c>
      <c r="X84" s="106">
        <v>11</v>
      </c>
      <c r="Y84" s="106">
        <v>8593.1999999999989</v>
      </c>
      <c r="Z84" s="106">
        <v>15</v>
      </c>
      <c r="AA84" s="106">
        <v>11717.999999999998</v>
      </c>
      <c r="AB84" s="106">
        <v>8</v>
      </c>
      <c r="AC84" s="106">
        <v>6249.5999999999995</v>
      </c>
      <c r="AD84" s="106">
        <v>12</v>
      </c>
      <c r="AE84" s="106">
        <v>9374.4</v>
      </c>
      <c r="AF84" s="106">
        <v>12</v>
      </c>
      <c r="AG84" s="106">
        <v>9374.4</v>
      </c>
      <c r="AH84" s="106">
        <v>10</v>
      </c>
      <c r="AI84" s="106">
        <v>7811.9999999999991</v>
      </c>
      <c r="AJ84" s="106">
        <v>28</v>
      </c>
      <c r="AK84" s="106">
        <v>21873.599999999999</v>
      </c>
      <c r="AL84" s="106">
        <v>22</v>
      </c>
      <c r="AM84" s="106">
        <v>17186.399999999998</v>
      </c>
      <c r="AN84" s="106">
        <v>19</v>
      </c>
      <c r="AO84" s="106">
        <v>14842.8</v>
      </c>
      <c r="AP84" s="106">
        <v>17</v>
      </c>
      <c r="AQ84" s="106">
        <v>13280.4</v>
      </c>
      <c r="AR84" s="106">
        <v>28</v>
      </c>
      <c r="AS84" s="106">
        <v>21873.599999999999</v>
      </c>
      <c r="AT84" s="106">
        <v>32</v>
      </c>
      <c r="AU84" s="106">
        <v>24998.399999999998</v>
      </c>
      <c r="AV84" s="106">
        <v>35</v>
      </c>
      <c r="AW84" s="106">
        <v>27341.999999999996</v>
      </c>
      <c r="AX84" s="106">
        <v>24</v>
      </c>
      <c r="AY84" s="106">
        <v>18748.8</v>
      </c>
      <c r="AZ84" s="106">
        <v>3</v>
      </c>
      <c r="BA84" s="106">
        <v>2343.6</v>
      </c>
      <c r="BB84" s="106">
        <v>3</v>
      </c>
      <c r="BC84" s="106">
        <v>2343.6</v>
      </c>
      <c r="BD84" s="106">
        <v>4</v>
      </c>
      <c r="BE84" s="106">
        <v>3124.7999999999997</v>
      </c>
      <c r="BF84" s="106">
        <v>4</v>
      </c>
      <c r="BG84" s="106">
        <v>3124.7999999999997</v>
      </c>
      <c r="BH84" s="106">
        <v>3</v>
      </c>
      <c r="BI84" s="106">
        <v>2343.6</v>
      </c>
      <c r="BJ84" s="106">
        <v>2</v>
      </c>
      <c r="BK84" s="106">
        <v>1562.3999999999999</v>
      </c>
      <c r="BL84" s="106">
        <v>3</v>
      </c>
      <c r="BM84" s="106">
        <v>2343.6</v>
      </c>
      <c r="BN84" s="106">
        <v>2</v>
      </c>
      <c r="BO84" s="106">
        <v>1562.3999999999999</v>
      </c>
      <c r="BP84" s="106">
        <v>3</v>
      </c>
      <c r="BQ84" s="106">
        <v>2343.6</v>
      </c>
      <c r="BR84" s="106">
        <v>4</v>
      </c>
      <c r="BS84" s="106">
        <v>3124.7999999999997</v>
      </c>
      <c r="BT84" s="106">
        <v>3</v>
      </c>
      <c r="BU84" s="106">
        <v>2343.6</v>
      </c>
      <c r="BV84" s="106">
        <v>3</v>
      </c>
      <c r="BW84" s="106">
        <v>2343.6</v>
      </c>
      <c r="BX84" s="106">
        <v>27</v>
      </c>
      <c r="BY84" s="106">
        <v>21092.399999999998</v>
      </c>
      <c r="BZ84" s="106">
        <v>15</v>
      </c>
      <c r="CA84" s="106">
        <v>11717.999999999998</v>
      </c>
      <c r="CB84" s="106">
        <v>22</v>
      </c>
      <c r="CC84" s="106">
        <v>17186.399999999998</v>
      </c>
      <c r="CD84" s="106">
        <v>13</v>
      </c>
      <c r="CE84" s="106">
        <v>10155.599999999999</v>
      </c>
      <c r="CF84" s="106">
        <v>3</v>
      </c>
      <c r="CG84" s="106">
        <v>2343.6</v>
      </c>
      <c r="CH84" s="106">
        <v>2</v>
      </c>
      <c r="CI84" s="106">
        <v>1562.3999999999999</v>
      </c>
      <c r="CJ84" s="106">
        <v>2</v>
      </c>
      <c r="CK84" s="106">
        <v>1562.3999999999999</v>
      </c>
      <c r="CL84" s="106">
        <v>2</v>
      </c>
      <c r="CM84" s="106">
        <v>1562.3999999999999</v>
      </c>
      <c r="CN84" s="106">
        <v>5</v>
      </c>
      <c r="CO84" s="106">
        <v>3905.9999999999995</v>
      </c>
      <c r="CP84" s="106">
        <v>4</v>
      </c>
      <c r="CQ84" s="106">
        <v>3124.7999999999997</v>
      </c>
      <c r="CR84" s="106">
        <v>5</v>
      </c>
      <c r="CS84" s="106">
        <v>3905.9999999999995</v>
      </c>
      <c r="CT84" s="106">
        <v>5</v>
      </c>
      <c r="CU84" s="106">
        <v>3905.9999999999995</v>
      </c>
    </row>
    <row r="85" spans="2:99" x14ac:dyDescent="0.2">
      <c r="C85" s="105" t="s">
        <v>251</v>
      </c>
      <c r="D85" s="106">
        <v>23</v>
      </c>
      <c r="E85" s="106">
        <v>3450</v>
      </c>
      <c r="F85" s="106">
        <v>22</v>
      </c>
      <c r="G85" s="106">
        <v>3300</v>
      </c>
      <c r="H85" s="106">
        <v>25</v>
      </c>
      <c r="I85" s="106">
        <v>3750</v>
      </c>
      <c r="J85" s="106">
        <v>23</v>
      </c>
      <c r="K85" s="106">
        <v>3450</v>
      </c>
      <c r="L85" s="106">
        <v>22</v>
      </c>
      <c r="M85" s="106">
        <v>3300</v>
      </c>
      <c r="N85" s="106">
        <v>19</v>
      </c>
      <c r="O85" s="106">
        <v>2850</v>
      </c>
      <c r="P85" s="106">
        <v>20</v>
      </c>
      <c r="Q85" s="106">
        <v>3000</v>
      </c>
      <c r="R85" s="106">
        <v>25</v>
      </c>
      <c r="S85" s="106">
        <v>3750</v>
      </c>
      <c r="T85" s="106">
        <v>10</v>
      </c>
      <c r="U85" s="106">
        <v>1500</v>
      </c>
      <c r="V85" s="106">
        <v>18</v>
      </c>
      <c r="W85" s="106">
        <v>2700</v>
      </c>
      <c r="X85" s="106">
        <v>10</v>
      </c>
      <c r="Y85" s="106">
        <v>1500</v>
      </c>
      <c r="Z85" s="106">
        <v>17</v>
      </c>
      <c r="AA85" s="106">
        <v>2550</v>
      </c>
      <c r="AB85" s="106">
        <v>9</v>
      </c>
      <c r="AC85" s="106">
        <v>1350</v>
      </c>
      <c r="AD85" s="106">
        <v>14</v>
      </c>
      <c r="AE85" s="106">
        <v>2100</v>
      </c>
      <c r="AF85" s="106">
        <v>14</v>
      </c>
      <c r="AG85" s="106">
        <v>2100</v>
      </c>
      <c r="AH85" s="106">
        <v>10</v>
      </c>
      <c r="AI85" s="106">
        <v>1500</v>
      </c>
      <c r="AJ85" s="106">
        <v>31</v>
      </c>
      <c r="AK85" s="106">
        <v>4650</v>
      </c>
      <c r="AL85" s="106">
        <v>25</v>
      </c>
      <c r="AM85" s="106">
        <v>3750</v>
      </c>
      <c r="AN85" s="106">
        <v>22</v>
      </c>
      <c r="AO85" s="106">
        <v>3300</v>
      </c>
      <c r="AP85" s="106">
        <v>21</v>
      </c>
      <c r="AQ85" s="106">
        <v>3150</v>
      </c>
      <c r="AR85" s="106">
        <v>27</v>
      </c>
      <c r="AS85" s="106">
        <v>4050</v>
      </c>
      <c r="AT85" s="106">
        <v>39</v>
      </c>
      <c r="AU85" s="106">
        <v>5850</v>
      </c>
      <c r="AV85" s="106">
        <v>38</v>
      </c>
      <c r="AW85" s="106">
        <v>5700</v>
      </c>
      <c r="AX85" s="106">
        <v>30</v>
      </c>
      <c r="AY85" s="106">
        <v>4500</v>
      </c>
      <c r="AZ85" s="106">
        <v>3</v>
      </c>
      <c r="BA85" s="106">
        <v>450</v>
      </c>
      <c r="BB85" s="106">
        <v>3</v>
      </c>
      <c r="BC85" s="106">
        <v>450</v>
      </c>
      <c r="BD85" s="106">
        <v>4</v>
      </c>
      <c r="BE85" s="106">
        <v>600</v>
      </c>
      <c r="BF85" s="106">
        <v>4</v>
      </c>
      <c r="BG85" s="106">
        <v>600</v>
      </c>
      <c r="BH85" s="106">
        <v>3</v>
      </c>
      <c r="BI85" s="106">
        <v>450</v>
      </c>
      <c r="BJ85" s="106">
        <v>2</v>
      </c>
      <c r="BK85" s="106">
        <v>300</v>
      </c>
      <c r="BL85" s="106">
        <v>4</v>
      </c>
      <c r="BM85" s="106">
        <v>600</v>
      </c>
      <c r="BN85" s="106">
        <v>2</v>
      </c>
      <c r="BO85" s="106">
        <v>300</v>
      </c>
      <c r="BP85" s="106">
        <v>3</v>
      </c>
      <c r="BQ85" s="106">
        <v>450</v>
      </c>
      <c r="BR85" s="106">
        <v>4</v>
      </c>
      <c r="BS85" s="106">
        <v>600</v>
      </c>
      <c r="BT85" s="106">
        <v>3</v>
      </c>
      <c r="BU85" s="106">
        <v>450</v>
      </c>
      <c r="BV85" s="106">
        <v>3</v>
      </c>
      <c r="BW85" s="106">
        <v>450</v>
      </c>
      <c r="BX85" s="106">
        <v>30</v>
      </c>
      <c r="BY85" s="106">
        <v>4500</v>
      </c>
      <c r="BZ85" s="106">
        <v>15</v>
      </c>
      <c r="CA85" s="106">
        <v>2250</v>
      </c>
      <c r="CB85" s="106">
        <v>22</v>
      </c>
      <c r="CC85" s="106">
        <v>3300</v>
      </c>
      <c r="CD85" s="106">
        <v>15</v>
      </c>
      <c r="CE85" s="106">
        <v>2250</v>
      </c>
      <c r="CF85" s="106">
        <v>3</v>
      </c>
      <c r="CG85" s="106">
        <v>450</v>
      </c>
      <c r="CH85" s="106">
        <v>3</v>
      </c>
      <c r="CI85" s="106">
        <v>450</v>
      </c>
      <c r="CJ85" s="106">
        <v>2</v>
      </c>
      <c r="CK85" s="106">
        <v>300</v>
      </c>
      <c r="CL85" s="106">
        <v>2</v>
      </c>
      <c r="CM85" s="106">
        <v>300</v>
      </c>
      <c r="CN85" s="106">
        <v>5</v>
      </c>
      <c r="CO85" s="106">
        <v>750</v>
      </c>
      <c r="CP85" s="106">
        <v>5</v>
      </c>
      <c r="CQ85" s="106">
        <v>750</v>
      </c>
      <c r="CR85" s="106">
        <v>5</v>
      </c>
      <c r="CS85" s="106">
        <v>750</v>
      </c>
      <c r="CT85" s="106">
        <v>6</v>
      </c>
      <c r="CU85" s="106">
        <v>900</v>
      </c>
    </row>
    <row r="86" spans="2:99" x14ac:dyDescent="0.2">
      <c r="C86" s="105" t="s">
        <v>252</v>
      </c>
      <c r="D86" s="106">
        <v>22</v>
      </c>
      <c r="E86" s="106">
        <v>11880</v>
      </c>
      <c r="F86" s="106">
        <v>24</v>
      </c>
      <c r="G86" s="106">
        <v>12960</v>
      </c>
      <c r="H86" s="106">
        <v>25</v>
      </c>
      <c r="I86" s="106">
        <v>13500</v>
      </c>
      <c r="J86" s="106">
        <v>20</v>
      </c>
      <c r="K86" s="106">
        <v>10800</v>
      </c>
      <c r="L86" s="106">
        <v>20</v>
      </c>
      <c r="M86" s="106">
        <v>10800</v>
      </c>
      <c r="N86" s="106">
        <v>18</v>
      </c>
      <c r="O86" s="106">
        <v>9720</v>
      </c>
      <c r="P86" s="106">
        <v>18</v>
      </c>
      <c r="Q86" s="106">
        <v>9720</v>
      </c>
      <c r="R86" s="106">
        <v>23</v>
      </c>
      <c r="S86" s="106">
        <v>12420</v>
      </c>
      <c r="T86" s="106">
        <v>10</v>
      </c>
      <c r="U86" s="106">
        <v>5400</v>
      </c>
      <c r="V86" s="106">
        <v>17</v>
      </c>
      <c r="W86" s="106">
        <v>9180</v>
      </c>
      <c r="X86" s="106">
        <v>11</v>
      </c>
      <c r="Y86" s="106">
        <v>5940</v>
      </c>
      <c r="Z86" s="106">
        <v>17</v>
      </c>
      <c r="AA86" s="106">
        <v>9180</v>
      </c>
      <c r="AB86" s="106">
        <v>8</v>
      </c>
      <c r="AC86" s="106">
        <v>4320</v>
      </c>
      <c r="AD86" s="106">
        <v>13</v>
      </c>
      <c r="AE86" s="106">
        <v>7020</v>
      </c>
      <c r="AF86" s="106">
        <v>13</v>
      </c>
      <c r="AG86" s="106">
        <v>7020</v>
      </c>
      <c r="AH86" s="106">
        <v>10</v>
      </c>
      <c r="AI86" s="106">
        <v>5400</v>
      </c>
      <c r="AJ86" s="106">
        <v>26</v>
      </c>
      <c r="AK86" s="106">
        <v>14040</v>
      </c>
      <c r="AL86" s="106">
        <v>24</v>
      </c>
      <c r="AM86" s="106">
        <v>12960</v>
      </c>
      <c r="AN86" s="106">
        <v>21</v>
      </c>
      <c r="AO86" s="106">
        <v>11340</v>
      </c>
      <c r="AP86" s="106">
        <v>19</v>
      </c>
      <c r="AQ86" s="106">
        <v>10260</v>
      </c>
      <c r="AR86" s="106">
        <v>27</v>
      </c>
      <c r="AS86" s="106">
        <v>14580</v>
      </c>
      <c r="AT86" s="106">
        <v>37</v>
      </c>
      <c r="AU86" s="106">
        <v>19980</v>
      </c>
      <c r="AV86" s="106">
        <v>30</v>
      </c>
      <c r="AW86" s="106">
        <v>16200</v>
      </c>
      <c r="AX86" s="106">
        <v>28</v>
      </c>
      <c r="AY86" s="106">
        <v>15120</v>
      </c>
      <c r="AZ86" s="106">
        <v>3</v>
      </c>
      <c r="BA86" s="106">
        <v>1620</v>
      </c>
      <c r="BB86" s="106">
        <v>3</v>
      </c>
      <c r="BC86" s="106">
        <v>1620</v>
      </c>
      <c r="BD86" s="106">
        <v>4</v>
      </c>
      <c r="BE86" s="106">
        <v>2160</v>
      </c>
      <c r="BF86" s="106">
        <v>3</v>
      </c>
      <c r="BG86" s="106">
        <v>1620</v>
      </c>
      <c r="BH86" s="106">
        <v>3</v>
      </c>
      <c r="BI86" s="106">
        <v>1620</v>
      </c>
      <c r="BJ86" s="106">
        <v>2</v>
      </c>
      <c r="BK86" s="106">
        <v>1080</v>
      </c>
      <c r="BL86" s="106">
        <v>3</v>
      </c>
      <c r="BM86" s="106">
        <v>1620</v>
      </c>
      <c r="BN86" s="106">
        <v>2</v>
      </c>
      <c r="BO86" s="106">
        <v>1080</v>
      </c>
      <c r="BP86" s="106">
        <v>3</v>
      </c>
      <c r="BQ86" s="106">
        <v>1620</v>
      </c>
      <c r="BR86" s="106">
        <v>4</v>
      </c>
      <c r="BS86" s="106">
        <v>2160</v>
      </c>
      <c r="BT86" s="106">
        <v>3</v>
      </c>
      <c r="BU86" s="106">
        <v>1620</v>
      </c>
      <c r="BV86" s="106">
        <v>3</v>
      </c>
      <c r="BW86" s="106">
        <v>1620</v>
      </c>
      <c r="BX86" s="106">
        <v>25</v>
      </c>
      <c r="BY86" s="106">
        <v>13500</v>
      </c>
      <c r="BZ86" s="106">
        <v>15</v>
      </c>
      <c r="CA86" s="106">
        <v>8100</v>
      </c>
      <c r="CB86" s="106">
        <v>19</v>
      </c>
      <c r="CC86" s="106">
        <v>10260</v>
      </c>
      <c r="CD86" s="106">
        <v>15</v>
      </c>
      <c r="CE86" s="106">
        <v>8100</v>
      </c>
      <c r="CF86" s="106">
        <v>2</v>
      </c>
      <c r="CG86" s="106">
        <v>1080</v>
      </c>
      <c r="CH86" s="106">
        <v>3</v>
      </c>
      <c r="CI86" s="106">
        <v>1620</v>
      </c>
      <c r="CJ86" s="106">
        <v>2</v>
      </c>
      <c r="CK86" s="106">
        <v>1080</v>
      </c>
      <c r="CL86" s="106">
        <v>2</v>
      </c>
      <c r="CM86" s="106">
        <v>1080</v>
      </c>
      <c r="CN86" s="106">
        <v>5</v>
      </c>
      <c r="CO86" s="106">
        <v>2700</v>
      </c>
      <c r="CP86" s="106">
        <v>5</v>
      </c>
      <c r="CQ86" s="106">
        <v>2700</v>
      </c>
      <c r="CR86" s="106">
        <v>6</v>
      </c>
      <c r="CS86" s="106">
        <v>3240</v>
      </c>
      <c r="CT86" s="106">
        <v>5</v>
      </c>
      <c r="CU86" s="106">
        <v>2700</v>
      </c>
    </row>
    <row r="87" spans="2:99" x14ac:dyDescent="0.2">
      <c r="B87" s="105" t="s">
        <v>131</v>
      </c>
      <c r="C87" s="105" t="s">
        <v>253</v>
      </c>
      <c r="D87" s="106">
        <v>4</v>
      </c>
      <c r="E87" s="106">
        <v>7819.2</v>
      </c>
      <c r="F87" s="106">
        <v>3</v>
      </c>
      <c r="G87" s="106">
        <v>5864.4</v>
      </c>
      <c r="H87" s="106">
        <v>5</v>
      </c>
      <c r="I87" s="106">
        <v>9774</v>
      </c>
      <c r="J87" s="106">
        <v>3</v>
      </c>
      <c r="K87" s="106">
        <v>5864.4</v>
      </c>
      <c r="L87" s="106">
        <v>4</v>
      </c>
      <c r="M87" s="106">
        <v>7819.2</v>
      </c>
      <c r="N87" s="106">
        <v>6</v>
      </c>
      <c r="O87" s="106">
        <v>11728.8</v>
      </c>
      <c r="P87" s="106">
        <v>6</v>
      </c>
      <c r="Q87" s="106">
        <v>11728.8</v>
      </c>
      <c r="R87" s="106">
        <v>7</v>
      </c>
      <c r="S87" s="106">
        <v>13683.6</v>
      </c>
      <c r="T87" s="106">
        <v>8</v>
      </c>
      <c r="U87" s="106">
        <v>15638.4</v>
      </c>
      <c r="V87" s="106">
        <v>5</v>
      </c>
      <c r="W87" s="106">
        <v>9774</v>
      </c>
      <c r="X87" s="106">
        <v>7</v>
      </c>
      <c r="Y87" s="106">
        <v>13683.6</v>
      </c>
      <c r="Z87" s="106">
        <v>8</v>
      </c>
      <c r="AA87" s="106">
        <v>15638.4</v>
      </c>
      <c r="AB87" s="106">
        <v>12</v>
      </c>
      <c r="AC87" s="106">
        <v>23457.599999999999</v>
      </c>
      <c r="AD87" s="106">
        <v>9</v>
      </c>
      <c r="AE87" s="106">
        <v>17593.2</v>
      </c>
      <c r="AF87" s="106">
        <v>13</v>
      </c>
      <c r="AG87" s="106">
        <v>25412.399999999998</v>
      </c>
      <c r="AH87" s="106">
        <v>11</v>
      </c>
      <c r="AI87" s="106">
        <v>21502.799999999999</v>
      </c>
      <c r="AJ87" s="106">
        <v>10</v>
      </c>
      <c r="AK87" s="106">
        <v>19548</v>
      </c>
      <c r="AL87" s="106">
        <v>10</v>
      </c>
      <c r="AM87" s="106">
        <v>19548</v>
      </c>
      <c r="AN87" s="106">
        <v>13</v>
      </c>
      <c r="AO87" s="106">
        <v>25412.399999999998</v>
      </c>
      <c r="AP87" s="106">
        <v>9</v>
      </c>
      <c r="AQ87" s="106">
        <v>17593.2</v>
      </c>
      <c r="AR87" s="106">
        <v>24</v>
      </c>
      <c r="AS87" s="106">
        <v>46915.199999999997</v>
      </c>
      <c r="AT87" s="106">
        <v>19</v>
      </c>
      <c r="AU87" s="106">
        <v>37141.199999999997</v>
      </c>
      <c r="AV87" s="106">
        <v>12</v>
      </c>
      <c r="AW87" s="106">
        <v>23457.599999999999</v>
      </c>
      <c r="AX87" s="106">
        <v>25</v>
      </c>
      <c r="AY87" s="106">
        <v>48870</v>
      </c>
      <c r="AZ87" s="106">
        <v>3</v>
      </c>
      <c r="BA87" s="106">
        <v>5864.4</v>
      </c>
      <c r="BB87" s="106">
        <v>3</v>
      </c>
      <c r="BC87" s="106">
        <v>5864.4</v>
      </c>
      <c r="BD87" s="106">
        <v>5</v>
      </c>
      <c r="BE87" s="106">
        <v>9774</v>
      </c>
      <c r="BF87" s="106">
        <v>4</v>
      </c>
      <c r="BG87" s="106">
        <v>7819.2</v>
      </c>
      <c r="BH87" s="106">
        <v>11</v>
      </c>
      <c r="BI87" s="106">
        <v>21502.799999999999</v>
      </c>
      <c r="BJ87" s="106">
        <v>11</v>
      </c>
      <c r="BK87" s="106">
        <v>21502.799999999999</v>
      </c>
      <c r="BL87" s="106">
        <v>9</v>
      </c>
      <c r="BM87" s="106">
        <v>17593.2</v>
      </c>
      <c r="BN87" s="106">
        <v>11</v>
      </c>
      <c r="BO87" s="106">
        <v>21502.799999999999</v>
      </c>
      <c r="BP87" s="106">
        <v>14</v>
      </c>
      <c r="BQ87" s="106">
        <v>27367.200000000001</v>
      </c>
      <c r="BR87" s="106">
        <v>18</v>
      </c>
      <c r="BS87" s="106">
        <v>35186.400000000001</v>
      </c>
      <c r="BT87" s="106">
        <v>20</v>
      </c>
      <c r="BU87" s="106">
        <v>39096</v>
      </c>
      <c r="BV87" s="106">
        <v>21</v>
      </c>
      <c r="BW87" s="106">
        <v>41050.799999999996</v>
      </c>
      <c r="BX87" s="106">
        <v>11</v>
      </c>
      <c r="BY87" s="106">
        <v>21502.799999999999</v>
      </c>
      <c r="BZ87" s="106">
        <v>7</v>
      </c>
      <c r="CA87" s="106">
        <v>13683.6</v>
      </c>
      <c r="CB87" s="106">
        <v>7</v>
      </c>
      <c r="CC87" s="106">
        <v>13683.6</v>
      </c>
      <c r="CD87" s="106">
        <v>8</v>
      </c>
      <c r="CE87" s="106">
        <v>15638.4</v>
      </c>
      <c r="CF87" s="106">
        <v>5</v>
      </c>
      <c r="CG87" s="106">
        <v>9774</v>
      </c>
      <c r="CH87" s="106">
        <v>5</v>
      </c>
      <c r="CI87" s="106">
        <v>9774</v>
      </c>
      <c r="CJ87" s="106">
        <v>5</v>
      </c>
      <c r="CK87" s="106">
        <v>9774</v>
      </c>
      <c r="CL87" s="106">
        <v>4</v>
      </c>
      <c r="CM87" s="106">
        <v>7819.2</v>
      </c>
      <c r="CN87" s="106">
        <v>4</v>
      </c>
      <c r="CO87" s="106">
        <v>7819.2</v>
      </c>
      <c r="CP87" s="106">
        <v>3</v>
      </c>
      <c r="CQ87" s="106">
        <v>5864.4</v>
      </c>
      <c r="CR87" s="106">
        <v>2</v>
      </c>
      <c r="CS87" s="106">
        <v>3909.6</v>
      </c>
      <c r="CT87" s="106">
        <v>4</v>
      </c>
      <c r="CU87" s="106">
        <v>7819.2</v>
      </c>
    </row>
    <row r="88" spans="2:99" x14ac:dyDescent="0.2">
      <c r="C88" s="105" t="s">
        <v>254</v>
      </c>
      <c r="D88" s="106">
        <v>3</v>
      </c>
      <c r="E88" s="106">
        <v>5677.2</v>
      </c>
      <c r="F88" s="106">
        <v>3</v>
      </c>
      <c r="G88" s="106">
        <v>5677.2</v>
      </c>
      <c r="H88" s="106">
        <v>5</v>
      </c>
      <c r="I88" s="106">
        <v>9462</v>
      </c>
      <c r="J88" s="106">
        <v>3</v>
      </c>
      <c r="K88" s="106">
        <v>5677.2</v>
      </c>
      <c r="L88" s="106">
        <v>5</v>
      </c>
      <c r="M88" s="106">
        <v>9462</v>
      </c>
      <c r="N88" s="106">
        <v>7</v>
      </c>
      <c r="O88" s="106">
        <v>13246.8</v>
      </c>
      <c r="P88" s="106">
        <v>8</v>
      </c>
      <c r="Q88" s="106">
        <v>15139.199999999999</v>
      </c>
      <c r="R88" s="106">
        <v>7</v>
      </c>
      <c r="S88" s="106">
        <v>13246.8</v>
      </c>
      <c r="T88" s="106">
        <v>9</v>
      </c>
      <c r="U88" s="106">
        <v>17031.599999999999</v>
      </c>
      <c r="V88" s="106">
        <v>5</v>
      </c>
      <c r="W88" s="106">
        <v>9462</v>
      </c>
      <c r="X88" s="106">
        <v>8</v>
      </c>
      <c r="Y88" s="106">
        <v>15139.199999999999</v>
      </c>
      <c r="Z88" s="106">
        <v>9</v>
      </c>
      <c r="AA88" s="106">
        <v>17031.599999999999</v>
      </c>
      <c r="AB88" s="106">
        <v>11</v>
      </c>
      <c r="AC88" s="106">
        <v>20816.399999999998</v>
      </c>
      <c r="AD88" s="106">
        <v>10</v>
      </c>
      <c r="AE88" s="106">
        <v>18924</v>
      </c>
      <c r="AF88" s="106">
        <v>12</v>
      </c>
      <c r="AG88" s="106">
        <v>22708.799999999999</v>
      </c>
      <c r="AH88" s="106">
        <v>11</v>
      </c>
      <c r="AI88" s="106">
        <v>20816.399999999998</v>
      </c>
      <c r="AJ88" s="106">
        <v>9</v>
      </c>
      <c r="AK88" s="106">
        <v>17031.599999999999</v>
      </c>
      <c r="AL88" s="106">
        <v>11</v>
      </c>
      <c r="AM88" s="106">
        <v>20816.399999999998</v>
      </c>
      <c r="AN88" s="106">
        <v>12</v>
      </c>
      <c r="AO88" s="106">
        <v>22708.799999999999</v>
      </c>
      <c r="AP88" s="106">
        <v>11</v>
      </c>
      <c r="AQ88" s="106">
        <v>20816.399999999998</v>
      </c>
      <c r="AR88" s="106">
        <v>21</v>
      </c>
      <c r="AS88" s="106">
        <v>39740.399999999994</v>
      </c>
      <c r="AT88" s="106">
        <v>22</v>
      </c>
      <c r="AU88" s="106">
        <v>41632.799999999996</v>
      </c>
      <c r="AV88" s="106">
        <v>13</v>
      </c>
      <c r="AW88" s="106">
        <v>24601.199999999997</v>
      </c>
      <c r="AX88" s="106">
        <v>22</v>
      </c>
      <c r="AY88" s="106">
        <v>41632.799999999996</v>
      </c>
      <c r="AZ88" s="106">
        <v>3</v>
      </c>
      <c r="BA88" s="106">
        <v>5677.2</v>
      </c>
      <c r="BB88" s="106">
        <v>4</v>
      </c>
      <c r="BC88" s="106">
        <v>7569.5999999999995</v>
      </c>
      <c r="BD88" s="106">
        <v>5</v>
      </c>
      <c r="BE88" s="106">
        <v>9462</v>
      </c>
      <c r="BF88" s="106">
        <v>4</v>
      </c>
      <c r="BG88" s="106">
        <v>7569.5999999999995</v>
      </c>
      <c r="BH88" s="106">
        <v>10</v>
      </c>
      <c r="BI88" s="106">
        <v>18924</v>
      </c>
      <c r="BJ88" s="106">
        <v>11</v>
      </c>
      <c r="BK88" s="106">
        <v>20816.399999999998</v>
      </c>
      <c r="BL88" s="106">
        <v>8</v>
      </c>
      <c r="BM88" s="106">
        <v>15139.199999999999</v>
      </c>
      <c r="BN88" s="106">
        <v>11</v>
      </c>
      <c r="BO88" s="106">
        <v>20816.399999999998</v>
      </c>
      <c r="BP88" s="106">
        <v>14</v>
      </c>
      <c r="BQ88" s="106">
        <v>26493.599999999999</v>
      </c>
      <c r="BR88" s="106">
        <v>20</v>
      </c>
      <c r="BS88" s="106">
        <v>37848</v>
      </c>
      <c r="BT88" s="106">
        <v>22</v>
      </c>
      <c r="BU88" s="106">
        <v>41632.799999999996</v>
      </c>
      <c r="BV88" s="106">
        <v>21</v>
      </c>
      <c r="BW88" s="106">
        <v>39740.399999999994</v>
      </c>
      <c r="BX88" s="106">
        <v>9</v>
      </c>
      <c r="BY88" s="106">
        <v>17031.599999999999</v>
      </c>
      <c r="BZ88" s="106">
        <v>7</v>
      </c>
      <c r="CA88" s="106">
        <v>13246.8</v>
      </c>
      <c r="CB88" s="106">
        <v>8</v>
      </c>
      <c r="CC88" s="106">
        <v>15139.199999999999</v>
      </c>
      <c r="CD88" s="106">
        <v>9</v>
      </c>
      <c r="CE88" s="106">
        <v>17031.599999999999</v>
      </c>
      <c r="CF88" s="106">
        <v>5</v>
      </c>
      <c r="CG88" s="106">
        <v>9462</v>
      </c>
      <c r="CH88" s="106">
        <v>5</v>
      </c>
      <c r="CI88" s="106">
        <v>9462</v>
      </c>
      <c r="CJ88" s="106">
        <v>6</v>
      </c>
      <c r="CK88" s="106">
        <v>11354.4</v>
      </c>
      <c r="CL88" s="106">
        <v>3</v>
      </c>
      <c r="CM88" s="106">
        <v>5677.2</v>
      </c>
      <c r="CN88" s="106">
        <v>4</v>
      </c>
      <c r="CO88" s="106">
        <v>7569.5999999999995</v>
      </c>
      <c r="CP88" s="106">
        <v>3</v>
      </c>
      <c r="CQ88" s="106">
        <v>5677.2</v>
      </c>
      <c r="CR88" s="106">
        <v>2</v>
      </c>
      <c r="CS88" s="106">
        <v>3784.7999999999997</v>
      </c>
      <c r="CT88" s="106">
        <v>4</v>
      </c>
      <c r="CU88" s="106">
        <v>7569.5999999999995</v>
      </c>
    </row>
    <row r="89" spans="2:99" x14ac:dyDescent="0.2">
      <c r="C89" s="105" t="s">
        <v>255</v>
      </c>
      <c r="D89" s="106">
        <v>3</v>
      </c>
      <c r="E89" s="106">
        <v>7192.7999999999993</v>
      </c>
      <c r="F89" s="106">
        <v>2</v>
      </c>
      <c r="G89" s="106">
        <v>4795.2</v>
      </c>
      <c r="H89" s="106">
        <v>4</v>
      </c>
      <c r="I89" s="106">
        <v>9590.4</v>
      </c>
      <c r="J89" s="106">
        <v>3</v>
      </c>
      <c r="K89" s="106">
        <v>7192.7999999999993</v>
      </c>
      <c r="L89" s="106">
        <v>5</v>
      </c>
      <c r="M89" s="106">
        <v>11988</v>
      </c>
      <c r="N89" s="106">
        <v>6</v>
      </c>
      <c r="O89" s="106">
        <v>14385.599999999999</v>
      </c>
      <c r="P89" s="106">
        <v>6</v>
      </c>
      <c r="Q89" s="106">
        <v>14385.599999999999</v>
      </c>
      <c r="R89" s="106">
        <v>7</v>
      </c>
      <c r="S89" s="106">
        <v>16783.2</v>
      </c>
      <c r="T89" s="106">
        <v>8</v>
      </c>
      <c r="U89" s="106">
        <v>19180.8</v>
      </c>
      <c r="V89" s="106">
        <v>4</v>
      </c>
      <c r="W89" s="106">
        <v>9590.4</v>
      </c>
      <c r="X89" s="106">
        <v>7</v>
      </c>
      <c r="Y89" s="106">
        <v>16783.2</v>
      </c>
      <c r="Z89" s="106">
        <v>9</v>
      </c>
      <c r="AA89" s="106">
        <v>21578.399999999998</v>
      </c>
      <c r="AB89" s="106">
        <v>12</v>
      </c>
      <c r="AC89" s="106">
        <v>28771.199999999997</v>
      </c>
      <c r="AD89" s="106">
        <v>10</v>
      </c>
      <c r="AE89" s="106">
        <v>23976</v>
      </c>
      <c r="AF89" s="106">
        <v>12</v>
      </c>
      <c r="AG89" s="106">
        <v>28771.199999999997</v>
      </c>
      <c r="AH89" s="106">
        <v>10</v>
      </c>
      <c r="AI89" s="106">
        <v>23976</v>
      </c>
      <c r="AJ89" s="106">
        <v>9</v>
      </c>
      <c r="AK89" s="106">
        <v>21578.399999999998</v>
      </c>
      <c r="AL89" s="106">
        <v>10</v>
      </c>
      <c r="AM89" s="106">
        <v>23976</v>
      </c>
      <c r="AN89" s="106">
        <v>12</v>
      </c>
      <c r="AO89" s="106">
        <v>28771.199999999997</v>
      </c>
      <c r="AP89" s="106">
        <v>9</v>
      </c>
      <c r="AQ89" s="106">
        <v>21578.399999999998</v>
      </c>
      <c r="AR89" s="106">
        <v>21</v>
      </c>
      <c r="AS89" s="106">
        <v>50349.599999999999</v>
      </c>
      <c r="AT89" s="106">
        <v>18</v>
      </c>
      <c r="AU89" s="106">
        <v>43156.799999999996</v>
      </c>
      <c r="AV89" s="106">
        <v>11</v>
      </c>
      <c r="AW89" s="106">
        <v>26373.599999999999</v>
      </c>
      <c r="AX89" s="106">
        <v>24</v>
      </c>
      <c r="AY89" s="106">
        <v>57542.399999999994</v>
      </c>
      <c r="AZ89" s="106">
        <v>3</v>
      </c>
      <c r="BA89" s="106">
        <v>7192.7999999999993</v>
      </c>
      <c r="BB89" s="106">
        <v>4</v>
      </c>
      <c r="BC89" s="106">
        <v>9590.4</v>
      </c>
      <c r="BD89" s="106">
        <v>5</v>
      </c>
      <c r="BE89" s="106">
        <v>11988</v>
      </c>
      <c r="BF89" s="106">
        <v>4</v>
      </c>
      <c r="BG89" s="106">
        <v>9590.4</v>
      </c>
      <c r="BH89" s="106">
        <v>11</v>
      </c>
      <c r="BI89" s="106">
        <v>26373.599999999999</v>
      </c>
      <c r="BJ89" s="106">
        <v>10</v>
      </c>
      <c r="BK89" s="106">
        <v>23976</v>
      </c>
      <c r="BL89" s="106">
        <v>8</v>
      </c>
      <c r="BM89" s="106">
        <v>19180.8</v>
      </c>
      <c r="BN89" s="106">
        <v>10</v>
      </c>
      <c r="BO89" s="106">
        <v>23976</v>
      </c>
      <c r="BP89" s="106">
        <v>12</v>
      </c>
      <c r="BQ89" s="106">
        <v>28771.199999999997</v>
      </c>
      <c r="BR89" s="106">
        <v>18</v>
      </c>
      <c r="BS89" s="106">
        <v>43156.799999999996</v>
      </c>
      <c r="BT89" s="106">
        <v>20</v>
      </c>
      <c r="BU89" s="106">
        <v>47952</v>
      </c>
      <c r="BV89" s="106">
        <v>20</v>
      </c>
      <c r="BW89" s="106">
        <v>47952</v>
      </c>
      <c r="BX89" s="106">
        <v>9</v>
      </c>
      <c r="BY89" s="106">
        <v>21578.399999999998</v>
      </c>
      <c r="BZ89" s="106">
        <v>7</v>
      </c>
      <c r="CA89" s="106">
        <v>16783.2</v>
      </c>
      <c r="CB89" s="106">
        <v>7</v>
      </c>
      <c r="CC89" s="106">
        <v>16783.2</v>
      </c>
      <c r="CD89" s="106">
        <v>8</v>
      </c>
      <c r="CE89" s="106">
        <v>19180.8</v>
      </c>
      <c r="CF89" s="106">
        <v>5</v>
      </c>
      <c r="CG89" s="106">
        <v>11988</v>
      </c>
      <c r="CH89" s="106">
        <v>4</v>
      </c>
      <c r="CI89" s="106">
        <v>9590.4</v>
      </c>
      <c r="CJ89" s="106">
        <v>5</v>
      </c>
      <c r="CK89" s="106">
        <v>11988</v>
      </c>
      <c r="CL89" s="106">
        <v>4</v>
      </c>
      <c r="CM89" s="106">
        <v>9590.4</v>
      </c>
      <c r="CN89" s="106">
        <v>4</v>
      </c>
      <c r="CO89" s="106">
        <v>9590.4</v>
      </c>
      <c r="CP89" s="106">
        <v>3</v>
      </c>
      <c r="CQ89" s="106">
        <v>7192.7999999999993</v>
      </c>
      <c r="CR89" s="106">
        <v>2</v>
      </c>
      <c r="CS89" s="106">
        <v>4795.2</v>
      </c>
      <c r="CT89" s="106">
        <v>4</v>
      </c>
      <c r="CU89" s="106">
        <v>9590.4</v>
      </c>
    </row>
    <row r="90" spans="2:99" x14ac:dyDescent="0.2">
      <c r="C90" s="105" t="s">
        <v>256</v>
      </c>
      <c r="D90" s="106">
        <v>3</v>
      </c>
      <c r="E90" s="106">
        <v>6591.5999999999995</v>
      </c>
      <c r="F90" s="106">
        <v>2</v>
      </c>
      <c r="G90" s="106">
        <v>4394.3999999999996</v>
      </c>
      <c r="H90" s="106">
        <v>4</v>
      </c>
      <c r="I90" s="106">
        <v>8788.7999999999993</v>
      </c>
      <c r="J90" s="106">
        <v>3</v>
      </c>
      <c r="K90" s="106">
        <v>6591.5999999999995</v>
      </c>
      <c r="L90" s="106">
        <v>4</v>
      </c>
      <c r="M90" s="106">
        <v>8788.7999999999993</v>
      </c>
      <c r="N90" s="106">
        <v>6</v>
      </c>
      <c r="O90" s="106">
        <v>13183.199999999999</v>
      </c>
      <c r="P90" s="106">
        <v>7</v>
      </c>
      <c r="Q90" s="106">
        <v>15380.399999999998</v>
      </c>
      <c r="R90" s="106">
        <v>7</v>
      </c>
      <c r="S90" s="106">
        <v>15380.399999999998</v>
      </c>
      <c r="T90" s="106">
        <v>8</v>
      </c>
      <c r="U90" s="106">
        <v>17577.599999999999</v>
      </c>
      <c r="V90" s="106">
        <v>5</v>
      </c>
      <c r="W90" s="106">
        <v>10986</v>
      </c>
      <c r="X90" s="106">
        <v>7</v>
      </c>
      <c r="Y90" s="106">
        <v>15380.399999999998</v>
      </c>
      <c r="Z90" s="106">
        <v>9</v>
      </c>
      <c r="AA90" s="106">
        <v>19774.8</v>
      </c>
      <c r="AB90" s="106">
        <v>11</v>
      </c>
      <c r="AC90" s="106">
        <v>24169.199999999997</v>
      </c>
      <c r="AD90" s="106">
        <v>10</v>
      </c>
      <c r="AE90" s="106">
        <v>21972</v>
      </c>
      <c r="AF90" s="106">
        <v>12</v>
      </c>
      <c r="AG90" s="106">
        <v>26366.399999999998</v>
      </c>
      <c r="AH90" s="106">
        <v>9</v>
      </c>
      <c r="AI90" s="106">
        <v>19774.8</v>
      </c>
      <c r="AJ90" s="106">
        <v>9</v>
      </c>
      <c r="AK90" s="106">
        <v>19774.8</v>
      </c>
      <c r="AL90" s="106">
        <v>10</v>
      </c>
      <c r="AM90" s="106">
        <v>21972</v>
      </c>
      <c r="AN90" s="106">
        <v>13</v>
      </c>
      <c r="AO90" s="106">
        <v>28563.599999999999</v>
      </c>
      <c r="AP90" s="106">
        <v>10</v>
      </c>
      <c r="AQ90" s="106">
        <v>21972</v>
      </c>
      <c r="AR90" s="106">
        <v>23</v>
      </c>
      <c r="AS90" s="106">
        <v>50535.6</v>
      </c>
      <c r="AT90" s="106">
        <v>20</v>
      </c>
      <c r="AU90" s="106">
        <v>43944</v>
      </c>
      <c r="AV90" s="106">
        <v>13</v>
      </c>
      <c r="AW90" s="106">
        <v>28563.599999999999</v>
      </c>
      <c r="AX90" s="106">
        <v>21</v>
      </c>
      <c r="AY90" s="106">
        <v>46141.2</v>
      </c>
      <c r="AZ90" s="106">
        <v>3</v>
      </c>
      <c r="BA90" s="106">
        <v>6591.5999999999995</v>
      </c>
      <c r="BB90" s="106">
        <v>3</v>
      </c>
      <c r="BC90" s="106">
        <v>6591.5999999999995</v>
      </c>
      <c r="BD90" s="106">
        <v>5</v>
      </c>
      <c r="BE90" s="106">
        <v>10986</v>
      </c>
      <c r="BF90" s="106">
        <v>4</v>
      </c>
      <c r="BG90" s="106">
        <v>8788.7999999999993</v>
      </c>
      <c r="BH90" s="106">
        <v>10</v>
      </c>
      <c r="BI90" s="106">
        <v>21972</v>
      </c>
      <c r="BJ90" s="106">
        <v>11</v>
      </c>
      <c r="BK90" s="106">
        <v>24169.199999999997</v>
      </c>
      <c r="BL90" s="106">
        <v>8</v>
      </c>
      <c r="BM90" s="106">
        <v>17577.599999999999</v>
      </c>
      <c r="BN90" s="106">
        <v>10</v>
      </c>
      <c r="BO90" s="106">
        <v>21972</v>
      </c>
      <c r="BP90" s="106">
        <v>14</v>
      </c>
      <c r="BQ90" s="106">
        <v>30760.799999999996</v>
      </c>
      <c r="BR90" s="106">
        <v>19</v>
      </c>
      <c r="BS90" s="106">
        <v>41746.799999999996</v>
      </c>
      <c r="BT90" s="106">
        <v>21</v>
      </c>
      <c r="BU90" s="106">
        <v>46141.2</v>
      </c>
      <c r="BV90" s="106">
        <v>19</v>
      </c>
      <c r="BW90" s="106">
        <v>41746.799999999996</v>
      </c>
      <c r="BX90" s="106">
        <v>9</v>
      </c>
      <c r="BY90" s="106">
        <v>19774.8</v>
      </c>
      <c r="BZ90" s="106">
        <v>7</v>
      </c>
      <c r="CA90" s="106">
        <v>15380.399999999998</v>
      </c>
      <c r="CB90" s="106">
        <v>7</v>
      </c>
      <c r="CC90" s="106">
        <v>15380.399999999998</v>
      </c>
      <c r="CD90" s="106">
        <v>8</v>
      </c>
      <c r="CE90" s="106">
        <v>17577.599999999999</v>
      </c>
      <c r="CF90" s="106">
        <v>5</v>
      </c>
      <c r="CG90" s="106">
        <v>10986</v>
      </c>
      <c r="CH90" s="106">
        <v>4</v>
      </c>
      <c r="CI90" s="106">
        <v>8788.7999999999993</v>
      </c>
      <c r="CJ90" s="106">
        <v>6</v>
      </c>
      <c r="CK90" s="106">
        <v>13183.199999999999</v>
      </c>
      <c r="CL90" s="106">
        <v>4</v>
      </c>
      <c r="CM90" s="106">
        <v>8788.7999999999993</v>
      </c>
      <c r="CN90" s="106">
        <v>4</v>
      </c>
      <c r="CO90" s="106">
        <v>8788.7999999999993</v>
      </c>
      <c r="CP90" s="106">
        <v>3</v>
      </c>
      <c r="CQ90" s="106">
        <v>6591.5999999999995</v>
      </c>
      <c r="CR90" s="106">
        <v>2</v>
      </c>
      <c r="CS90" s="106">
        <v>4394.3999999999996</v>
      </c>
      <c r="CT90" s="106">
        <v>3</v>
      </c>
      <c r="CU90" s="106">
        <v>6591.5999999999995</v>
      </c>
    </row>
    <row r="91" spans="2:99" x14ac:dyDescent="0.2">
      <c r="C91" s="105" t="s">
        <v>257</v>
      </c>
      <c r="D91" s="106">
        <v>3</v>
      </c>
      <c r="E91" s="106">
        <v>6890.4</v>
      </c>
      <c r="F91" s="106">
        <v>3</v>
      </c>
      <c r="G91" s="106">
        <v>6890.4</v>
      </c>
      <c r="H91" s="106">
        <v>5</v>
      </c>
      <c r="I91" s="106">
        <v>11483.999999999998</v>
      </c>
      <c r="J91" s="106">
        <v>3</v>
      </c>
      <c r="K91" s="106">
        <v>6890.4</v>
      </c>
      <c r="L91" s="106">
        <v>5</v>
      </c>
      <c r="M91" s="106">
        <v>11483.999999999998</v>
      </c>
      <c r="N91" s="106">
        <v>6</v>
      </c>
      <c r="O91" s="106">
        <v>13780.8</v>
      </c>
      <c r="P91" s="106">
        <v>7</v>
      </c>
      <c r="Q91" s="106">
        <v>16077.599999999999</v>
      </c>
      <c r="R91" s="106">
        <v>7</v>
      </c>
      <c r="S91" s="106">
        <v>16077.599999999999</v>
      </c>
      <c r="T91" s="106">
        <v>8</v>
      </c>
      <c r="U91" s="106">
        <v>18374.399999999998</v>
      </c>
      <c r="V91" s="106">
        <v>5</v>
      </c>
      <c r="W91" s="106">
        <v>11483.999999999998</v>
      </c>
      <c r="X91" s="106">
        <v>7</v>
      </c>
      <c r="Y91" s="106">
        <v>16077.599999999999</v>
      </c>
      <c r="Z91" s="106">
        <v>8</v>
      </c>
      <c r="AA91" s="106">
        <v>18374.399999999998</v>
      </c>
      <c r="AB91" s="106">
        <v>12</v>
      </c>
      <c r="AC91" s="106">
        <v>27561.599999999999</v>
      </c>
      <c r="AD91" s="106">
        <v>10</v>
      </c>
      <c r="AE91" s="106">
        <v>22967.999999999996</v>
      </c>
      <c r="AF91" s="106">
        <v>11</v>
      </c>
      <c r="AG91" s="106">
        <v>25264.799999999996</v>
      </c>
      <c r="AH91" s="106">
        <v>10</v>
      </c>
      <c r="AI91" s="106">
        <v>22967.999999999996</v>
      </c>
      <c r="AJ91" s="106">
        <v>9</v>
      </c>
      <c r="AK91" s="106">
        <v>20671.199999999997</v>
      </c>
      <c r="AL91" s="106">
        <v>10</v>
      </c>
      <c r="AM91" s="106">
        <v>22967.999999999996</v>
      </c>
      <c r="AN91" s="106">
        <v>11</v>
      </c>
      <c r="AO91" s="106">
        <v>25264.799999999996</v>
      </c>
      <c r="AP91" s="106">
        <v>9</v>
      </c>
      <c r="AQ91" s="106">
        <v>20671.199999999997</v>
      </c>
      <c r="AR91" s="106">
        <v>23</v>
      </c>
      <c r="AS91" s="106">
        <v>52826.399999999994</v>
      </c>
      <c r="AT91" s="106">
        <v>18</v>
      </c>
      <c r="AU91" s="106">
        <v>41342.399999999994</v>
      </c>
      <c r="AV91" s="106">
        <v>13</v>
      </c>
      <c r="AW91" s="106">
        <v>29858.399999999998</v>
      </c>
      <c r="AX91" s="106">
        <v>22</v>
      </c>
      <c r="AY91" s="106">
        <v>50529.599999999991</v>
      </c>
      <c r="AZ91" s="106">
        <v>3</v>
      </c>
      <c r="BA91" s="106">
        <v>6890.4</v>
      </c>
      <c r="BB91" s="106">
        <v>3</v>
      </c>
      <c r="BC91" s="106">
        <v>6890.4</v>
      </c>
      <c r="BD91" s="106">
        <v>5</v>
      </c>
      <c r="BE91" s="106">
        <v>11483.999999999998</v>
      </c>
      <c r="BF91" s="106">
        <v>4</v>
      </c>
      <c r="BG91" s="106">
        <v>9187.1999999999989</v>
      </c>
      <c r="BH91" s="106">
        <v>11</v>
      </c>
      <c r="BI91" s="106">
        <v>25264.799999999996</v>
      </c>
      <c r="BJ91" s="106">
        <v>12</v>
      </c>
      <c r="BK91" s="106">
        <v>27561.599999999999</v>
      </c>
      <c r="BL91" s="106">
        <v>8</v>
      </c>
      <c r="BM91" s="106">
        <v>18374.399999999998</v>
      </c>
      <c r="BN91" s="106">
        <v>10</v>
      </c>
      <c r="BO91" s="106">
        <v>22967.999999999996</v>
      </c>
      <c r="BP91" s="106">
        <v>14</v>
      </c>
      <c r="BQ91" s="106">
        <v>32155.199999999997</v>
      </c>
      <c r="BR91" s="106">
        <v>17</v>
      </c>
      <c r="BS91" s="106">
        <v>39045.599999999999</v>
      </c>
      <c r="BT91" s="106">
        <v>19</v>
      </c>
      <c r="BU91" s="106">
        <v>43639.199999999997</v>
      </c>
      <c r="BV91" s="106">
        <v>22</v>
      </c>
      <c r="BW91" s="106">
        <v>50529.599999999991</v>
      </c>
      <c r="BX91" s="106">
        <v>9</v>
      </c>
      <c r="BY91" s="106">
        <v>20671.199999999997</v>
      </c>
      <c r="BZ91" s="106">
        <v>7</v>
      </c>
      <c r="CA91" s="106">
        <v>16077.599999999999</v>
      </c>
      <c r="CB91" s="106">
        <v>8</v>
      </c>
      <c r="CC91" s="106">
        <v>18374.399999999998</v>
      </c>
      <c r="CD91" s="106">
        <v>8</v>
      </c>
      <c r="CE91" s="106">
        <v>18374.399999999998</v>
      </c>
      <c r="CF91" s="106">
        <v>4</v>
      </c>
      <c r="CG91" s="106">
        <v>9187.1999999999989</v>
      </c>
      <c r="CH91" s="106">
        <v>5</v>
      </c>
      <c r="CI91" s="106">
        <v>11483.999999999998</v>
      </c>
      <c r="CJ91" s="106">
        <v>5</v>
      </c>
      <c r="CK91" s="106">
        <v>11483.999999999998</v>
      </c>
      <c r="CL91" s="106">
        <v>3</v>
      </c>
      <c r="CM91" s="106">
        <v>6890.4</v>
      </c>
      <c r="CN91" s="106">
        <v>4</v>
      </c>
      <c r="CO91" s="106">
        <v>9187.1999999999989</v>
      </c>
      <c r="CP91" s="106">
        <v>3</v>
      </c>
      <c r="CQ91" s="106">
        <v>6890.4</v>
      </c>
      <c r="CR91" s="106">
        <v>2</v>
      </c>
      <c r="CS91" s="106">
        <v>4593.5999999999995</v>
      </c>
      <c r="CT91" s="106">
        <v>4</v>
      </c>
      <c r="CU91" s="106">
        <v>9187.1999999999989</v>
      </c>
    </row>
    <row r="92" spans="2:99" x14ac:dyDescent="0.2">
      <c r="C92" s="105" t="s">
        <v>258</v>
      </c>
      <c r="D92" s="106">
        <v>4</v>
      </c>
      <c r="E92" s="106">
        <v>5683.2</v>
      </c>
      <c r="F92" s="106">
        <v>3</v>
      </c>
      <c r="G92" s="106">
        <v>4262.3999999999996</v>
      </c>
      <c r="H92" s="106">
        <v>5</v>
      </c>
      <c r="I92" s="106">
        <v>7104</v>
      </c>
      <c r="J92" s="106">
        <v>3</v>
      </c>
      <c r="K92" s="106">
        <v>4262.3999999999996</v>
      </c>
      <c r="L92" s="106">
        <v>5</v>
      </c>
      <c r="M92" s="106">
        <v>7104</v>
      </c>
      <c r="N92" s="106">
        <v>6</v>
      </c>
      <c r="O92" s="106">
        <v>8524.7999999999993</v>
      </c>
      <c r="P92" s="106">
        <v>8</v>
      </c>
      <c r="Q92" s="106">
        <v>11366.4</v>
      </c>
      <c r="R92" s="106">
        <v>7</v>
      </c>
      <c r="S92" s="106">
        <v>9945.6</v>
      </c>
      <c r="T92" s="106">
        <v>9</v>
      </c>
      <c r="U92" s="106">
        <v>12787.199999999999</v>
      </c>
      <c r="V92" s="106">
        <v>5</v>
      </c>
      <c r="W92" s="106">
        <v>7104</v>
      </c>
      <c r="X92" s="106">
        <v>8</v>
      </c>
      <c r="Y92" s="106">
        <v>11366.4</v>
      </c>
      <c r="Z92" s="106">
        <v>9</v>
      </c>
      <c r="AA92" s="106">
        <v>12787.199999999999</v>
      </c>
      <c r="AB92" s="106">
        <v>13</v>
      </c>
      <c r="AC92" s="106">
        <v>18470.399999999998</v>
      </c>
      <c r="AD92" s="106">
        <v>11</v>
      </c>
      <c r="AE92" s="106">
        <v>15628.8</v>
      </c>
      <c r="AF92" s="106">
        <v>12</v>
      </c>
      <c r="AG92" s="106">
        <v>17049.599999999999</v>
      </c>
      <c r="AH92" s="106">
        <v>10</v>
      </c>
      <c r="AI92" s="106">
        <v>14208</v>
      </c>
      <c r="AJ92" s="106">
        <v>10</v>
      </c>
      <c r="AK92" s="106">
        <v>14208</v>
      </c>
      <c r="AL92" s="106">
        <v>10</v>
      </c>
      <c r="AM92" s="106">
        <v>14208</v>
      </c>
      <c r="AN92" s="106">
        <v>13</v>
      </c>
      <c r="AO92" s="106">
        <v>18470.399999999998</v>
      </c>
      <c r="AP92" s="106">
        <v>10</v>
      </c>
      <c r="AQ92" s="106">
        <v>14208</v>
      </c>
      <c r="AR92" s="106">
        <v>23</v>
      </c>
      <c r="AS92" s="106">
        <v>32678.399999999998</v>
      </c>
      <c r="AT92" s="106">
        <v>23</v>
      </c>
      <c r="AU92" s="106">
        <v>32678.399999999998</v>
      </c>
      <c r="AV92" s="106">
        <v>15</v>
      </c>
      <c r="AW92" s="106">
        <v>21312</v>
      </c>
      <c r="AX92" s="106">
        <v>26</v>
      </c>
      <c r="AY92" s="106">
        <v>36940.799999999996</v>
      </c>
      <c r="AZ92" s="106">
        <v>3</v>
      </c>
      <c r="BA92" s="106">
        <v>4262.3999999999996</v>
      </c>
      <c r="BB92" s="106">
        <v>4</v>
      </c>
      <c r="BC92" s="106">
        <v>5683.2</v>
      </c>
      <c r="BD92" s="106">
        <v>5</v>
      </c>
      <c r="BE92" s="106">
        <v>7104</v>
      </c>
      <c r="BF92" s="106">
        <v>4</v>
      </c>
      <c r="BG92" s="106">
        <v>5683.2</v>
      </c>
      <c r="BH92" s="106">
        <v>11</v>
      </c>
      <c r="BI92" s="106">
        <v>15628.8</v>
      </c>
      <c r="BJ92" s="106">
        <v>13</v>
      </c>
      <c r="BK92" s="106">
        <v>18470.399999999998</v>
      </c>
      <c r="BL92" s="106">
        <v>9</v>
      </c>
      <c r="BM92" s="106">
        <v>12787.199999999999</v>
      </c>
      <c r="BN92" s="106">
        <v>12</v>
      </c>
      <c r="BO92" s="106">
        <v>17049.599999999999</v>
      </c>
      <c r="BP92" s="106">
        <v>15</v>
      </c>
      <c r="BQ92" s="106">
        <v>21312</v>
      </c>
      <c r="BR92" s="106">
        <v>21</v>
      </c>
      <c r="BS92" s="106">
        <v>29836.799999999999</v>
      </c>
      <c r="BT92" s="106">
        <v>23</v>
      </c>
      <c r="BU92" s="106">
        <v>32678.399999999998</v>
      </c>
      <c r="BV92" s="106">
        <v>21</v>
      </c>
      <c r="BW92" s="106">
        <v>29836.799999999999</v>
      </c>
      <c r="BX92" s="106">
        <v>11</v>
      </c>
      <c r="BY92" s="106">
        <v>15628.8</v>
      </c>
      <c r="BZ92" s="106">
        <v>8</v>
      </c>
      <c r="CA92" s="106">
        <v>11366.4</v>
      </c>
      <c r="CB92" s="106">
        <v>8</v>
      </c>
      <c r="CC92" s="106">
        <v>11366.4</v>
      </c>
      <c r="CD92" s="106">
        <v>9</v>
      </c>
      <c r="CE92" s="106">
        <v>12787.199999999999</v>
      </c>
      <c r="CF92" s="106">
        <v>5</v>
      </c>
      <c r="CG92" s="106">
        <v>7104</v>
      </c>
      <c r="CH92" s="106">
        <v>5</v>
      </c>
      <c r="CI92" s="106">
        <v>7104</v>
      </c>
      <c r="CJ92" s="106">
        <v>5</v>
      </c>
      <c r="CK92" s="106">
        <v>7104</v>
      </c>
      <c r="CL92" s="106">
        <v>4</v>
      </c>
      <c r="CM92" s="106">
        <v>5683.2</v>
      </c>
      <c r="CN92" s="106">
        <v>4</v>
      </c>
      <c r="CO92" s="106">
        <v>5683.2</v>
      </c>
      <c r="CP92" s="106">
        <v>3</v>
      </c>
      <c r="CQ92" s="106">
        <v>4262.3999999999996</v>
      </c>
      <c r="CR92" s="106">
        <v>2</v>
      </c>
      <c r="CS92" s="106">
        <v>2841.6</v>
      </c>
      <c r="CT92" s="106">
        <v>4</v>
      </c>
      <c r="CU92" s="106">
        <v>5683.2</v>
      </c>
    </row>
    <row r="93" spans="2:99" x14ac:dyDescent="0.2">
      <c r="C93" s="105" t="s">
        <v>259</v>
      </c>
      <c r="D93" s="106">
        <v>3</v>
      </c>
      <c r="E93" s="106">
        <v>5317.2</v>
      </c>
      <c r="F93" s="106">
        <v>3</v>
      </c>
      <c r="G93" s="106">
        <v>5317.2</v>
      </c>
      <c r="H93" s="106">
        <v>4</v>
      </c>
      <c r="I93" s="106">
        <v>7089.5999999999995</v>
      </c>
      <c r="J93" s="106">
        <v>3</v>
      </c>
      <c r="K93" s="106">
        <v>5317.2</v>
      </c>
      <c r="L93" s="106">
        <v>5</v>
      </c>
      <c r="M93" s="106">
        <v>8862</v>
      </c>
      <c r="N93" s="106">
        <v>6</v>
      </c>
      <c r="O93" s="106">
        <v>10634.4</v>
      </c>
      <c r="P93" s="106">
        <v>7</v>
      </c>
      <c r="Q93" s="106">
        <v>12406.8</v>
      </c>
      <c r="R93" s="106">
        <v>7</v>
      </c>
      <c r="S93" s="106">
        <v>12406.8</v>
      </c>
      <c r="T93" s="106">
        <v>9</v>
      </c>
      <c r="U93" s="106">
        <v>15951.599999999999</v>
      </c>
      <c r="V93" s="106">
        <v>5</v>
      </c>
      <c r="W93" s="106">
        <v>8862</v>
      </c>
      <c r="X93" s="106">
        <v>7</v>
      </c>
      <c r="Y93" s="106">
        <v>12406.8</v>
      </c>
      <c r="Z93" s="106">
        <v>9</v>
      </c>
      <c r="AA93" s="106">
        <v>15951.599999999999</v>
      </c>
      <c r="AB93" s="106">
        <v>11</v>
      </c>
      <c r="AC93" s="106">
        <v>19496.399999999998</v>
      </c>
      <c r="AD93" s="106">
        <v>9</v>
      </c>
      <c r="AE93" s="106">
        <v>15951.599999999999</v>
      </c>
      <c r="AF93" s="106">
        <v>11</v>
      </c>
      <c r="AG93" s="106">
        <v>19496.399999999998</v>
      </c>
      <c r="AH93" s="106">
        <v>11</v>
      </c>
      <c r="AI93" s="106">
        <v>19496.399999999998</v>
      </c>
      <c r="AJ93" s="106">
        <v>10</v>
      </c>
      <c r="AK93" s="106">
        <v>17724</v>
      </c>
      <c r="AL93" s="106">
        <v>11</v>
      </c>
      <c r="AM93" s="106">
        <v>19496.399999999998</v>
      </c>
      <c r="AN93" s="106">
        <v>12</v>
      </c>
      <c r="AO93" s="106">
        <v>21268.799999999999</v>
      </c>
      <c r="AP93" s="106">
        <v>10</v>
      </c>
      <c r="AQ93" s="106">
        <v>17724</v>
      </c>
      <c r="AR93" s="106">
        <v>22</v>
      </c>
      <c r="AS93" s="106">
        <v>38992.799999999996</v>
      </c>
      <c r="AT93" s="106">
        <v>20</v>
      </c>
      <c r="AU93" s="106">
        <v>35448</v>
      </c>
      <c r="AV93" s="106">
        <v>14</v>
      </c>
      <c r="AW93" s="106">
        <v>24813.599999999999</v>
      </c>
      <c r="AX93" s="106">
        <v>26</v>
      </c>
      <c r="AY93" s="106">
        <v>46082.399999999994</v>
      </c>
      <c r="AZ93" s="106">
        <v>4</v>
      </c>
      <c r="BA93" s="106">
        <v>7089.5999999999995</v>
      </c>
      <c r="BB93" s="106">
        <v>4</v>
      </c>
      <c r="BC93" s="106">
        <v>7089.5999999999995</v>
      </c>
      <c r="BD93" s="106">
        <v>5</v>
      </c>
      <c r="BE93" s="106">
        <v>8862</v>
      </c>
      <c r="BF93" s="106">
        <v>4</v>
      </c>
      <c r="BG93" s="106">
        <v>7089.5999999999995</v>
      </c>
      <c r="BH93" s="106">
        <v>12</v>
      </c>
      <c r="BI93" s="106">
        <v>21268.799999999999</v>
      </c>
      <c r="BJ93" s="106">
        <v>12</v>
      </c>
      <c r="BK93" s="106">
        <v>21268.799999999999</v>
      </c>
      <c r="BL93" s="106">
        <v>8</v>
      </c>
      <c r="BM93" s="106">
        <v>14179.199999999999</v>
      </c>
      <c r="BN93" s="106">
        <v>11</v>
      </c>
      <c r="BO93" s="106">
        <v>19496.399999999998</v>
      </c>
      <c r="BP93" s="106">
        <v>15</v>
      </c>
      <c r="BQ93" s="106">
        <v>26585.999999999996</v>
      </c>
      <c r="BR93" s="106">
        <v>19</v>
      </c>
      <c r="BS93" s="106">
        <v>33675.599999999999</v>
      </c>
      <c r="BT93" s="106">
        <v>22</v>
      </c>
      <c r="BU93" s="106">
        <v>38992.799999999996</v>
      </c>
      <c r="BV93" s="106">
        <v>23</v>
      </c>
      <c r="BW93" s="106">
        <v>40765.199999999997</v>
      </c>
      <c r="BX93" s="106">
        <v>10</v>
      </c>
      <c r="BY93" s="106">
        <v>17724</v>
      </c>
      <c r="BZ93" s="106">
        <v>7</v>
      </c>
      <c r="CA93" s="106">
        <v>12406.8</v>
      </c>
      <c r="CB93" s="106">
        <v>8</v>
      </c>
      <c r="CC93" s="106">
        <v>14179.199999999999</v>
      </c>
      <c r="CD93" s="106">
        <v>9</v>
      </c>
      <c r="CE93" s="106">
        <v>15951.599999999999</v>
      </c>
      <c r="CF93" s="106">
        <v>5</v>
      </c>
      <c r="CG93" s="106">
        <v>8862</v>
      </c>
      <c r="CH93" s="106">
        <v>4</v>
      </c>
      <c r="CI93" s="106">
        <v>7089.5999999999995</v>
      </c>
      <c r="CJ93" s="106">
        <v>5</v>
      </c>
      <c r="CK93" s="106">
        <v>8862</v>
      </c>
      <c r="CL93" s="106">
        <v>3</v>
      </c>
      <c r="CM93" s="106">
        <v>5317.2</v>
      </c>
      <c r="CN93" s="106">
        <v>4</v>
      </c>
      <c r="CO93" s="106">
        <v>7089.5999999999995</v>
      </c>
      <c r="CP93" s="106">
        <v>3</v>
      </c>
      <c r="CQ93" s="106">
        <v>5317.2</v>
      </c>
      <c r="CR93" s="106">
        <v>2</v>
      </c>
      <c r="CS93" s="106">
        <v>3544.7999999999997</v>
      </c>
      <c r="CT93" s="106">
        <v>4</v>
      </c>
      <c r="CU93" s="106">
        <v>7089.5999999999995</v>
      </c>
    </row>
    <row r="94" spans="2:99" x14ac:dyDescent="0.2">
      <c r="C94" s="105" t="s">
        <v>260</v>
      </c>
      <c r="D94" s="106">
        <v>4</v>
      </c>
      <c r="E94" s="106">
        <v>9580.7999999999993</v>
      </c>
      <c r="F94" s="106">
        <v>3</v>
      </c>
      <c r="G94" s="106">
        <v>7185.5999999999995</v>
      </c>
      <c r="H94" s="106">
        <v>4</v>
      </c>
      <c r="I94" s="106">
        <v>9580.7999999999993</v>
      </c>
      <c r="J94" s="106">
        <v>3</v>
      </c>
      <c r="K94" s="106">
        <v>7185.5999999999995</v>
      </c>
      <c r="L94" s="106">
        <v>5</v>
      </c>
      <c r="M94" s="106">
        <v>11976</v>
      </c>
      <c r="N94" s="106">
        <v>6</v>
      </c>
      <c r="O94" s="106">
        <v>14371.199999999999</v>
      </c>
      <c r="P94" s="106">
        <v>6</v>
      </c>
      <c r="Q94" s="106">
        <v>14371.199999999999</v>
      </c>
      <c r="R94" s="106">
        <v>7</v>
      </c>
      <c r="S94" s="106">
        <v>16766.399999999998</v>
      </c>
      <c r="T94" s="106">
        <v>8</v>
      </c>
      <c r="U94" s="106">
        <v>19161.599999999999</v>
      </c>
      <c r="V94" s="106">
        <v>4</v>
      </c>
      <c r="W94" s="106">
        <v>9580.7999999999993</v>
      </c>
      <c r="X94" s="106">
        <v>7</v>
      </c>
      <c r="Y94" s="106">
        <v>16766.399999999998</v>
      </c>
      <c r="Z94" s="106">
        <v>8</v>
      </c>
      <c r="AA94" s="106">
        <v>19161.599999999999</v>
      </c>
      <c r="AB94" s="106">
        <v>10</v>
      </c>
      <c r="AC94" s="106">
        <v>23952</v>
      </c>
      <c r="AD94" s="106">
        <v>10</v>
      </c>
      <c r="AE94" s="106">
        <v>23952</v>
      </c>
      <c r="AF94" s="106">
        <v>11</v>
      </c>
      <c r="AG94" s="106">
        <v>26347.199999999997</v>
      </c>
      <c r="AH94" s="106">
        <v>10</v>
      </c>
      <c r="AI94" s="106">
        <v>23952</v>
      </c>
      <c r="AJ94" s="106">
        <v>9</v>
      </c>
      <c r="AK94" s="106">
        <v>21556.799999999999</v>
      </c>
      <c r="AL94" s="106">
        <v>9</v>
      </c>
      <c r="AM94" s="106">
        <v>21556.799999999999</v>
      </c>
      <c r="AN94" s="106">
        <v>13</v>
      </c>
      <c r="AO94" s="106">
        <v>31137.599999999999</v>
      </c>
      <c r="AP94" s="106">
        <v>9</v>
      </c>
      <c r="AQ94" s="106">
        <v>21556.799999999999</v>
      </c>
      <c r="AR94" s="106">
        <v>24</v>
      </c>
      <c r="AS94" s="106">
        <v>57484.799999999996</v>
      </c>
      <c r="AT94" s="106">
        <v>18</v>
      </c>
      <c r="AU94" s="106">
        <v>43113.599999999999</v>
      </c>
      <c r="AV94" s="106">
        <v>12</v>
      </c>
      <c r="AW94" s="106">
        <v>28742.399999999998</v>
      </c>
      <c r="AX94" s="106">
        <v>24</v>
      </c>
      <c r="AY94" s="106">
        <v>57484.799999999996</v>
      </c>
      <c r="AZ94" s="106">
        <v>3</v>
      </c>
      <c r="BA94" s="106">
        <v>7185.5999999999995</v>
      </c>
      <c r="BB94" s="106">
        <v>4</v>
      </c>
      <c r="BC94" s="106">
        <v>9580.7999999999993</v>
      </c>
      <c r="BD94" s="106">
        <v>4</v>
      </c>
      <c r="BE94" s="106">
        <v>9580.7999999999993</v>
      </c>
      <c r="BF94" s="106">
        <v>4</v>
      </c>
      <c r="BG94" s="106">
        <v>9580.7999999999993</v>
      </c>
      <c r="BH94" s="106">
        <v>10</v>
      </c>
      <c r="BI94" s="106">
        <v>23952</v>
      </c>
      <c r="BJ94" s="106">
        <v>12</v>
      </c>
      <c r="BK94" s="106">
        <v>28742.399999999998</v>
      </c>
      <c r="BL94" s="106">
        <v>9</v>
      </c>
      <c r="BM94" s="106">
        <v>21556.799999999999</v>
      </c>
      <c r="BN94" s="106">
        <v>10</v>
      </c>
      <c r="BO94" s="106">
        <v>23952</v>
      </c>
      <c r="BP94" s="106">
        <v>13</v>
      </c>
      <c r="BQ94" s="106">
        <v>31137.599999999999</v>
      </c>
      <c r="BR94" s="106">
        <v>16</v>
      </c>
      <c r="BS94" s="106">
        <v>38323.199999999997</v>
      </c>
      <c r="BT94" s="106">
        <v>19</v>
      </c>
      <c r="BU94" s="106">
        <v>45508.799999999996</v>
      </c>
      <c r="BV94" s="106">
        <v>18</v>
      </c>
      <c r="BW94" s="106">
        <v>43113.599999999999</v>
      </c>
      <c r="BX94" s="106">
        <v>10</v>
      </c>
      <c r="BY94" s="106">
        <v>23952</v>
      </c>
      <c r="BZ94" s="106">
        <v>7</v>
      </c>
      <c r="CA94" s="106">
        <v>16766.399999999998</v>
      </c>
      <c r="CB94" s="106">
        <v>8</v>
      </c>
      <c r="CC94" s="106">
        <v>19161.599999999999</v>
      </c>
      <c r="CD94" s="106">
        <v>8</v>
      </c>
      <c r="CE94" s="106">
        <v>19161.599999999999</v>
      </c>
      <c r="CF94" s="106">
        <v>5</v>
      </c>
      <c r="CG94" s="106">
        <v>11976</v>
      </c>
      <c r="CH94" s="106">
        <v>5</v>
      </c>
      <c r="CI94" s="106">
        <v>11976</v>
      </c>
      <c r="CJ94" s="106">
        <v>6</v>
      </c>
      <c r="CK94" s="106">
        <v>14371.199999999999</v>
      </c>
      <c r="CL94" s="106">
        <v>4</v>
      </c>
      <c r="CM94" s="106">
        <v>9580.7999999999993</v>
      </c>
      <c r="CN94" s="106">
        <v>4</v>
      </c>
      <c r="CO94" s="106">
        <v>9580.7999999999993</v>
      </c>
      <c r="CP94" s="106">
        <v>4</v>
      </c>
      <c r="CQ94" s="106">
        <v>9580.7999999999993</v>
      </c>
      <c r="CR94" s="106">
        <v>2</v>
      </c>
      <c r="CS94" s="106">
        <v>4790.3999999999996</v>
      </c>
      <c r="CT94" s="106">
        <v>4</v>
      </c>
      <c r="CU94" s="106">
        <v>9580.7999999999993</v>
      </c>
    </row>
    <row r="95" spans="2:99" x14ac:dyDescent="0.2">
      <c r="B95" s="105" t="s">
        <v>132</v>
      </c>
      <c r="C95" s="105" t="s">
        <v>261</v>
      </c>
      <c r="D95" s="106">
        <v>11</v>
      </c>
      <c r="E95" s="106">
        <v>19060.8</v>
      </c>
      <c r="F95" s="106">
        <v>18</v>
      </c>
      <c r="G95" s="106">
        <v>31190.399999999998</v>
      </c>
      <c r="H95" s="106">
        <v>8</v>
      </c>
      <c r="I95" s="106">
        <v>13862.4</v>
      </c>
      <c r="J95" s="106">
        <v>14</v>
      </c>
      <c r="K95" s="106">
        <v>24259.200000000001</v>
      </c>
      <c r="L95" s="106">
        <v>30</v>
      </c>
      <c r="M95" s="106">
        <v>51984</v>
      </c>
      <c r="N95" s="106">
        <v>36</v>
      </c>
      <c r="O95" s="106">
        <v>62380.799999999996</v>
      </c>
      <c r="P95" s="106">
        <v>22</v>
      </c>
      <c r="Q95" s="106">
        <v>38121.599999999999</v>
      </c>
      <c r="R95" s="106">
        <v>27</v>
      </c>
      <c r="S95" s="106">
        <v>46785.599999999999</v>
      </c>
      <c r="T95" s="106">
        <v>16</v>
      </c>
      <c r="U95" s="106">
        <v>27724.799999999999</v>
      </c>
      <c r="V95" s="106">
        <v>16</v>
      </c>
      <c r="W95" s="106">
        <v>27724.799999999999</v>
      </c>
      <c r="X95" s="106">
        <v>17</v>
      </c>
      <c r="Y95" s="106">
        <v>29457.599999999999</v>
      </c>
      <c r="Z95" s="106">
        <v>11</v>
      </c>
      <c r="AA95" s="106">
        <v>19060.8</v>
      </c>
      <c r="AB95" s="106">
        <v>8</v>
      </c>
      <c r="AC95" s="106">
        <v>13862.4</v>
      </c>
      <c r="AD95" s="106">
        <v>8</v>
      </c>
      <c r="AE95" s="106">
        <v>13862.4</v>
      </c>
      <c r="AF95" s="106">
        <v>7</v>
      </c>
      <c r="AG95" s="106">
        <v>12129.6</v>
      </c>
      <c r="AH95" s="106">
        <v>6</v>
      </c>
      <c r="AI95" s="106">
        <v>10396.799999999999</v>
      </c>
      <c r="AJ95" s="106">
        <v>7</v>
      </c>
      <c r="AK95" s="106">
        <v>12129.6</v>
      </c>
      <c r="AL95" s="106">
        <v>6</v>
      </c>
      <c r="AM95" s="106">
        <v>10396.799999999999</v>
      </c>
      <c r="AN95" s="106">
        <v>9</v>
      </c>
      <c r="AO95" s="106">
        <v>15595.199999999999</v>
      </c>
      <c r="AP95" s="106">
        <v>6</v>
      </c>
      <c r="AQ95" s="106">
        <v>10396.799999999999</v>
      </c>
      <c r="AR95" s="106">
        <v>3</v>
      </c>
      <c r="AS95" s="106">
        <v>5198.3999999999996</v>
      </c>
      <c r="AT95" s="106">
        <v>4</v>
      </c>
      <c r="AU95" s="106">
        <v>6931.2</v>
      </c>
      <c r="AV95" s="106">
        <v>4</v>
      </c>
      <c r="AW95" s="106">
        <v>6931.2</v>
      </c>
      <c r="AX95" s="106">
        <v>4</v>
      </c>
      <c r="AY95" s="106">
        <v>6931.2</v>
      </c>
      <c r="AZ95" s="106">
        <v>7</v>
      </c>
      <c r="BA95" s="106">
        <v>12129.6</v>
      </c>
      <c r="BB95" s="106">
        <v>6</v>
      </c>
      <c r="BC95" s="106">
        <v>10396.799999999999</v>
      </c>
      <c r="BD95" s="106">
        <v>9</v>
      </c>
      <c r="BE95" s="106">
        <v>15595.199999999999</v>
      </c>
      <c r="BF95" s="106">
        <v>5</v>
      </c>
      <c r="BG95" s="106">
        <v>8664</v>
      </c>
      <c r="BH95" s="106">
        <v>7</v>
      </c>
      <c r="BI95" s="106">
        <v>12129.6</v>
      </c>
      <c r="BJ95" s="106">
        <v>9</v>
      </c>
      <c r="BK95" s="106">
        <v>15595.199999999999</v>
      </c>
      <c r="BL95" s="106">
        <v>8</v>
      </c>
      <c r="BM95" s="106">
        <v>13862.4</v>
      </c>
      <c r="BN95" s="106">
        <v>9</v>
      </c>
      <c r="BO95" s="106">
        <v>15595.199999999999</v>
      </c>
      <c r="BP95" s="106">
        <v>3</v>
      </c>
      <c r="BQ95" s="106">
        <v>5198.3999999999996</v>
      </c>
      <c r="BR95" s="106">
        <v>5</v>
      </c>
      <c r="BS95" s="106">
        <v>8664</v>
      </c>
      <c r="BT95" s="106">
        <v>4</v>
      </c>
      <c r="BU95" s="106">
        <v>6931.2</v>
      </c>
      <c r="BV95" s="106">
        <v>4</v>
      </c>
      <c r="BW95" s="106">
        <v>6931.2</v>
      </c>
      <c r="BX95" s="106">
        <v>11</v>
      </c>
      <c r="BY95" s="106">
        <v>19060.8</v>
      </c>
      <c r="BZ95" s="106">
        <v>7</v>
      </c>
      <c r="CA95" s="106">
        <v>12129.6</v>
      </c>
      <c r="CB95" s="106">
        <v>11</v>
      </c>
      <c r="CC95" s="106">
        <v>19060.8</v>
      </c>
      <c r="CD95" s="106">
        <v>9</v>
      </c>
      <c r="CE95" s="106">
        <v>15595.199999999999</v>
      </c>
      <c r="CF95" s="106">
        <v>5</v>
      </c>
      <c r="CG95" s="106">
        <v>8664</v>
      </c>
      <c r="CH95" s="106">
        <v>4</v>
      </c>
      <c r="CI95" s="106">
        <v>6931.2</v>
      </c>
      <c r="CJ95" s="106">
        <v>4</v>
      </c>
      <c r="CK95" s="106">
        <v>6931.2</v>
      </c>
      <c r="CL95" s="106">
        <v>6</v>
      </c>
      <c r="CM95" s="106">
        <v>10396.799999999999</v>
      </c>
      <c r="CN95" s="106">
        <v>9</v>
      </c>
      <c r="CO95" s="106">
        <v>15595.199999999999</v>
      </c>
      <c r="CP95" s="106">
        <v>9</v>
      </c>
      <c r="CQ95" s="106">
        <v>15595.199999999999</v>
      </c>
      <c r="CR95" s="106">
        <v>9</v>
      </c>
      <c r="CS95" s="106">
        <v>15595.199999999999</v>
      </c>
      <c r="CT95" s="106">
        <v>10</v>
      </c>
      <c r="CU95" s="106">
        <v>17328</v>
      </c>
    </row>
    <row r="96" spans="2:99" x14ac:dyDescent="0.2">
      <c r="C96" s="105" t="s">
        <v>262</v>
      </c>
      <c r="D96" s="106">
        <v>13</v>
      </c>
      <c r="E96" s="106">
        <v>10701.599999999999</v>
      </c>
      <c r="F96" s="106">
        <v>20</v>
      </c>
      <c r="G96" s="106">
        <v>16464</v>
      </c>
      <c r="H96" s="106">
        <v>10</v>
      </c>
      <c r="I96" s="106">
        <v>8232</v>
      </c>
      <c r="J96" s="106">
        <v>16</v>
      </c>
      <c r="K96" s="106">
        <v>13171.199999999999</v>
      </c>
      <c r="L96" s="106">
        <v>36</v>
      </c>
      <c r="M96" s="106">
        <v>29635.199999999997</v>
      </c>
      <c r="N96" s="106">
        <v>43</v>
      </c>
      <c r="O96" s="106">
        <v>35397.599999999999</v>
      </c>
      <c r="P96" s="106">
        <v>25</v>
      </c>
      <c r="Q96" s="106">
        <v>20580</v>
      </c>
      <c r="R96" s="106">
        <v>31</v>
      </c>
      <c r="S96" s="106">
        <v>25519.199999999997</v>
      </c>
      <c r="T96" s="106">
        <v>18</v>
      </c>
      <c r="U96" s="106">
        <v>14817.599999999999</v>
      </c>
      <c r="V96" s="106">
        <v>19</v>
      </c>
      <c r="W96" s="106">
        <v>15640.8</v>
      </c>
      <c r="X96" s="106">
        <v>19</v>
      </c>
      <c r="Y96" s="106">
        <v>15640.8</v>
      </c>
      <c r="Z96" s="106">
        <v>11</v>
      </c>
      <c r="AA96" s="106">
        <v>9055.1999999999989</v>
      </c>
      <c r="AB96" s="106">
        <v>8</v>
      </c>
      <c r="AC96" s="106">
        <v>6585.5999999999995</v>
      </c>
      <c r="AD96" s="106">
        <v>7</v>
      </c>
      <c r="AE96" s="106">
        <v>5762.4</v>
      </c>
      <c r="AF96" s="106">
        <v>8</v>
      </c>
      <c r="AG96" s="106">
        <v>6585.5999999999995</v>
      </c>
      <c r="AH96" s="106">
        <v>6</v>
      </c>
      <c r="AI96" s="106">
        <v>4939.2</v>
      </c>
      <c r="AJ96" s="106">
        <v>7</v>
      </c>
      <c r="AK96" s="106">
        <v>5762.4</v>
      </c>
      <c r="AL96" s="106">
        <v>6</v>
      </c>
      <c r="AM96" s="106">
        <v>4939.2</v>
      </c>
      <c r="AN96" s="106">
        <v>9</v>
      </c>
      <c r="AO96" s="106">
        <v>7408.7999999999993</v>
      </c>
      <c r="AP96" s="106">
        <v>8</v>
      </c>
      <c r="AQ96" s="106">
        <v>6585.5999999999995</v>
      </c>
      <c r="AR96" s="106">
        <v>3</v>
      </c>
      <c r="AS96" s="106">
        <v>2469.6</v>
      </c>
      <c r="AT96" s="106">
        <v>5</v>
      </c>
      <c r="AU96" s="106">
        <v>4116</v>
      </c>
      <c r="AV96" s="106">
        <v>4</v>
      </c>
      <c r="AW96" s="106">
        <v>3292.7999999999997</v>
      </c>
      <c r="AX96" s="106">
        <v>5</v>
      </c>
      <c r="AY96" s="106">
        <v>4116</v>
      </c>
      <c r="AZ96" s="106">
        <v>7</v>
      </c>
      <c r="BA96" s="106">
        <v>5762.4</v>
      </c>
      <c r="BB96" s="106">
        <v>7</v>
      </c>
      <c r="BC96" s="106">
        <v>5762.4</v>
      </c>
      <c r="BD96" s="106">
        <v>10</v>
      </c>
      <c r="BE96" s="106">
        <v>8232</v>
      </c>
      <c r="BF96" s="106">
        <v>7</v>
      </c>
      <c r="BG96" s="106">
        <v>5762.4</v>
      </c>
      <c r="BH96" s="106">
        <v>8</v>
      </c>
      <c r="BI96" s="106">
        <v>6585.5999999999995</v>
      </c>
      <c r="BJ96" s="106">
        <v>11</v>
      </c>
      <c r="BK96" s="106">
        <v>9055.1999999999989</v>
      </c>
      <c r="BL96" s="106">
        <v>8</v>
      </c>
      <c r="BM96" s="106">
        <v>6585.5999999999995</v>
      </c>
      <c r="BN96" s="106">
        <v>11</v>
      </c>
      <c r="BO96" s="106">
        <v>9055.1999999999989</v>
      </c>
      <c r="BP96" s="106">
        <v>3</v>
      </c>
      <c r="BQ96" s="106">
        <v>2469.6</v>
      </c>
      <c r="BR96" s="106">
        <v>5</v>
      </c>
      <c r="BS96" s="106">
        <v>4116</v>
      </c>
      <c r="BT96" s="106">
        <v>4</v>
      </c>
      <c r="BU96" s="106">
        <v>3292.7999999999997</v>
      </c>
      <c r="BV96" s="106">
        <v>3</v>
      </c>
      <c r="BW96" s="106">
        <v>2469.6</v>
      </c>
      <c r="BX96" s="106">
        <v>12</v>
      </c>
      <c r="BY96" s="106">
        <v>9878.4</v>
      </c>
      <c r="BZ96" s="106">
        <v>8</v>
      </c>
      <c r="CA96" s="106">
        <v>6585.5999999999995</v>
      </c>
      <c r="CB96" s="106">
        <v>13</v>
      </c>
      <c r="CC96" s="106">
        <v>10701.599999999999</v>
      </c>
      <c r="CD96" s="106">
        <v>10</v>
      </c>
      <c r="CE96" s="106">
        <v>8232</v>
      </c>
      <c r="CF96" s="106">
        <v>5</v>
      </c>
      <c r="CG96" s="106">
        <v>4116</v>
      </c>
      <c r="CH96" s="106">
        <v>4</v>
      </c>
      <c r="CI96" s="106">
        <v>3292.7999999999997</v>
      </c>
      <c r="CJ96" s="106">
        <v>5</v>
      </c>
      <c r="CK96" s="106">
        <v>4116</v>
      </c>
      <c r="CL96" s="106">
        <v>6</v>
      </c>
      <c r="CM96" s="106">
        <v>4939.2</v>
      </c>
      <c r="CN96" s="106">
        <v>10</v>
      </c>
      <c r="CO96" s="106">
        <v>8232</v>
      </c>
      <c r="CP96" s="106">
        <v>9</v>
      </c>
      <c r="CQ96" s="106">
        <v>7408.7999999999993</v>
      </c>
      <c r="CR96" s="106">
        <v>9</v>
      </c>
      <c r="CS96" s="106">
        <v>7408.7999999999993</v>
      </c>
      <c r="CT96" s="106">
        <v>9</v>
      </c>
      <c r="CU96" s="106">
        <v>7408.7999999999993</v>
      </c>
    </row>
    <row r="97" spans="2:99" x14ac:dyDescent="0.2">
      <c r="C97" s="105" t="s">
        <v>263</v>
      </c>
      <c r="D97" s="106">
        <v>10</v>
      </c>
      <c r="E97" s="106">
        <v>18288</v>
      </c>
      <c r="F97" s="106">
        <v>15</v>
      </c>
      <c r="G97" s="106">
        <v>27432</v>
      </c>
      <c r="H97" s="106">
        <v>9</v>
      </c>
      <c r="I97" s="106">
        <v>16459.2</v>
      </c>
      <c r="J97" s="106">
        <v>13</v>
      </c>
      <c r="K97" s="106">
        <v>23774.399999999998</v>
      </c>
      <c r="L97" s="106">
        <v>27</v>
      </c>
      <c r="M97" s="106">
        <v>49377.599999999999</v>
      </c>
      <c r="N97" s="106">
        <v>31</v>
      </c>
      <c r="O97" s="106">
        <v>56692.799999999996</v>
      </c>
      <c r="P97" s="106">
        <v>21</v>
      </c>
      <c r="Q97" s="106">
        <v>38404.799999999996</v>
      </c>
      <c r="R97" s="106">
        <v>22</v>
      </c>
      <c r="S97" s="106">
        <v>40233.599999999999</v>
      </c>
      <c r="T97" s="106">
        <v>15</v>
      </c>
      <c r="U97" s="106">
        <v>27432</v>
      </c>
      <c r="V97" s="106">
        <v>14</v>
      </c>
      <c r="W97" s="106">
        <v>25603.200000000001</v>
      </c>
      <c r="X97" s="106">
        <v>17</v>
      </c>
      <c r="Y97" s="106">
        <v>31089.599999999999</v>
      </c>
      <c r="Z97" s="106">
        <v>11</v>
      </c>
      <c r="AA97" s="106">
        <v>20116.8</v>
      </c>
      <c r="AB97" s="106">
        <v>7</v>
      </c>
      <c r="AC97" s="106">
        <v>12801.6</v>
      </c>
      <c r="AD97" s="106">
        <v>7</v>
      </c>
      <c r="AE97" s="106">
        <v>12801.6</v>
      </c>
      <c r="AF97" s="106">
        <v>8</v>
      </c>
      <c r="AG97" s="106">
        <v>14630.4</v>
      </c>
      <c r="AH97" s="106">
        <v>6</v>
      </c>
      <c r="AI97" s="106">
        <v>10972.8</v>
      </c>
      <c r="AJ97" s="106">
        <v>7</v>
      </c>
      <c r="AK97" s="106">
        <v>12801.6</v>
      </c>
      <c r="AL97" s="106">
        <v>6</v>
      </c>
      <c r="AM97" s="106">
        <v>10972.8</v>
      </c>
      <c r="AN97" s="106">
        <v>8</v>
      </c>
      <c r="AO97" s="106">
        <v>14630.4</v>
      </c>
      <c r="AP97" s="106">
        <v>6</v>
      </c>
      <c r="AQ97" s="106">
        <v>10972.8</v>
      </c>
      <c r="AR97" s="106">
        <v>3</v>
      </c>
      <c r="AS97" s="106">
        <v>5486.4</v>
      </c>
      <c r="AT97" s="106">
        <v>4</v>
      </c>
      <c r="AU97" s="106">
        <v>7315.2</v>
      </c>
      <c r="AV97" s="106">
        <v>4</v>
      </c>
      <c r="AW97" s="106">
        <v>7315.2</v>
      </c>
      <c r="AX97" s="106">
        <v>4</v>
      </c>
      <c r="AY97" s="106">
        <v>7315.2</v>
      </c>
      <c r="AZ97" s="106">
        <v>7</v>
      </c>
      <c r="BA97" s="106">
        <v>12801.6</v>
      </c>
      <c r="BB97" s="106">
        <v>7</v>
      </c>
      <c r="BC97" s="106">
        <v>12801.6</v>
      </c>
      <c r="BD97" s="106">
        <v>10</v>
      </c>
      <c r="BE97" s="106">
        <v>18288</v>
      </c>
      <c r="BF97" s="106">
        <v>6</v>
      </c>
      <c r="BG97" s="106">
        <v>10972.8</v>
      </c>
      <c r="BH97" s="106">
        <v>7</v>
      </c>
      <c r="BI97" s="106">
        <v>12801.6</v>
      </c>
      <c r="BJ97" s="106">
        <v>10</v>
      </c>
      <c r="BK97" s="106">
        <v>18288</v>
      </c>
      <c r="BL97" s="106">
        <v>8</v>
      </c>
      <c r="BM97" s="106">
        <v>14630.4</v>
      </c>
      <c r="BN97" s="106">
        <v>10</v>
      </c>
      <c r="BO97" s="106">
        <v>18288</v>
      </c>
      <c r="BP97" s="106">
        <v>3</v>
      </c>
      <c r="BQ97" s="106">
        <v>5486.4</v>
      </c>
      <c r="BR97" s="106">
        <v>4</v>
      </c>
      <c r="BS97" s="106">
        <v>7315.2</v>
      </c>
      <c r="BT97" s="106">
        <v>4</v>
      </c>
      <c r="BU97" s="106">
        <v>7315.2</v>
      </c>
      <c r="BV97" s="106">
        <v>4</v>
      </c>
      <c r="BW97" s="106">
        <v>7315.2</v>
      </c>
      <c r="BX97" s="106">
        <v>12</v>
      </c>
      <c r="BY97" s="106">
        <v>21945.599999999999</v>
      </c>
      <c r="BZ97" s="106">
        <v>8</v>
      </c>
      <c r="CA97" s="106">
        <v>14630.4</v>
      </c>
      <c r="CB97" s="106">
        <v>10</v>
      </c>
      <c r="CC97" s="106">
        <v>18288</v>
      </c>
      <c r="CD97" s="106">
        <v>9</v>
      </c>
      <c r="CE97" s="106">
        <v>16459.2</v>
      </c>
      <c r="CF97" s="106">
        <v>5</v>
      </c>
      <c r="CG97" s="106">
        <v>9144</v>
      </c>
      <c r="CH97" s="106">
        <v>4</v>
      </c>
      <c r="CI97" s="106">
        <v>7315.2</v>
      </c>
      <c r="CJ97" s="106">
        <v>5</v>
      </c>
      <c r="CK97" s="106">
        <v>9144</v>
      </c>
      <c r="CL97" s="106">
        <v>5</v>
      </c>
      <c r="CM97" s="106">
        <v>9144</v>
      </c>
      <c r="CN97" s="106">
        <v>10</v>
      </c>
      <c r="CO97" s="106">
        <v>18288</v>
      </c>
      <c r="CP97" s="106">
        <v>9</v>
      </c>
      <c r="CQ97" s="106">
        <v>16459.2</v>
      </c>
      <c r="CR97" s="106">
        <v>8</v>
      </c>
      <c r="CS97" s="106">
        <v>14630.4</v>
      </c>
      <c r="CT97" s="106">
        <v>8</v>
      </c>
      <c r="CU97" s="106">
        <v>14630.4</v>
      </c>
    </row>
    <row r="98" spans="2:99" x14ac:dyDescent="0.2">
      <c r="C98" s="105" t="s">
        <v>264</v>
      </c>
      <c r="D98" s="106">
        <v>12</v>
      </c>
      <c r="E98" s="106">
        <v>15163.199999999999</v>
      </c>
      <c r="F98" s="106">
        <v>16</v>
      </c>
      <c r="G98" s="106">
        <v>20217.599999999999</v>
      </c>
      <c r="H98" s="106">
        <v>9</v>
      </c>
      <c r="I98" s="106">
        <v>11372.4</v>
      </c>
      <c r="J98" s="106">
        <v>15</v>
      </c>
      <c r="K98" s="106">
        <v>18954</v>
      </c>
      <c r="L98" s="106">
        <v>30</v>
      </c>
      <c r="M98" s="106">
        <v>37908</v>
      </c>
      <c r="N98" s="106">
        <v>38</v>
      </c>
      <c r="O98" s="106">
        <v>48016.799999999996</v>
      </c>
      <c r="P98" s="106">
        <v>24</v>
      </c>
      <c r="Q98" s="106">
        <v>30326.399999999998</v>
      </c>
      <c r="R98" s="106">
        <v>25</v>
      </c>
      <c r="S98" s="106">
        <v>31589.999999999996</v>
      </c>
      <c r="T98" s="106">
        <v>15</v>
      </c>
      <c r="U98" s="106">
        <v>18954</v>
      </c>
      <c r="V98" s="106">
        <v>17</v>
      </c>
      <c r="W98" s="106">
        <v>21481.199999999997</v>
      </c>
      <c r="X98" s="106">
        <v>17</v>
      </c>
      <c r="Y98" s="106">
        <v>21481.199999999997</v>
      </c>
      <c r="Z98" s="106">
        <v>10</v>
      </c>
      <c r="AA98" s="106">
        <v>12636</v>
      </c>
      <c r="AB98" s="106">
        <v>7</v>
      </c>
      <c r="AC98" s="106">
        <v>8845.1999999999989</v>
      </c>
      <c r="AD98" s="106">
        <v>7</v>
      </c>
      <c r="AE98" s="106">
        <v>8845.1999999999989</v>
      </c>
      <c r="AF98" s="106">
        <v>8</v>
      </c>
      <c r="AG98" s="106">
        <v>10108.799999999999</v>
      </c>
      <c r="AH98" s="106">
        <v>6</v>
      </c>
      <c r="AI98" s="106">
        <v>7581.5999999999995</v>
      </c>
      <c r="AJ98" s="106">
        <v>7</v>
      </c>
      <c r="AK98" s="106">
        <v>8845.1999999999989</v>
      </c>
      <c r="AL98" s="106">
        <v>6</v>
      </c>
      <c r="AM98" s="106">
        <v>7581.5999999999995</v>
      </c>
      <c r="AN98" s="106">
        <v>8</v>
      </c>
      <c r="AO98" s="106">
        <v>10108.799999999999</v>
      </c>
      <c r="AP98" s="106">
        <v>7</v>
      </c>
      <c r="AQ98" s="106">
        <v>8845.1999999999989</v>
      </c>
      <c r="AR98" s="106">
        <v>3</v>
      </c>
      <c r="AS98" s="106">
        <v>3790.7999999999997</v>
      </c>
      <c r="AT98" s="106">
        <v>4</v>
      </c>
      <c r="AU98" s="106">
        <v>5054.3999999999996</v>
      </c>
      <c r="AV98" s="106">
        <v>4</v>
      </c>
      <c r="AW98" s="106">
        <v>5054.3999999999996</v>
      </c>
      <c r="AX98" s="106">
        <v>5</v>
      </c>
      <c r="AY98" s="106">
        <v>6318</v>
      </c>
      <c r="AZ98" s="106">
        <v>7</v>
      </c>
      <c r="BA98" s="106">
        <v>8845.1999999999989</v>
      </c>
      <c r="BB98" s="106">
        <v>6</v>
      </c>
      <c r="BC98" s="106">
        <v>7581.5999999999995</v>
      </c>
      <c r="BD98" s="106">
        <v>9</v>
      </c>
      <c r="BE98" s="106">
        <v>11372.4</v>
      </c>
      <c r="BF98" s="106">
        <v>5</v>
      </c>
      <c r="BG98" s="106">
        <v>6318</v>
      </c>
      <c r="BH98" s="106">
        <v>9</v>
      </c>
      <c r="BI98" s="106">
        <v>11372.4</v>
      </c>
      <c r="BJ98" s="106">
        <v>10</v>
      </c>
      <c r="BK98" s="106">
        <v>12636</v>
      </c>
      <c r="BL98" s="106">
        <v>9</v>
      </c>
      <c r="BM98" s="106">
        <v>11372.4</v>
      </c>
      <c r="BN98" s="106">
        <v>10</v>
      </c>
      <c r="BO98" s="106">
        <v>12636</v>
      </c>
      <c r="BP98" s="106">
        <v>3</v>
      </c>
      <c r="BQ98" s="106">
        <v>3790.7999999999997</v>
      </c>
      <c r="BR98" s="106">
        <v>4</v>
      </c>
      <c r="BS98" s="106">
        <v>5054.3999999999996</v>
      </c>
      <c r="BT98" s="106">
        <v>4</v>
      </c>
      <c r="BU98" s="106">
        <v>5054.3999999999996</v>
      </c>
      <c r="BV98" s="106">
        <v>3</v>
      </c>
      <c r="BW98" s="106">
        <v>3790.7999999999997</v>
      </c>
      <c r="BX98" s="106">
        <v>12</v>
      </c>
      <c r="BY98" s="106">
        <v>15163.199999999999</v>
      </c>
      <c r="BZ98" s="106">
        <v>8</v>
      </c>
      <c r="CA98" s="106">
        <v>10108.799999999999</v>
      </c>
      <c r="CB98" s="106">
        <v>12</v>
      </c>
      <c r="CC98" s="106">
        <v>15163.199999999999</v>
      </c>
      <c r="CD98" s="106">
        <v>10</v>
      </c>
      <c r="CE98" s="106">
        <v>12636</v>
      </c>
      <c r="CF98" s="106">
        <v>5</v>
      </c>
      <c r="CG98" s="106">
        <v>6318</v>
      </c>
      <c r="CH98" s="106">
        <v>4</v>
      </c>
      <c r="CI98" s="106">
        <v>5054.3999999999996</v>
      </c>
      <c r="CJ98" s="106">
        <v>4</v>
      </c>
      <c r="CK98" s="106">
        <v>5054.3999999999996</v>
      </c>
      <c r="CL98" s="106">
        <v>5</v>
      </c>
      <c r="CM98" s="106">
        <v>6318</v>
      </c>
      <c r="CN98" s="106">
        <v>10</v>
      </c>
      <c r="CO98" s="106">
        <v>12636</v>
      </c>
      <c r="CP98" s="106">
        <v>9</v>
      </c>
      <c r="CQ98" s="106">
        <v>11372.4</v>
      </c>
      <c r="CR98" s="106">
        <v>10</v>
      </c>
      <c r="CS98" s="106">
        <v>12636</v>
      </c>
      <c r="CT98" s="106">
        <v>9</v>
      </c>
      <c r="CU98" s="106">
        <v>11372.4</v>
      </c>
    </row>
    <row r="99" spans="2:99" x14ac:dyDescent="0.2">
      <c r="C99" s="105" t="s">
        <v>265</v>
      </c>
      <c r="D99" s="106">
        <v>7</v>
      </c>
      <c r="E99" s="106">
        <v>38371.199999999997</v>
      </c>
      <c r="F99" s="106">
        <v>12</v>
      </c>
      <c r="G99" s="106">
        <v>65779.199999999997</v>
      </c>
      <c r="H99" s="106">
        <v>6</v>
      </c>
      <c r="I99" s="106">
        <v>32889.599999999999</v>
      </c>
      <c r="J99" s="106">
        <v>9</v>
      </c>
      <c r="K99" s="106">
        <v>49334.399999999994</v>
      </c>
      <c r="L99" s="106">
        <v>18</v>
      </c>
      <c r="M99" s="106">
        <v>98668.799999999988</v>
      </c>
      <c r="N99" s="106">
        <v>21</v>
      </c>
      <c r="O99" s="106">
        <v>115113.59999999999</v>
      </c>
      <c r="P99" s="106">
        <v>12</v>
      </c>
      <c r="Q99" s="106">
        <v>65779.199999999997</v>
      </c>
      <c r="R99" s="106">
        <v>15</v>
      </c>
      <c r="S99" s="106">
        <v>82223.999999999985</v>
      </c>
      <c r="T99" s="106">
        <v>10</v>
      </c>
      <c r="U99" s="106">
        <v>54815.999999999993</v>
      </c>
      <c r="V99" s="106">
        <v>10</v>
      </c>
      <c r="W99" s="106">
        <v>54815.999999999993</v>
      </c>
      <c r="X99" s="106">
        <v>11</v>
      </c>
      <c r="Y99" s="106">
        <v>60297.599999999991</v>
      </c>
      <c r="Z99" s="106">
        <v>7</v>
      </c>
      <c r="AA99" s="106">
        <v>38371.199999999997</v>
      </c>
      <c r="AB99" s="106">
        <v>6</v>
      </c>
      <c r="AC99" s="106">
        <v>32889.599999999999</v>
      </c>
      <c r="AD99" s="106">
        <v>6</v>
      </c>
      <c r="AE99" s="106">
        <v>32889.599999999999</v>
      </c>
      <c r="AF99" s="106">
        <v>6</v>
      </c>
      <c r="AG99" s="106">
        <v>32889.599999999999</v>
      </c>
      <c r="AH99" s="106">
        <v>4</v>
      </c>
      <c r="AI99" s="106">
        <v>21926.399999999998</v>
      </c>
      <c r="AJ99" s="106">
        <v>5</v>
      </c>
      <c r="AK99" s="106">
        <v>27407.999999999996</v>
      </c>
      <c r="AL99" s="106">
        <v>4</v>
      </c>
      <c r="AM99" s="106">
        <v>21926.399999999998</v>
      </c>
      <c r="AN99" s="106">
        <v>6</v>
      </c>
      <c r="AO99" s="106">
        <v>32889.599999999999</v>
      </c>
      <c r="AP99" s="106">
        <v>5</v>
      </c>
      <c r="AQ99" s="106">
        <v>27407.999999999996</v>
      </c>
      <c r="AR99" s="106">
        <v>2</v>
      </c>
      <c r="AS99" s="106">
        <v>10963.199999999999</v>
      </c>
      <c r="AT99" s="106">
        <v>3</v>
      </c>
      <c r="AU99" s="106">
        <v>16444.8</v>
      </c>
      <c r="AV99" s="106">
        <v>4</v>
      </c>
      <c r="AW99" s="106">
        <v>21926.399999999998</v>
      </c>
      <c r="AX99" s="106">
        <v>4</v>
      </c>
      <c r="AY99" s="106">
        <v>21926.399999999998</v>
      </c>
      <c r="AZ99" s="106">
        <v>5</v>
      </c>
      <c r="BA99" s="106">
        <v>27407.999999999996</v>
      </c>
      <c r="BB99" s="106">
        <v>4</v>
      </c>
      <c r="BC99" s="106">
        <v>21926.399999999998</v>
      </c>
      <c r="BD99" s="106">
        <v>7</v>
      </c>
      <c r="BE99" s="106">
        <v>38371.199999999997</v>
      </c>
      <c r="BF99" s="106">
        <v>4</v>
      </c>
      <c r="BG99" s="106">
        <v>21926.399999999998</v>
      </c>
      <c r="BH99" s="106">
        <v>6</v>
      </c>
      <c r="BI99" s="106">
        <v>32889.599999999999</v>
      </c>
      <c r="BJ99" s="106">
        <v>7</v>
      </c>
      <c r="BK99" s="106">
        <v>38371.199999999997</v>
      </c>
      <c r="BL99" s="106">
        <v>5</v>
      </c>
      <c r="BM99" s="106">
        <v>27407.999999999996</v>
      </c>
      <c r="BN99" s="106">
        <v>7</v>
      </c>
      <c r="BO99" s="106">
        <v>38371.199999999997</v>
      </c>
      <c r="BP99" s="106">
        <v>3</v>
      </c>
      <c r="BQ99" s="106">
        <v>16444.8</v>
      </c>
      <c r="BR99" s="106">
        <v>3</v>
      </c>
      <c r="BS99" s="106">
        <v>16444.8</v>
      </c>
      <c r="BT99" s="106">
        <v>3</v>
      </c>
      <c r="BU99" s="106">
        <v>16444.8</v>
      </c>
      <c r="BV99" s="106">
        <v>3</v>
      </c>
      <c r="BW99" s="106">
        <v>16444.8</v>
      </c>
      <c r="BX99" s="106">
        <v>7</v>
      </c>
      <c r="BY99" s="106">
        <v>38371.199999999997</v>
      </c>
      <c r="BZ99" s="106">
        <v>5</v>
      </c>
      <c r="CA99" s="106">
        <v>27407.999999999996</v>
      </c>
      <c r="CB99" s="106">
        <v>8</v>
      </c>
      <c r="CC99" s="106">
        <v>43852.799999999996</v>
      </c>
      <c r="CD99" s="106">
        <v>7</v>
      </c>
      <c r="CE99" s="106">
        <v>38371.199999999997</v>
      </c>
      <c r="CF99" s="106">
        <v>4</v>
      </c>
      <c r="CG99" s="106">
        <v>21926.399999999998</v>
      </c>
      <c r="CH99" s="106">
        <v>3</v>
      </c>
      <c r="CI99" s="106">
        <v>16444.8</v>
      </c>
      <c r="CJ99" s="106">
        <v>4</v>
      </c>
      <c r="CK99" s="106">
        <v>21926.399999999998</v>
      </c>
      <c r="CL99" s="106">
        <v>4</v>
      </c>
      <c r="CM99" s="106">
        <v>21926.399999999998</v>
      </c>
      <c r="CN99" s="106">
        <v>7</v>
      </c>
      <c r="CO99" s="106">
        <v>38371.199999999997</v>
      </c>
      <c r="CP99" s="106">
        <v>6</v>
      </c>
      <c r="CQ99" s="106">
        <v>32889.599999999999</v>
      </c>
      <c r="CR99" s="106">
        <v>7</v>
      </c>
      <c r="CS99" s="106">
        <v>38371.199999999997</v>
      </c>
      <c r="CT99" s="106">
        <v>6</v>
      </c>
      <c r="CU99" s="106">
        <v>32889.599999999999</v>
      </c>
    </row>
    <row r="100" spans="2:99" x14ac:dyDescent="0.2">
      <c r="C100" s="105" t="s">
        <v>266</v>
      </c>
      <c r="D100" s="106">
        <v>10</v>
      </c>
      <c r="E100" s="106">
        <v>16223.999999999998</v>
      </c>
      <c r="F100" s="106">
        <v>16</v>
      </c>
      <c r="G100" s="106">
        <v>25958.399999999998</v>
      </c>
      <c r="H100" s="106">
        <v>10</v>
      </c>
      <c r="I100" s="106">
        <v>16223.999999999998</v>
      </c>
      <c r="J100" s="106">
        <v>13</v>
      </c>
      <c r="K100" s="106">
        <v>21091.199999999997</v>
      </c>
      <c r="L100" s="106">
        <v>31</v>
      </c>
      <c r="M100" s="106">
        <v>50294.399999999994</v>
      </c>
      <c r="N100" s="106">
        <v>35</v>
      </c>
      <c r="O100" s="106">
        <v>56783.999999999993</v>
      </c>
      <c r="P100" s="106">
        <v>23</v>
      </c>
      <c r="Q100" s="106">
        <v>37315.199999999997</v>
      </c>
      <c r="R100" s="106">
        <v>26</v>
      </c>
      <c r="S100" s="106">
        <v>42182.399999999994</v>
      </c>
      <c r="T100" s="106">
        <v>16</v>
      </c>
      <c r="U100" s="106">
        <v>25958.399999999998</v>
      </c>
      <c r="V100" s="106">
        <v>17</v>
      </c>
      <c r="W100" s="106">
        <v>27580.799999999999</v>
      </c>
      <c r="X100" s="106">
        <v>16</v>
      </c>
      <c r="Y100" s="106">
        <v>25958.399999999998</v>
      </c>
      <c r="Z100" s="106">
        <v>10</v>
      </c>
      <c r="AA100" s="106">
        <v>16223.999999999998</v>
      </c>
      <c r="AB100" s="106">
        <v>8</v>
      </c>
      <c r="AC100" s="106">
        <v>12979.199999999999</v>
      </c>
      <c r="AD100" s="106">
        <v>8</v>
      </c>
      <c r="AE100" s="106">
        <v>12979.199999999999</v>
      </c>
      <c r="AF100" s="106">
        <v>8</v>
      </c>
      <c r="AG100" s="106">
        <v>12979.199999999999</v>
      </c>
      <c r="AH100" s="106">
        <v>5</v>
      </c>
      <c r="AI100" s="106">
        <v>8111.9999999999991</v>
      </c>
      <c r="AJ100" s="106">
        <v>7</v>
      </c>
      <c r="AK100" s="106">
        <v>11356.8</v>
      </c>
      <c r="AL100" s="106">
        <v>6</v>
      </c>
      <c r="AM100" s="106">
        <v>9734.4</v>
      </c>
      <c r="AN100" s="106">
        <v>8</v>
      </c>
      <c r="AO100" s="106">
        <v>12979.199999999999</v>
      </c>
      <c r="AP100" s="106">
        <v>7</v>
      </c>
      <c r="AQ100" s="106">
        <v>11356.8</v>
      </c>
      <c r="AR100" s="106">
        <v>3</v>
      </c>
      <c r="AS100" s="106">
        <v>4867.2</v>
      </c>
      <c r="AT100" s="106">
        <v>4</v>
      </c>
      <c r="AU100" s="106">
        <v>6489.5999999999995</v>
      </c>
      <c r="AV100" s="106">
        <v>4</v>
      </c>
      <c r="AW100" s="106">
        <v>6489.5999999999995</v>
      </c>
      <c r="AX100" s="106">
        <v>4</v>
      </c>
      <c r="AY100" s="106">
        <v>6489.5999999999995</v>
      </c>
      <c r="AZ100" s="106">
        <v>7</v>
      </c>
      <c r="BA100" s="106">
        <v>11356.8</v>
      </c>
      <c r="BB100" s="106">
        <v>6</v>
      </c>
      <c r="BC100" s="106">
        <v>9734.4</v>
      </c>
      <c r="BD100" s="106">
        <v>9</v>
      </c>
      <c r="BE100" s="106">
        <v>14601.599999999999</v>
      </c>
      <c r="BF100" s="106">
        <v>6</v>
      </c>
      <c r="BG100" s="106">
        <v>9734.4</v>
      </c>
      <c r="BH100" s="106">
        <v>8</v>
      </c>
      <c r="BI100" s="106">
        <v>12979.199999999999</v>
      </c>
      <c r="BJ100" s="106">
        <v>11</v>
      </c>
      <c r="BK100" s="106">
        <v>17846.399999999998</v>
      </c>
      <c r="BL100" s="106">
        <v>7</v>
      </c>
      <c r="BM100" s="106">
        <v>11356.8</v>
      </c>
      <c r="BN100" s="106">
        <v>9</v>
      </c>
      <c r="BO100" s="106">
        <v>14601.599999999999</v>
      </c>
      <c r="BP100" s="106">
        <v>3</v>
      </c>
      <c r="BQ100" s="106">
        <v>4867.2</v>
      </c>
      <c r="BR100" s="106">
        <v>5</v>
      </c>
      <c r="BS100" s="106">
        <v>8111.9999999999991</v>
      </c>
      <c r="BT100" s="106">
        <v>4</v>
      </c>
      <c r="BU100" s="106">
        <v>6489.5999999999995</v>
      </c>
      <c r="BV100" s="106">
        <v>3</v>
      </c>
      <c r="BW100" s="106">
        <v>4867.2</v>
      </c>
      <c r="BX100" s="106">
        <v>10</v>
      </c>
      <c r="BY100" s="106">
        <v>16223.999999999998</v>
      </c>
      <c r="BZ100" s="106">
        <v>8</v>
      </c>
      <c r="CA100" s="106">
        <v>12979.199999999999</v>
      </c>
      <c r="CB100" s="106">
        <v>11</v>
      </c>
      <c r="CC100" s="106">
        <v>17846.399999999998</v>
      </c>
      <c r="CD100" s="106">
        <v>9</v>
      </c>
      <c r="CE100" s="106">
        <v>14601.599999999999</v>
      </c>
      <c r="CF100" s="106">
        <v>5</v>
      </c>
      <c r="CG100" s="106">
        <v>8111.9999999999991</v>
      </c>
      <c r="CH100" s="106">
        <v>4</v>
      </c>
      <c r="CI100" s="106">
        <v>6489.5999999999995</v>
      </c>
      <c r="CJ100" s="106">
        <v>5</v>
      </c>
      <c r="CK100" s="106">
        <v>8111.9999999999991</v>
      </c>
      <c r="CL100" s="106">
        <v>6</v>
      </c>
      <c r="CM100" s="106">
        <v>9734.4</v>
      </c>
      <c r="CN100" s="106">
        <v>10</v>
      </c>
      <c r="CO100" s="106">
        <v>16223.999999999998</v>
      </c>
      <c r="CP100" s="106">
        <v>9</v>
      </c>
      <c r="CQ100" s="106">
        <v>14601.599999999999</v>
      </c>
      <c r="CR100" s="106">
        <v>8</v>
      </c>
      <c r="CS100" s="106">
        <v>12979.199999999999</v>
      </c>
      <c r="CT100" s="106">
        <v>9</v>
      </c>
      <c r="CU100" s="106">
        <v>14601.599999999999</v>
      </c>
    </row>
    <row r="101" spans="2:99" x14ac:dyDescent="0.2">
      <c r="C101" s="105" t="s">
        <v>267</v>
      </c>
      <c r="D101" s="106">
        <v>12</v>
      </c>
      <c r="E101" s="106">
        <v>14284.8</v>
      </c>
      <c r="F101" s="106">
        <v>18</v>
      </c>
      <c r="G101" s="106">
        <v>21427.199999999997</v>
      </c>
      <c r="H101" s="106">
        <v>10</v>
      </c>
      <c r="I101" s="106">
        <v>11903.999999999998</v>
      </c>
      <c r="J101" s="106">
        <v>14</v>
      </c>
      <c r="K101" s="106">
        <v>16665.599999999999</v>
      </c>
      <c r="L101" s="106">
        <v>31</v>
      </c>
      <c r="M101" s="106">
        <v>36902.399999999994</v>
      </c>
      <c r="N101" s="106">
        <v>34</v>
      </c>
      <c r="O101" s="106">
        <v>40473.599999999999</v>
      </c>
      <c r="P101" s="106">
        <v>25</v>
      </c>
      <c r="Q101" s="106">
        <v>29759.999999999996</v>
      </c>
      <c r="R101" s="106">
        <v>28</v>
      </c>
      <c r="S101" s="106">
        <v>33331.199999999997</v>
      </c>
      <c r="T101" s="106">
        <v>17</v>
      </c>
      <c r="U101" s="106">
        <v>20236.8</v>
      </c>
      <c r="V101" s="106">
        <v>17</v>
      </c>
      <c r="W101" s="106">
        <v>20236.8</v>
      </c>
      <c r="X101" s="106">
        <v>18</v>
      </c>
      <c r="Y101" s="106">
        <v>21427.199999999997</v>
      </c>
      <c r="Z101" s="106">
        <v>10</v>
      </c>
      <c r="AA101" s="106">
        <v>11903.999999999998</v>
      </c>
      <c r="AB101" s="106">
        <v>8</v>
      </c>
      <c r="AC101" s="106">
        <v>9523.1999999999989</v>
      </c>
      <c r="AD101" s="106">
        <v>8</v>
      </c>
      <c r="AE101" s="106">
        <v>9523.1999999999989</v>
      </c>
      <c r="AF101" s="106">
        <v>8</v>
      </c>
      <c r="AG101" s="106">
        <v>9523.1999999999989</v>
      </c>
      <c r="AH101" s="106">
        <v>6</v>
      </c>
      <c r="AI101" s="106">
        <v>7142.4</v>
      </c>
      <c r="AJ101" s="106">
        <v>8</v>
      </c>
      <c r="AK101" s="106">
        <v>9523.1999999999989</v>
      </c>
      <c r="AL101" s="106">
        <v>7</v>
      </c>
      <c r="AM101" s="106">
        <v>8332.7999999999993</v>
      </c>
      <c r="AN101" s="106">
        <v>9</v>
      </c>
      <c r="AO101" s="106">
        <v>10713.599999999999</v>
      </c>
      <c r="AP101" s="106">
        <v>7</v>
      </c>
      <c r="AQ101" s="106">
        <v>8332.7999999999993</v>
      </c>
      <c r="AR101" s="106">
        <v>3</v>
      </c>
      <c r="AS101" s="106">
        <v>3571.2</v>
      </c>
      <c r="AT101" s="106">
        <v>4</v>
      </c>
      <c r="AU101" s="106">
        <v>4761.5999999999995</v>
      </c>
      <c r="AV101" s="106">
        <v>5</v>
      </c>
      <c r="AW101" s="106">
        <v>5951.9999999999991</v>
      </c>
      <c r="AX101" s="106">
        <v>4</v>
      </c>
      <c r="AY101" s="106">
        <v>4761.5999999999995</v>
      </c>
      <c r="AZ101" s="106">
        <v>7</v>
      </c>
      <c r="BA101" s="106">
        <v>8332.7999999999993</v>
      </c>
      <c r="BB101" s="106">
        <v>7</v>
      </c>
      <c r="BC101" s="106">
        <v>8332.7999999999993</v>
      </c>
      <c r="BD101" s="106">
        <v>9</v>
      </c>
      <c r="BE101" s="106">
        <v>10713.599999999999</v>
      </c>
      <c r="BF101" s="106">
        <v>5</v>
      </c>
      <c r="BG101" s="106">
        <v>5951.9999999999991</v>
      </c>
      <c r="BH101" s="106">
        <v>8</v>
      </c>
      <c r="BI101" s="106">
        <v>9523.1999999999989</v>
      </c>
      <c r="BJ101" s="106">
        <v>10</v>
      </c>
      <c r="BK101" s="106">
        <v>11903.999999999998</v>
      </c>
      <c r="BL101" s="106">
        <v>8</v>
      </c>
      <c r="BM101" s="106">
        <v>9523.1999999999989</v>
      </c>
      <c r="BN101" s="106">
        <v>9</v>
      </c>
      <c r="BO101" s="106">
        <v>10713.599999999999</v>
      </c>
      <c r="BP101" s="106">
        <v>3</v>
      </c>
      <c r="BQ101" s="106">
        <v>3571.2</v>
      </c>
      <c r="BR101" s="106">
        <v>4</v>
      </c>
      <c r="BS101" s="106">
        <v>4761.5999999999995</v>
      </c>
      <c r="BT101" s="106">
        <v>4</v>
      </c>
      <c r="BU101" s="106">
        <v>4761.5999999999995</v>
      </c>
      <c r="BV101" s="106">
        <v>3</v>
      </c>
      <c r="BW101" s="106">
        <v>3571.2</v>
      </c>
      <c r="BX101" s="106">
        <v>11</v>
      </c>
      <c r="BY101" s="106">
        <v>13094.399999999998</v>
      </c>
      <c r="BZ101" s="106">
        <v>8</v>
      </c>
      <c r="CA101" s="106">
        <v>9523.1999999999989</v>
      </c>
      <c r="CB101" s="106">
        <v>11</v>
      </c>
      <c r="CC101" s="106">
        <v>13094.399999999998</v>
      </c>
      <c r="CD101" s="106">
        <v>10</v>
      </c>
      <c r="CE101" s="106">
        <v>11903.999999999998</v>
      </c>
      <c r="CF101" s="106">
        <v>6</v>
      </c>
      <c r="CG101" s="106">
        <v>7142.4</v>
      </c>
      <c r="CH101" s="106">
        <v>4</v>
      </c>
      <c r="CI101" s="106">
        <v>4761.5999999999995</v>
      </c>
      <c r="CJ101" s="106">
        <v>5</v>
      </c>
      <c r="CK101" s="106">
        <v>5951.9999999999991</v>
      </c>
      <c r="CL101" s="106">
        <v>6</v>
      </c>
      <c r="CM101" s="106">
        <v>7142.4</v>
      </c>
      <c r="CN101" s="106">
        <v>11</v>
      </c>
      <c r="CO101" s="106">
        <v>13094.399999999998</v>
      </c>
      <c r="CP101" s="106">
        <v>9</v>
      </c>
      <c r="CQ101" s="106">
        <v>10713.599999999999</v>
      </c>
      <c r="CR101" s="106">
        <v>9</v>
      </c>
      <c r="CS101" s="106">
        <v>10713.599999999999</v>
      </c>
      <c r="CT101" s="106">
        <v>10</v>
      </c>
      <c r="CU101" s="106">
        <v>11903.999999999998</v>
      </c>
    </row>
    <row r="102" spans="2:99" x14ac:dyDescent="0.2">
      <c r="C102" s="105" t="s">
        <v>268</v>
      </c>
      <c r="D102" s="106">
        <v>10</v>
      </c>
      <c r="E102" s="106">
        <v>19392</v>
      </c>
      <c r="F102" s="106">
        <v>16</v>
      </c>
      <c r="G102" s="106">
        <v>31027.199999999997</v>
      </c>
      <c r="H102" s="106">
        <v>8</v>
      </c>
      <c r="I102" s="106">
        <v>15513.599999999999</v>
      </c>
      <c r="J102" s="106">
        <v>14</v>
      </c>
      <c r="K102" s="106">
        <v>27148.799999999996</v>
      </c>
      <c r="L102" s="106">
        <v>27</v>
      </c>
      <c r="M102" s="106">
        <v>52358.399999999994</v>
      </c>
      <c r="N102" s="106">
        <v>34</v>
      </c>
      <c r="O102" s="106">
        <v>65932.799999999988</v>
      </c>
      <c r="P102" s="106">
        <v>22</v>
      </c>
      <c r="Q102" s="106">
        <v>42662.399999999994</v>
      </c>
      <c r="R102" s="106">
        <v>24</v>
      </c>
      <c r="S102" s="106">
        <v>46540.799999999996</v>
      </c>
      <c r="T102" s="106">
        <v>16</v>
      </c>
      <c r="U102" s="106">
        <v>31027.199999999997</v>
      </c>
      <c r="V102" s="106">
        <v>15</v>
      </c>
      <c r="W102" s="106">
        <v>29087.999999999996</v>
      </c>
      <c r="X102" s="106">
        <v>18</v>
      </c>
      <c r="Y102" s="106">
        <v>34905.599999999999</v>
      </c>
      <c r="Z102" s="106">
        <v>10</v>
      </c>
      <c r="AA102" s="106">
        <v>19392</v>
      </c>
      <c r="AB102" s="106">
        <v>6</v>
      </c>
      <c r="AC102" s="106">
        <v>11635.199999999999</v>
      </c>
      <c r="AD102" s="106">
        <v>7</v>
      </c>
      <c r="AE102" s="106">
        <v>13574.399999999998</v>
      </c>
      <c r="AF102" s="106">
        <v>8</v>
      </c>
      <c r="AG102" s="106">
        <v>15513.599999999999</v>
      </c>
      <c r="AH102" s="106">
        <v>5</v>
      </c>
      <c r="AI102" s="106">
        <v>9696</v>
      </c>
      <c r="AJ102" s="106">
        <v>7</v>
      </c>
      <c r="AK102" s="106">
        <v>13574.399999999998</v>
      </c>
      <c r="AL102" s="106">
        <v>6</v>
      </c>
      <c r="AM102" s="106">
        <v>11635.199999999999</v>
      </c>
      <c r="AN102" s="106">
        <v>8</v>
      </c>
      <c r="AO102" s="106">
        <v>15513.599999999999</v>
      </c>
      <c r="AP102" s="106">
        <v>7</v>
      </c>
      <c r="AQ102" s="106">
        <v>13574.399999999998</v>
      </c>
      <c r="AR102" s="106">
        <v>3</v>
      </c>
      <c r="AS102" s="106">
        <v>5817.5999999999995</v>
      </c>
      <c r="AT102" s="106">
        <v>4</v>
      </c>
      <c r="AU102" s="106">
        <v>7756.7999999999993</v>
      </c>
      <c r="AV102" s="106">
        <v>4</v>
      </c>
      <c r="AW102" s="106">
        <v>7756.7999999999993</v>
      </c>
      <c r="AX102" s="106">
        <v>4</v>
      </c>
      <c r="AY102" s="106">
        <v>7756.7999999999993</v>
      </c>
      <c r="AZ102" s="106">
        <v>7</v>
      </c>
      <c r="BA102" s="106">
        <v>13574.399999999998</v>
      </c>
      <c r="BB102" s="106">
        <v>7</v>
      </c>
      <c r="BC102" s="106">
        <v>13574.399999999998</v>
      </c>
      <c r="BD102" s="106">
        <v>10</v>
      </c>
      <c r="BE102" s="106">
        <v>19392</v>
      </c>
      <c r="BF102" s="106">
        <v>6</v>
      </c>
      <c r="BG102" s="106">
        <v>11635.199999999999</v>
      </c>
      <c r="BH102" s="106">
        <v>8</v>
      </c>
      <c r="BI102" s="106">
        <v>15513.599999999999</v>
      </c>
      <c r="BJ102" s="106">
        <v>10</v>
      </c>
      <c r="BK102" s="106">
        <v>19392</v>
      </c>
      <c r="BL102" s="106">
        <v>7</v>
      </c>
      <c r="BM102" s="106">
        <v>13574.399999999998</v>
      </c>
      <c r="BN102" s="106">
        <v>10</v>
      </c>
      <c r="BO102" s="106">
        <v>19392</v>
      </c>
      <c r="BP102" s="106">
        <v>3</v>
      </c>
      <c r="BQ102" s="106">
        <v>5817.5999999999995</v>
      </c>
      <c r="BR102" s="106">
        <v>4</v>
      </c>
      <c r="BS102" s="106">
        <v>7756.7999999999993</v>
      </c>
      <c r="BT102" s="106">
        <v>4</v>
      </c>
      <c r="BU102" s="106">
        <v>7756.7999999999993</v>
      </c>
      <c r="BV102" s="106">
        <v>4</v>
      </c>
      <c r="BW102" s="106">
        <v>7756.7999999999993</v>
      </c>
      <c r="BX102" s="106">
        <v>11</v>
      </c>
      <c r="BY102" s="106">
        <v>21331.199999999997</v>
      </c>
      <c r="BZ102" s="106">
        <v>7</v>
      </c>
      <c r="CA102" s="106">
        <v>13574.399999999998</v>
      </c>
      <c r="CB102" s="106">
        <v>10</v>
      </c>
      <c r="CC102" s="106">
        <v>19392</v>
      </c>
      <c r="CD102" s="106">
        <v>9</v>
      </c>
      <c r="CE102" s="106">
        <v>17452.8</v>
      </c>
      <c r="CF102" s="106">
        <v>5</v>
      </c>
      <c r="CG102" s="106">
        <v>9696</v>
      </c>
      <c r="CH102" s="106">
        <v>4</v>
      </c>
      <c r="CI102" s="106">
        <v>7756.7999999999993</v>
      </c>
      <c r="CJ102" s="106">
        <v>4</v>
      </c>
      <c r="CK102" s="106">
        <v>7756.7999999999993</v>
      </c>
      <c r="CL102" s="106">
        <v>6</v>
      </c>
      <c r="CM102" s="106">
        <v>11635.199999999999</v>
      </c>
      <c r="CN102" s="106">
        <v>10</v>
      </c>
      <c r="CO102" s="106">
        <v>19392</v>
      </c>
      <c r="CP102" s="106">
        <v>9</v>
      </c>
      <c r="CQ102" s="106">
        <v>17452.8</v>
      </c>
      <c r="CR102" s="106">
        <v>9</v>
      </c>
      <c r="CS102" s="106">
        <v>17452.8</v>
      </c>
      <c r="CT102" s="106">
        <v>9</v>
      </c>
      <c r="CU102" s="106">
        <v>17452.8</v>
      </c>
    </row>
    <row r="103" spans="2:99" x14ac:dyDescent="0.2">
      <c r="C103" s="105" t="s">
        <v>269</v>
      </c>
      <c r="D103" s="106">
        <v>10</v>
      </c>
      <c r="E103" s="106">
        <v>20280</v>
      </c>
      <c r="F103" s="106">
        <v>16</v>
      </c>
      <c r="G103" s="106">
        <v>32448</v>
      </c>
      <c r="H103" s="106">
        <v>9</v>
      </c>
      <c r="I103" s="106">
        <v>18252</v>
      </c>
      <c r="J103" s="106">
        <v>13</v>
      </c>
      <c r="K103" s="106">
        <v>26364</v>
      </c>
      <c r="L103" s="106">
        <v>25</v>
      </c>
      <c r="M103" s="106">
        <v>50700</v>
      </c>
      <c r="N103" s="106">
        <v>32</v>
      </c>
      <c r="O103" s="106">
        <v>64896</v>
      </c>
      <c r="P103" s="106">
        <v>23</v>
      </c>
      <c r="Q103" s="106">
        <v>46644</v>
      </c>
      <c r="R103" s="106">
        <v>25</v>
      </c>
      <c r="S103" s="106">
        <v>50700</v>
      </c>
      <c r="T103" s="106">
        <v>14</v>
      </c>
      <c r="U103" s="106">
        <v>28392</v>
      </c>
      <c r="V103" s="106">
        <v>15</v>
      </c>
      <c r="W103" s="106">
        <v>30420</v>
      </c>
      <c r="X103" s="106">
        <v>15</v>
      </c>
      <c r="Y103" s="106">
        <v>30420</v>
      </c>
      <c r="Z103" s="106">
        <v>9</v>
      </c>
      <c r="AA103" s="106">
        <v>18252</v>
      </c>
      <c r="AB103" s="106">
        <v>7</v>
      </c>
      <c r="AC103" s="106">
        <v>14196</v>
      </c>
      <c r="AD103" s="106">
        <v>8</v>
      </c>
      <c r="AE103" s="106">
        <v>16224</v>
      </c>
      <c r="AF103" s="106">
        <v>7</v>
      </c>
      <c r="AG103" s="106">
        <v>14196</v>
      </c>
      <c r="AH103" s="106">
        <v>5</v>
      </c>
      <c r="AI103" s="106">
        <v>10140</v>
      </c>
      <c r="AJ103" s="106">
        <v>6</v>
      </c>
      <c r="AK103" s="106">
        <v>12168</v>
      </c>
      <c r="AL103" s="106">
        <v>6</v>
      </c>
      <c r="AM103" s="106">
        <v>12168</v>
      </c>
      <c r="AN103" s="106">
        <v>9</v>
      </c>
      <c r="AO103" s="106">
        <v>18252</v>
      </c>
      <c r="AP103" s="106">
        <v>7</v>
      </c>
      <c r="AQ103" s="106">
        <v>14196</v>
      </c>
      <c r="AR103" s="106">
        <v>3</v>
      </c>
      <c r="AS103" s="106">
        <v>6084</v>
      </c>
      <c r="AT103" s="106">
        <v>4</v>
      </c>
      <c r="AU103" s="106">
        <v>8112</v>
      </c>
      <c r="AV103" s="106">
        <v>4</v>
      </c>
      <c r="AW103" s="106">
        <v>8112</v>
      </c>
      <c r="AX103" s="106">
        <v>5</v>
      </c>
      <c r="AY103" s="106">
        <v>10140</v>
      </c>
      <c r="AZ103" s="106">
        <v>6</v>
      </c>
      <c r="BA103" s="106">
        <v>12168</v>
      </c>
      <c r="BB103" s="106">
        <v>6</v>
      </c>
      <c r="BC103" s="106">
        <v>12168</v>
      </c>
      <c r="BD103" s="106">
        <v>9</v>
      </c>
      <c r="BE103" s="106">
        <v>18252</v>
      </c>
      <c r="BF103" s="106">
        <v>5</v>
      </c>
      <c r="BG103" s="106">
        <v>10140</v>
      </c>
      <c r="BH103" s="106">
        <v>8</v>
      </c>
      <c r="BI103" s="106">
        <v>16224</v>
      </c>
      <c r="BJ103" s="106">
        <v>11</v>
      </c>
      <c r="BK103" s="106">
        <v>22308</v>
      </c>
      <c r="BL103" s="106">
        <v>7</v>
      </c>
      <c r="BM103" s="106">
        <v>14196</v>
      </c>
      <c r="BN103" s="106">
        <v>8</v>
      </c>
      <c r="BO103" s="106">
        <v>16224</v>
      </c>
      <c r="BP103" s="106">
        <v>3</v>
      </c>
      <c r="BQ103" s="106">
        <v>6084</v>
      </c>
      <c r="BR103" s="106">
        <v>4</v>
      </c>
      <c r="BS103" s="106">
        <v>8112</v>
      </c>
      <c r="BT103" s="106">
        <v>4</v>
      </c>
      <c r="BU103" s="106">
        <v>8112</v>
      </c>
      <c r="BV103" s="106">
        <v>4</v>
      </c>
      <c r="BW103" s="106">
        <v>8112</v>
      </c>
      <c r="BX103" s="106">
        <v>10</v>
      </c>
      <c r="BY103" s="106">
        <v>20280</v>
      </c>
      <c r="BZ103" s="106">
        <v>7</v>
      </c>
      <c r="CA103" s="106">
        <v>14196</v>
      </c>
      <c r="CB103" s="106">
        <v>11</v>
      </c>
      <c r="CC103" s="106">
        <v>22308</v>
      </c>
      <c r="CD103" s="106">
        <v>9</v>
      </c>
      <c r="CE103" s="106">
        <v>18252</v>
      </c>
      <c r="CF103" s="106">
        <v>4</v>
      </c>
      <c r="CG103" s="106">
        <v>8112</v>
      </c>
      <c r="CH103" s="106">
        <v>4</v>
      </c>
      <c r="CI103" s="106">
        <v>8112</v>
      </c>
      <c r="CJ103" s="106">
        <v>5</v>
      </c>
      <c r="CK103" s="106">
        <v>10140</v>
      </c>
      <c r="CL103" s="106">
        <v>5</v>
      </c>
      <c r="CM103" s="106">
        <v>10140</v>
      </c>
      <c r="CN103" s="106">
        <v>9</v>
      </c>
      <c r="CO103" s="106">
        <v>18252</v>
      </c>
      <c r="CP103" s="106">
        <v>9</v>
      </c>
      <c r="CQ103" s="106">
        <v>18252</v>
      </c>
      <c r="CR103" s="106">
        <v>9</v>
      </c>
      <c r="CS103" s="106">
        <v>18252</v>
      </c>
      <c r="CT103" s="106">
        <v>9</v>
      </c>
      <c r="CU103" s="106">
        <v>18252</v>
      </c>
    </row>
    <row r="104" spans="2:99" x14ac:dyDescent="0.2">
      <c r="C104" s="105" t="s">
        <v>270</v>
      </c>
      <c r="D104" s="106">
        <v>9</v>
      </c>
      <c r="E104" s="106">
        <v>18651.600000000002</v>
      </c>
      <c r="F104" s="106">
        <v>16</v>
      </c>
      <c r="G104" s="106">
        <v>33158.400000000001</v>
      </c>
      <c r="H104" s="106">
        <v>8</v>
      </c>
      <c r="I104" s="106">
        <v>16579.2</v>
      </c>
      <c r="J104" s="106">
        <v>15</v>
      </c>
      <c r="K104" s="106">
        <v>31086</v>
      </c>
      <c r="L104" s="106">
        <v>29</v>
      </c>
      <c r="M104" s="106">
        <v>60099.600000000006</v>
      </c>
      <c r="N104" s="106">
        <v>31</v>
      </c>
      <c r="O104" s="106">
        <v>64244.4</v>
      </c>
      <c r="P104" s="106">
        <v>23</v>
      </c>
      <c r="Q104" s="106">
        <v>47665.200000000004</v>
      </c>
      <c r="R104" s="106">
        <v>24</v>
      </c>
      <c r="S104" s="106">
        <v>49737.600000000006</v>
      </c>
      <c r="T104" s="106">
        <v>14</v>
      </c>
      <c r="U104" s="106">
        <v>29013.600000000002</v>
      </c>
      <c r="V104" s="106">
        <v>16</v>
      </c>
      <c r="W104" s="106">
        <v>33158.400000000001</v>
      </c>
      <c r="X104" s="106">
        <v>15</v>
      </c>
      <c r="Y104" s="106">
        <v>31086</v>
      </c>
      <c r="Z104" s="106">
        <v>9</v>
      </c>
      <c r="AA104" s="106">
        <v>18651.600000000002</v>
      </c>
      <c r="AB104" s="106">
        <v>6</v>
      </c>
      <c r="AC104" s="106">
        <v>12434.400000000001</v>
      </c>
      <c r="AD104" s="106">
        <v>8</v>
      </c>
      <c r="AE104" s="106">
        <v>16579.2</v>
      </c>
      <c r="AF104" s="106">
        <v>8</v>
      </c>
      <c r="AG104" s="106">
        <v>16579.2</v>
      </c>
      <c r="AH104" s="106">
        <v>6</v>
      </c>
      <c r="AI104" s="106">
        <v>12434.400000000001</v>
      </c>
      <c r="AJ104" s="106">
        <v>6</v>
      </c>
      <c r="AK104" s="106">
        <v>12434.400000000001</v>
      </c>
      <c r="AL104" s="106">
        <v>6</v>
      </c>
      <c r="AM104" s="106">
        <v>12434.400000000001</v>
      </c>
      <c r="AN104" s="106">
        <v>8</v>
      </c>
      <c r="AO104" s="106">
        <v>16579.2</v>
      </c>
      <c r="AP104" s="106">
        <v>6</v>
      </c>
      <c r="AQ104" s="106">
        <v>12434.400000000001</v>
      </c>
      <c r="AR104" s="106">
        <v>3</v>
      </c>
      <c r="AS104" s="106">
        <v>6217.2000000000007</v>
      </c>
      <c r="AT104" s="106">
        <v>4</v>
      </c>
      <c r="AU104" s="106">
        <v>8289.6</v>
      </c>
      <c r="AV104" s="106">
        <v>4</v>
      </c>
      <c r="AW104" s="106">
        <v>8289.6</v>
      </c>
      <c r="AX104" s="106">
        <v>4</v>
      </c>
      <c r="AY104" s="106">
        <v>8289.6</v>
      </c>
      <c r="AZ104" s="106">
        <v>6</v>
      </c>
      <c r="BA104" s="106">
        <v>12434.400000000001</v>
      </c>
      <c r="BB104" s="106">
        <v>6</v>
      </c>
      <c r="BC104" s="106">
        <v>12434.400000000001</v>
      </c>
      <c r="BD104" s="106">
        <v>9</v>
      </c>
      <c r="BE104" s="106">
        <v>18651.600000000002</v>
      </c>
      <c r="BF104" s="106">
        <v>6</v>
      </c>
      <c r="BG104" s="106">
        <v>12434.400000000001</v>
      </c>
      <c r="BH104" s="106">
        <v>8</v>
      </c>
      <c r="BI104" s="106">
        <v>16579.2</v>
      </c>
      <c r="BJ104" s="106">
        <v>10</v>
      </c>
      <c r="BK104" s="106">
        <v>20724</v>
      </c>
      <c r="BL104" s="106">
        <v>7</v>
      </c>
      <c r="BM104" s="106">
        <v>14506.800000000001</v>
      </c>
      <c r="BN104" s="106">
        <v>8</v>
      </c>
      <c r="BO104" s="106">
        <v>16579.2</v>
      </c>
      <c r="BP104" s="106">
        <v>3</v>
      </c>
      <c r="BQ104" s="106">
        <v>6217.2000000000007</v>
      </c>
      <c r="BR104" s="106">
        <v>4</v>
      </c>
      <c r="BS104" s="106">
        <v>8289.6</v>
      </c>
      <c r="BT104" s="106">
        <v>4</v>
      </c>
      <c r="BU104" s="106">
        <v>8289.6</v>
      </c>
      <c r="BV104" s="106">
        <v>3</v>
      </c>
      <c r="BW104" s="106">
        <v>6217.2000000000007</v>
      </c>
      <c r="BX104" s="106">
        <v>10</v>
      </c>
      <c r="BY104" s="106">
        <v>20724</v>
      </c>
      <c r="BZ104" s="106">
        <v>6</v>
      </c>
      <c r="CA104" s="106">
        <v>12434.400000000001</v>
      </c>
      <c r="CB104" s="106">
        <v>11</v>
      </c>
      <c r="CC104" s="106">
        <v>22796.400000000001</v>
      </c>
      <c r="CD104" s="106">
        <v>8</v>
      </c>
      <c r="CE104" s="106">
        <v>16579.2</v>
      </c>
      <c r="CF104" s="106">
        <v>5</v>
      </c>
      <c r="CG104" s="106">
        <v>10362</v>
      </c>
      <c r="CH104" s="106">
        <v>4</v>
      </c>
      <c r="CI104" s="106">
        <v>8289.6</v>
      </c>
      <c r="CJ104" s="106">
        <v>4</v>
      </c>
      <c r="CK104" s="106">
        <v>8289.6</v>
      </c>
      <c r="CL104" s="106">
        <v>6</v>
      </c>
      <c r="CM104" s="106">
        <v>12434.400000000001</v>
      </c>
      <c r="CN104" s="106">
        <v>10</v>
      </c>
      <c r="CO104" s="106">
        <v>20724</v>
      </c>
      <c r="CP104" s="106">
        <v>8</v>
      </c>
      <c r="CQ104" s="106">
        <v>16579.2</v>
      </c>
      <c r="CR104" s="106">
        <v>9</v>
      </c>
      <c r="CS104" s="106">
        <v>18651.600000000002</v>
      </c>
      <c r="CT104" s="106">
        <v>9</v>
      </c>
      <c r="CU104" s="106">
        <v>18651.600000000002</v>
      </c>
    </row>
    <row r="105" spans="2:99" x14ac:dyDescent="0.2">
      <c r="C105" s="105" t="s">
        <v>271</v>
      </c>
      <c r="D105" s="106">
        <v>10</v>
      </c>
      <c r="E105" s="106">
        <v>19980</v>
      </c>
      <c r="F105" s="106">
        <v>17</v>
      </c>
      <c r="G105" s="106">
        <v>33966</v>
      </c>
      <c r="H105" s="106">
        <v>8</v>
      </c>
      <c r="I105" s="106">
        <v>15984</v>
      </c>
      <c r="J105" s="106">
        <v>15</v>
      </c>
      <c r="K105" s="106">
        <v>29970</v>
      </c>
      <c r="L105" s="106">
        <v>27</v>
      </c>
      <c r="M105" s="106">
        <v>53946</v>
      </c>
      <c r="N105" s="106">
        <v>33</v>
      </c>
      <c r="O105" s="106">
        <v>65934</v>
      </c>
      <c r="P105" s="106">
        <v>21</v>
      </c>
      <c r="Q105" s="106">
        <v>41958</v>
      </c>
      <c r="R105" s="106">
        <v>22</v>
      </c>
      <c r="S105" s="106">
        <v>43956</v>
      </c>
      <c r="T105" s="106">
        <v>15</v>
      </c>
      <c r="U105" s="106">
        <v>29970</v>
      </c>
      <c r="V105" s="106">
        <v>14</v>
      </c>
      <c r="W105" s="106">
        <v>27972</v>
      </c>
      <c r="X105" s="106">
        <v>18</v>
      </c>
      <c r="Y105" s="106">
        <v>35964</v>
      </c>
      <c r="Z105" s="106">
        <v>11</v>
      </c>
      <c r="AA105" s="106">
        <v>21978</v>
      </c>
      <c r="AB105" s="106">
        <v>6</v>
      </c>
      <c r="AC105" s="106">
        <v>11988</v>
      </c>
      <c r="AD105" s="106">
        <v>7</v>
      </c>
      <c r="AE105" s="106">
        <v>13986</v>
      </c>
      <c r="AF105" s="106">
        <v>7</v>
      </c>
      <c r="AG105" s="106">
        <v>13986</v>
      </c>
      <c r="AH105" s="106">
        <v>6</v>
      </c>
      <c r="AI105" s="106">
        <v>11988</v>
      </c>
      <c r="AJ105" s="106">
        <v>7</v>
      </c>
      <c r="AK105" s="106">
        <v>13986</v>
      </c>
      <c r="AL105" s="106">
        <v>6</v>
      </c>
      <c r="AM105" s="106">
        <v>11988</v>
      </c>
      <c r="AN105" s="106">
        <v>8</v>
      </c>
      <c r="AO105" s="106">
        <v>15984</v>
      </c>
      <c r="AP105" s="106">
        <v>7</v>
      </c>
      <c r="AQ105" s="106">
        <v>13986</v>
      </c>
      <c r="AR105" s="106">
        <v>3</v>
      </c>
      <c r="AS105" s="106">
        <v>5994</v>
      </c>
      <c r="AT105" s="106">
        <v>4</v>
      </c>
      <c r="AU105" s="106">
        <v>7992</v>
      </c>
      <c r="AV105" s="106">
        <v>4</v>
      </c>
      <c r="AW105" s="106">
        <v>7992</v>
      </c>
      <c r="AX105" s="106">
        <v>5</v>
      </c>
      <c r="AY105" s="106">
        <v>9990</v>
      </c>
      <c r="AZ105" s="106">
        <v>7</v>
      </c>
      <c r="BA105" s="106">
        <v>13986</v>
      </c>
      <c r="BB105" s="106">
        <v>6</v>
      </c>
      <c r="BC105" s="106">
        <v>11988</v>
      </c>
      <c r="BD105" s="106">
        <v>10</v>
      </c>
      <c r="BE105" s="106">
        <v>19980</v>
      </c>
      <c r="BF105" s="106">
        <v>6</v>
      </c>
      <c r="BG105" s="106">
        <v>11988</v>
      </c>
      <c r="BH105" s="106">
        <v>7</v>
      </c>
      <c r="BI105" s="106">
        <v>13986</v>
      </c>
      <c r="BJ105" s="106">
        <v>10</v>
      </c>
      <c r="BK105" s="106">
        <v>19980</v>
      </c>
      <c r="BL105" s="106">
        <v>8</v>
      </c>
      <c r="BM105" s="106">
        <v>15984</v>
      </c>
      <c r="BN105" s="106">
        <v>9</v>
      </c>
      <c r="BO105" s="106">
        <v>17982</v>
      </c>
      <c r="BP105" s="106">
        <v>3</v>
      </c>
      <c r="BQ105" s="106">
        <v>5994</v>
      </c>
      <c r="BR105" s="106">
        <v>4</v>
      </c>
      <c r="BS105" s="106">
        <v>7992</v>
      </c>
      <c r="BT105" s="106">
        <v>4</v>
      </c>
      <c r="BU105" s="106">
        <v>7992</v>
      </c>
      <c r="BV105" s="106">
        <v>3</v>
      </c>
      <c r="BW105" s="106">
        <v>5994</v>
      </c>
      <c r="BX105" s="106">
        <v>12</v>
      </c>
      <c r="BY105" s="106">
        <v>23976</v>
      </c>
      <c r="BZ105" s="106">
        <v>8</v>
      </c>
      <c r="CA105" s="106">
        <v>15984</v>
      </c>
      <c r="CB105" s="106">
        <v>11</v>
      </c>
      <c r="CC105" s="106">
        <v>21978</v>
      </c>
      <c r="CD105" s="106">
        <v>8</v>
      </c>
      <c r="CE105" s="106">
        <v>15984</v>
      </c>
      <c r="CF105" s="106">
        <v>5</v>
      </c>
      <c r="CG105" s="106">
        <v>9990</v>
      </c>
      <c r="CH105" s="106">
        <v>4</v>
      </c>
      <c r="CI105" s="106">
        <v>7992</v>
      </c>
      <c r="CJ105" s="106">
        <v>5</v>
      </c>
      <c r="CK105" s="106">
        <v>9990</v>
      </c>
      <c r="CL105" s="106">
        <v>5</v>
      </c>
      <c r="CM105" s="106">
        <v>9990</v>
      </c>
      <c r="CN105" s="106">
        <v>9</v>
      </c>
      <c r="CO105" s="106">
        <v>17982</v>
      </c>
      <c r="CP105" s="106">
        <v>8</v>
      </c>
      <c r="CQ105" s="106">
        <v>15984</v>
      </c>
      <c r="CR105" s="106">
        <v>9</v>
      </c>
      <c r="CS105" s="106">
        <v>17982</v>
      </c>
      <c r="CT105" s="106">
        <v>9</v>
      </c>
      <c r="CU105" s="106">
        <v>17982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49</v>
      </c>
      <c r="E112" s="106">
        <f>SUM(L$49:L$70)+SUM(N$49:N$70)+SUM(P$49:P$70)+SUM(R$49:R$70)</f>
        <v>47</v>
      </c>
      <c r="F112" s="106">
        <f>SUM(T$49:T$70)+SUM(V$49:V$70)+SUM(X$49:X$70)+SUM(Z$49:Z$70)</f>
        <v>518</v>
      </c>
      <c r="G112" s="106">
        <f>SUM(AB$49:AB$70)+SUM(AD$49:AD$70)+SUM(AF$49:AF$70)+SUM(AH$49:AH$70)</f>
        <v>105</v>
      </c>
      <c r="H112" s="106">
        <f>SUM(AJ$49:AJ$70)+SUM(AL$49:AL$70)+SUM(AN$49:AN$70)+SUM(AP$49:AP$70)</f>
        <v>166</v>
      </c>
      <c r="I112" s="106">
        <f>SUM(AR$49:AR$70)+SUM(AT$49:AT$70)+SUM(AV$49:AV$70)+SUM(AX$49:AX$70)</f>
        <v>42</v>
      </c>
      <c r="J112" s="106">
        <f>SUM(AZ$49:AZ$70)+SUM(BB$49:BB$70)+SUM(BD$49:BD$70)+SUM(BF$49:BF$70)</f>
        <v>47</v>
      </c>
      <c r="K112" s="106">
        <f>SUM(BH$49:BH$70)+SUM(BJ$49:BJ$70)+SUM(BL$49:BL$70)+SUM(BN$49:BN$70)</f>
        <v>64</v>
      </c>
      <c r="L112" s="106">
        <f>SUM(BP$49:BP$70)+SUM(BR$49:BR$70)+SUM(BT$49:BT$70)+SUM(BV$49:BV$70)</f>
        <v>105</v>
      </c>
      <c r="M112" s="106">
        <f>SUM(BX$49:BX$70)+SUM(BZ$49:BZ$70)+SUM(CB$49:CB$70)+SUM(CD$49:CD$70)</f>
        <v>43</v>
      </c>
      <c r="N112" s="106">
        <f>SUM(CF$49:CF$70)+SUM(CH$49:CH$70)+SUM(CJ$49:CJ$70)+SUM(CL$49:CL$70)</f>
        <v>526</v>
      </c>
      <c r="O112" s="106">
        <f>SUM(CN$49:CN$70)+SUM(CP$49:CP$70)+SUM(CR$49:CR$70)+SUM(CT$49:CT$70)</f>
        <v>92</v>
      </c>
    </row>
    <row r="113" spans="2:15" x14ac:dyDescent="0.2">
      <c r="C113" s="105" t="s">
        <v>130</v>
      </c>
      <c r="D113" s="106">
        <f>SUM(D$71:D$86)+SUM(F$71:F$86)+SUM(H$71:H$86)+SUM(J$71:J$86)</f>
        <v>1398</v>
      </c>
      <c r="E113" s="106">
        <f>SUM(L$71:L$86)+SUM(N$71:N$86)+SUM(P$71:P$86)+SUM(R$71:R$86)</f>
        <v>1221</v>
      </c>
      <c r="F113" s="106">
        <f>SUM(T$71:T$86)+SUM(V$71:V$86)+SUM(X$71:X$86)+SUM(Z$71:Z$86)</f>
        <v>853</v>
      </c>
      <c r="G113" s="106">
        <f>SUM(AB$71:AB$86)+SUM(AD$71:AD$86)+SUM(AF$71:AF$86)+SUM(AH$71:AH$86)</f>
        <v>713</v>
      </c>
      <c r="H113" s="106">
        <f>SUM(AJ$71:AJ$86)+SUM(AL$71:AL$86)+SUM(AN$71:AN$86)+SUM(AP$71:AP$86)</f>
        <v>1440</v>
      </c>
      <c r="I113" s="106">
        <f>SUM(AR$71:AR$86)+SUM(AT$71:AT$86)+SUM(AV$71:AV$86)+SUM(AX$71:AX$86)</f>
        <v>1933</v>
      </c>
      <c r="J113" s="106">
        <f>SUM(AZ$71:AZ$86)+SUM(BB$71:BB$86)+SUM(BD$71:BD$86)+SUM(BF$71:BF$86)</f>
        <v>210</v>
      </c>
      <c r="K113" s="106">
        <f>SUM(BH$71:BH$86)+SUM(BJ$71:BJ$86)+SUM(BL$71:BL$86)+SUM(BN$71:BN$86)</f>
        <v>163</v>
      </c>
      <c r="L113" s="106">
        <f>SUM(BP$71:BP$86)+SUM(BR$71:BR$86)+SUM(BT$71:BT$86)+SUM(BV$71:BV$86)</f>
        <v>214</v>
      </c>
      <c r="M113" s="106">
        <f>SUM(BX$71:BX$86)+SUM(BZ$71:BZ$86)+SUM(CB$71:CB$86)+SUM(CD$71:CD$86)</f>
        <v>1253</v>
      </c>
      <c r="N113" s="106">
        <f>SUM(CF$71:CF$86)+SUM(CH$71:CH$86)+SUM(CJ$71:CJ$86)+SUM(CL$71:CL$86)</f>
        <v>149</v>
      </c>
      <c r="O113" s="106">
        <f>SUM(CN$71:CN$86)+SUM(CP$71:CP$86)+SUM(CR$71:CR$86)+SUM(CT$71:CT$86)</f>
        <v>327</v>
      </c>
    </row>
    <row r="114" spans="2:15" x14ac:dyDescent="0.2">
      <c r="C114" s="105" t="s">
        <v>131</v>
      </c>
      <c r="D114" s="106">
        <f>SUM(D$87:D$94)+SUM(F$87:F$94)+SUM(H$87:H$94)+SUM(J$87:J$94)</f>
        <v>109</v>
      </c>
      <c r="E114" s="106">
        <f>SUM(L$87:L$94)+SUM(N$87:N$94)+SUM(P$87:P$94)+SUM(R$87:R$94)</f>
        <v>198</v>
      </c>
      <c r="F114" s="106">
        <f>SUM(T$87:T$94)+SUM(V$87:V$94)+SUM(X$87:X$94)+SUM(Z$87:Z$94)</f>
        <v>232</v>
      </c>
      <c r="G114" s="106">
        <f>SUM(AB$87:AB$94)+SUM(AD$87:AD$94)+SUM(AF$87:AF$94)+SUM(AH$87:AH$94)</f>
        <v>347</v>
      </c>
      <c r="H114" s="106">
        <f>SUM(AJ$87:AJ$94)+SUM(AL$87:AL$94)+SUM(AN$87:AN$94)+SUM(AP$87:AP$94)</f>
        <v>332</v>
      </c>
      <c r="I114" s="106">
        <f>SUM(AR$87:AR$94)+SUM(AT$87:AT$94)+SUM(AV$87:AV$94)+SUM(AX$87:AX$94)</f>
        <v>632</v>
      </c>
      <c r="J114" s="106">
        <f>SUM(AZ$87:AZ$94)+SUM(BB$87:BB$94)+SUM(BD$87:BD$94)+SUM(BF$87:BF$94)</f>
        <v>125</v>
      </c>
      <c r="K114" s="106">
        <f>SUM(BH$87:BH$94)+SUM(BJ$87:BJ$94)+SUM(BL$87:BL$94)+SUM(BN$87:BN$94)</f>
        <v>330</v>
      </c>
      <c r="L114" s="106">
        <f>SUM(BP$87:BP$94)+SUM(BR$87:BR$94)+SUM(BT$87:BT$94)+SUM(BV$87:BV$94)</f>
        <v>590</v>
      </c>
      <c r="M114" s="106">
        <f>SUM(BX$87:BX$94)+SUM(BZ$87:BZ$94)+SUM(CB$87:CB$94)+SUM(CD$87:CD$94)</f>
        <v>263</v>
      </c>
      <c r="N114" s="106">
        <f>SUM(CF$87:CF$94)+SUM(CH$87:CH$94)+SUM(CJ$87:CJ$94)+SUM(CL$87:CL$94)</f>
        <v>148</v>
      </c>
      <c r="O114" s="106">
        <f>SUM(CN$87:CN$94)+SUM(CP$87:CP$94)+SUM(CR$87:CR$94)+SUM(CT$87:CT$94)</f>
        <v>104</v>
      </c>
    </row>
    <row r="115" spans="2:15" x14ac:dyDescent="0.2">
      <c r="C115" s="105" t="s">
        <v>132</v>
      </c>
      <c r="D115" s="106">
        <f>SUM(D$95:D$105)+SUM(F$95:F$105)+SUM(H$95:H$105)+SUM(J$95:J$105)</f>
        <v>540</v>
      </c>
      <c r="E115" s="106">
        <f>SUM(L$95:L$105)+SUM(N$95:N$105)+SUM(P$95:P$105)+SUM(R$95:R$105)</f>
        <v>1189</v>
      </c>
      <c r="F115" s="106">
        <f>SUM(T$95:T$105)+SUM(V$95:V$105)+SUM(X$95:X$105)+SUM(Z$95:Z$105)</f>
        <v>626</v>
      </c>
      <c r="G115" s="106">
        <f>SUM(AB$95:AB$105)+SUM(AD$95:AD$105)+SUM(AF$95:AF$105)+SUM(AH$95:AH$105)</f>
        <v>302</v>
      </c>
      <c r="H115" s="106">
        <f>SUM(AJ$95:AJ$105)+SUM(AL$95:AL$105)+SUM(AN$95:AN$105)+SUM(AP$95:AP$105)</f>
        <v>302</v>
      </c>
      <c r="I115" s="106">
        <f>SUM(AR$95:AR$105)+SUM(AT$95:AT$105)+SUM(AV$95:AV$105)+SUM(AX$95:AX$105)</f>
        <v>169</v>
      </c>
      <c r="J115" s="106">
        <f>SUM(AZ$95:AZ$105)+SUM(BB$95:BB$105)+SUM(BD$95:BD$105)+SUM(BF$95:BF$105)</f>
        <v>303</v>
      </c>
      <c r="K115" s="106">
        <f>SUM(BH$95:BH$105)+SUM(BJ$95:BJ$105)+SUM(BL$95:BL$105)+SUM(BN$95:BN$105)</f>
        <v>375</v>
      </c>
      <c r="L115" s="106">
        <f>SUM(BP$95:BP$105)+SUM(BR$95:BR$105)+SUM(BT$95:BT$105)+SUM(BV$95:BV$105)</f>
        <v>159</v>
      </c>
      <c r="M115" s="106">
        <f>SUM(BX$95:BX$105)+SUM(BZ$95:BZ$105)+SUM(CB$95:CB$105)+SUM(CD$95:CD$105)</f>
        <v>415</v>
      </c>
      <c r="N115" s="106">
        <f>SUM(CF$95:CF$105)+SUM(CH$95:CH$105)+SUM(CJ$95:CJ$105)+SUM(CL$95:CL$105)</f>
        <v>207</v>
      </c>
      <c r="O115" s="106">
        <f>SUM(CN$95:CN$105)+SUM(CP$95:CP$105)+SUM(CR$95:CR$105)+SUM(CT$95:CT$105)</f>
        <v>392</v>
      </c>
    </row>
    <row r="116" spans="2:15" x14ac:dyDescent="0.2">
      <c r="C116" s="105" t="s">
        <v>278</v>
      </c>
      <c r="D116" s="106">
        <f t="shared" ref="D116:O116" si="0">SUM(D$109:D$115)</f>
        <v>2096</v>
      </c>
      <c r="E116" s="106">
        <f t="shared" si="0"/>
        <v>2655</v>
      </c>
      <c r="F116" s="106">
        <f t="shared" si="0"/>
        <v>2229</v>
      </c>
      <c r="G116" s="106">
        <f t="shared" si="0"/>
        <v>1467</v>
      </c>
      <c r="H116" s="106">
        <f t="shared" si="0"/>
        <v>2240</v>
      </c>
      <c r="I116" s="106">
        <f t="shared" si="0"/>
        <v>2776</v>
      </c>
      <c r="J116" s="106">
        <f t="shared" si="0"/>
        <v>685</v>
      </c>
      <c r="K116" s="106">
        <f t="shared" si="0"/>
        <v>932</v>
      </c>
      <c r="L116" s="106">
        <f t="shared" si="0"/>
        <v>1068</v>
      </c>
      <c r="M116" s="106">
        <f t="shared" si="0"/>
        <v>1974</v>
      </c>
      <c r="N116" s="106">
        <f t="shared" si="0"/>
        <v>1030</v>
      </c>
      <c r="O116" s="106">
        <f t="shared" si="0"/>
        <v>915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D109*pricing!D6*2000</f>
        <v>0</v>
      </c>
      <c r="E120" s="106">
        <f>E109*pricing!E6*2000</f>
        <v>0</v>
      </c>
      <c r="F120" s="106">
        <f>F109*pricing!F6*2000</f>
        <v>0</v>
      </c>
      <c r="G120" s="106">
        <f>G109*pricing!G6*2000</f>
        <v>0</v>
      </c>
      <c r="H120" s="106">
        <f>H109*pricing!H6*2000</f>
        <v>0</v>
      </c>
      <c r="I120" s="106">
        <f>I109*pricing!I6*2000</f>
        <v>0</v>
      </c>
      <c r="J120" s="106">
        <f>J109*pricing!J6*2000</f>
        <v>0</v>
      </c>
      <c r="K120" s="106">
        <f>K109*pricing!K6*2000</f>
        <v>0</v>
      </c>
      <c r="L120" s="106">
        <f>L109*pricing!L6*2000</f>
        <v>0</v>
      </c>
      <c r="M120" s="106">
        <f>M109*pricing!M6*2000</f>
        <v>0</v>
      </c>
      <c r="N120" s="106">
        <f>N109*pricing!N6*2000</f>
        <v>0</v>
      </c>
      <c r="O120" s="106">
        <f>O109*pricing!O6*2000</f>
        <v>0</v>
      </c>
    </row>
    <row r="121" spans="2:15" x14ac:dyDescent="0.2">
      <c r="C121" s="105" t="s">
        <v>127</v>
      </c>
      <c r="D121" s="106">
        <f>D110*pricing!D7*2000</f>
        <v>0</v>
      </c>
      <c r="E121" s="106">
        <f>E110*pricing!E7*2000</f>
        <v>0</v>
      </c>
      <c r="F121" s="106">
        <f>F110*pricing!F7*2000</f>
        <v>0</v>
      </c>
      <c r="G121" s="106">
        <f>G110*pricing!G7*2000</f>
        <v>0</v>
      </c>
      <c r="H121" s="106">
        <f>H110*pricing!H7*2000</f>
        <v>0</v>
      </c>
      <c r="I121" s="106">
        <f>I110*pricing!I7*2000</f>
        <v>0</v>
      </c>
      <c r="J121" s="106">
        <f>J110*pricing!J7*2000</f>
        <v>0</v>
      </c>
      <c r="K121" s="106">
        <f>K110*pricing!K7*2000</f>
        <v>0</v>
      </c>
      <c r="L121" s="106">
        <f>L110*pricing!L7*2000</f>
        <v>0</v>
      </c>
      <c r="M121" s="106">
        <f>M110*pricing!M7*2000</f>
        <v>0</v>
      </c>
      <c r="N121" s="106">
        <f>N110*pricing!N7*2000</f>
        <v>0</v>
      </c>
      <c r="O121" s="106">
        <f>O110*pricing!O7*2000</f>
        <v>0</v>
      </c>
    </row>
    <row r="122" spans="2:15" x14ac:dyDescent="0.2">
      <c r="C122" s="105" t="s">
        <v>128</v>
      </c>
      <c r="D122" s="106">
        <f>D111*pricing!D8*2000</f>
        <v>0</v>
      </c>
      <c r="E122" s="106">
        <f>E111*pricing!E8*2000</f>
        <v>0</v>
      </c>
      <c r="F122" s="106">
        <f>F111*pricing!F8*2000</f>
        <v>0</v>
      </c>
      <c r="G122" s="106">
        <f>G111*pricing!G8*2000</f>
        <v>0</v>
      </c>
      <c r="H122" s="106">
        <f>H111*pricing!H8*2000</f>
        <v>0</v>
      </c>
      <c r="I122" s="106">
        <f>I111*pricing!I8*2000</f>
        <v>0</v>
      </c>
      <c r="J122" s="106">
        <f>J111*pricing!J8*2000</f>
        <v>0</v>
      </c>
      <c r="K122" s="106">
        <f>K111*pricing!K8*2000</f>
        <v>0</v>
      </c>
      <c r="L122" s="106">
        <f>L111*pricing!L8*2000</f>
        <v>0</v>
      </c>
      <c r="M122" s="106">
        <f>M111*pricing!M8*2000</f>
        <v>0</v>
      </c>
      <c r="N122" s="106">
        <f>N111*pricing!N8*2000</f>
        <v>0</v>
      </c>
      <c r="O122" s="106">
        <f>O111*pricing!O8*2000</f>
        <v>0</v>
      </c>
    </row>
    <row r="123" spans="2:15" x14ac:dyDescent="0.2">
      <c r="C123" s="105" t="s">
        <v>129</v>
      </c>
      <c r="D123" s="106">
        <f>D112*pricing!D9*2000</f>
        <v>328121.78546206537</v>
      </c>
      <c r="E123" s="106">
        <f>E112*pricing!E9*2000</f>
        <v>315999.73497158813</v>
      </c>
      <c r="F123" s="106">
        <f>F112*pricing!F9*2000</f>
        <v>1202971.1879385475</v>
      </c>
      <c r="G123" s="106">
        <f>G112*pricing!G9*2000</f>
        <v>495299.16167498927</v>
      </c>
      <c r="H123" s="106">
        <f>H112*pricing!H9*2000</f>
        <v>645990.91156218247</v>
      </c>
      <c r="I123" s="106">
        <f>I112*pricing!I9*2000</f>
        <v>301975.31359225931</v>
      </c>
      <c r="J123" s="106">
        <f>J112*pricing!J9*2000</f>
        <v>310529.89303078398</v>
      </c>
      <c r="K123" s="106">
        <f>K112*pricing!K9*2000</f>
        <v>387545.89644245076</v>
      </c>
      <c r="L123" s="106">
        <f>L112*pricing!L9*2000</f>
        <v>478315.00131984032</v>
      </c>
      <c r="M123" s="106">
        <f>M112*pricing!M9*2000</f>
        <v>308984.60855225107</v>
      </c>
      <c r="N123" s="106">
        <f>N112*pricing!N9*2000</f>
        <v>1169946.9424709538</v>
      </c>
      <c r="O123" s="106">
        <f>O112*pricing!O9*2000</f>
        <v>480631.73300580529</v>
      </c>
    </row>
    <row r="124" spans="2:15" x14ac:dyDescent="0.2">
      <c r="C124" s="105" t="s">
        <v>130</v>
      </c>
      <c r="D124" s="106">
        <f>D113*pricing!D10*2000</f>
        <v>3751391.3610008941</v>
      </c>
      <c r="E124" s="106">
        <f>E113*pricing!E10*2000</f>
        <v>3260682.0159265539</v>
      </c>
      <c r="F124" s="106">
        <f>F113*pricing!F10*2000</f>
        <v>2992154.8883365649</v>
      </c>
      <c r="G124" s="106">
        <f>G113*pricing!G10*2000</f>
        <v>2756015.7546160296</v>
      </c>
      <c r="H124" s="106">
        <f>H113*pricing!H10*2000</f>
        <v>4056925.215918818</v>
      </c>
      <c r="I124" s="106">
        <f>I113*pricing!I10*2000</f>
        <v>4708500.3440436134</v>
      </c>
      <c r="J124" s="106">
        <f>J113*pricing!J10*2000</f>
        <v>1380715.9776633612</v>
      </c>
      <c r="K124" s="106">
        <f>K113*pricing!K10*2000</f>
        <v>1139732.6744416507</v>
      </c>
      <c r="L124" s="106">
        <f>L113*pricing!L10*2000</f>
        <v>1319937.1284956867</v>
      </c>
      <c r="M124" s="106">
        <f>M113*pricing!M10*2000</f>
        <v>3686109.9683213197</v>
      </c>
      <c r="N124" s="106">
        <f>N113*pricing!N10*2000</f>
        <v>1059472.7002348555</v>
      </c>
      <c r="O124" s="106">
        <f>O113*pricing!O10*2000</f>
        <v>1856811.6836170352</v>
      </c>
    </row>
    <row r="125" spans="2:15" x14ac:dyDescent="0.2">
      <c r="C125" s="105" t="s">
        <v>131</v>
      </c>
      <c r="D125" s="106">
        <f>D114*pricing!D11*2000</f>
        <v>702731.98687313439</v>
      </c>
      <c r="E125" s="106">
        <f>E114*pricing!E11*2000</f>
        <v>993510.14062814217</v>
      </c>
      <c r="F125" s="106">
        <f>F114*pricing!F11*2000</f>
        <v>1156905.7726107033</v>
      </c>
      <c r="G125" s="106">
        <f>G114*pricing!G11*2000</f>
        <v>1363924.3509206611</v>
      </c>
      <c r="H125" s="106">
        <f>H114*pricing!H11*2000</f>
        <v>1429973.0792400236</v>
      </c>
      <c r="I125" s="106">
        <f>I114*pricing!I11*2000</f>
        <v>2033028.1387614619</v>
      </c>
      <c r="J125" s="106">
        <f>J114*pricing!J11*2000</f>
        <v>830280.85277898994</v>
      </c>
      <c r="K125" s="106">
        <f>K114*pricing!K11*2000</f>
        <v>1487661.0566918366</v>
      </c>
      <c r="L125" s="106">
        <f>L114*pricing!L11*2000</f>
        <v>2011297.564197137</v>
      </c>
      <c r="M125" s="106">
        <f>M114*pricing!M11*2000</f>
        <v>1264314.9225973964</v>
      </c>
      <c r="N125" s="106">
        <f>N114*pricing!N11*2000</f>
        <v>938351.89155107806</v>
      </c>
      <c r="O125" s="106">
        <f>O114*pricing!O11*2000</f>
        <v>748171.71945502085</v>
      </c>
    </row>
    <row r="126" spans="2:15" x14ac:dyDescent="0.2">
      <c r="C126" s="105" t="s">
        <v>132</v>
      </c>
      <c r="D126" s="106">
        <f>D115*pricing!D12*2000</f>
        <v>2085106.0111567026</v>
      </c>
      <c r="E126" s="106">
        <f>E115*pricing!E12*2000</f>
        <v>3189250.6752121733</v>
      </c>
      <c r="F126" s="106">
        <f>F115*pricing!F12*2000</f>
        <v>2307185.6148279151</v>
      </c>
      <c r="G126" s="106">
        <f>G115*pricing!G12*2000</f>
        <v>1629639.4753314713</v>
      </c>
      <c r="H126" s="106">
        <f>H115*pricing!H12*2000</f>
        <v>1467866.0351542463</v>
      </c>
      <c r="I126" s="106">
        <f>I115*pricing!I12*2000</f>
        <v>1161888.9818517058</v>
      </c>
      <c r="J126" s="106">
        <f>J115*pricing!J12*2000</f>
        <v>1476629.0351842742</v>
      </c>
      <c r="K126" s="106">
        <f>K115*pricing!K12*2000</f>
        <v>1781582.9649150837</v>
      </c>
      <c r="L126" s="106">
        <f>L115*pricing!L12*2000</f>
        <v>1063674.3019785902</v>
      </c>
      <c r="M126" s="106">
        <f>M115*pricing!M12*2000</f>
        <v>1912676.6298368988</v>
      </c>
      <c r="N126" s="106">
        <f>N115*pricing!N12*2000</f>
        <v>1233447.2719894487</v>
      </c>
      <c r="O126" s="106">
        <f>O115*pricing!O12*2000</f>
        <v>1859469.7650938558</v>
      </c>
    </row>
    <row r="127" spans="2:15" x14ac:dyDescent="0.2">
      <c r="C127" s="105" t="s">
        <v>278</v>
      </c>
      <c r="D127" s="106">
        <f t="shared" ref="D127:O127" si="1">SUM(D$120:D$126)</f>
        <v>6867351.1444927957</v>
      </c>
      <c r="E127" s="106">
        <f t="shared" si="1"/>
        <v>7759442.5667384565</v>
      </c>
      <c r="F127" s="106">
        <f t="shared" si="1"/>
        <v>7659217.4637137307</v>
      </c>
      <c r="G127" s="106">
        <f t="shared" si="1"/>
        <v>6244878.7425431516</v>
      </c>
      <c r="H127" s="106">
        <f t="shared" si="1"/>
        <v>7600755.2418752704</v>
      </c>
      <c r="I127" s="106">
        <f t="shared" si="1"/>
        <v>8205392.7782490402</v>
      </c>
      <c r="J127" s="106">
        <f t="shared" si="1"/>
        <v>3998155.7586574089</v>
      </c>
      <c r="K127" s="106">
        <f t="shared" si="1"/>
        <v>4796522.5924910214</v>
      </c>
      <c r="L127" s="106">
        <f t="shared" si="1"/>
        <v>4873223.9959912542</v>
      </c>
      <c r="M127" s="106">
        <f t="shared" si="1"/>
        <v>7172086.1293078661</v>
      </c>
      <c r="N127" s="106">
        <f t="shared" si="1"/>
        <v>4401218.8062463365</v>
      </c>
      <c r="O127" s="106">
        <f t="shared" si="1"/>
        <v>4945084.9011717169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54188.4</v>
      </c>
      <c r="E134" s="112">
        <f>SUM(M$49:M$70)+SUM(O$49:O$70)+SUM(Q$49:Q$70)+SUM(S$49:S$70)</f>
        <v>51834</v>
      </c>
      <c r="F134" s="112">
        <f>SUM(U$49:U$70)+SUM(W$49:W$70)+SUM(Y$49:Y$70)+SUM(AA$49:AA$70)</f>
        <v>571020</v>
      </c>
      <c r="G134" s="112">
        <f>SUM(AC$49:AC$70)+SUM(AE$49:AE$70)+SUM(AG$49:AG$70)+SUM(AI$49:AI$70)</f>
        <v>115770</v>
      </c>
      <c r="H134" s="112">
        <f>SUM(AK$49:AK$70)+SUM(AM$49:AM$70)+SUM(AO$49:AO$70)+SUM(AQ$49:AQ$70)</f>
        <v>182992.80000000002</v>
      </c>
      <c r="I134" s="112">
        <f>SUM(AS$49:AS$70)+SUM(AU$49:AU$70)+SUM(AW$49:AW$70)+SUM(AY$49:AY$70)</f>
        <v>46576.799999999996</v>
      </c>
      <c r="J134" s="112">
        <f>SUM(BA$49:BA$70)+SUM(BC$49:BC$70)+SUM(BE$49:BE$70)+SUM(BG$49:BG$70)</f>
        <v>51668.4</v>
      </c>
      <c r="K134" s="112">
        <f>SUM(BI$49:BI$70)+SUM(BK$49:BK$70)+SUM(BM$49:BM$70)+SUM(BO$49:BO$70)</f>
        <v>70728</v>
      </c>
      <c r="L134" s="112">
        <f>SUM(BQ$49:BQ$70)+SUM(BS$49:BS$70)+SUM(BU$49:BU$70)+SUM(BW$49:BW$70)</f>
        <v>115988.4</v>
      </c>
      <c r="M134" s="112">
        <f>SUM(BY$49:BY$70)+SUM(CA$49:CA$70)+SUM(CC$49:CC$70)+SUM(CE$49:CE$70)</f>
        <v>47370</v>
      </c>
      <c r="N134" s="112">
        <f>SUM(CG$49:CG$70)+SUM(CI$49:CI$70)+SUM(CK$49:CK$70)+SUM(CM$49:CM$70)</f>
        <v>579861.60000000009</v>
      </c>
      <c r="O134" s="112">
        <f>SUM(CO$49:CO$70)+SUM(CQ$49:CQ$70)+SUM(CS$49:CS$70)+SUM(CU$49:CU$70)</f>
        <v>101505.60000000001</v>
      </c>
    </row>
    <row r="135" spans="2:15" x14ac:dyDescent="0.2">
      <c r="C135" s="111" t="s">
        <v>130</v>
      </c>
      <c r="D135" s="112">
        <f>SUM(E$71:E$86)+SUM(G$71:G$86)+SUM(I$71:I$86)+SUM(K$71:K$86)</f>
        <v>776470.79999999993</v>
      </c>
      <c r="E135" s="112">
        <f>SUM(M$71:M$86)+SUM(O$71:O$86)+SUM(Q$71:Q$86)+SUM(S$71:S$86)</f>
        <v>675433.2</v>
      </c>
      <c r="F135" s="112">
        <f>SUM(U$71:U$86)+SUM(W$71:W$86)+SUM(Y$71:Y$86)+SUM(AA$71:AA$86)</f>
        <v>475094.39999999997</v>
      </c>
      <c r="G135" s="112">
        <f>SUM(AC$71:AC$86)+SUM(AE$71:AE$86)+SUM(AG$71:AG$86)+SUM(AI$71:AI$86)</f>
        <v>396025.19999999995</v>
      </c>
      <c r="H135" s="112">
        <f>SUM(AK$71:AK$86)+SUM(AM$71:AM$86)+SUM(AO$71:AO$86)+SUM(AQ$71:AQ$86)</f>
        <v>793370.39999999991</v>
      </c>
      <c r="I135" s="112">
        <f>SUM(AS$71:AS$86)+SUM(AU$71:AU$86)+SUM(AW$71:AW$86)+SUM(AY$71:AY$86)</f>
        <v>1066345.1999999997</v>
      </c>
      <c r="J135" s="112">
        <f>SUM(BA$71:BA$86)+SUM(BC$71:BC$86)+SUM(BE$71:BE$86)+SUM(BG$71:BG$86)</f>
        <v>117194.40000000001</v>
      </c>
      <c r="K135" s="112">
        <f>SUM(BI$71:BI$86)+SUM(BK$71:BK$86)+SUM(BM$71:BM$86)+SUM(BO$71:BO$86)</f>
        <v>91074</v>
      </c>
      <c r="L135" s="112">
        <f>SUM(BQ$71:BQ$86)+SUM(BS$71:BS$86)+SUM(BU$71:BU$86)+SUM(BW$71:BW$86)</f>
        <v>120694.8</v>
      </c>
      <c r="M135" s="112">
        <f>SUM(BY$71:BY$86)+SUM(CA$71:CA$86)+SUM(CC$71:CC$86)+SUM(CE$71:CE$86)</f>
        <v>695248.8</v>
      </c>
      <c r="N135" s="112">
        <f>SUM(CG$71:CG$86)+SUM(CI$71:CI$86)+SUM(CK$71:CK$86)+SUM(CM$71:CM$86)</f>
        <v>83954.4</v>
      </c>
      <c r="O135" s="112">
        <f>SUM(CO$71:CO$86)+SUM(CQ$71:CQ$86)+SUM(CS$71:CS$86)+SUM(CU$71:CU$86)</f>
        <v>183036</v>
      </c>
    </row>
    <row r="136" spans="2:15" x14ac:dyDescent="0.2">
      <c r="C136" s="111" t="s">
        <v>131</v>
      </c>
      <c r="D136" s="112">
        <f>SUM(E$87:E$94)+SUM(G$87:G$94)+SUM(I$87:I$94)+SUM(K$87:K$94)</f>
        <v>220994.39999999997</v>
      </c>
      <c r="E136" s="112">
        <f>SUM(M$87:M$94)+SUM(O$87:O$94)+SUM(Q$87:Q$94)+SUM(S$87:S$94)</f>
        <v>402486</v>
      </c>
      <c r="F136" s="112">
        <f>SUM(U$87:U$94)+SUM(W$87:W$94)+SUM(Y$87:Y$94)+SUM(AA$87:AA$94)</f>
        <v>470447.99999999994</v>
      </c>
      <c r="G136" s="112">
        <f>SUM(AC$87:AC$94)+SUM(AE$87:AE$94)+SUM(AG$87:AG$94)+SUM(AI$87:AI$94)</f>
        <v>705771.6</v>
      </c>
      <c r="H136" s="112">
        <f>SUM(AK$87:AK$94)+SUM(AM$87:AM$94)+SUM(AO$87:AO$94)+SUM(AQ$87:AQ$94)</f>
        <v>674352</v>
      </c>
      <c r="I136" s="112">
        <f>SUM(AS$87:AS$94)+SUM(AU$87:AU$94)+SUM(AW$87:AW$94)+SUM(AY$87:AY$94)</f>
        <v>1280926.7999999998</v>
      </c>
      <c r="J136" s="112">
        <f>SUM(BA$87:BA$94)+SUM(BC$87:BC$94)+SUM(BE$87:BE$94)+SUM(BG$87:BG$94)</f>
        <v>254163.59999999998</v>
      </c>
      <c r="K136" s="112">
        <f>SUM(BI$87:BI$94)+SUM(BK$87:BK$94)+SUM(BM$87:BM$94)+SUM(BO$87:BO$94)</f>
        <v>669515.99999999988</v>
      </c>
      <c r="L136" s="112">
        <f>SUM(BQ$87:BQ$94)+SUM(BS$87:BS$94)+SUM(BU$87:BU$94)+SUM(BW$87:BW$94)</f>
        <v>1193779.2</v>
      </c>
      <c r="M136" s="112">
        <f>SUM(BY$87:BY$94)+SUM(CA$87:CA$94)+SUM(CC$87:CC$94)+SUM(CE$87:CE$94)</f>
        <v>533345.99999999988</v>
      </c>
      <c r="N136" s="112">
        <f>SUM(CG$87:CG$94)+SUM(CI$87:CI$94)+SUM(CK$87:CK$94)+SUM(CM$87:CM$94)</f>
        <v>302076</v>
      </c>
      <c r="O136" s="112">
        <f>SUM(CO$87:CO$94)+SUM(CQ$87:CQ$94)+SUM(CS$87:CS$94)+SUM(CU$87:CU$94)</f>
        <v>212451.59999999998</v>
      </c>
    </row>
    <row r="137" spans="2:15" x14ac:dyDescent="0.2">
      <c r="C137" s="111" t="s">
        <v>132</v>
      </c>
      <c r="D137" s="112">
        <f>SUM(E$95:E$105)+SUM(G$95:G$105)+SUM(I$95:I$105)+SUM(K$95:K$105)</f>
        <v>1008556.8</v>
      </c>
      <c r="E137" s="112">
        <f>SUM(M$95:M$105)+SUM(O$95:O$105)+SUM(Q$95:Q$105)+SUM(S$95:S$105)</f>
        <v>2179758</v>
      </c>
      <c r="F137" s="112">
        <f>SUM(U$95:U$105)+SUM(W$95:W$105)+SUM(Y$95:Y$105)+SUM(AA$95:AA$105)</f>
        <v>1165434</v>
      </c>
      <c r="G137" s="112">
        <f>SUM(AC$95:AC$105)+SUM(AE$95:AE$105)+SUM(AG$95:AG$105)+SUM(AI$95:AI$105)</f>
        <v>579218.4</v>
      </c>
      <c r="H137" s="112">
        <f>SUM(AK$95:AK$105)+SUM(AM$95:AM$105)+SUM(AO$95:AO$105)+SUM(AQ$95:AQ$105)</f>
        <v>570842.39999999991</v>
      </c>
      <c r="I137" s="112">
        <f>SUM(AS$95:AS$105)+SUM(AU$95:AU$105)+SUM(AW$95:AW$105)+SUM(AY$95:AY$105)</f>
        <v>326869.2</v>
      </c>
      <c r="J137" s="112">
        <f>SUM(BA$95:BA$105)+SUM(BC$95:BC$105)+SUM(BE$95:BE$105)+SUM(BG$95:BG$105)</f>
        <v>574477.19999999995</v>
      </c>
      <c r="K137" s="112">
        <f>SUM(BI$95:BI$105)+SUM(BK$95:BK$105)+SUM(BM$95:BM$105)+SUM(BO$95:BO$105)</f>
        <v>709122</v>
      </c>
      <c r="L137" s="112">
        <f>SUM(BQ$95:BQ$105)+SUM(BS$95:BS$105)+SUM(BU$95:BU$105)+SUM(BW$95:BW$105)</f>
        <v>308469.59999999998</v>
      </c>
      <c r="M137" s="112">
        <f>SUM(BY$95:BY$105)+SUM(CA$95:CA$105)+SUM(CC$95:CC$105)+SUM(CE$95:CE$105)</f>
        <v>780151.2</v>
      </c>
      <c r="N137" s="112">
        <f>SUM(CG$95:CG$105)+SUM(CI$95:CI$105)+SUM(CK$95:CK$105)+SUM(CM$95:CM$105)</f>
        <v>397236</v>
      </c>
      <c r="O137" s="112">
        <f>SUM(CO$95:CO$105)+SUM(CQ$95:CQ$105)+SUM(CS$95:CS$105)+SUM(CU$95:CU$105)</f>
        <v>743245.2</v>
      </c>
    </row>
    <row r="138" spans="2:15" x14ac:dyDescent="0.2">
      <c r="C138" s="111" t="s">
        <v>278</v>
      </c>
      <c r="D138" s="106">
        <f t="shared" ref="D138:O138" si="2">SUM(D$131:D$137)</f>
        <v>2060210.4</v>
      </c>
      <c r="E138" s="106">
        <f t="shared" si="2"/>
        <v>3309511.2</v>
      </c>
      <c r="F138" s="106">
        <f t="shared" si="2"/>
        <v>2681996.4</v>
      </c>
      <c r="G138" s="106">
        <f t="shared" si="2"/>
        <v>1796785.1999999997</v>
      </c>
      <c r="H138" s="106">
        <f t="shared" si="2"/>
        <v>2221557.5999999996</v>
      </c>
      <c r="I138" s="106">
        <f t="shared" si="2"/>
        <v>2720718</v>
      </c>
      <c r="J138" s="106">
        <f t="shared" si="2"/>
        <v>997503.6</v>
      </c>
      <c r="K138" s="106">
        <f t="shared" si="2"/>
        <v>1540440</v>
      </c>
      <c r="L138" s="106">
        <f t="shared" si="2"/>
        <v>1738932</v>
      </c>
      <c r="M138" s="106">
        <f t="shared" si="2"/>
        <v>2056115.9999999998</v>
      </c>
      <c r="N138" s="106">
        <f t="shared" si="2"/>
        <v>1363128</v>
      </c>
      <c r="O138" s="106">
        <f t="shared" si="2"/>
        <v>1240238.3999999999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282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173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174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175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176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177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178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179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181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182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183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184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185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186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187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188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189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191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192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193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194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195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196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197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198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199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200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201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202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203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204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205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206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207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208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209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210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211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212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213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214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215</v>
      </c>
      <c r="D49" s="106">
        <v>0</v>
      </c>
      <c r="E49" s="106">
        <v>0</v>
      </c>
      <c r="F49" s="106">
        <v>0</v>
      </c>
      <c r="G49" s="106">
        <v>0</v>
      </c>
      <c r="H49" s="106">
        <v>0</v>
      </c>
      <c r="I49" s="106">
        <v>0</v>
      </c>
      <c r="J49" s="106">
        <v>0</v>
      </c>
      <c r="K49" s="106">
        <v>0</v>
      </c>
      <c r="L49" s="106">
        <v>0</v>
      </c>
      <c r="M49" s="106">
        <v>0</v>
      </c>
      <c r="N49" s="106">
        <v>0</v>
      </c>
      <c r="O49" s="106">
        <v>0</v>
      </c>
      <c r="P49" s="106">
        <v>0</v>
      </c>
      <c r="Q49" s="106">
        <v>0</v>
      </c>
      <c r="R49" s="106">
        <v>0</v>
      </c>
      <c r="S49" s="106">
        <v>0</v>
      </c>
      <c r="T49" s="106">
        <v>0</v>
      </c>
      <c r="U49" s="106">
        <v>0</v>
      </c>
      <c r="V49" s="106">
        <v>0</v>
      </c>
      <c r="W49" s="106">
        <v>0</v>
      </c>
      <c r="X49" s="106">
        <v>0</v>
      </c>
      <c r="Y49" s="106">
        <v>0</v>
      </c>
      <c r="Z49" s="106">
        <v>0</v>
      </c>
      <c r="AA49" s="106">
        <v>0</v>
      </c>
      <c r="AB49" s="106">
        <v>0</v>
      </c>
      <c r="AC49" s="106">
        <v>0</v>
      </c>
      <c r="AD49" s="106">
        <v>0</v>
      </c>
      <c r="AE49" s="106">
        <v>0</v>
      </c>
      <c r="AF49" s="106">
        <v>0</v>
      </c>
      <c r="AG49" s="106">
        <v>0</v>
      </c>
      <c r="AH49" s="106">
        <v>0</v>
      </c>
      <c r="AI49" s="106">
        <v>0</v>
      </c>
      <c r="AJ49" s="106">
        <v>0</v>
      </c>
      <c r="AK49" s="106">
        <v>0</v>
      </c>
      <c r="AL49" s="106">
        <v>0</v>
      </c>
      <c r="AM49" s="106">
        <v>0</v>
      </c>
      <c r="AN49" s="106">
        <v>0</v>
      </c>
      <c r="AO49" s="106">
        <v>0</v>
      </c>
      <c r="AP49" s="106">
        <v>0</v>
      </c>
      <c r="AQ49" s="106">
        <v>0</v>
      </c>
      <c r="AR49" s="106">
        <v>0</v>
      </c>
      <c r="AS49" s="106">
        <v>0</v>
      </c>
      <c r="AT49" s="106">
        <v>0</v>
      </c>
      <c r="AU49" s="106">
        <v>0</v>
      </c>
      <c r="AV49" s="106">
        <v>0</v>
      </c>
      <c r="AW49" s="106">
        <v>0</v>
      </c>
      <c r="AX49" s="106">
        <v>0</v>
      </c>
      <c r="AY49" s="106">
        <v>0</v>
      </c>
      <c r="AZ49" s="106">
        <v>0</v>
      </c>
      <c r="BA49" s="106">
        <v>0</v>
      </c>
      <c r="BB49" s="106">
        <v>0</v>
      </c>
      <c r="BC49" s="106">
        <v>0</v>
      </c>
      <c r="BD49" s="106">
        <v>0</v>
      </c>
      <c r="BE49" s="106">
        <v>0</v>
      </c>
      <c r="BF49" s="106">
        <v>0</v>
      </c>
      <c r="BG49" s="106">
        <v>0</v>
      </c>
      <c r="BH49" s="106">
        <v>0</v>
      </c>
      <c r="BI49" s="106">
        <v>0</v>
      </c>
      <c r="BJ49" s="106">
        <v>0</v>
      </c>
      <c r="BK49" s="106">
        <v>0</v>
      </c>
      <c r="BL49" s="106">
        <v>0</v>
      </c>
      <c r="BM49" s="106">
        <v>0</v>
      </c>
      <c r="BN49" s="106">
        <v>0</v>
      </c>
      <c r="BO49" s="106">
        <v>0</v>
      </c>
      <c r="BP49" s="106">
        <v>0</v>
      </c>
      <c r="BQ49" s="106">
        <v>0</v>
      </c>
      <c r="BR49" s="106">
        <v>0</v>
      </c>
      <c r="BS49" s="106">
        <v>0</v>
      </c>
      <c r="BT49" s="106">
        <v>0</v>
      </c>
      <c r="BU49" s="106">
        <v>0</v>
      </c>
      <c r="BV49" s="106">
        <v>0</v>
      </c>
      <c r="BW49" s="106">
        <v>0</v>
      </c>
      <c r="BX49" s="106">
        <v>0</v>
      </c>
      <c r="BY49" s="106">
        <v>0</v>
      </c>
      <c r="BZ49" s="106">
        <v>0</v>
      </c>
      <c r="CA49" s="106">
        <v>0</v>
      </c>
      <c r="CB49" s="106">
        <v>0</v>
      </c>
      <c r="CC49" s="106">
        <v>0</v>
      </c>
      <c r="CD49" s="106">
        <v>0</v>
      </c>
      <c r="CE49" s="106">
        <v>0</v>
      </c>
      <c r="CF49" s="106">
        <v>0</v>
      </c>
      <c r="CG49" s="106">
        <v>0</v>
      </c>
      <c r="CH49" s="106">
        <v>0</v>
      </c>
      <c r="CI49" s="106">
        <v>0</v>
      </c>
      <c r="CJ49" s="106">
        <v>0</v>
      </c>
      <c r="CK49" s="106">
        <v>0</v>
      </c>
      <c r="CL49" s="106">
        <v>0</v>
      </c>
      <c r="CM49" s="106">
        <v>0</v>
      </c>
      <c r="CN49" s="106">
        <v>0</v>
      </c>
      <c r="CO49" s="106">
        <v>0</v>
      </c>
      <c r="CP49" s="106">
        <v>0</v>
      </c>
      <c r="CQ49" s="106">
        <v>0</v>
      </c>
      <c r="CR49" s="106">
        <v>0</v>
      </c>
      <c r="CS49" s="106">
        <v>0</v>
      </c>
      <c r="CT49" s="106">
        <v>0</v>
      </c>
      <c r="CU49" s="106">
        <v>0</v>
      </c>
    </row>
    <row r="50" spans="2:99" x14ac:dyDescent="0.2">
      <c r="C50" s="105" t="s">
        <v>216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217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218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219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220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221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222</v>
      </c>
      <c r="D56" s="106">
        <v>0</v>
      </c>
      <c r="E56" s="106">
        <v>0</v>
      </c>
      <c r="F56" s="106">
        <v>0</v>
      </c>
      <c r="G56" s="106">
        <v>0</v>
      </c>
      <c r="H56" s="106">
        <v>0</v>
      </c>
      <c r="I56" s="106">
        <v>0</v>
      </c>
      <c r="J56" s="106">
        <v>0</v>
      </c>
      <c r="K56" s="106">
        <v>0</v>
      </c>
      <c r="L56" s="106">
        <v>0</v>
      </c>
      <c r="M56" s="106">
        <v>0</v>
      </c>
      <c r="N56" s="106">
        <v>0</v>
      </c>
      <c r="O56" s="106">
        <v>0</v>
      </c>
      <c r="P56" s="106">
        <v>0</v>
      </c>
      <c r="Q56" s="106">
        <v>0</v>
      </c>
      <c r="R56" s="106">
        <v>0</v>
      </c>
      <c r="S56" s="106">
        <v>0</v>
      </c>
      <c r="T56" s="106">
        <v>0</v>
      </c>
      <c r="U56" s="106">
        <v>0</v>
      </c>
      <c r="V56" s="106">
        <v>0</v>
      </c>
      <c r="W56" s="106">
        <v>0</v>
      </c>
      <c r="X56" s="106">
        <v>0</v>
      </c>
      <c r="Y56" s="106">
        <v>0</v>
      </c>
      <c r="Z56" s="106">
        <v>0</v>
      </c>
      <c r="AA56" s="106">
        <v>0</v>
      </c>
      <c r="AB56" s="106">
        <v>0</v>
      </c>
      <c r="AC56" s="106">
        <v>0</v>
      </c>
      <c r="AD56" s="106">
        <v>0</v>
      </c>
      <c r="AE56" s="106">
        <v>0</v>
      </c>
      <c r="AF56" s="106">
        <v>0</v>
      </c>
      <c r="AG56" s="106">
        <v>0</v>
      </c>
      <c r="AH56" s="106">
        <v>0</v>
      </c>
      <c r="AI56" s="106">
        <v>0</v>
      </c>
      <c r="AJ56" s="106">
        <v>0</v>
      </c>
      <c r="AK56" s="106">
        <v>0</v>
      </c>
      <c r="AL56" s="106">
        <v>0</v>
      </c>
      <c r="AM56" s="106">
        <v>0</v>
      </c>
      <c r="AN56" s="106">
        <v>0</v>
      </c>
      <c r="AO56" s="106">
        <v>0</v>
      </c>
      <c r="AP56" s="106">
        <v>0</v>
      </c>
      <c r="AQ56" s="106">
        <v>0</v>
      </c>
      <c r="AR56" s="106">
        <v>0</v>
      </c>
      <c r="AS56" s="106">
        <v>0</v>
      </c>
      <c r="AT56" s="106">
        <v>0</v>
      </c>
      <c r="AU56" s="106">
        <v>0</v>
      </c>
      <c r="AV56" s="106">
        <v>0</v>
      </c>
      <c r="AW56" s="106">
        <v>0</v>
      </c>
      <c r="AX56" s="106">
        <v>0</v>
      </c>
      <c r="AY56" s="106">
        <v>0</v>
      </c>
      <c r="AZ56" s="106">
        <v>0</v>
      </c>
      <c r="BA56" s="106">
        <v>0</v>
      </c>
      <c r="BB56" s="106">
        <v>0</v>
      </c>
      <c r="BC56" s="106">
        <v>0</v>
      </c>
      <c r="BD56" s="106">
        <v>0</v>
      </c>
      <c r="BE56" s="106">
        <v>0</v>
      </c>
      <c r="BF56" s="106">
        <v>0</v>
      </c>
      <c r="BG56" s="106">
        <v>0</v>
      </c>
      <c r="BH56" s="106">
        <v>0</v>
      </c>
      <c r="BI56" s="106">
        <v>0</v>
      </c>
      <c r="BJ56" s="106">
        <v>0</v>
      </c>
      <c r="BK56" s="106">
        <v>0</v>
      </c>
      <c r="BL56" s="106">
        <v>0</v>
      </c>
      <c r="BM56" s="106">
        <v>0</v>
      </c>
      <c r="BN56" s="106">
        <v>0</v>
      </c>
      <c r="BO56" s="106">
        <v>0</v>
      </c>
      <c r="BP56" s="106">
        <v>0</v>
      </c>
      <c r="BQ56" s="106">
        <v>0</v>
      </c>
      <c r="BR56" s="106">
        <v>0</v>
      </c>
      <c r="BS56" s="106">
        <v>0</v>
      </c>
      <c r="BT56" s="106">
        <v>0</v>
      </c>
      <c r="BU56" s="106">
        <v>0</v>
      </c>
      <c r="BV56" s="106">
        <v>0</v>
      </c>
      <c r="BW56" s="106">
        <v>0</v>
      </c>
      <c r="BX56" s="106">
        <v>0</v>
      </c>
      <c r="BY56" s="106">
        <v>0</v>
      </c>
      <c r="BZ56" s="106">
        <v>0</v>
      </c>
      <c r="CA56" s="106">
        <v>0</v>
      </c>
      <c r="CB56" s="106">
        <v>0</v>
      </c>
      <c r="CC56" s="106">
        <v>0</v>
      </c>
      <c r="CD56" s="106">
        <v>0</v>
      </c>
      <c r="CE56" s="106">
        <v>0</v>
      </c>
      <c r="CF56" s="106">
        <v>0</v>
      </c>
      <c r="CG56" s="106">
        <v>0</v>
      </c>
      <c r="CH56" s="106">
        <v>0</v>
      </c>
      <c r="CI56" s="106">
        <v>0</v>
      </c>
      <c r="CJ56" s="106">
        <v>0</v>
      </c>
      <c r="CK56" s="106">
        <v>0</v>
      </c>
      <c r="CL56" s="106">
        <v>0</v>
      </c>
      <c r="CM56" s="106">
        <v>0</v>
      </c>
      <c r="CN56" s="106">
        <v>0</v>
      </c>
      <c r="CO56" s="106">
        <v>0</v>
      </c>
      <c r="CP56" s="106">
        <v>0</v>
      </c>
      <c r="CQ56" s="106">
        <v>0</v>
      </c>
      <c r="CR56" s="106">
        <v>0</v>
      </c>
      <c r="CS56" s="106">
        <v>0</v>
      </c>
      <c r="CT56" s="106">
        <v>0</v>
      </c>
      <c r="CU56" s="106">
        <v>0</v>
      </c>
    </row>
    <row r="57" spans="2:99" x14ac:dyDescent="0.2">
      <c r="C57" s="105" t="s">
        <v>223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224</v>
      </c>
      <c r="D58" s="106">
        <v>0</v>
      </c>
      <c r="E58" s="106">
        <v>0</v>
      </c>
      <c r="F58" s="106">
        <v>0</v>
      </c>
      <c r="G58" s="106">
        <v>0</v>
      </c>
      <c r="H58" s="106">
        <v>0</v>
      </c>
      <c r="I58" s="106">
        <v>0</v>
      </c>
      <c r="J58" s="106">
        <v>0</v>
      </c>
      <c r="K58" s="106">
        <v>0</v>
      </c>
      <c r="L58" s="106">
        <v>0</v>
      </c>
      <c r="M58" s="106">
        <v>0</v>
      </c>
      <c r="N58" s="106">
        <v>0</v>
      </c>
      <c r="O58" s="106">
        <v>0</v>
      </c>
      <c r="P58" s="106">
        <v>0</v>
      </c>
      <c r="Q58" s="106">
        <v>0</v>
      </c>
      <c r="R58" s="106">
        <v>0</v>
      </c>
      <c r="S58" s="106">
        <v>0</v>
      </c>
      <c r="T58" s="106">
        <v>0</v>
      </c>
      <c r="U58" s="106">
        <v>0</v>
      </c>
      <c r="V58" s="106">
        <v>0</v>
      </c>
      <c r="W58" s="106">
        <v>0</v>
      </c>
      <c r="X58" s="106">
        <v>0</v>
      </c>
      <c r="Y58" s="106">
        <v>0</v>
      </c>
      <c r="Z58" s="106">
        <v>0</v>
      </c>
      <c r="AA58" s="106">
        <v>0</v>
      </c>
      <c r="AB58" s="106">
        <v>0</v>
      </c>
      <c r="AC58" s="106">
        <v>0</v>
      </c>
      <c r="AD58" s="106">
        <v>0</v>
      </c>
      <c r="AE58" s="106">
        <v>0</v>
      </c>
      <c r="AF58" s="106">
        <v>0</v>
      </c>
      <c r="AG58" s="106">
        <v>0</v>
      </c>
      <c r="AH58" s="106">
        <v>0</v>
      </c>
      <c r="AI58" s="106">
        <v>0</v>
      </c>
      <c r="AJ58" s="106">
        <v>0</v>
      </c>
      <c r="AK58" s="106">
        <v>0</v>
      </c>
      <c r="AL58" s="106">
        <v>0</v>
      </c>
      <c r="AM58" s="106">
        <v>0</v>
      </c>
      <c r="AN58" s="106">
        <v>0</v>
      </c>
      <c r="AO58" s="106">
        <v>0</v>
      </c>
      <c r="AP58" s="106">
        <v>0</v>
      </c>
      <c r="AQ58" s="106">
        <v>0</v>
      </c>
      <c r="AR58" s="106">
        <v>0</v>
      </c>
      <c r="AS58" s="106">
        <v>0</v>
      </c>
      <c r="AT58" s="106">
        <v>0</v>
      </c>
      <c r="AU58" s="106">
        <v>0</v>
      </c>
      <c r="AV58" s="106">
        <v>0</v>
      </c>
      <c r="AW58" s="106">
        <v>0</v>
      </c>
      <c r="AX58" s="106">
        <v>0</v>
      </c>
      <c r="AY58" s="106">
        <v>0</v>
      </c>
      <c r="AZ58" s="106">
        <v>0</v>
      </c>
      <c r="BA58" s="106">
        <v>0</v>
      </c>
      <c r="BB58" s="106">
        <v>0</v>
      </c>
      <c r="BC58" s="106">
        <v>0</v>
      </c>
      <c r="BD58" s="106">
        <v>0</v>
      </c>
      <c r="BE58" s="106">
        <v>0</v>
      </c>
      <c r="BF58" s="106">
        <v>0</v>
      </c>
      <c r="BG58" s="106">
        <v>0</v>
      </c>
      <c r="BH58" s="106">
        <v>0</v>
      </c>
      <c r="BI58" s="106">
        <v>0</v>
      </c>
      <c r="BJ58" s="106">
        <v>0</v>
      </c>
      <c r="BK58" s="106">
        <v>0</v>
      </c>
      <c r="BL58" s="106">
        <v>0</v>
      </c>
      <c r="BM58" s="106">
        <v>0</v>
      </c>
      <c r="BN58" s="106">
        <v>0</v>
      </c>
      <c r="BO58" s="106">
        <v>0</v>
      </c>
      <c r="BP58" s="106">
        <v>0</v>
      </c>
      <c r="BQ58" s="106">
        <v>0</v>
      </c>
      <c r="BR58" s="106">
        <v>0</v>
      </c>
      <c r="BS58" s="106">
        <v>0</v>
      </c>
      <c r="BT58" s="106">
        <v>0</v>
      </c>
      <c r="BU58" s="106">
        <v>0</v>
      </c>
      <c r="BV58" s="106">
        <v>0</v>
      </c>
      <c r="BW58" s="106">
        <v>0</v>
      </c>
      <c r="BX58" s="106">
        <v>0</v>
      </c>
      <c r="BY58" s="106">
        <v>0</v>
      </c>
      <c r="BZ58" s="106">
        <v>0</v>
      </c>
      <c r="CA58" s="106">
        <v>0</v>
      </c>
      <c r="CB58" s="106">
        <v>0</v>
      </c>
      <c r="CC58" s="106">
        <v>0</v>
      </c>
      <c r="CD58" s="106">
        <v>0</v>
      </c>
      <c r="CE58" s="106">
        <v>0</v>
      </c>
      <c r="CF58" s="106">
        <v>0</v>
      </c>
      <c r="CG58" s="106">
        <v>0</v>
      </c>
      <c r="CH58" s="106">
        <v>0</v>
      </c>
      <c r="CI58" s="106">
        <v>0</v>
      </c>
      <c r="CJ58" s="106">
        <v>0</v>
      </c>
      <c r="CK58" s="106">
        <v>0</v>
      </c>
      <c r="CL58" s="106">
        <v>0</v>
      </c>
      <c r="CM58" s="106">
        <v>0</v>
      </c>
      <c r="CN58" s="106">
        <v>0</v>
      </c>
      <c r="CO58" s="106">
        <v>0</v>
      </c>
      <c r="CP58" s="106">
        <v>0</v>
      </c>
      <c r="CQ58" s="106">
        <v>0</v>
      </c>
      <c r="CR58" s="106">
        <v>0</v>
      </c>
      <c r="CS58" s="106">
        <v>0</v>
      </c>
      <c r="CT58" s="106">
        <v>0</v>
      </c>
      <c r="CU58" s="106">
        <v>0</v>
      </c>
    </row>
    <row r="59" spans="2:99" x14ac:dyDescent="0.2">
      <c r="C59" s="105" t="s">
        <v>225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226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227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228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229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230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231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232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233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234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235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236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237</v>
      </c>
      <c r="D71" s="106">
        <v>0</v>
      </c>
      <c r="E71" s="106">
        <v>0</v>
      </c>
      <c r="F71" s="106">
        <v>0</v>
      </c>
      <c r="G71" s="106">
        <v>0</v>
      </c>
      <c r="H71" s="106">
        <v>0</v>
      </c>
      <c r="I71" s="106">
        <v>0</v>
      </c>
      <c r="J71" s="106">
        <v>0</v>
      </c>
      <c r="K71" s="106">
        <v>0</v>
      </c>
      <c r="L71" s="106">
        <v>0</v>
      </c>
      <c r="M71" s="106">
        <v>0</v>
      </c>
      <c r="N71" s="106">
        <v>0</v>
      </c>
      <c r="O71" s="106">
        <v>0</v>
      </c>
      <c r="P71" s="106">
        <v>0</v>
      </c>
      <c r="Q71" s="106">
        <v>0</v>
      </c>
      <c r="R71" s="106">
        <v>0</v>
      </c>
      <c r="S71" s="106">
        <v>0</v>
      </c>
      <c r="T71" s="106">
        <v>0</v>
      </c>
      <c r="U71" s="106">
        <v>0</v>
      </c>
      <c r="V71" s="106">
        <v>0</v>
      </c>
      <c r="W71" s="106">
        <v>0</v>
      </c>
      <c r="X71" s="106">
        <v>0</v>
      </c>
      <c r="Y71" s="106">
        <v>0</v>
      </c>
      <c r="Z71" s="106">
        <v>0</v>
      </c>
      <c r="AA71" s="106">
        <v>0</v>
      </c>
      <c r="AB71" s="106">
        <v>0</v>
      </c>
      <c r="AC71" s="106">
        <v>0</v>
      </c>
      <c r="AD71" s="106">
        <v>0</v>
      </c>
      <c r="AE71" s="106">
        <v>0</v>
      </c>
      <c r="AF71" s="106">
        <v>0</v>
      </c>
      <c r="AG71" s="106">
        <v>0</v>
      </c>
      <c r="AH71" s="106">
        <v>0</v>
      </c>
      <c r="AI71" s="106">
        <v>0</v>
      </c>
      <c r="AJ71" s="106">
        <v>0</v>
      </c>
      <c r="AK71" s="106">
        <v>0</v>
      </c>
      <c r="AL71" s="106">
        <v>0</v>
      </c>
      <c r="AM71" s="106">
        <v>0</v>
      </c>
      <c r="AN71" s="106">
        <v>0</v>
      </c>
      <c r="AO71" s="106">
        <v>0</v>
      </c>
      <c r="AP71" s="106">
        <v>0</v>
      </c>
      <c r="AQ71" s="106">
        <v>0</v>
      </c>
      <c r="AR71" s="106">
        <v>0</v>
      </c>
      <c r="AS71" s="106">
        <v>0</v>
      </c>
      <c r="AT71" s="106">
        <v>0</v>
      </c>
      <c r="AU71" s="106">
        <v>0</v>
      </c>
      <c r="AV71" s="106">
        <v>0</v>
      </c>
      <c r="AW71" s="106">
        <v>0</v>
      </c>
      <c r="AX71" s="106">
        <v>0</v>
      </c>
      <c r="AY71" s="106">
        <v>0</v>
      </c>
      <c r="AZ71" s="106">
        <v>0</v>
      </c>
      <c r="BA71" s="106">
        <v>0</v>
      </c>
      <c r="BB71" s="106">
        <v>0</v>
      </c>
      <c r="BC71" s="106">
        <v>0</v>
      </c>
      <c r="BD71" s="106">
        <v>0</v>
      </c>
      <c r="BE71" s="106">
        <v>0</v>
      </c>
      <c r="BF71" s="106">
        <v>0</v>
      </c>
      <c r="BG71" s="106">
        <v>0</v>
      </c>
      <c r="BH71" s="106">
        <v>0</v>
      </c>
      <c r="BI71" s="106">
        <v>0</v>
      </c>
      <c r="BJ71" s="106">
        <v>0</v>
      </c>
      <c r="BK71" s="106">
        <v>0</v>
      </c>
      <c r="BL71" s="106">
        <v>0</v>
      </c>
      <c r="BM71" s="106">
        <v>0</v>
      </c>
      <c r="BN71" s="106">
        <v>0</v>
      </c>
      <c r="BO71" s="106">
        <v>0</v>
      </c>
      <c r="BP71" s="106">
        <v>0</v>
      </c>
      <c r="BQ71" s="106">
        <v>0</v>
      </c>
      <c r="BR71" s="106">
        <v>0</v>
      </c>
      <c r="BS71" s="106">
        <v>0</v>
      </c>
      <c r="BT71" s="106">
        <v>0</v>
      </c>
      <c r="BU71" s="106">
        <v>0</v>
      </c>
      <c r="BV71" s="106">
        <v>0</v>
      </c>
      <c r="BW71" s="106">
        <v>0</v>
      </c>
      <c r="BX71" s="106">
        <v>0</v>
      </c>
      <c r="BY71" s="106">
        <v>0</v>
      </c>
      <c r="BZ71" s="106">
        <v>0</v>
      </c>
      <c r="CA71" s="106">
        <v>0</v>
      </c>
      <c r="CB71" s="106">
        <v>0</v>
      </c>
      <c r="CC71" s="106">
        <v>0</v>
      </c>
      <c r="CD71" s="106">
        <v>0</v>
      </c>
      <c r="CE71" s="106">
        <v>0</v>
      </c>
      <c r="CF71" s="106">
        <v>0</v>
      </c>
      <c r="CG71" s="106">
        <v>0</v>
      </c>
      <c r="CH71" s="106">
        <v>0</v>
      </c>
      <c r="CI71" s="106">
        <v>0</v>
      </c>
      <c r="CJ71" s="106">
        <v>0</v>
      </c>
      <c r="CK71" s="106">
        <v>0</v>
      </c>
      <c r="CL71" s="106">
        <v>0</v>
      </c>
      <c r="CM71" s="106">
        <v>0</v>
      </c>
      <c r="CN71" s="106">
        <v>0</v>
      </c>
      <c r="CO71" s="106">
        <v>0</v>
      </c>
      <c r="CP71" s="106">
        <v>0</v>
      </c>
      <c r="CQ71" s="106">
        <v>0</v>
      </c>
      <c r="CR71" s="106">
        <v>0</v>
      </c>
      <c r="CS71" s="106">
        <v>0</v>
      </c>
      <c r="CT71" s="106">
        <v>0</v>
      </c>
      <c r="CU71" s="106">
        <v>0</v>
      </c>
    </row>
    <row r="72" spans="2:99" x14ac:dyDescent="0.2">
      <c r="C72" s="105" t="s">
        <v>238</v>
      </c>
      <c r="D72" s="106">
        <v>0</v>
      </c>
      <c r="E72" s="106">
        <v>0</v>
      </c>
      <c r="F72" s="106">
        <v>0</v>
      </c>
      <c r="G72" s="106">
        <v>0</v>
      </c>
      <c r="H72" s="106">
        <v>0</v>
      </c>
      <c r="I72" s="106">
        <v>0</v>
      </c>
      <c r="J72" s="106">
        <v>0</v>
      </c>
      <c r="K72" s="106">
        <v>0</v>
      </c>
      <c r="L72" s="106">
        <v>0</v>
      </c>
      <c r="M72" s="106">
        <v>0</v>
      </c>
      <c r="N72" s="106">
        <v>0</v>
      </c>
      <c r="O72" s="106">
        <v>0</v>
      </c>
      <c r="P72" s="106">
        <v>0</v>
      </c>
      <c r="Q72" s="106">
        <v>0</v>
      </c>
      <c r="R72" s="106">
        <v>0</v>
      </c>
      <c r="S72" s="106">
        <v>0</v>
      </c>
      <c r="T72" s="106">
        <v>0</v>
      </c>
      <c r="U72" s="106">
        <v>0</v>
      </c>
      <c r="V72" s="106">
        <v>0</v>
      </c>
      <c r="W72" s="106">
        <v>0</v>
      </c>
      <c r="X72" s="106">
        <v>0</v>
      </c>
      <c r="Y72" s="106">
        <v>0</v>
      </c>
      <c r="Z72" s="106">
        <v>0</v>
      </c>
      <c r="AA72" s="106">
        <v>0</v>
      </c>
      <c r="AB72" s="106">
        <v>0</v>
      </c>
      <c r="AC72" s="106">
        <v>0</v>
      </c>
      <c r="AD72" s="106">
        <v>0</v>
      </c>
      <c r="AE72" s="106">
        <v>0</v>
      </c>
      <c r="AF72" s="106">
        <v>0</v>
      </c>
      <c r="AG72" s="106">
        <v>0</v>
      </c>
      <c r="AH72" s="106">
        <v>0</v>
      </c>
      <c r="AI72" s="106">
        <v>0</v>
      </c>
      <c r="AJ72" s="106">
        <v>0</v>
      </c>
      <c r="AK72" s="106">
        <v>0</v>
      </c>
      <c r="AL72" s="106">
        <v>0</v>
      </c>
      <c r="AM72" s="106">
        <v>0</v>
      </c>
      <c r="AN72" s="106">
        <v>0</v>
      </c>
      <c r="AO72" s="106">
        <v>0</v>
      </c>
      <c r="AP72" s="106">
        <v>0</v>
      </c>
      <c r="AQ72" s="106">
        <v>0</v>
      </c>
      <c r="AR72" s="106">
        <v>0</v>
      </c>
      <c r="AS72" s="106">
        <v>0</v>
      </c>
      <c r="AT72" s="106">
        <v>0</v>
      </c>
      <c r="AU72" s="106">
        <v>0</v>
      </c>
      <c r="AV72" s="106">
        <v>0</v>
      </c>
      <c r="AW72" s="106">
        <v>0</v>
      </c>
      <c r="AX72" s="106">
        <v>0</v>
      </c>
      <c r="AY72" s="106">
        <v>0</v>
      </c>
      <c r="AZ72" s="106">
        <v>0</v>
      </c>
      <c r="BA72" s="106">
        <v>0</v>
      </c>
      <c r="BB72" s="106">
        <v>0</v>
      </c>
      <c r="BC72" s="106">
        <v>0</v>
      </c>
      <c r="BD72" s="106">
        <v>0</v>
      </c>
      <c r="BE72" s="106">
        <v>0</v>
      </c>
      <c r="BF72" s="106">
        <v>0</v>
      </c>
      <c r="BG72" s="106">
        <v>0</v>
      </c>
      <c r="BH72" s="106">
        <v>0</v>
      </c>
      <c r="BI72" s="106">
        <v>0</v>
      </c>
      <c r="BJ72" s="106">
        <v>0</v>
      </c>
      <c r="BK72" s="106">
        <v>0</v>
      </c>
      <c r="BL72" s="106">
        <v>0</v>
      </c>
      <c r="BM72" s="106">
        <v>0</v>
      </c>
      <c r="BN72" s="106">
        <v>0</v>
      </c>
      <c r="BO72" s="106">
        <v>0</v>
      </c>
      <c r="BP72" s="106">
        <v>0</v>
      </c>
      <c r="BQ72" s="106">
        <v>0</v>
      </c>
      <c r="BR72" s="106">
        <v>0</v>
      </c>
      <c r="BS72" s="106">
        <v>0</v>
      </c>
      <c r="BT72" s="106">
        <v>0</v>
      </c>
      <c r="BU72" s="106">
        <v>0</v>
      </c>
      <c r="BV72" s="106">
        <v>0</v>
      </c>
      <c r="BW72" s="106">
        <v>0</v>
      </c>
      <c r="BX72" s="106">
        <v>0</v>
      </c>
      <c r="BY72" s="106">
        <v>0</v>
      </c>
      <c r="BZ72" s="106">
        <v>0</v>
      </c>
      <c r="CA72" s="106">
        <v>0</v>
      </c>
      <c r="CB72" s="106">
        <v>0</v>
      </c>
      <c r="CC72" s="106">
        <v>0</v>
      </c>
      <c r="CD72" s="106">
        <v>0</v>
      </c>
      <c r="CE72" s="106">
        <v>0</v>
      </c>
      <c r="CF72" s="106">
        <v>0</v>
      </c>
      <c r="CG72" s="106">
        <v>0</v>
      </c>
      <c r="CH72" s="106">
        <v>0</v>
      </c>
      <c r="CI72" s="106">
        <v>0</v>
      </c>
      <c r="CJ72" s="106">
        <v>0</v>
      </c>
      <c r="CK72" s="106">
        <v>0</v>
      </c>
      <c r="CL72" s="106">
        <v>0</v>
      </c>
      <c r="CM72" s="106">
        <v>0</v>
      </c>
      <c r="CN72" s="106">
        <v>0</v>
      </c>
      <c r="CO72" s="106">
        <v>0</v>
      </c>
      <c r="CP72" s="106">
        <v>0</v>
      </c>
      <c r="CQ72" s="106">
        <v>0</v>
      </c>
      <c r="CR72" s="106">
        <v>0</v>
      </c>
      <c r="CS72" s="106">
        <v>0</v>
      </c>
      <c r="CT72" s="106">
        <v>0</v>
      </c>
      <c r="CU72" s="106">
        <v>0</v>
      </c>
    </row>
    <row r="73" spans="2:99" x14ac:dyDescent="0.2">
      <c r="C73" s="105" t="s">
        <v>239</v>
      </c>
      <c r="D73" s="106">
        <v>0</v>
      </c>
      <c r="E73" s="106">
        <v>0</v>
      </c>
      <c r="F73" s="106">
        <v>0</v>
      </c>
      <c r="G73" s="106">
        <v>0</v>
      </c>
      <c r="H73" s="106">
        <v>0</v>
      </c>
      <c r="I73" s="106">
        <v>0</v>
      </c>
      <c r="J73" s="106">
        <v>0</v>
      </c>
      <c r="K73" s="106">
        <v>0</v>
      </c>
      <c r="L73" s="106">
        <v>0</v>
      </c>
      <c r="M73" s="106">
        <v>0</v>
      </c>
      <c r="N73" s="106">
        <v>0</v>
      </c>
      <c r="O73" s="106">
        <v>0</v>
      </c>
      <c r="P73" s="106">
        <v>0</v>
      </c>
      <c r="Q73" s="106">
        <v>0</v>
      </c>
      <c r="R73" s="106">
        <v>0</v>
      </c>
      <c r="S73" s="106">
        <v>0</v>
      </c>
      <c r="T73" s="106">
        <v>0</v>
      </c>
      <c r="U73" s="106">
        <v>0</v>
      </c>
      <c r="V73" s="106">
        <v>0</v>
      </c>
      <c r="W73" s="106">
        <v>0</v>
      </c>
      <c r="X73" s="106">
        <v>0</v>
      </c>
      <c r="Y73" s="106">
        <v>0</v>
      </c>
      <c r="Z73" s="106">
        <v>0</v>
      </c>
      <c r="AA73" s="106">
        <v>0</v>
      </c>
      <c r="AB73" s="106">
        <v>0</v>
      </c>
      <c r="AC73" s="106">
        <v>0</v>
      </c>
      <c r="AD73" s="106">
        <v>0</v>
      </c>
      <c r="AE73" s="106">
        <v>0</v>
      </c>
      <c r="AF73" s="106">
        <v>0</v>
      </c>
      <c r="AG73" s="106">
        <v>0</v>
      </c>
      <c r="AH73" s="106">
        <v>0</v>
      </c>
      <c r="AI73" s="106">
        <v>0</v>
      </c>
      <c r="AJ73" s="106">
        <v>0</v>
      </c>
      <c r="AK73" s="106">
        <v>0</v>
      </c>
      <c r="AL73" s="106">
        <v>0</v>
      </c>
      <c r="AM73" s="106">
        <v>0</v>
      </c>
      <c r="AN73" s="106">
        <v>0</v>
      </c>
      <c r="AO73" s="106">
        <v>0</v>
      </c>
      <c r="AP73" s="106">
        <v>0</v>
      </c>
      <c r="AQ73" s="106">
        <v>0</v>
      </c>
      <c r="AR73" s="106">
        <v>0</v>
      </c>
      <c r="AS73" s="106">
        <v>0</v>
      </c>
      <c r="AT73" s="106">
        <v>0</v>
      </c>
      <c r="AU73" s="106">
        <v>0</v>
      </c>
      <c r="AV73" s="106">
        <v>0</v>
      </c>
      <c r="AW73" s="106">
        <v>0</v>
      </c>
      <c r="AX73" s="106">
        <v>0</v>
      </c>
      <c r="AY73" s="106">
        <v>0</v>
      </c>
      <c r="AZ73" s="106">
        <v>0</v>
      </c>
      <c r="BA73" s="106">
        <v>0</v>
      </c>
      <c r="BB73" s="106">
        <v>0</v>
      </c>
      <c r="BC73" s="106">
        <v>0</v>
      </c>
      <c r="BD73" s="106">
        <v>0</v>
      </c>
      <c r="BE73" s="106">
        <v>0</v>
      </c>
      <c r="BF73" s="106">
        <v>0</v>
      </c>
      <c r="BG73" s="106">
        <v>0</v>
      </c>
      <c r="BH73" s="106">
        <v>0</v>
      </c>
      <c r="BI73" s="106">
        <v>0</v>
      </c>
      <c r="BJ73" s="106">
        <v>0</v>
      </c>
      <c r="BK73" s="106">
        <v>0</v>
      </c>
      <c r="BL73" s="106">
        <v>0</v>
      </c>
      <c r="BM73" s="106">
        <v>0</v>
      </c>
      <c r="BN73" s="106">
        <v>0</v>
      </c>
      <c r="BO73" s="106">
        <v>0</v>
      </c>
      <c r="BP73" s="106">
        <v>0</v>
      </c>
      <c r="BQ73" s="106">
        <v>0</v>
      </c>
      <c r="BR73" s="106">
        <v>0</v>
      </c>
      <c r="BS73" s="106">
        <v>0</v>
      </c>
      <c r="BT73" s="106">
        <v>0</v>
      </c>
      <c r="BU73" s="106">
        <v>0</v>
      </c>
      <c r="BV73" s="106">
        <v>0</v>
      </c>
      <c r="BW73" s="106">
        <v>0</v>
      </c>
      <c r="BX73" s="106">
        <v>0</v>
      </c>
      <c r="BY73" s="106">
        <v>0</v>
      </c>
      <c r="BZ73" s="106">
        <v>0</v>
      </c>
      <c r="CA73" s="106">
        <v>0</v>
      </c>
      <c r="CB73" s="106">
        <v>0</v>
      </c>
      <c r="CC73" s="106">
        <v>0</v>
      </c>
      <c r="CD73" s="106">
        <v>0</v>
      </c>
      <c r="CE73" s="106">
        <v>0</v>
      </c>
      <c r="CF73" s="106">
        <v>0</v>
      </c>
      <c r="CG73" s="106">
        <v>0</v>
      </c>
      <c r="CH73" s="106">
        <v>0</v>
      </c>
      <c r="CI73" s="106">
        <v>0</v>
      </c>
      <c r="CJ73" s="106">
        <v>0</v>
      </c>
      <c r="CK73" s="106">
        <v>0</v>
      </c>
      <c r="CL73" s="106">
        <v>0</v>
      </c>
      <c r="CM73" s="106">
        <v>0</v>
      </c>
      <c r="CN73" s="106">
        <v>0</v>
      </c>
      <c r="CO73" s="106">
        <v>0</v>
      </c>
      <c r="CP73" s="106">
        <v>0</v>
      </c>
      <c r="CQ73" s="106">
        <v>0</v>
      </c>
      <c r="CR73" s="106">
        <v>0</v>
      </c>
      <c r="CS73" s="106">
        <v>0</v>
      </c>
      <c r="CT73" s="106">
        <v>0</v>
      </c>
      <c r="CU73" s="106">
        <v>0</v>
      </c>
    </row>
    <row r="74" spans="2:99" x14ac:dyDescent="0.2">
      <c r="C74" s="105" t="s">
        <v>240</v>
      </c>
      <c r="D74" s="106">
        <v>0</v>
      </c>
      <c r="E74" s="106">
        <v>0</v>
      </c>
      <c r="F74" s="106">
        <v>0</v>
      </c>
      <c r="G74" s="106">
        <v>0</v>
      </c>
      <c r="H74" s="106">
        <v>0</v>
      </c>
      <c r="I74" s="106">
        <v>0</v>
      </c>
      <c r="J74" s="106">
        <v>0</v>
      </c>
      <c r="K74" s="106">
        <v>0</v>
      </c>
      <c r="L74" s="106">
        <v>0</v>
      </c>
      <c r="M74" s="106">
        <v>0</v>
      </c>
      <c r="N74" s="106">
        <v>0</v>
      </c>
      <c r="O74" s="106">
        <v>0</v>
      </c>
      <c r="P74" s="106">
        <v>0</v>
      </c>
      <c r="Q74" s="106">
        <v>0</v>
      </c>
      <c r="R74" s="106">
        <v>0</v>
      </c>
      <c r="S74" s="106">
        <v>0</v>
      </c>
      <c r="T74" s="106">
        <v>0</v>
      </c>
      <c r="U74" s="106">
        <v>0</v>
      </c>
      <c r="V74" s="106">
        <v>0</v>
      </c>
      <c r="W74" s="106">
        <v>0</v>
      </c>
      <c r="X74" s="106">
        <v>0</v>
      </c>
      <c r="Y74" s="106">
        <v>0</v>
      </c>
      <c r="Z74" s="106">
        <v>0</v>
      </c>
      <c r="AA74" s="106">
        <v>0</v>
      </c>
      <c r="AB74" s="106">
        <v>0</v>
      </c>
      <c r="AC74" s="106">
        <v>0</v>
      </c>
      <c r="AD74" s="106">
        <v>0</v>
      </c>
      <c r="AE74" s="106">
        <v>0</v>
      </c>
      <c r="AF74" s="106">
        <v>0</v>
      </c>
      <c r="AG74" s="106">
        <v>0</v>
      </c>
      <c r="AH74" s="106">
        <v>0</v>
      </c>
      <c r="AI74" s="106">
        <v>0</v>
      </c>
      <c r="AJ74" s="106">
        <v>0</v>
      </c>
      <c r="AK74" s="106">
        <v>0</v>
      </c>
      <c r="AL74" s="106">
        <v>0</v>
      </c>
      <c r="AM74" s="106">
        <v>0</v>
      </c>
      <c r="AN74" s="106">
        <v>0</v>
      </c>
      <c r="AO74" s="106">
        <v>0</v>
      </c>
      <c r="AP74" s="106">
        <v>0</v>
      </c>
      <c r="AQ74" s="106">
        <v>0</v>
      </c>
      <c r="AR74" s="106">
        <v>0</v>
      </c>
      <c r="AS74" s="106">
        <v>0</v>
      </c>
      <c r="AT74" s="106">
        <v>0</v>
      </c>
      <c r="AU74" s="106">
        <v>0</v>
      </c>
      <c r="AV74" s="106">
        <v>0</v>
      </c>
      <c r="AW74" s="106">
        <v>0</v>
      </c>
      <c r="AX74" s="106">
        <v>0</v>
      </c>
      <c r="AY74" s="106">
        <v>0</v>
      </c>
      <c r="AZ74" s="106">
        <v>0</v>
      </c>
      <c r="BA74" s="106">
        <v>0</v>
      </c>
      <c r="BB74" s="106">
        <v>0</v>
      </c>
      <c r="BC74" s="106">
        <v>0</v>
      </c>
      <c r="BD74" s="106">
        <v>0</v>
      </c>
      <c r="BE74" s="106">
        <v>0</v>
      </c>
      <c r="BF74" s="106">
        <v>0</v>
      </c>
      <c r="BG74" s="106">
        <v>0</v>
      </c>
      <c r="BH74" s="106">
        <v>0</v>
      </c>
      <c r="BI74" s="106">
        <v>0</v>
      </c>
      <c r="BJ74" s="106">
        <v>0</v>
      </c>
      <c r="BK74" s="106">
        <v>0</v>
      </c>
      <c r="BL74" s="106">
        <v>0</v>
      </c>
      <c r="BM74" s="106">
        <v>0</v>
      </c>
      <c r="BN74" s="106">
        <v>0</v>
      </c>
      <c r="BO74" s="106">
        <v>0</v>
      </c>
      <c r="BP74" s="106">
        <v>0</v>
      </c>
      <c r="BQ74" s="106">
        <v>0</v>
      </c>
      <c r="BR74" s="106">
        <v>0</v>
      </c>
      <c r="BS74" s="106">
        <v>0</v>
      </c>
      <c r="BT74" s="106">
        <v>0</v>
      </c>
      <c r="BU74" s="106">
        <v>0</v>
      </c>
      <c r="BV74" s="106">
        <v>0</v>
      </c>
      <c r="BW74" s="106">
        <v>0</v>
      </c>
      <c r="BX74" s="106">
        <v>0</v>
      </c>
      <c r="BY74" s="106">
        <v>0</v>
      </c>
      <c r="BZ74" s="106">
        <v>0</v>
      </c>
      <c r="CA74" s="106">
        <v>0</v>
      </c>
      <c r="CB74" s="106">
        <v>0</v>
      </c>
      <c r="CC74" s="106">
        <v>0</v>
      </c>
      <c r="CD74" s="106">
        <v>0</v>
      </c>
      <c r="CE74" s="106">
        <v>0</v>
      </c>
      <c r="CF74" s="106">
        <v>0</v>
      </c>
      <c r="CG74" s="106">
        <v>0</v>
      </c>
      <c r="CH74" s="106">
        <v>0</v>
      </c>
      <c r="CI74" s="106">
        <v>0</v>
      </c>
      <c r="CJ74" s="106">
        <v>0</v>
      </c>
      <c r="CK74" s="106">
        <v>0</v>
      </c>
      <c r="CL74" s="106">
        <v>0</v>
      </c>
      <c r="CM74" s="106">
        <v>0</v>
      </c>
      <c r="CN74" s="106">
        <v>0</v>
      </c>
      <c r="CO74" s="106">
        <v>0</v>
      </c>
      <c r="CP74" s="106">
        <v>0</v>
      </c>
      <c r="CQ74" s="106">
        <v>0</v>
      </c>
      <c r="CR74" s="106">
        <v>0</v>
      </c>
      <c r="CS74" s="106">
        <v>0</v>
      </c>
      <c r="CT74" s="106">
        <v>0</v>
      </c>
      <c r="CU74" s="106">
        <v>0</v>
      </c>
    </row>
    <row r="75" spans="2:99" x14ac:dyDescent="0.2">
      <c r="C75" s="105" t="s">
        <v>241</v>
      </c>
      <c r="D75" s="106">
        <v>0</v>
      </c>
      <c r="E75" s="106">
        <v>0</v>
      </c>
      <c r="F75" s="106">
        <v>0</v>
      </c>
      <c r="G75" s="106">
        <v>0</v>
      </c>
      <c r="H75" s="106">
        <v>0</v>
      </c>
      <c r="I75" s="106">
        <v>0</v>
      </c>
      <c r="J75" s="106">
        <v>0</v>
      </c>
      <c r="K75" s="106">
        <v>0</v>
      </c>
      <c r="L75" s="106">
        <v>0</v>
      </c>
      <c r="M75" s="106">
        <v>0</v>
      </c>
      <c r="N75" s="106">
        <v>0</v>
      </c>
      <c r="O75" s="106">
        <v>0</v>
      </c>
      <c r="P75" s="106">
        <v>0</v>
      </c>
      <c r="Q75" s="106">
        <v>0</v>
      </c>
      <c r="R75" s="106">
        <v>0</v>
      </c>
      <c r="S75" s="106">
        <v>0</v>
      </c>
      <c r="T75" s="106">
        <v>0</v>
      </c>
      <c r="U75" s="106">
        <v>0</v>
      </c>
      <c r="V75" s="106">
        <v>0</v>
      </c>
      <c r="W75" s="106">
        <v>0</v>
      </c>
      <c r="X75" s="106">
        <v>0</v>
      </c>
      <c r="Y75" s="106">
        <v>0</v>
      </c>
      <c r="Z75" s="106">
        <v>0</v>
      </c>
      <c r="AA75" s="106">
        <v>0</v>
      </c>
      <c r="AB75" s="106">
        <v>0</v>
      </c>
      <c r="AC75" s="106">
        <v>0</v>
      </c>
      <c r="AD75" s="106">
        <v>0</v>
      </c>
      <c r="AE75" s="106">
        <v>0</v>
      </c>
      <c r="AF75" s="106">
        <v>0</v>
      </c>
      <c r="AG75" s="106">
        <v>0</v>
      </c>
      <c r="AH75" s="106">
        <v>0</v>
      </c>
      <c r="AI75" s="106">
        <v>0</v>
      </c>
      <c r="AJ75" s="106">
        <v>0</v>
      </c>
      <c r="AK75" s="106">
        <v>0</v>
      </c>
      <c r="AL75" s="106">
        <v>0</v>
      </c>
      <c r="AM75" s="106">
        <v>0</v>
      </c>
      <c r="AN75" s="106">
        <v>0</v>
      </c>
      <c r="AO75" s="106">
        <v>0</v>
      </c>
      <c r="AP75" s="106">
        <v>0</v>
      </c>
      <c r="AQ75" s="106">
        <v>0</v>
      </c>
      <c r="AR75" s="106">
        <v>0</v>
      </c>
      <c r="AS75" s="106">
        <v>0</v>
      </c>
      <c r="AT75" s="106">
        <v>0</v>
      </c>
      <c r="AU75" s="106">
        <v>0</v>
      </c>
      <c r="AV75" s="106">
        <v>0</v>
      </c>
      <c r="AW75" s="106">
        <v>0</v>
      </c>
      <c r="AX75" s="106">
        <v>0</v>
      </c>
      <c r="AY75" s="106">
        <v>0</v>
      </c>
      <c r="AZ75" s="106">
        <v>0</v>
      </c>
      <c r="BA75" s="106">
        <v>0</v>
      </c>
      <c r="BB75" s="106">
        <v>0</v>
      </c>
      <c r="BC75" s="106">
        <v>0</v>
      </c>
      <c r="BD75" s="106">
        <v>0</v>
      </c>
      <c r="BE75" s="106">
        <v>0</v>
      </c>
      <c r="BF75" s="106">
        <v>0</v>
      </c>
      <c r="BG75" s="106">
        <v>0</v>
      </c>
      <c r="BH75" s="106">
        <v>0</v>
      </c>
      <c r="BI75" s="106">
        <v>0</v>
      </c>
      <c r="BJ75" s="106">
        <v>0</v>
      </c>
      <c r="BK75" s="106">
        <v>0</v>
      </c>
      <c r="BL75" s="106">
        <v>0</v>
      </c>
      <c r="BM75" s="106">
        <v>0</v>
      </c>
      <c r="BN75" s="106">
        <v>0</v>
      </c>
      <c r="BO75" s="106">
        <v>0</v>
      </c>
      <c r="BP75" s="106">
        <v>0</v>
      </c>
      <c r="BQ75" s="106">
        <v>0</v>
      </c>
      <c r="BR75" s="106">
        <v>0</v>
      </c>
      <c r="BS75" s="106">
        <v>0</v>
      </c>
      <c r="BT75" s="106">
        <v>0</v>
      </c>
      <c r="BU75" s="106">
        <v>0</v>
      </c>
      <c r="BV75" s="106">
        <v>0</v>
      </c>
      <c r="BW75" s="106">
        <v>0</v>
      </c>
      <c r="BX75" s="106">
        <v>0</v>
      </c>
      <c r="BY75" s="106">
        <v>0</v>
      </c>
      <c r="BZ75" s="106">
        <v>0</v>
      </c>
      <c r="CA75" s="106">
        <v>0</v>
      </c>
      <c r="CB75" s="106">
        <v>0</v>
      </c>
      <c r="CC75" s="106">
        <v>0</v>
      </c>
      <c r="CD75" s="106">
        <v>0</v>
      </c>
      <c r="CE75" s="106">
        <v>0</v>
      </c>
      <c r="CF75" s="106">
        <v>0</v>
      </c>
      <c r="CG75" s="106">
        <v>0</v>
      </c>
      <c r="CH75" s="106">
        <v>0</v>
      </c>
      <c r="CI75" s="106">
        <v>0</v>
      </c>
      <c r="CJ75" s="106">
        <v>0</v>
      </c>
      <c r="CK75" s="106">
        <v>0</v>
      </c>
      <c r="CL75" s="106">
        <v>0</v>
      </c>
      <c r="CM75" s="106">
        <v>0</v>
      </c>
      <c r="CN75" s="106">
        <v>0</v>
      </c>
      <c r="CO75" s="106">
        <v>0</v>
      </c>
      <c r="CP75" s="106">
        <v>0</v>
      </c>
      <c r="CQ75" s="106">
        <v>0</v>
      </c>
      <c r="CR75" s="106">
        <v>0</v>
      </c>
      <c r="CS75" s="106">
        <v>0</v>
      </c>
      <c r="CT75" s="106">
        <v>0</v>
      </c>
      <c r="CU75" s="106">
        <v>0</v>
      </c>
    </row>
    <row r="76" spans="2:99" x14ac:dyDescent="0.2">
      <c r="C76" s="105" t="s">
        <v>242</v>
      </c>
      <c r="D76" s="106">
        <v>0</v>
      </c>
      <c r="E76" s="106">
        <v>0</v>
      </c>
      <c r="F76" s="106">
        <v>0</v>
      </c>
      <c r="G76" s="106">
        <v>0</v>
      </c>
      <c r="H76" s="106">
        <v>0</v>
      </c>
      <c r="I76" s="106">
        <v>0</v>
      </c>
      <c r="J76" s="106">
        <v>0</v>
      </c>
      <c r="K76" s="106">
        <v>0</v>
      </c>
      <c r="L76" s="106">
        <v>0</v>
      </c>
      <c r="M76" s="106">
        <v>0</v>
      </c>
      <c r="N76" s="106">
        <v>0</v>
      </c>
      <c r="O76" s="106">
        <v>0</v>
      </c>
      <c r="P76" s="106">
        <v>0</v>
      </c>
      <c r="Q76" s="106">
        <v>0</v>
      </c>
      <c r="R76" s="106">
        <v>0</v>
      </c>
      <c r="S76" s="106">
        <v>0</v>
      </c>
      <c r="T76" s="106">
        <v>0</v>
      </c>
      <c r="U76" s="106">
        <v>0</v>
      </c>
      <c r="V76" s="106">
        <v>0</v>
      </c>
      <c r="W76" s="106">
        <v>0</v>
      </c>
      <c r="X76" s="106">
        <v>0</v>
      </c>
      <c r="Y76" s="106">
        <v>0</v>
      </c>
      <c r="Z76" s="106">
        <v>0</v>
      </c>
      <c r="AA76" s="106">
        <v>0</v>
      </c>
      <c r="AB76" s="106">
        <v>0</v>
      </c>
      <c r="AC76" s="106">
        <v>0</v>
      </c>
      <c r="AD76" s="106">
        <v>0</v>
      </c>
      <c r="AE76" s="106">
        <v>0</v>
      </c>
      <c r="AF76" s="106">
        <v>0</v>
      </c>
      <c r="AG76" s="106">
        <v>0</v>
      </c>
      <c r="AH76" s="106">
        <v>0</v>
      </c>
      <c r="AI76" s="106">
        <v>0</v>
      </c>
      <c r="AJ76" s="106">
        <v>0</v>
      </c>
      <c r="AK76" s="106">
        <v>0</v>
      </c>
      <c r="AL76" s="106">
        <v>0</v>
      </c>
      <c r="AM76" s="106">
        <v>0</v>
      </c>
      <c r="AN76" s="106">
        <v>0</v>
      </c>
      <c r="AO76" s="106">
        <v>0</v>
      </c>
      <c r="AP76" s="106">
        <v>0</v>
      </c>
      <c r="AQ76" s="106">
        <v>0</v>
      </c>
      <c r="AR76" s="106">
        <v>0</v>
      </c>
      <c r="AS76" s="106">
        <v>0</v>
      </c>
      <c r="AT76" s="106">
        <v>0</v>
      </c>
      <c r="AU76" s="106">
        <v>0</v>
      </c>
      <c r="AV76" s="106">
        <v>0</v>
      </c>
      <c r="AW76" s="106">
        <v>0</v>
      </c>
      <c r="AX76" s="106">
        <v>0</v>
      </c>
      <c r="AY76" s="106">
        <v>0</v>
      </c>
      <c r="AZ76" s="106">
        <v>0</v>
      </c>
      <c r="BA76" s="106">
        <v>0</v>
      </c>
      <c r="BB76" s="106">
        <v>0</v>
      </c>
      <c r="BC76" s="106">
        <v>0</v>
      </c>
      <c r="BD76" s="106">
        <v>0</v>
      </c>
      <c r="BE76" s="106">
        <v>0</v>
      </c>
      <c r="BF76" s="106">
        <v>0</v>
      </c>
      <c r="BG76" s="106">
        <v>0</v>
      </c>
      <c r="BH76" s="106">
        <v>0</v>
      </c>
      <c r="BI76" s="106">
        <v>0</v>
      </c>
      <c r="BJ76" s="106">
        <v>0</v>
      </c>
      <c r="BK76" s="106">
        <v>0</v>
      </c>
      <c r="BL76" s="106">
        <v>0</v>
      </c>
      <c r="BM76" s="106">
        <v>0</v>
      </c>
      <c r="BN76" s="106">
        <v>0</v>
      </c>
      <c r="BO76" s="106">
        <v>0</v>
      </c>
      <c r="BP76" s="106">
        <v>0</v>
      </c>
      <c r="BQ76" s="106">
        <v>0</v>
      </c>
      <c r="BR76" s="106">
        <v>0</v>
      </c>
      <c r="BS76" s="106">
        <v>0</v>
      </c>
      <c r="BT76" s="106">
        <v>0</v>
      </c>
      <c r="BU76" s="106">
        <v>0</v>
      </c>
      <c r="BV76" s="106">
        <v>0</v>
      </c>
      <c r="BW76" s="106">
        <v>0</v>
      </c>
      <c r="BX76" s="106">
        <v>0</v>
      </c>
      <c r="BY76" s="106">
        <v>0</v>
      </c>
      <c r="BZ76" s="106">
        <v>0</v>
      </c>
      <c r="CA76" s="106">
        <v>0</v>
      </c>
      <c r="CB76" s="106">
        <v>0</v>
      </c>
      <c r="CC76" s="106">
        <v>0</v>
      </c>
      <c r="CD76" s="106">
        <v>0</v>
      </c>
      <c r="CE76" s="106">
        <v>0</v>
      </c>
      <c r="CF76" s="106">
        <v>0</v>
      </c>
      <c r="CG76" s="106">
        <v>0</v>
      </c>
      <c r="CH76" s="106">
        <v>0</v>
      </c>
      <c r="CI76" s="106">
        <v>0</v>
      </c>
      <c r="CJ76" s="106">
        <v>0</v>
      </c>
      <c r="CK76" s="106">
        <v>0</v>
      </c>
      <c r="CL76" s="106">
        <v>0</v>
      </c>
      <c r="CM76" s="106">
        <v>0</v>
      </c>
      <c r="CN76" s="106">
        <v>0</v>
      </c>
      <c r="CO76" s="106">
        <v>0</v>
      </c>
      <c r="CP76" s="106">
        <v>0</v>
      </c>
      <c r="CQ76" s="106">
        <v>0</v>
      </c>
      <c r="CR76" s="106">
        <v>0</v>
      </c>
      <c r="CS76" s="106">
        <v>0</v>
      </c>
      <c r="CT76" s="106">
        <v>0</v>
      </c>
      <c r="CU76" s="106">
        <v>0</v>
      </c>
    </row>
    <row r="77" spans="2:99" x14ac:dyDescent="0.2">
      <c r="C77" s="105" t="s">
        <v>243</v>
      </c>
      <c r="D77" s="106">
        <v>0</v>
      </c>
      <c r="E77" s="106">
        <v>0</v>
      </c>
      <c r="F77" s="106">
        <v>0</v>
      </c>
      <c r="G77" s="106">
        <v>0</v>
      </c>
      <c r="H77" s="106">
        <v>0</v>
      </c>
      <c r="I77" s="106">
        <v>0</v>
      </c>
      <c r="J77" s="106">
        <v>0</v>
      </c>
      <c r="K77" s="106">
        <v>0</v>
      </c>
      <c r="L77" s="106">
        <v>0</v>
      </c>
      <c r="M77" s="106">
        <v>0</v>
      </c>
      <c r="N77" s="106">
        <v>0</v>
      </c>
      <c r="O77" s="106">
        <v>0</v>
      </c>
      <c r="P77" s="106">
        <v>0</v>
      </c>
      <c r="Q77" s="106">
        <v>0</v>
      </c>
      <c r="R77" s="106">
        <v>0</v>
      </c>
      <c r="S77" s="106">
        <v>0</v>
      </c>
      <c r="T77" s="106">
        <v>0</v>
      </c>
      <c r="U77" s="106">
        <v>0</v>
      </c>
      <c r="V77" s="106">
        <v>0</v>
      </c>
      <c r="W77" s="106">
        <v>0</v>
      </c>
      <c r="X77" s="106">
        <v>0</v>
      </c>
      <c r="Y77" s="106">
        <v>0</v>
      </c>
      <c r="Z77" s="106">
        <v>0</v>
      </c>
      <c r="AA77" s="106">
        <v>0</v>
      </c>
      <c r="AB77" s="106">
        <v>0</v>
      </c>
      <c r="AC77" s="106">
        <v>0</v>
      </c>
      <c r="AD77" s="106">
        <v>0</v>
      </c>
      <c r="AE77" s="106">
        <v>0</v>
      </c>
      <c r="AF77" s="106">
        <v>0</v>
      </c>
      <c r="AG77" s="106">
        <v>0</v>
      </c>
      <c r="AH77" s="106">
        <v>0</v>
      </c>
      <c r="AI77" s="106">
        <v>0</v>
      </c>
      <c r="AJ77" s="106">
        <v>0</v>
      </c>
      <c r="AK77" s="106">
        <v>0</v>
      </c>
      <c r="AL77" s="106">
        <v>0</v>
      </c>
      <c r="AM77" s="106">
        <v>0</v>
      </c>
      <c r="AN77" s="106">
        <v>0</v>
      </c>
      <c r="AO77" s="106">
        <v>0</v>
      </c>
      <c r="AP77" s="106">
        <v>0</v>
      </c>
      <c r="AQ77" s="106">
        <v>0</v>
      </c>
      <c r="AR77" s="106">
        <v>0</v>
      </c>
      <c r="AS77" s="106">
        <v>0</v>
      </c>
      <c r="AT77" s="106">
        <v>0</v>
      </c>
      <c r="AU77" s="106">
        <v>0</v>
      </c>
      <c r="AV77" s="106">
        <v>0</v>
      </c>
      <c r="AW77" s="106">
        <v>0</v>
      </c>
      <c r="AX77" s="106">
        <v>0</v>
      </c>
      <c r="AY77" s="106">
        <v>0</v>
      </c>
      <c r="AZ77" s="106">
        <v>0</v>
      </c>
      <c r="BA77" s="106">
        <v>0</v>
      </c>
      <c r="BB77" s="106">
        <v>0</v>
      </c>
      <c r="BC77" s="106">
        <v>0</v>
      </c>
      <c r="BD77" s="106">
        <v>0</v>
      </c>
      <c r="BE77" s="106">
        <v>0</v>
      </c>
      <c r="BF77" s="106">
        <v>0</v>
      </c>
      <c r="BG77" s="106">
        <v>0</v>
      </c>
      <c r="BH77" s="106">
        <v>0</v>
      </c>
      <c r="BI77" s="106">
        <v>0</v>
      </c>
      <c r="BJ77" s="106">
        <v>0</v>
      </c>
      <c r="BK77" s="106">
        <v>0</v>
      </c>
      <c r="BL77" s="106">
        <v>0</v>
      </c>
      <c r="BM77" s="106">
        <v>0</v>
      </c>
      <c r="BN77" s="106">
        <v>0</v>
      </c>
      <c r="BO77" s="106">
        <v>0</v>
      </c>
      <c r="BP77" s="106">
        <v>0</v>
      </c>
      <c r="BQ77" s="106">
        <v>0</v>
      </c>
      <c r="BR77" s="106">
        <v>0</v>
      </c>
      <c r="BS77" s="106">
        <v>0</v>
      </c>
      <c r="BT77" s="106">
        <v>0</v>
      </c>
      <c r="BU77" s="106">
        <v>0</v>
      </c>
      <c r="BV77" s="106">
        <v>0</v>
      </c>
      <c r="BW77" s="106">
        <v>0</v>
      </c>
      <c r="BX77" s="106">
        <v>0</v>
      </c>
      <c r="BY77" s="106">
        <v>0</v>
      </c>
      <c r="BZ77" s="106">
        <v>0</v>
      </c>
      <c r="CA77" s="106">
        <v>0</v>
      </c>
      <c r="CB77" s="106">
        <v>0</v>
      </c>
      <c r="CC77" s="106">
        <v>0</v>
      </c>
      <c r="CD77" s="106">
        <v>0</v>
      </c>
      <c r="CE77" s="106">
        <v>0</v>
      </c>
      <c r="CF77" s="106">
        <v>0</v>
      </c>
      <c r="CG77" s="106">
        <v>0</v>
      </c>
      <c r="CH77" s="106">
        <v>0</v>
      </c>
      <c r="CI77" s="106">
        <v>0</v>
      </c>
      <c r="CJ77" s="106">
        <v>0</v>
      </c>
      <c r="CK77" s="106">
        <v>0</v>
      </c>
      <c r="CL77" s="106">
        <v>0</v>
      </c>
      <c r="CM77" s="106">
        <v>0</v>
      </c>
      <c r="CN77" s="106">
        <v>0</v>
      </c>
      <c r="CO77" s="106">
        <v>0</v>
      </c>
      <c r="CP77" s="106">
        <v>0</v>
      </c>
      <c r="CQ77" s="106">
        <v>0</v>
      </c>
      <c r="CR77" s="106">
        <v>0</v>
      </c>
      <c r="CS77" s="106">
        <v>0</v>
      </c>
      <c r="CT77" s="106">
        <v>0</v>
      </c>
      <c r="CU77" s="106">
        <v>0</v>
      </c>
    </row>
    <row r="78" spans="2:99" x14ac:dyDescent="0.2">
      <c r="C78" s="105" t="s">
        <v>244</v>
      </c>
      <c r="D78" s="106">
        <v>0</v>
      </c>
      <c r="E78" s="106">
        <v>0</v>
      </c>
      <c r="F78" s="106">
        <v>0</v>
      </c>
      <c r="G78" s="106">
        <v>0</v>
      </c>
      <c r="H78" s="106">
        <v>0</v>
      </c>
      <c r="I78" s="106">
        <v>0</v>
      </c>
      <c r="J78" s="106">
        <v>0</v>
      </c>
      <c r="K78" s="106">
        <v>0</v>
      </c>
      <c r="L78" s="106">
        <v>0</v>
      </c>
      <c r="M78" s="106">
        <v>0</v>
      </c>
      <c r="N78" s="106">
        <v>0</v>
      </c>
      <c r="O78" s="106">
        <v>0</v>
      </c>
      <c r="P78" s="106">
        <v>0</v>
      </c>
      <c r="Q78" s="106">
        <v>0</v>
      </c>
      <c r="R78" s="106">
        <v>0</v>
      </c>
      <c r="S78" s="106">
        <v>0</v>
      </c>
      <c r="T78" s="106">
        <v>0</v>
      </c>
      <c r="U78" s="106">
        <v>0</v>
      </c>
      <c r="V78" s="106">
        <v>0</v>
      </c>
      <c r="W78" s="106">
        <v>0</v>
      </c>
      <c r="X78" s="106">
        <v>0</v>
      </c>
      <c r="Y78" s="106">
        <v>0</v>
      </c>
      <c r="Z78" s="106">
        <v>0</v>
      </c>
      <c r="AA78" s="106">
        <v>0</v>
      </c>
      <c r="AB78" s="106">
        <v>0</v>
      </c>
      <c r="AC78" s="106">
        <v>0</v>
      </c>
      <c r="AD78" s="106">
        <v>0</v>
      </c>
      <c r="AE78" s="106">
        <v>0</v>
      </c>
      <c r="AF78" s="106">
        <v>0</v>
      </c>
      <c r="AG78" s="106">
        <v>0</v>
      </c>
      <c r="AH78" s="106">
        <v>0</v>
      </c>
      <c r="AI78" s="106">
        <v>0</v>
      </c>
      <c r="AJ78" s="106">
        <v>0</v>
      </c>
      <c r="AK78" s="106">
        <v>0</v>
      </c>
      <c r="AL78" s="106">
        <v>0</v>
      </c>
      <c r="AM78" s="106">
        <v>0</v>
      </c>
      <c r="AN78" s="106">
        <v>0</v>
      </c>
      <c r="AO78" s="106">
        <v>0</v>
      </c>
      <c r="AP78" s="106">
        <v>0</v>
      </c>
      <c r="AQ78" s="106">
        <v>0</v>
      </c>
      <c r="AR78" s="106">
        <v>0</v>
      </c>
      <c r="AS78" s="106">
        <v>0</v>
      </c>
      <c r="AT78" s="106">
        <v>0</v>
      </c>
      <c r="AU78" s="106">
        <v>0</v>
      </c>
      <c r="AV78" s="106">
        <v>0</v>
      </c>
      <c r="AW78" s="106">
        <v>0</v>
      </c>
      <c r="AX78" s="106">
        <v>0</v>
      </c>
      <c r="AY78" s="106">
        <v>0</v>
      </c>
      <c r="AZ78" s="106">
        <v>0</v>
      </c>
      <c r="BA78" s="106">
        <v>0</v>
      </c>
      <c r="BB78" s="106">
        <v>0</v>
      </c>
      <c r="BC78" s="106">
        <v>0</v>
      </c>
      <c r="BD78" s="106">
        <v>0</v>
      </c>
      <c r="BE78" s="106">
        <v>0</v>
      </c>
      <c r="BF78" s="106">
        <v>0</v>
      </c>
      <c r="BG78" s="106">
        <v>0</v>
      </c>
      <c r="BH78" s="106">
        <v>0</v>
      </c>
      <c r="BI78" s="106">
        <v>0</v>
      </c>
      <c r="BJ78" s="106">
        <v>0</v>
      </c>
      <c r="BK78" s="106">
        <v>0</v>
      </c>
      <c r="BL78" s="106">
        <v>0</v>
      </c>
      <c r="BM78" s="106">
        <v>0</v>
      </c>
      <c r="BN78" s="106">
        <v>0</v>
      </c>
      <c r="BO78" s="106">
        <v>0</v>
      </c>
      <c r="BP78" s="106">
        <v>0</v>
      </c>
      <c r="BQ78" s="106">
        <v>0</v>
      </c>
      <c r="BR78" s="106">
        <v>0</v>
      </c>
      <c r="BS78" s="106">
        <v>0</v>
      </c>
      <c r="BT78" s="106">
        <v>0</v>
      </c>
      <c r="BU78" s="106">
        <v>0</v>
      </c>
      <c r="BV78" s="106">
        <v>0</v>
      </c>
      <c r="BW78" s="106">
        <v>0</v>
      </c>
      <c r="BX78" s="106">
        <v>0</v>
      </c>
      <c r="BY78" s="106">
        <v>0</v>
      </c>
      <c r="BZ78" s="106">
        <v>0</v>
      </c>
      <c r="CA78" s="106">
        <v>0</v>
      </c>
      <c r="CB78" s="106">
        <v>0</v>
      </c>
      <c r="CC78" s="106">
        <v>0</v>
      </c>
      <c r="CD78" s="106">
        <v>0</v>
      </c>
      <c r="CE78" s="106">
        <v>0</v>
      </c>
      <c r="CF78" s="106">
        <v>0</v>
      </c>
      <c r="CG78" s="106">
        <v>0</v>
      </c>
      <c r="CH78" s="106">
        <v>0</v>
      </c>
      <c r="CI78" s="106">
        <v>0</v>
      </c>
      <c r="CJ78" s="106">
        <v>0</v>
      </c>
      <c r="CK78" s="106">
        <v>0</v>
      </c>
      <c r="CL78" s="106">
        <v>0</v>
      </c>
      <c r="CM78" s="106">
        <v>0</v>
      </c>
      <c r="CN78" s="106">
        <v>0</v>
      </c>
      <c r="CO78" s="106">
        <v>0</v>
      </c>
      <c r="CP78" s="106">
        <v>0</v>
      </c>
      <c r="CQ78" s="106">
        <v>0</v>
      </c>
      <c r="CR78" s="106">
        <v>0</v>
      </c>
      <c r="CS78" s="106">
        <v>0</v>
      </c>
      <c r="CT78" s="106">
        <v>0</v>
      </c>
      <c r="CU78" s="106">
        <v>0</v>
      </c>
    </row>
    <row r="79" spans="2:99" x14ac:dyDescent="0.2">
      <c r="C79" s="105" t="s">
        <v>245</v>
      </c>
      <c r="D79" s="106">
        <v>0</v>
      </c>
      <c r="E79" s="106">
        <v>0</v>
      </c>
      <c r="F79" s="106">
        <v>0</v>
      </c>
      <c r="G79" s="106">
        <v>0</v>
      </c>
      <c r="H79" s="106">
        <v>0</v>
      </c>
      <c r="I79" s="106">
        <v>0</v>
      </c>
      <c r="J79" s="106">
        <v>0</v>
      </c>
      <c r="K79" s="106">
        <v>0</v>
      </c>
      <c r="L79" s="106">
        <v>0</v>
      </c>
      <c r="M79" s="106">
        <v>0</v>
      </c>
      <c r="N79" s="106">
        <v>0</v>
      </c>
      <c r="O79" s="106">
        <v>0</v>
      </c>
      <c r="P79" s="106">
        <v>0</v>
      </c>
      <c r="Q79" s="106">
        <v>0</v>
      </c>
      <c r="R79" s="106">
        <v>0</v>
      </c>
      <c r="S79" s="106">
        <v>0</v>
      </c>
      <c r="T79" s="106">
        <v>0</v>
      </c>
      <c r="U79" s="106">
        <v>0</v>
      </c>
      <c r="V79" s="106">
        <v>0</v>
      </c>
      <c r="W79" s="106">
        <v>0</v>
      </c>
      <c r="X79" s="106">
        <v>0</v>
      </c>
      <c r="Y79" s="106">
        <v>0</v>
      </c>
      <c r="Z79" s="106">
        <v>0</v>
      </c>
      <c r="AA79" s="106">
        <v>0</v>
      </c>
      <c r="AB79" s="106">
        <v>0</v>
      </c>
      <c r="AC79" s="106">
        <v>0</v>
      </c>
      <c r="AD79" s="106">
        <v>0</v>
      </c>
      <c r="AE79" s="106">
        <v>0</v>
      </c>
      <c r="AF79" s="106">
        <v>0</v>
      </c>
      <c r="AG79" s="106">
        <v>0</v>
      </c>
      <c r="AH79" s="106">
        <v>0</v>
      </c>
      <c r="AI79" s="106">
        <v>0</v>
      </c>
      <c r="AJ79" s="106">
        <v>0</v>
      </c>
      <c r="AK79" s="106">
        <v>0</v>
      </c>
      <c r="AL79" s="106">
        <v>0</v>
      </c>
      <c r="AM79" s="106">
        <v>0</v>
      </c>
      <c r="AN79" s="106">
        <v>0</v>
      </c>
      <c r="AO79" s="106">
        <v>0</v>
      </c>
      <c r="AP79" s="106">
        <v>0</v>
      </c>
      <c r="AQ79" s="106">
        <v>0</v>
      </c>
      <c r="AR79" s="106">
        <v>0</v>
      </c>
      <c r="AS79" s="106">
        <v>0</v>
      </c>
      <c r="AT79" s="106">
        <v>0</v>
      </c>
      <c r="AU79" s="106">
        <v>0</v>
      </c>
      <c r="AV79" s="106">
        <v>0</v>
      </c>
      <c r="AW79" s="106">
        <v>0</v>
      </c>
      <c r="AX79" s="106">
        <v>0</v>
      </c>
      <c r="AY79" s="106">
        <v>0</v>
      </c>
      <c r="AZ79" s="106">
        <v>0</v>
      </c>
      <c r="BA79" s="106">
        <v>0</v>
      </c>
      <c r="BB79" s="106">
        <v>0</v>
      </c>
      <c r="BC79" s="106">
        <v>0</v>
      </c>
      <c r="BD79" s="106">
        <v>0</v>
      </c>
      <c r="BE79" s="106">
        <v>0</v>
      </c>
      <c r="BF79" s="106">
        <v>0</v>
      </c>
      <c r="BG79" s="106">
        <v>0</v>
      </c>
      <c r="BH79" s="106">
        <v>0</v>
      </c>
      <c r="BI79" s="106">
        <v>0</v>
      </c>
      <c r="BJ79" s="106">
        <v>0</v>
      </c>
      <c r="BK79" s="106">
        <v>0</v>
      </c>
      <c r="BL79" s="106">
        <v>0</v>
      </c>
      <c r="BM79" s="106">
        <v>0</v>
      </c>
      <c r="BN79" s="106">
        <v>0</v>
      </c>
      <c r="BO79" s="106">
        <v>0</v>
      </c>
      <c r="BP79" s="106">
        <v>0</v>
      </c>
      <c r="BQ79" s="106">
        <v>0</v>
      </c>
      <c r="BR79" s="106">
        <v>0</v>
      </c>
      <c r="BS79" s="106">
        <v>0</v>
      </c>
      <c r="BT79" s="106">
        <v>0</v>
      </c>
      <c r="BU79" s="106">
        <v>0</v>
      </c>
      <c r="BV79" s="106">
        <v>0</v>
      </c>
      <c r="BW79" s="106">
        <v>0</v>
      </c>
      <c r="BX79" s="106">
        <v>0</v>
      </c>
      <c r="BY79" s="106">
        <v>0</v>
      </c>
      <c r="BZ79" s="106">
        <v>0</v>
      </c>
      <c r="CA79" s="106">
        <v>0</v>
      </c>
      <c r="CB79" s="106">
        <v>0</v>
      </c>
      <c r="CC79" s="106">
        <v>0</v>
      </c>
      <c r="CD79" s="106">
        <v>0</v>
      </c>
      <c r="CE79" s="106">
        <v>0</v>
      </c>
      <c r="CF79" s="106">
        <v>0</v>
      </c>
      <c r="CG79" s="106">
        <v>0</v>
      </c>
      <c r="CH79" s="106">
        <v>0</v>
      </c>
      <c r="CI79" s="106">
        <v>0</v>
      </c>
      <c r="CJ79" s="106">
        <v>0</v>
      </c>
      <c r="CK79" s="106">
        <v>0</v>
      </c>
      <c r="CL79" s="106">
        <v>0</v>
      </c>
      <c r="CM79" s="106">
        <v>0</v>
      </c>
      <c r="CN79" s="106">
        <v>0</v>
      </c>
      <c r="CO79" s="106">
        <v>0</v>
      </c>
      <c r="CP79" s="106">
        <v>0</v>
      </c>
      <c r="CQ79" s="106">
        <v>0</v>
      </c>
      <c r="CR79" s="106">
        <v>0</v>
      </c>
      <c r="CS79" s="106">
        <v>0</v>
      </c>
      <c r="CT79" s="106">
        <v>0</v>
      </c>
      <c r="CU79" s="106">
        <v>0</v>
      </c>
    </row>
    <row r="80" spans="2:99" x14ac:dyDescent="0.2">
      <c r="C80" s="105" t="s">
        <v>246</v>
      </c>
      <c r="D80" s="106">
        <v>0</v>
      </c>
      <c r="E80" s="106">
        <v>0</v>
      </c>
      <c r="F80" s="106">
        <v>0</v>
      </c>
      <c r="G80" s="106">
        <v>0</v>
      </c>
      <c r="H80" s="106">
        <v>0</v>
      </c>
      <c r="I80" s="106">
        <v>0</v>
      </c>
      <c r="J80" s="106">
        <v>0</v>
      </c>
      <c r="K80" s="106">
        <v>0</v>
      </c>
      <c r="L80" s="106">
        <v>0</v>
      </c>
      <c r="M80" s="106">
        <v>0</v>
      </c>
      <c r="N80" s="106">
        <v>0</v>
      </c>
      <c r="O80" s="106">
        <v>0</v>
      </c>
      <c r="P80" s="106">
        <v>0</v>
      </c>
      <c r="Q80" s="106">
        <v>0</v>
      </c>
      <c r="R80" s="106">
        <v>0</v>
      </c>
      <c r="S80" s="106">
        <v>0</v>
      </c>
      <c r="T80" s="106">
        <v>0</v>
      </c>
      <c r="U80" s="106">
        <v>0</v>
      </c>
      <c r="V80" s="106">
        <v>0</v>
      </c>
      <c r="W80" s="106">
        <v>0</v>
      </c>
      <c r="X80" s="106">
        <v>0</v>
      </c>
      <c r="Y80" s="106">
        <v>0</v>
      </c>
      <c r="Z80" s="106">
        <v>0</v>
      </c>
      <c r="AA80" s="106">
        <v>0</v>
      </c>
      <c r="AB80" s="106">
        <v>0</v>
      </c>
      <c r="AC80" s="106">
        <v>0</v>
      </c>
      <c r="AD80" s="106">
        <v>0</v>
      </c>
      <c r="AE80" s="106">
        <v>0</v>
      </c>
      <c r="AF80" s="106">
        <v>0</v>
      </c>
      <c r="AG80" s="106">
        <v>0</v>
      </c>
      <c r="AH80" s="106">
        <v>0</v>
      </c>
      <c r="AI80" s="106">
        <v>0</v>
      </c>
      <c r="AJ80" s="106">
        <v>0</v>
      </c>
      <c r="AK80" s="106">
        <v>0</v>
      </c>
      <c r="AL80" s="106">
        <v>0</v>
      </c>
      <c r="AM80" s="106">
        <v>0</v>
      </c>
      <c r="AN80" s="106">
        <v>0</v>
      </c>
      <c r="AO80" s="106">
        <v>0</v>
      </c>
      <c r="AP80" s="106">
        <v>0</v>
      </c>
      <c r="AQ80" s="106">
        <v>0</v>
      </c>
      <c r="AR80" s="106">
        <v>0</v>
      </c>
      <c r="AS80" s="106">
        <v>0</v>
      </c>
      <c r="AT80" s="106">
        <v>0</v>
      </c>
      <c r="AU80" s="106">
        <v>0</v>
      </c>
      <c r="AV80" s="106">
        <v>0</v>
      </c>
      <c r="AW80" s="106">
        <v>0</v>
      </c>
      <c r="AX80" s="106">
        <v>0</v>
      </c>
      <c r="AY80" s="106">
        <v>0</v>
      </c>
      <c r="AZ80" s="106">
        <v>0</v>
      </c>
      <c r="BA80" s="106">
        <v>0</v>
      </c>
      <c r="BB80" s="106">
        <v>0</v>
      </c>
      <c r="BC80" s="106">
        <v>0</v>
      </c>
      <c r="BD80" s="106">
        <v>0</v>
      </c>
      <c r="BE80" s="106">
        <v>0</v>
      </c>
      <c r="BF80" s="106">
        <v>0</v>
      </c>
      <c r="BG80" s="106">
        <v>0</v>
      </c>
      <c r="BH80" s="106">
        <v>0</v>
      </c>
      <c r="BI80" s="106">
        <v>0</v>
      </c>
      <c r="BJ80" s="106">
        <v>0</v>
      </c>
      <c r="BK80" s="106">
        <v>0</v>
      </c>
      <c r="BL80" s="106">
        <v>0</v>
      </c>
      <c r="BM80" s="106">
        <v>0</v>
      </c>
      <c r="BN80" s="106">
        <v>0</v>
      </c>
      <c r="BO80" s="106">
        <v>0</v>
      </c>
      <c r="BP80" s="106">
        <v>0</v>
      </c>
      <c r="BQ80" s="106">
        <v>0</v>
      </c>
      <c r="BR80" s="106">
        <v>0</v>
      </c>
      <c r="BS80" s="106">
        <v>0</v>
      </c>
      <c r="BT80" s="106">
        <v>0</v>
      </c>
      <c r="BU80" s="106">
        <v>0</v>
      </c>
      <c r="BV80" s="106">
        <v>0</v>
      </c>
      <c r="BW80" s="106">
        <v>0</v>
      </c>
      <c r="BX80" s="106">
        <v>0</v>
      </c>
      <c r="BY80" s="106">
        <v>0</v>
      </c>
      <c r="BZ80" s="106">
        <v>0</v>
      </c>
      <c r="CA80" s="106">
        <v>0</v>
      </c>
      <c r="CB80" s="106">
        <v>0</v>
      </c>
      <c r="CC80" s="106">
        <v>0</v>
      </c>
      <c r="CD80" s="106">
        <v>0</v>
      </c>
      <c r="CE80" s="106">
        <v>0</v>
      </c>
      <c r="CF80" s="106">
        <v>0</v>
      </c>
      <c r="CG80" s="106">
        <v>0</v>
      </c>
      <c r="CH80" s="106">
        <v>0</v>
      </c>
      <c r="CI80" s="106">
        <v>0</v>
      </c>
      <c r="CJ80" s="106">
        <v>0</v>
      </c>
      <c r="CK80" s="106">
        <v>0</v>
      </c>
      <c r="CL80" s="106">
        <v>0</v>
      </c>
      <c r="CM80" s="106">
        <v>0</v>
      </c>
      <c r="CN80" s="106">
        <v>0</v>
      </c>
      <c r="CO80" s="106">
        <v>0</v>
      </c>
      <c r="CP80" s="106">
        <v>0</v>
      </c>
      <c r="CQ80" s="106">
        <v>0</v>
      </c>
      <c r="CR80" s="106">
        <v>0</v>
      </c>
      <c r="CS80" s="106">
        <v>0</v>
      </c>
      <c r="CT80" s="106">
        <v>0</v>
      </c>
      <c r="CU80" s="106">
        <v>0</v>
      </c>
    </row>
    <row r="81" spans="2:99" x14ac:dyDescent="0.2">
      <c r="C81" s="105" t="s">
        <v>247</v>
      </c>
      <c r="D81" s="106">
        <v>0</v>
      </c>
      <c r="E81" s="106">
        <v>0</v>
      </c>
      <c r="F81" s="106">
        <v>0</v>
      </c>
      <c r="G81" s="106">
        <v>0</v>
      </c>
      <c r="H81" s="106">
        <v>0</v>
      </c>
      <c r="I81" s="106">
        <v>0</v>
      </c>
      <c r="J81" s="106">
        <v>0</v>
      </c>
      <c r="K81" s="106">
        <v>0</v>
      </c>
      <c r="L81" s="106">
        <v>0</v>
      </c>
      <c r="M81" s="106">
        <v>0</v>
      </c>
      <c r="N81" s="106">
        <v>0</v>
      </c>
      <c r="O81" s="106">
        <v>0</v>
      </c>
      <c r="P81" s="106">
        <v>0</v>
      </c>
      <c r="Q81" s="106">
        <v>0</v>
      </c>
      <c r="R81" s="106">
        <v>0</v>
      </c>
      <c r="S81" s="106">
        <v>0</v>
      </c>
      <c r="T81" s="106">
        <v>0</v>
      </c>
      <c r="U81" s="106">
        <v>0</v>
      </c>
      <c r="V81" s="106">
        <v>0</v>
      </c>
      <c r="W81" s="106">
        <v>0</v>
      </c>
      <c r="X81" s="106">
        <v>0</v>
      </c>
      <c r="Y81" s="106">
        <v>0</v>
      </c>
      <c r="Z81" s="106">
        <v>0</v>
      </c>
      <c r="AA81" s="106">
        <v>0</v>
      </c>
      <c r="AB81" s="106">
        <v>0</v>
      </c>
      <c r="AC81" s="106">
        <v>0</v>
      </c>
      <c r="AD81" s="106">
        <v>0</v>
      </c>
      <c r="AE81" s="106">
        <v>0</v>
      </c>
      <c r="AF81" s="106">
        <v>0</v>
      </c>
      <c r="AG81" s="106">
        <v>0</v>
      </c>
      <c r="AH81" s="106">
        <v>0</v>
      </c>
      <c r="AI81" s="106">
        <v>0</v>
      </c>
      <c r="AJ81" s="106">
        <v>0</v>
      </c>
      <c r="AK81" s="106">
        <v>0</v>
      </c>
      <c r="AL81" s="106">
        <v>0</v>
      </c>
      <c r="AM81" s="106">
        <v>0</v>
      </c>
      <c r="AN81" s="106">
        <v>0</v>
      </c>
      <c r="AO81" s="106">
        <v>0</v>
      </c>
      <c r="AP81" s="106">
        <v>0</v>
      </c>
      <c r="AQ81" s="106">
        <v>0</v>
      </c>
      <c r="AR81" s="106">
        <v>0</v>
      </c>
      <c r="AS81" s="106">
        <v>0</v>
      </c>
      <c r="AT81" s="106">
        <v>0</v>
      </c>
      <c r="AU81" s="106">
        <v>0</v>
      </c>
      <c r="AV81" s="106">
        <v>0</v>
      </c>
      <c r="AW81" s="106">
        <v>0</v>
      </c>
      <c r="AX81" s="106">
        <v>0</v>
      </c>
      <c r="AY81" s="106">
        <v>0</v>
      </c>
      <c r="AZ81" s="106">
        <v>0</v>
      </c>
      <c r="BA81" s="106">
        <v>0</v>
      </c>
      <c r="BB81" s="106">
        <v>0</v>
      </c>
      <c r="BC81" s="106">
        <v>0</v>
      </c>
      <c r="BD81" s="106">
        <v>0</v>
      </c>
      <c r="BE81" s="106">
        <v>0</v>
      </c>
      <c r="BF81" s="106">
        <v>0</v>
      </c>
      <c r="BG81" s="106">
        <v>0</v>
      </c>
      <c r="BH81" s="106">
        <v>0</v>
      </c>
      <c r="BI81" s="106">
        <v>0</v>
      </c>
      <c r="BJ81" s="106">
        <v>0</v>
      </c>
      <c r="BK81" s="106">
        <v>0</v>
      </c>
      <c r="BL81" s="106">
        <v>0</v>
      </c>
      <c r="BM81" s="106">
        <v>0</v>
      </c>
      <c r="BN81" s="106">
        <v>0</v>
      </c>
      <c r="BO81" s="106">
        <v>0</v>
      </c>
      <c r="BP81" s="106">
        <v>0</v>
      </c>
      <c r="BQ81" s="106">
        <v>0</v>
      </c>
      <c r="BR81" s="106">
        <v>0</v>
      </c>
      <c r="BS81" s="106">
        <v>0</v>
      </c>
      <c r="BT81" s="106">
        <v>0</v>
      </c>
      <c r="BU81" s="106">
        <v>0</v>
      </c>
      <c r="BV81" s="106">
        <v>0</v>
      </c>
      <c r="BW81" s="106">
        <v>0</v>
      </c>
      <c r="BX81" s="106">
        <v>0</v>
      </c>
      <c r="BY81" s="106">
        <v>0</v>
      </c>
      <c r="BZ81" s="106">
        <v>0</v>
      </c>
      <c r="CA81" s="106">
        <v>0</v>
      </c>
      <c r="CB81" s="106">
        <v>0</v>
      </c>
      <c r="CC81" s="106">
        <v>0</v>
      </c>
      <c r="CD81" s="106">
        <v>0</v>
      </c>
      <c r="CE81" s="106">
        <v>0</v>
      </c>
      <c r="CF81" s="106">
        <v>0</v>
      </c>
      <c r="CG81" s="106">
        <v>0</v>
      </c>
      <c r="CH81" s="106">
        <v>0</v>
      </c>
      <c r="CI81" s="106">
        <v>0</v>
      </c>
      <c r="CJ81" s="106">
        <v>0</v>
      </c>
      <c r="CK81" s="106">
        <v>0</v>
      </c>
      <c r="CL81" s="106">
        <v>0</v>
      </c>
      <c r="CM81" s="106">
        <v>0</v>
      </c>
      <c r="CN81" s="106">
        <v>0</v>
      </c>
      <c r="CO81" s="106">
        <v>0</v>
      </c>
      <c r="CP81" s="106">
        <v>0</v>
      </c>
      <c r="CQ81" s="106">
        <v>0</v>
      </c>
      <c r="CR81" s="106">
        <v>0</v>
      </c>
      <c r="CS81" s="106">
        <v>0</v>
      </c>
      <c r="CT81" s="106">
        <v>0</v>
      </c>
      <c r="CU81" s="106">
        <v>0</v>
      </c>
    </row>
    <row r="82" spans="2:99" x14ac:dyDescent="0.2">
      <c r="C82" s="105" t="s">
        <v>248</v>
      </c>
      <c r="D82" s="106">
        <v>0</v>
      </c>
      <c r="E82" s="106">
        <v>0</v>
      </c>
      <c r="F82" s="106">
        <v>0</v>
      </c>
      <c r="G82" s="106">
        <v>0</v>
      </c>
      <c r="H82" s="106">
        <v>0</v>
      </c>
      <c r="I82" s="106">
        <v>0</v>
      </c>
      <c r="J82" s="106">
        <v>0</v>
      </c>
      <c r="K82" s="106">
        <v>0</v>
      </c>
      <c r="L82" s="106">
        <v>0</v>
      </c>
      <c r="M82" s="106">
        <v>0</v>
      </c>
      <c r="N82" s="106">
        <v>0</v>
      </c>
      <c r="O82" s="106">
        <v>0</v>
      </c>
      <c r="P82" s="106">
        <v>0</v>
      </c>
      <c r="Q82" s="106">
        <v>0</v>
      </c>
      <c r="R82" s="106">
        <v>0</v>
      </c>
      <c r="S82" s="106">
        <v>0</v>
      </c>
      <c r="T82" s="106">
        <v>0</v>
      </c>
      <c r="U82" s="106">
        <v>0</v>
      </c>
      <c r="V82" s="106">
        <v>0</v>
      </c>
      <c r="W82" s="106">
        <v>0</v>
      </c>
      <c r="X82" s="106">
        <v>0</v>
      </c>
      <c r="Y82" s="106">
        <v>0</v>
      </c>
      <c r="Z82" s="106">
        <v>0</v>
      </c>
      <c r="AA82" s="106">
        <v>0</v>
      </c>
      <c r="AB82" s="106">
        <v>0</v>
      </c>
      <c r="AC82" s="106">
        <v>0</v>
      </c>
      <c r="AD82" s="106">
        <v>0</v>
      </c>
      <c r="AE82" s="106">
        <v>0</v>
      </c>
      <c r="AF82" s="106">
        <v>0</v>
      </c>
      <c r="AG82" s="106">
        <v>0</v>
      </c>
      <c r="AH82" s="106">
        <v>0</v>
      </c>
      <c r="AI82" s="106">
        <v>0</v>
      </c>
      <c r="AJ82" s="106">
        <v>0</v>
      </c>
      <c r="AK82" s="106">
        <v>0</v>
      </c>
      <c r="AL82" s="106">
        <v>0</v>
      </c>
      <c r="AM82" s="106">
        <v>0</v>
      </c>
      <c r="AN82" s="106">
        <v>0</v>
      </c>
      <c r="AO82" s="106">
        <v>0</v>
      </c>
      <c r="AP82" s="106">
        <v>0</v>
      </c>
      <c r="AQ82" s="106">
        <v>0</v>
      </c>
      <c r="AR82" s="106">
        <v>0</v>
      </c>
      <c r="AS82" s="106">
        <v>0</v>
      </c>
      <c r="AT82" s="106">
        <v>0</v>
      </c>
      <c r="AU82" s="106">
        <v>0</v>
      </c>
      <c r="AV82" s="106">
        <v>0</v>
      </c>
      <c r="AW82" s="106">
        <v>0</v>
      </c>
      <c r="AX82" s="106">
        <v>0</v>
      </c>
      <c r="AY82" s="106">
        <v>0</v>
      </c>
      <c r="AZ82" s="106">
        <v>0</v>
      </c>
      <c r="BA82" s="106">
        <v>0</v>
      </c>
      <c r="BB82" s="106">
        <v>0</v>
      </c>
      <c r="BC82" s="106">
        <v>0</v>
      </c>
      <c r="BD82" s="106">
        <v>0</v>
      </c>
      <c r="BE82" s="106">
        <v>0</v>
      </c>
      <c r="BF82" s="106">
        <v>0</v>
      </c>
      <c r="BG82" s="106">
        <v>0</v>
      </c>
      <c r="BH82" s="106">
        <v>0</v>
      </c>
      <c r="BI82" s="106">
        <v>0</v>
      </c>
      <c r="BJ82" s="106">
        <v>0</v>
      </c>
      <c r="BK82" s="106">
        <v>0</v>
      </c>
      <c r="BL82" s="106">
        <v>0</v>
      </c>
      <c r="BM82" s="106">
        <v>0</v>
      </c>
      <c r="BN82" s="106">
        <v>0</v>
      </c>
      <c r="BO82" s="106">
        <v>0</v>
      </c>
      <c r="BP82" s="106">
        <v>0</v>
      </c>
      <c r="BQ82" s="106">
        <v>0</v>
      </c>
      <c r="BR82" s="106">
        <v>0</v>
      </c>
      <c r="BS82" s="106">
        <v>0</v>
      </c>
      <c r="BT82" s="106">
        <v>0</v>
      </c>
      <c r="BU82" s="106">
        <v>0</v>
      </c>
      <c r="BV82" s="106">
        <v>0</v>
      </c>
      <c r="BW82" s="106">
        <v>0</v>
      </c>
      <c r="BX82" s="106">
        <v>0</v>
      </c>
      <c r="BY82" s="106">
        <v>0</v>
      </c>
      <c r="BZ82" s="106">
        <v>0</v>
      </c>
      <c r="CA82" s="106">
        <v>0</v>
      </c>
      <c r="CB82" s="106">
        <v>0</v>
      </c>
      <c r="CC82" s="106">
        <v>0</v>
      </c>
      <c r="CD82" s="106">
        <v>0</v>
      </c>
      <c r="CE82" s="106">
        <v>0</v>
      </c>
      <c r="CF82" s="106">
        <v>0</v>
      </c>
      <c r="CG82" s="106">
        <v>0</v>
      </c>
      <c r="CH82" s="106">
        <v>0</v>
      </c>
      <c r="CI82" s="106">
        <v>0</v>
      </c>
      <c r="CJ82" s="106">
        <v>0</v>
      </c>
      <c r="CK82" s="106">
        <v>0</v>
      </c>
      <c r="CL82" s="106">
        <v>0</v>
      </c>
      <c r="CM82" s="106">
        <v>0</v>
      </c>
      <c r="CN82" s="106">
        <v>0</v>
      </c>
      <c r="CO82" s="106">
        <v>0</v>
      </c>
      <c r="CP82" s="106">
        <v>0</v>
      </c>
      <c r="CQ82" s="106">
        <v>0</v>
      </c>
      <c r="CR82" s="106">
        <v>0</v>
      </c>
      <c r="CS82" s="106">
        <v>0</v>
      </c>
      <c r="CT82" s="106">
        <v>0</v>
      </c>
      <c r="CU82" s="106">
        <v>0</v>
      </c>
    </row>
    <row r="83" spans="2:99" x14ac:dyDescent="0.2">
      <c r="C83" s="105" t="s">
        <v>249</v>
      </c>
      <c r="D83" s="106">
        <v>0</v>
      </c>
      <c r="E83" s="106">
        <v>0</v>
      </c>
      <c r="F83" s="106">
        <v>0</v>
      </c>
      <c r="G83" s="106">
        <v>0</v>
      </c>
      <c r="H83" s="106">
        <v>0</v>
      </c>
      <c r="I83" s="106">
        <v>0</v>
      </c>
      <c r="J83" s="106">
        <v>0</v>
      </c>
      <c r="K83" s="106">
        <v>0</v>
      </c>
      <c r="L83" s="106">
        <v>0</v>
      </c>
      <c r="M83" s="106">
        <v>0</v>
      </c>
      <c r="N83" s="106">
        <v>0</v>
      </c>
      <c r="O83" s="106">
        <v>0</v>
      </c>
      <c r="P83" s="106">
        <v>0</v>
      </c>
      <c r="Q83" s="106">
        <v>0</v>
      </c>
      <c r="R83" s="106">
        <v>0</v>
      </c>
      <c r="S83" s="106">
        <v>0</v>
      </c>
      <c r="T83" s="106">
        <v>0</v>
      </c>
      <c r="U83" s="106">
        <v>0</v>
      </c>
      <c r="V83" s="106">
        <v>0</v>
      </c>
      <c r="W83" s="106">
        <v>0</v>
      </c>
      <c r="X83" s="106">
        <v>0</v>
      </c>
      <c r="Y83" s="106">
        <v>0</v>
      </c>
      <c r="Z83" s="106">
        <v>0</v>
      </c>
      <c r="AA83" s="106">
        <v>0</v>
      </c>
      <c r="AB83" s="106">
        <v>0</v>
      </c>
      <c r="AC83" s="106">
        <v>0</v>
      </c>
      <c r="AD83" s="106">
        <v>0</v>
      </c>
      <c r="AE83" s="106">
        <v>0</v>
      </c>
      <c r="AF83" s="106">
        <v>0</v>
      </c>
      <c r="AG83" s="106">
        <v>0</v>
      </c>
      <c r="AH83" s="106">
        <v>0</v>
      </c>
      <c r="AI83" s="106">
        <v>0</v>
      </c>
      <c r="AJ83" s="106">
        <v>0</v>
      </c>
      <c r="AK83" s="106">
        <v>0</v>
      </c>
      <c r="AL83" s="106">
        <v>0</v>
      </c>
      <c r="AM83" s="106">
        <v>0</v>
      </c>
      <c r="AN83" s="106">
        <v>0</v>
      </c>
      <c r="AO83" s="106">
        <v>0</v>
      </c>
      <c r="AP83" s="106">
        <v>0</v>
      </c>
      <c r="AQ83" s="106">
        <v>0</v>
      </c>
      <c r="AR83" s="106">
        <v>0</v>
      </c>
      <c r="AS83" s="106">
        <v>0</v>
      </c>
      <c r="AT83" s="106">
        <v>0</v>
      </c>
      <c r="AU83" s="106">
        <v>0</v>
      </c>
      <c r="AV83" s="106">
        <v>0</v>
      </c>
      <c r="AW83" s="106">
        <v>0</v>
      </c>
      <c r="AX83" s="106">
        <v>0</v>
      </c>
      <c r="AY83" s="106">
        <v>0</v>
      </c>
      <c r="AZ83" s="106">
        <v>0</v>
      </c>
      <c r="BA83" s="106">
        <v>0</v>
      </c>
      <c r="BB83" s="106">
        <v>0</v>
      </c>
      <c r="BC83" s="106">
        <v>0</v>
      </c>
      <c r="BD83" s="106">
        <v>0</v>
      </c>
      <c r="BE83" s="106">
        <v>0</v>
      </c>
      <c r="BF83" s="106">
        <v>0</v>
      </c>
      <c r="BG83" s="106">
        <v>0</v>
      </c>
      <c r="BH83" s="106">
        <v>0</v>
      </c>
      <c r="BI83" s="106">
        <v>0</v>
      </c>
      <c r="BJ83" s="106">
        <v>0</v>
      </c>
      <c r="BK83" s="106">
        <v>0</v>
      </c>
      <c r="BL83" s="106">
        <v>0</v>
      </c>
      <c r="BM83" s="106">
        <v>0</v>
      </c>
      <c r="BN83" s="106">
        <v>0</v>
      </c>
      <c r="BO83" s="106">
        <v>0</v>
      </c>
      <c r="BP83" s="106">
        <v>0</v>
      </c>
      <c r="BQ83" s="106">
        <v>0</v>
      </c>
      <c r="BR83" s="106">
        <v>0</v>
      </c>
      <c r="BS83" s="106">
        <v>0</v>
      </c>
      <c r="BT83" s="106">
        <v>0</v>
      </c>
      <c r="BU83" s="106">
        <v>0</v>
      </c>
      <c r="BV83" s="106">
        <v>0</v>
      </c>
      <c r="BW83" s="106">
        <v>0</v>
      </c>
      <c r="BX83" s="106">
        <v>0</v>
      </c>
      <c r="BY83" s="106">
        <v>0</v>
      </c>
      <c r="BZ83" s="106">
        <v>0</v>
      </c>
      <c r="CA83" s="106">
        <v>0</v>
      </c>
      <c r="CB83" s="106">
        <v>0</v>
      </c>
      <c r="CC83" s="106">
        <v>0</v>
      </c>
      <c r="CD83" s="106">
        <v>0</v>
      </c>
      <c r="CE83" s="106">
        <v>0</v>
      </c>
      <c r="CF83" s="106">
        <v>0</v>
      </c>
      <c r="CG83" s="106">
        <v>0</v>
      </c>
      <c r="CH83" s="106">
        <v>0</v>
      </c>
      <c r="CI83" s="106">
        <v>0</v>
      </c>
      <c r="CJ83" s="106">
        <v>0</v>
      </c>
      <c r="CK83" s="106">
        <v>0</v>
      </c>
      <c r="CL83" s="106">
        <v>0</v>
      </c>
      <c r="CM83" s="106">
        <v>0</v>
      </c>
      <c r="CN83" s="106">
        <v>0</v>
      </c>
      <c r="CO83" s="106">
        <v>0</v>
      </c>
      <c r="CP83" s="106">
        <v>0</v>
      </c>
      <c r="CQ83" s="106">
        <v>0</v>
      </c>
      <c r="CR83" s="106">
        <v>0</v>
      </c>
      <c r="CS83" s="106">
        <v>0</v>
      </c>
      <c r="CT83" s="106">
        <v>0</v>
      </c>
      <c r="CU83" s="106">
        <v>0</v>
      </c>
    </row>
    <row r="84" spans="2:99" x14ac:dyDescent="0.2">
      <c r="C84" s="105" t="s">
        <v>250</v>
      </c>
      <c r="D84" s="106">
        <v>0</v>
      </c>
      <c r="E84" s="106">
        <v>0</v>
      </c>
      <c r="F84" s="106">
        <v>0</v>
      </c>
      <c r="G84" s="106">
        <v>0</v>
      </c>
      <c r="H84" s="106">
        <v>0</v>
      </c>
      <c r="I84" s="106">
        <v>0</v>
      </c>
      <c r="J84" s="106">
        <v>0</v>
      </c>
      <c r="K84" s="106">
        <v>0</v>
      </c>
      <c r="L84" s="106">
        <v>0</v>
      </c>
      <c r="M84" s="106">
        <v>0</v>
      </c>
      <c r="N84" s="106">
        <v>0</v>
      </c>
      <c r="O84" s="106">
        <v>0</v>
      </c>
      <c r="P84" s="106">
        <v>0</v>
      </c>
      <c r="Q84" s="106">
        <v>0</v>
      </c>
      <c r="R84" s="106">
        <v>0</v>
      </c>
      <c r="S84" s="106">
        <v>0</v>
      </c>
      <c r="T84" s="106">
        <v>0</v>
      </c>
      <c r="U84" s="106">
        <v>0</v>
      </c>
      <c r="V84" s="106">
        <v>0</v>
      </c>
      <c r="W84" s="106">
        <v>0</v>
      </c>
      <c r="X84" s="106">
        <v>0</v>
      </c>
      <c r="Y84" s="106">
        <v>0</v>
      </c>
      <c r="Z84" s="106">
        <v>0</v>
      </c>
      <c r="AA84" s="106">
        <v>0</v>
      </c>
      <c r="AB84" s="106">
        <v>0</v>
      </c>
      <c r="AC84" s="106">
        <v>0</v>
      </c>
      <c r="AD84" s="106">
        <v>0</v>
      </c>
      <c r="AE84" s="106">
        <v>0</v>
      </c>
      <c r="AF84" s="106">
        <v>0</v>
      </c>
      <c r="AG84" s="106">
        <v>0</v>
      </c>
      <c r="AH84" s="106">
        <v>0</v>
      </c>
      <c r="AI84" s="106">
        <v>0</v>
      </c>
      <c r="AJ84" s="106">
        <v>0</v>
      </c>
      <c r="AK84" s="106">
        <v>0</v>
      </c>
      <c r="AL84" s="106">
        <v>0</v>
      </c>
      <c r="AM84" s="106">
        <v>0</v>
      </c>
      <c r="AN84" s="106">
        <v>0</v>
      </c>
      <c r="AO84" s="106">
        <v>0</v>
      </c>
      <c r="AP84" s="106">
        <v>0</v>
      </c>
      <c r="AQ84" s="106">
        <v>0</v>
      </c>
      <c r="AR84" s="106">
        <v>0</v>
      </c>
      <c r="AS84" s="106">
        <v>0</v>
      </c>
      <c r="AT84" s="106">
        <v>0</v>
      </c>
      <c r="AU84" s="106">
        <v>0</v>
      </c>
      <c r="AV84" s="106">
        <v>0</v>
      </c>
      <c r="AW84" s="106">
        <v>0</v>
      </c>
      <c r="AX84" s="106">
        <v>0</v>
      </c>
      <c r="AY84" s="106">
        <v>0</v>
      </c>
      <c r="AZ84" s="106">
        <v>0</v>
      </c>
      <c r="BA84" s="106">
        <v>0</v>
      </c>
      <c r="BB84" s="106">
        <v>0</v>
      </c>
      <c r="BC84" s="106">
        <v>0</v>
      </c>
      <c r="BD84" s="106">
        <v>0</v>
      </c>
      <c r="BE84" s="106">
        <v>0</v>
      </c>
      <c r="BF84" s="106">
        <v>0</v>
      </c>
      <c r="BG84" s="106">
        <v>0</v>
      </c>
      <c r="BH84" s="106">
        <v>0</v>
      </c>
      <c r="BI84" s="106">
        <v>0</v>
      </c>
      <c r="BJ84" s="106">
        <v>0</v>
      </c>
      <c r="BK84" s="106">
        <v>0</v>
      </c>
      <c r="BL84" s="106">
        <v>0</v>
      </c>
      <c r="BM84" s="106">
        <v>0</v>
      </c>
      <c r="BN84" s="106">
        <v>0</v>
      </c>
      <c r="BO84" s="106">
        <v>0</v>
      </c>
      <c r="BP84" s="106">
        <v>0</v>
      </c>
      <c r="BQ84" s="106">
        <v>0</v>
      </c>
      <c r="BR84" s="106">
        <v>0</v>
      </c>
      <c r="BS84" s="106">
        <v>0</v>
      </c>
      <c r="BT84" s="106">
        <v>0</v>
      </c>
      <c r="BU84" s="106">
        <v>0</v>
      </c>
      <c r="BV84" s="106">
        <v>0</v>
      </c>
      <c r="BW84" s="106">
        <v>0</v>
      </c>
      <c r="BX84" s="106">
        <v>0</v>
      </c>
      <c r="BY84" s="106">
        <v>0</v>
      </c>
      <c r="BZ84" s="106">
        <v>0</v>
      </c>
      <c r="CA84" s="106">
        <v>0</v>
      </c>
      <c r="CB84" s="106">
        <v>0</v>
      </c>
      <c r="CC84" s="106">
        <v>0</v>
      </c>
      <c r="CD84" s="106">
        <v>0</v>
      </c>
      <c r="CE84" s="106">
        <v>0</v>
      </c>
      <c r="CF84" s="106">
        <v>0</v>
      </c>
      <c r="CG84" s="106">
        <v>0</v>
      </c>
      <c r="CH84" s="106">
        <v>0</v>
      </c>
      <c r="CI84" s="106">
        <v>0</v>
      </c>
      <c r="CJ84" s="106">
        <v>0</v>
      </c>
      <c r="CK84" s="106">
        <v>0</v>
      </c>
      <c r="CL84" s="106">
        <v>0</v>
      </c>
      <c r="CM84" s="106">
        <v>0</v>
      </c>
      <c r="CN84" s="106">
        <v>0</v>
      </c>
      <c r="CO84" s="106">
        <v>0</v>
      </c>
      <c r="CP84" s="106">
        <v>0</v>
      </c>
      <c r="CQ84" s="106">
        <v>0</v>
      </c>
      <c r="CR84" s="106">
        <v>0</v>
      </c>
      <c r="CS84" s="106">
        <v>0</v>
      </c>
      <c r="CT84" s="106">
        <v>0</v>
      </c>
      <c r="CU84" s="106">
        <v>0</v>
      </c>
    </row>
    <row r="85" spans="2:99" x14ac:dyDescent="0.2">
      <c r="C85" s="105" t="s">
        <v>251</v>
      </c>
      <c r="D85" s="106">
        <v>0</v>
      </c>
      <c r="E85" s="106">
        <v>0</v>
      </c>
      <c r="F85" s="106">
        <v>0</v>
      </c>
      <c r="G85" s="106">
        <v>0</v>
      </c>
      <c r="H85" s="106">
        <v>0</v>
      </c>
      <c r="I85" s="106">
        <v>0</v>
      </c>
      <c r="J85" s="106">
        <v>0</v>
      </c>
      <c r="K85" s="106">
        <v>0</v>
      </c>
      <c r="L85" s="106">
        <v>0</v>
      </c>
      <c r="M85" s="106">
        <v>0</v>
      </c>
      <c r="N85" s="106">
        <v>0</v>
      </c>
      <c r="O85" s="106">
        <v>0</v>
      </c>
      <c r="P85" s="106">
        <v>0</v>
      </c>
      <c r="Q85" s="106">
        <v>0</v>
      </c>
      <c r="R85" s="106">
        <v>0</v>
      </c>
      <c r="S85" s="106">
        <v>0</v>
      </c>
      <c r="T85" s="106">
        <v>0</v>
      </c>
      <c r="U85" s="106">
        <v>0</v>
      </c>
      <c r="V85" s="106">
        <v>0</v>
      </c>
      <c r="W85" s="106">
        <v>0</v>
      </c>
      <c r="X85" s="106">
        <v>0</v>
      </c>
      <c r="Y85" s="106">
        <v>0</v>
      </c>
      <c r="Z85" s="106">
        <v>0</v>
      </c>
      <c r="AA85" s="106">
        <v>0</v>
      </c>
      <c r="AB85" s="106">
        <v>0</v>
      </c>
      <c r="AC85" s="106">
        <v>0</v>
      </c>
      <c r="AD85" s="106">
        <v>0</v>
      </c>
      <c r="AE85" s="106">
        <v>0</v>
      </c>
      <c r="AF85" s="106">
        <v>0</v>
      </c>
      <c r="AG85" s="106">
        <v>0</v>
      </c>
      <c r="AH85" s="106">
        <v>0</v>
      </c>
      <c r="AI85" s="106">
        <v>0</v>
      </c>
      <c r="AJ85" s="106">
        <v>0</v>
      </c>
      <c r="AK85" s="106">
        <v>0</v>
      </c>
      <c r="AL85" s="106">
        <v>0</v>
      </c>
      <c r="AM85" s="106">
        <v>0</v>
      </c>
      <c r="AN85" s="106">
        <v>0</v>
      </c>
      <c r="AO85" s="106">
        <v>0</v>
      </c>
      <c r="AP85" s="106">
        <v>0</v>
      </c>
      <c r="AQ85" s="106">
        <v>0</v>
      </c>
      <c r="AR85" s="106">
        <v>0</v>
      </c>
      <c r="AS85" s="106">
        <v>0</v>
      </c>
      <c r="AT85" s="106">
        <v>0</v>
      </c>
      <c r="AU85" s="106">
        <v>0</v>
      </c>
      <c r="AV85" s="106">
        <v>0</v>
      </c>
      <c r="AW85" s="106">
        <v>0</v>
      </c>
      <c r="AX85" s="106">
        <v>0</v>
      </c>
      <c r="AY85" s="106">
        <v>0</v>
      </c>
      <c r="AZ85" s="106">
        <v>0</v>
      </c>
      <c r="BA85" s="106">
        <v>0</v>
      </c>
      <c r="BB85" s="106">
        <v>0</v>
      </c>
      <c r="BC85" s="106">
        <v>0</v>
      </c>
      <c r="BD85" s="106">
        <v>0</v>
      </c>
      <c r="BE85" s="106">
        <v>0</v>
      </c>
      <c r="BF85" s="106">
        <v>0</v>
      </c>
      <c r="BG85" s="106">
        <v>0</v>
      </c>
      <c r="BH85" s="106">
        <v>0</v>
      </c>
      <c r="BI85" s="106">
        <v>0</v>
      </c>
      <c r="BJ85" s="106">
        <v>0</v>
      </c>
      <c r="BK85" s="106">
        <v>0</v>
      </c>
      <c r="BL85" s="106">
        <v>0</v>
      </c>
      <c r="BM85" s="106">
        <v>0</v>
      </c>
      <c r="BN85" s="106">
        <v>0</v>
      </c>
      <c r="BO85" s="106">
        <v>0</v>
      </c>
      <c r="BP85" s="106">
        <v>0</v>
      </c>
      <c r="BQ85" s="106">
        <v>0</v>
      </c>
      <c r="BR85" s="106">
        <v>0</v>
      </c>
      <c r="BS85" s="106">
        <v>0</v>
      </c>
      <c r="BT85" s="106">
        <v>0</v>
      </c>
      <c r="BU85" s="106">
        <v>0</v>
      </c>
      <c r="BV85" s="106">
        <v>0</v>
      </c>
      <c r="BW85" s="106">
        <v>0</v>
      </c>
      <c r="BX85" s="106">
        <v>0</v>
      </c>
      <c r="BY85" s="106">
        <v>0</v>
      </c>
      <c r="BZ85" s="106">
        <v>0</v>
      </c>
      <c r="CA85" s="106">
        <v>0</v>
      </c>
      <c r="CB85" s="106">
        <v>0</v>
      </c>
      <c r="CC85" s="106">
        <v>0</v>
      </c>
      <c r="CD85" s="106">
        <v>0</v>
      </c>
      <c r="CE85" s="106">
        <v>0</v>
      </c>
      <c r="CF85" s="106">
        <v>0</v>
      </c>
      <c r="CG85" s="106">
        <v>0</v>
      </c>
      <c r="CH85" s="106">
        <v>0</v>
      </c>
      <c r="CI85" s="106">
        <v>0</v>
      </c>
      <c r="CJ85" s="106">
        <v>0</v>
      </c>
      <c r="CK85" s="106">
        <v>0</v>
      </c>
      <c r="CL85" s="106">
        <v>0</v>
      </c>
      <c r="CM85" s="106">
        <v>0</v>
      </c>
      <c r="CN85" s="106">
        <v>0</v>
      </c>
      <c r="CO85" s="106">
        <v>0</v>
      </c>
      <c r="CP85" s="106">
        <v>0</v>
      </c>
      <c r="CQ85" s="106">
        <v>0</v>
      </c>
      <c r="CR85" s="106">
        <v>0</v>
      </c>
      <c r="CS85" s="106">
        <v>0</v>
      </c>
      <c r="CT85" s="106">
        <v>0</v>
      </c>
      <c r="CU85" s="106">
        <v>0</v>
      </c>
    </row>
    <row r="86" spans="2:99" x14ac:dyDescent="0.2">
      <c r="C86" s="105" t="s">
        <v>252</v>
      </c>
      <c r="D86" s="106">
        <v>0</v>
      </c>
      <c r="E86" s="106">
        <v>0</v>
      </c>
      <c r="F86" s="106">
        <v>0</v>
      </c>
      <c r="G86" s="106">
        <v>0</v>
      </c>
      <c r="H86" s="106">
        <v>0</v>
      </c>
      <c r="I86" s="106">
        <v>0</v>
      </c>
      <c r="J86" s="106">
        <v>0</v>
      </c>
      <c r="K86" s="106">
        <v>0</v>
      </c>
      <c r="L86" s="106">
        <v>0</v>
      </c>
      <c r="M86" s="106">
        <v>0</v>
      </c>
      <c r="N86" s="106">
        <v>0</v>
      </c>
      <c r="O86" s="106">
        <v>0</v>
      </c>
      <c r="P86" s="106">
        <v>0</v>
      </c>
      <c r="Q86" s="106">
        <v>0</v>
      </c>
      <c r="R86" s="106">
        <v>0</v>
      </c>
      <c r="S86" s="106">
        <v>0</v>
      </c>
      <c r="T86" s="106">
        <v>0</v>
      </c>
      <c r="U86" s="106">
        <v>0</v>
      </c>
      <c r="V86" s="106">
        <v>0</v>
      </c>
      <c r="W86" s="106">
        <v>0</v>
      </c>
      <c r="X86" s="106">
        <v>0</v>
      </c>
      <c r="Y86" s="106">
        <v>0</v>
      </c>
      <c r="Z86" s="106">
        <v>0</v>
      </c>
      <c r="AA86" s="106">
        <v>0</v>
      </c>
      <c r="AB86" s="106">
        <v>0</v>
      </c>
      <c r="AC86" s="106">
        <v>0</v>
      </c>
      <c r="AD86" s="106">
        <v>0</v>
      </c>
      <c r="AE86" s="106">
        <v>0</v>
      </c>
      <c r="AF86" s="106">
        <v>0</v>
      </c>
      <c r="AG86" s="106">
        <v>0</v>
      </c>
      <c r="AH86" s="106">
        <v>0</v>
      </c>
      <c r="AI86" s="106">
        <v>0</v>
      </c>
      <c r="AJ86" s="106">
        <v>0</v>
      </c>
      <c r="AK86" s="106">
        <v>0</v>
      </c>
      <c r="AL86" s="106">
        <v>0</v>
      </c>
      <c r="AM86" s="106">
        <v>0</v>
      </c>
      <c r="AN86" s="106">
        <v>0</v>
      </c>
      <c r="AO86" s="106">
        <v>0</v>
      </c>
      <c r="AP86" s="106">
        <v>0</v>
      </c>
      <c r="AQ86" s="106">
        <v>0</v>
      </c>
      <c r="AR86" s="106">
        <v>0</v>
      </c>
      <c r="AS86" s="106">
        <v>0</v>
      </c>
      <c r="AT86" s="106">
        <v>0</v>
      </c>
      <c r="AU86" s="106">
        <v>0</v>
      </c>
      <c r="AV86" s="106">
        <v>0</v>
      </c>
      <c r="AW86" s="106">
        <v>0</v>
      </c>
      <c r="AX86" s="106">
        <v>0</v>
      </c>
      <c r="AY86" s="106">
        <v>0</v>
      </c>
      <c r="AZ86" s="106">
        <v>0</v>
      </c>
      <c r="BA86" s="106">
        <v>0</v>
      </c>
      <c r="BB86" s="106">
        <v>0</v>
      </c>
      <c r="BC86" s="106">
        <v>0</v>
      </c>
      <c r="BD86" s="106">
        <v>0</v>
      </c>
      <c r="BE86" s="106">
        <v>0</v>
      </c>
      <c r="BF86" s="106">
        <v>0</v>
      </c>
      <c r="BG86" s="106">
        <v>0</v>
      </c>
      <c r="BH86" s="106">
        <v>0</v>
      </c>
      <c r="BI86" s="106">
        <v>0</v>
      </c>
      <c r="BJ86" s="106">
        <v>0</v>
      </c>
      <c r="BK86" s="106">
        <v>0</v>
      </c>
      <c r="BL86" s="106">
        <v>0</v>
      </c>
      <c r="BM86" s="106">
        <v>0</v>
      </c>
      <c r="BN86" s="106">
        <v>0</v>
      </c>
      <c r="BO86" s="106">
        <v>0</v>
      </c>
      <c r="BP86" s="106">
        <v>0</v>
      </c>
      <c r="BQ86" s="106">
        <v>0</v>
      </c>
      <c r="BR86" s="106">
        <v>0</v>
      </c>
      <c r="BS86" s="106">
        <v>0</v>
      </c>
      <c r="BT86" s="106">
        <v>0</v>
      </c>
      <c r="BU86" s="106">
        <v>0</v>
      </c>
      <c r="BV86" s="106">
        <v>0</v>
      </c>
      <c r="BW86" s="106">
        <v>0</v>
      </c>
      <c r="BX86" s="106">
        <v>0</v>
      </c>
      <c r="BY86" s="106">
        <v>0</v>
      </c>
      <c r="BZ86" s="106">
        <v>0</v>
      </c>
      <c r="CA86" s="106">
        <v>0</v>
      </c>
      <c r="CB86" s="106">
        <v>0</v>
      </c>
      <c r="CC86" s="106">
        <v>0</v>
      </c>
      <c r="CD86" s="106">
        <v>0</v>
      </c>
      <c r="CE86" s="106">
        <v>0</v>
      </c>
      <c r="CF86" s="106">
        <v>0</v>
      </c>
      <c r="CG86" s="106">
        <v>0</v>
      </c>
      <c r="CH86" s="106">
        <v>0</v>
      </c>
      <c r="CI86" s="106">
        <v>0</v>
      </c>
      <c r="CJ86" s="106">
        <v>0</v>
      </c>
      <c r="CK86" s="106">
        <v>0</v>
      </c>
      <c r="CL86" s="106">
        <v>0</v>
      </c>
      <c r="CM86" s="106">
        <v>0</v>
      </c>
      <c r="CN86" s="106">
        <v>0</v>
      </c>
      <c r="CO86" s="106">
        <v>0</v>
      </c>
      <c r="CP86" s="106">
        <v>0</v>
      </c>
      <c r="CQ86" s="106">
        <v>0</v>
      </c>
      <c r="CR86" s="106">
        <v>0</v>
      </c>
      <c r="CS86" s="106">
        <v>0</v>
      </c>
      <c r="CT86" s="106">
        <v>0</v>
      </c>
      <c r="CU86" s="106">
        <v>0</v>
      </c>
    </row>
    <row r="87" spans="2:99" x14ac:dyDescent="0.2">
      <c r="B87" s="105" t="s">
        <v>131</v>
      </c>
      <c r="C87" s="105" t="s">
        <v>253</v>
      </c>
      <c r="D87" s="106">
        <v>0</v>
      </c>
      <c r="E87" s="106">
        <v>0</v>
      </c>
      <c r="F87" s="106">
        <v>0</v>
      </c>
      <c r="G87" s="106">
        <v>0</v>
      </c>
      <c r="H87" s="106">
        <v>0</v>
      </c>
      <c r="I87" s="106">
        <v>0</v>
      </c>
      <c r="J87" s="106">
        <v>0</v>
      </c>
      <c r="K87" s="106">
        <v>0</v>
      </c>
      <c r="L87" s="106">
        <v>0</v>
      </c>
      <c r="M87" s="106">
        <v>0</v>
      </c>
      <c r="N87" s="106">
        <v>0</v>
      </c>
      <c r="O87" s="106">
        <v>0</v>
      </c>
      <c r="P87" s="106">
        <v>0</v>
      </c>
      <c r="Q87" s="106">
        <v>0</v>
      </c>
      <c r="R87" s="106">
        <v>0</v>
      </c>
      <c r="S87" s="106">
        <v>0</v>
      </c>
      <c r="T87" s="106">
        <v>0</v>
      </c>
      <c r="U87" s="106">
        <v>0</v>
      </c>
      <c r="V87" s="106">
        <v>0</v>
      </c>
      <c r="W87" s="106">
        <v>0</v>
      </c>
      <c r="X87" s="106">
        <v>0</v>
      </c>
      <c r="Y87" s="106">
        <v>0</v>
      </c>
      <c r="Z87" s="106">
        <v>0</v>
      </c>
      <c r="AA87" s="106">
        <v>0</v>
      </c>
      <c r="AB87" s="106">
        <v>0</v>
      </c>
      <c r="AC87" s="106">
        <v>0</v>
      </c>
      <c r="AD87" s="106">
        <v>0</v>
      </c>
      <c r="AE87" s="106">
        <v>0</v>
      </c>
      <c r="AF87" s="106">
        <v>0</v>
      </c>
      <c r="AG87" s="106">
        <v>0</v>
      </c>
      <c r="AH87" s="106">
        <v>0</v>
      </c>
      <c r="AI87" s="106">
        <v>0</v>
      </c>
      <c r="AJ87" s="106">
        <v>0</v>
      </c>
      <c r="AK87" s="106">
        <v>0</v>
      </c>
      <c r="AL87" s="106">
        <v>0</v>
      </c>
      <c r="AM87" s="106">
        <v>0</v>
      </c>
      <c r="AN87" s="106">
        <v>0</v>
      </c>
      <c r="AO87" s="106">
        <v>0</v>
      </c>
      <c r="AP87" s="106">
        <v>0</v>
      </c>
      <c r="AQ87" s="106">
        <v>0</v>
      </c>
      <c r="AR87" s="106">
        <v>0</v>
      </c>
      <c r="AS87" s="106">
        <v>0</v>
      </c>
      <c r="AT87" s="106">
        <v>0</v>
      </c>
      <c r="AU87" s="106">
        <v>0</v>
      </c>
      <c r="AV87" s="106">
        <v>0</v>
      </c>
      <c r="AW87" s="106">
        <v>0</v>
      </c>
      <c r="AX87" s="106">
        <v>0</v>
      </c>
      <c r="AY87" s="106">
        <v>0</v>
      </c>
      <c r="AZ87" s="106">
        <v>0</v>
      </c>
      <c r="BA87" s="106">
        <v>0</v>
      </c>
      <c r="BB87" s="106">
        <v>0</v>
      </c>
      <c r="BC87" s="106">
        <v>0</v>
      </c>
      <c r="BD87" s="106">
        <v>0</v>
      </c>
      <c r="BE87" s="106">
        <v>0</v>
      </c>
      <c r="BF87" s="106">
        <v>0</v>
      </c>
      <c r="BG87" s="106">
        <v>0</v>
      </c>
      <c r="BH87" s="106">
        <v>0</v>
      </c>
      <c r="BI87" s="106">
        <v>0</v>
      </c>
      <c r="BJ87" s="106">
        <v>0</v>
      </c>
      <c r="BK87" s="106">
        <v>0</v>
      </c>
      <c r="BL87" s="106">
        <v>0</v>
      </c>
      <c r="BM87" s="106">
        <v>0</v>
      </c>
      <c r="BN87" s="106">
        <v>0</v>
      </c>
      <c r="BO87" s="106">
        <v>0</v>
      </c>
      <c r="BP87" s="106">
        <v>0</v>
      </c>
      <c r="BQ87" s="106">
        <v>0</v>
      </c>
      <c r="BR87" s="106">
        <v>0</v>
      </c>
      <c r="BS87" s="106">
        <v>0</v>
      </c>
      <c r="BT87" s="106">
        <v>0</v>
      </c>
      <c r="BU87" s="106">
        <v>0</v>
      </c>
      <c r="BV87" s="106">
        <v>0</v>
      </c>
      <c r="BW87" s="106">
        <v>0</v>
      </c>
      <c r="BX87" s="106">
        <v>0</v>
      </c>
      <c r="BY87" s="106">
        <v>0</v>
      </c>
      <c r="BZ87" s="106">
        <v>0</v>
      </c>
      <c r="CA87" s="106">
        <v>0</v>
      </c>
      <c r="CB87" s="106">
        <v>0</v>
      </c>
      <c r="CC87" s="106">
        <v>0</v>
      </c>
      <c r="CD87" s="106">
        <v>0</v>
      </c>
      <c r="CE87" s="106">
        <v>0</v>
      </c>
      <c r="CF87" s="106">
        <v>0</v>
      </c>
      <c r="CG87" s="106">
        <v>0</v>
      </c>
      <c r="CH87" s="106">
        <v>0</v>
      </c>
      <c r="CI87" s="106">
        <v>0</v>
      </c>
      <c r="CJ87" s="106">
        <v>0</v>
      </c>
      <c r="CK87" s="106">
        <v>0</v>
      </c>
      <c r="CL87" s="106">
        <v>0</v>
      </c>
      <c r="CM87" s="106">
        <v>0</v>
      </c>
      <c r="CN87" s="106">
        <v>0</v>
      </c>
      <c r="CO87" s="106">
        <v>0</v>
      </c>
      <c r="CP87" s="106">
        <v>0</v>
      </c>
      <c r="CQ87" s="106">
        <v>0</v>
      </c>
      <c r="CR87" s="106">
        <v>0</v>
      </c>
      <c r="CS87" s="106">
        <v>0</v>
      </c>
      <c r="CT87" s="106">
        <v>0</v>
      </c>
      <c r="CU87" s="106">
        <v>0</v>
      </c>
    </row>
    <row r="88" spans="2:99" x14ac:dyDescent="0.2">
      <c r="C88" s="105" t="s">
        <v>254</v>
      </c>
      <c r="D88" s="106">
        <v>0</v>
      </c>
      <c r="E88" s="106">
        <v>0</v>
      </c>
      <c r="F88" s="106">
        <v>0</v>
      </c>
      <c r="G88" s="106">
        <v>0</v>
      </c>
      <c r="H88" s="106">
        <v>0</v>
      </c>
      <c r="I88" s="106">
        <v>0</v>
      </c>
      <c r="J88" s="106">
        <v>0</v>
      </c>
      <c r="K88" s="106">
        <v>0</v>
      </c>
      <c r="L88" s="106">
        <v>0</v>
      </c>
      <c r="M88" s="106">
        <v>0</v>
      </c>
      <c r="N88" s="106">
        <v>0</v>
      </c>
      <c r="O88" s="106">
        <v>0</v>
      </c>
      <c r="P88" s="106">
        <v>0</v>
      </c>
      <c r="Q88" s="106">
        <v>0</v>
      </c>
      <c r="R88" s="106">
        <v>0</v>
      </c>
      <c r="S88" s="106">
        <v>0</v>
      </c>
      <c r="T88" s="106">
        <v>0</v>
      </c>
      <c r="U88" s="106">
        <v>0</v>
      </c>
      <c r="V88" s="106">
        <v>0</v>
      </c>
      <c r="W88" s="106">
        <v>0</v>
      </c>
      <c r="X88" s="106">
        <v>0</v>
      </c>
      <c r="Y88" s="106">
        <v>0</v>
      </c>
      <c r="Z88" s="106">
        <v>0</v>
      </c>
      <c r="AA88" s="106">
        <v>0</v>
      </c>
      <c r="AB88" s="106">
        <v>0</v>
      </c>
      <c r="AC88" s="106">
        <v>0</v>
      </c>
      <c r="AD88" s="106">
        <v>0</v>
      </c>
      <c r="AE88" s="106">
        <v>0</v>
      </c>
      <c r="AF88" s="106">
        <v>0</v>
      </c>
      <c r="AG88" s="106">
        <v>0</v>
      </c>
      <c r="AH88" s="106">
        <v>0</v>
      </c>
      <c r="AI88" s="106">
        <v>0</v>
      </c>
      <c r="AJ88" s="106">
        <v>0</v>
      </c>
      <c r="AK88" s="106">
        <v>0</v>
      </c>
      <c r="AL88" s="106">
        <v>0</v>
      </c>
      <c r="AM88" s="106">
        <v>0</v>
      </c>
      <c r="AN88" s="106">
        <v>0</v>
      </c>
      <c r="AO88" s="106">
        <v>0</v>
      </c>
      <c r="AP88" s="106">
        <v>0</v>
      </c>
      <c r="AQ88" s="106">
        <v>0</v>
      </c>
      <c r="AR88" s="106">
        <v>0</v>
      </c>
      <c r="AS88" s="106">
        <v>0</v>
      </c>
      <c r="AT88" s="106">
        <v>0</v>
      </c>
      <c r="AU88" s="106">
        <v>0</v>
      </c>
      <c r="AV88" s="106">
        <v>0</v>
      </c>
      <c r="AW88" s="106">
        <v>0</v>
      </c>
      <c r="AX88" s="106">
        <v>0</v>
      </c>
      <c r="AY88" s="106">
        <v>0</v>
      </c>
      <c r="AZ88" s="106">
        <v>0</v>
      </c>
      <c r="BA88" s="106">
        <v>0</v>
      </c>
      <c r="BB88" s="106">
        <v>0</v>
      </c>
      <c r="BC88" s="106">
        <v>0</v>
      </c>
      <c r="BD88" s="106">
        <v>0</v>
      </c>
      <c r="BE88" s="106">
        <v>0</v>
      </c>
      <c r="BF88" s="106">
        <v>0</v>
      </c>
      <c r="BG88" s="106">
        <v>0</v>
      </c>
      <c r="BH88" s="106">
        <v>0</v>
      </c>
      <c r="BI88" s="106">
        <v>0</v>
      </c>
      <c r="BJ88" s="106">
        <v>0</v>
      </c>
      <c r="BK88" s="106">
        <v>0</v>
      </c>
      <c r="BL88" s="106">
        <v>0</v>
      </c>
      <c r="BM88" s="106">
        <v>0</v>
      </c>
      <c r="BN88" s="106">
        <v>0</v>
      </c>
      <c r="BO88" s="106">
        <v>0</v>
      </c>
      <c r="BP88" s="106">
        <v>0</v>
      </c>
      <c r="BQ88" s="106">
        <v>0</v>
      </c>
      <c r="BR88" s="106">
        <v>0</v>
      </c>
      <c r="BS88" s="106">
        <v>0</v>
      </c>
      <c r="BT88" s="106">
        <v>0</v>
      </c>
      <c r="BU88" s="106">
        <v>0</v>
      </c>
      <c r="BV88" s="106">
        <v>0</v>
      </c>
      <c r="BW88" s="106">
        <v>0</v>
      </c>
      <c r="BX88" s="106">
        <v>0</v>
      </c>
      <c r="BY88" s="106">
        <v>0</v>
      </c>
      <c r="BZ88" s="106">
        <v>0</v>
      </c>
      <c r="CA88" s="106">
        <v>0</v>
      </c>
      <c r="CB88" s="106">
        <v>0</v>
      </c>
      <c r="CC88" s="106">
        <v>0</v>
      </c>
      <c r="CD88" s="106">
        <v>0</v>
      </c>
      <c r="CE88" s="106">
        <v>0</v>
      </c>
      <c r="CF88" s="106">
        <v>0</v>
      </c>
      <c r="CG88" s="106">
        <v>0</v>
      </c>
      <c r="CH88" s="106">
        <v>0</v>
      </c>
      <c r="CI88" s="106">
        <v>0</v>
      </c>
      <c r="CJ88" s="106">
        <v>0</v>
      </c>
      <c r="CK88" s="106">
        <v>0</v>
      </c>
      <c r="CL88" s="106">
        <v>0</v>
      </c>
      <c r="CM88" s="106">
        <v>0</v>
      </c>
      <c r="CN88" s="106">
        <v>0</v>
      </c>
      <c r="CO88" s="106">
        <v>0</v>
      </c>
      <c r="CP88" s="106">
        <v>0</v>
      </c>
      <c r="CQ88" s="106">
        <v>0</v>
      </c>
      <c r="CR88" s="106">
        <v>0</v>
      </c>
      <c r="CS88" s="106">
        <v>0</v>
      </c>
      <c r="CT88" s="106">
        <v>0</v>
      </c>
      <c r="CU88" s="106">
        <v>0</v>
      </c>
    </row>
    <row r="89" spans="2:99" x14ac:dyDescent="0.2">
      <c r="C89" s="105" t="s">
        <v>255</v>
      </c>
      <c r="D89" s="106">
        <v>0</v>
      </c>
      <c r="E89" s="106">
        <v>0</v>
      </c>
      <c r="F89" s="106">
        <v>0</v>
      </c>
      <c r="G89" s="106">
        <v>0</v>
      </c>
      <c r="H89" s="106">
        <v>0</v>
      </c>
      <c r="I89" s="106">
        <v>0</v>
      </c>
      <c r="J89" s="106">
        <v>0</v>
      </c>
      <c r="K89" s="106">
        <v>0</v>
      </c>
      <c r="L89" s="106">
        <v>0</v>
      </c>
      <c r="M89" s="106">
        <v>0</v>
      </c>
      <c r="N89" s="106">
        <v>0</v>
      </c>
      <c r="O89" s="106">
        <v>0</v>
      </c>
      <c r="P89" s="106">
        <v>0</v>
      </c>
      <c r="Q89" s="106">
        <v>0</v>
      </c>
      <c r="R89" s="106">
        <v>0</v>
      </c>
      <c r="S89" s="106">
        <v>0</v>
      </c>
      <c r="T89" s="106">
        <v>0</v>
      </c>
      <c r="U89" s="106">
        <v>0</v>
      </c>
      <c r="V89" s="106">
        <v>0</v>
      </c>
      <c r="W89" s="106">
        <v>0</v>
      </c>
      <c r="X89" s="106">
        <v>0</v>
      </c>
      <c r="Y89" s="106">
        <v>0</v>
      </c>
      <c r="Z89" s="106">
        <v>0</v>
      </c>
      <c r="AA89" s="106">
        <v>0</v>
      </c>
      <c r="AB89" s="106">
        <v>0</v>
      </c>
      <c r="AC89" s="106">
        <v>0</v>
      </c>
      <c r="AD89" s="106">
        <v>0</v>
      </c>
      <c r="AE89" s="106">
        <v>0</v>
      </c>
      <c r="AF89" s="106">
        <v>0</v>
      </c>
      <c r="AG89" s="106">
        <v>0</v>
      </c>
      <c r="AH89" s="106">
        <v>0</v>
      </c>
      <c r="AI89" s="106">
        <v>0</v>
      </c>
      <c r="AJ89" s="106">
        <v>0</v>
      </c>
      <c r="AK89" s="106">
        <v>0</v>
      </c>
      <c r="AL89" s="106">
        <v>0</v>
      </c>
      <c r="AM89" s="106">
        <v>0</v>
      </c>
      <c r="AN89" s="106">
        <v>0</v>
      </c>
      <c r="AO89" s="106">
        <v>0</v>
      </c>
      <c r="AP89" s="106">
        <v>0</v>
      </c>
      <c r="AQ89" s="106">
        <v>0</v>
      </c>
      <c r="AR89" s="106">
        <v>0</v>
      </c>
      <c r="AS89" s="106">
        <v>0</v>
      </c>
      <c r="AT89" s="106">
        <v>0</v>
      </c>
      <c r="AU89" s="106">
        <v>0</v>
      </c>
      <c r="AV89" s="106">
        <v>0</v>
      </c>
      <c r="AW89" s="106">
        <v>0</v>
      </c>
      <c r="AX89" s="106">
        <v>0</v>
      </c>
      <c r="AY89" s="106">
        <v>0</v>
      </c>
      <c r="AZ89" s="106">
        <v>0</v>
      </c>
      <c r="BA89" s="106">
        <v>0</v>
      </c>
      <c r="BB89" s="106">
        <v>0</v>
      </c>
      <c r="BC89" s="106">
        <v>0</v>
      </c>
      <c r="BD89" s="106">
        <v>0</v>
      </c>
      <c r="BE89" s="106">
        <v>0</v>
      </c>
      <c r="BF89" s="106">
        <v>0</v>
      </c>
      <c r="BG89" s="106">
        <v>0</v>
      </c>
      <c r="BH89" s="106">
        <v>0</v>
      </c>
      <c r="BI89" s="106">
        <v>0</v>
      </c>
      <c r="BJ89" s="106">
        <v>0</v>
      </c>
      <c r="BK89" s="106">
        <v>0</v>
      </c>
      <c r="BL89" s="106">
        <v>0</v>
      </c>
      <c r="BM89" s="106">
        <v>0</v>
      </c>
      <c r="BN89" s="106">
        <v>0</v>
      </c>
      <c r="BO89" s="106">
        <v>0</v>
      </c>
      <c r="BP89" s="106">
        <v>0</v>
      </c>
      <c r="BQ89" s="106">
        <v>0</v>
      </c>
      <c r="BR89" s="106">
        <v>0</v>
      </c>
      <c r="BS89" s="106">
        <v>0</v>
      </c>
      <c r="BT89" s="106">
        <v>0</v>
      </c>
      <c r="BU89" s="106">
        <v>0</v>
      </c>
      <c r="BV89" s="106">
        <v>0</v>
      </c>
      <c r="BW89" s="106">
        <v>0</v>
      </c>
      <c r="BX89" s="106">
        <v>0</v>
      </c>
      <c r="BY89" s="106">
        <v>0</v>
      </c>
      <c r="BZ89" s="106">
        <v>0</v>
      </c>
      <c r="CA89" s="106">
        <v>0</v>
      </c>
      <c r="CB89" s="106">
        <v>0</v>
      </c>
      <c r="CC89" s="106">
        <v>0</v>
      </c>
      <c r="CD89" s="106">
        <v>0</v>
      </c>
      <c r="CE89" s="106">
        <v>0</v>
      </c>
      <c r="CF89" s="106">
        <v>0</v>
      </c>
      <c r="CG89" s="106">
        <v>0</v>
      </c>
      <c r="CH89" s="106">
        <v>0</v>
      </c>
      <c r="CI89" s="106">
        <v>0</v>
      </c>
      <c r="CJ89" s="106">
        <v>0</v>
      </c>
      <c r="CK89" s="106">
        <v>0</v>
      </c>
      <c r="CL89" s="106">
        <v>0</v>
      </c>
      <c r="CM89" s="106">
        <v>0</v>
      </c>
      <c r="CN89" s="106">
        <v>0</v>
      </c>
      <c r="CO89" s="106">
        <v>0</v>
      </c>
      <c r="CP89" s="106">
        <v>0</v>
      </c>
      <c r="CQ89" s="106">
        <v>0</v>
      </c>
      <c r="CR89" s="106">
        <v>0</v>
      </c>
      <c r="CS89" s="106">
        <v>0</v>
      </c>
      <c r="CT89" s="106">
        <v>0</v>
      </c>
      <c r="CU89" s="106">
        <v>0</v>
      </c>
    </row>
    <row r="90" spans="2:99" x14ac:dyDescent="0.2">
      <c r="C90" s="105" t="s">
        <v>256</v>
      </c>
      <c r="D90" s="106">
        <v>0</v>
      </c>
      <c r="E90" s="106">
        <v>0</v>
      </c>
      <c r="F90" s="106">
        <v>0</v>
      </c>
      <c r="G90" s="106">
        <v>0</v>
      </c>
      <c r="H90" s="106">
        <v>0</v>
      </c>
      <c r="I90" s="106">
        <v>0</v>
      </c>
      <c r="J90" s="106">
        <v>0</v>
      </c>
      <c r="K90" s="106">
        <v>0</v>
      </c>
      <c r="L90" s="106">
        <v>0</v>
      </c>
      <c r="M90" s="106">
        <v>0</v>
      </c>
      <c r="N90" s="106">
        <v>0</v>
      </c>
      <c r="O90" s="106">
        <v>0</v>
      </c>
      <c r="P90" s="106">
        <v>0</v>
      </c>
      <c r="Q90" s="106">
        <v>0</v>
      </c>
      <c r="R90" s="106">
        <v>0</v>
      </c>
      <c r="S90" s="106">
        <v>0</v>
      </c>
      <c r="T90" s="106">
        <v>0</v>
      </c>
      <c r="U90" s="106">
        <v>0</v>
      </c>
      <c r="V90" s="106">
        <v>0</v>
      </c>
      <c r="W90" s="106">
        <v>0</v>
      </c>
      <c r="X90" s="106">
        <v>0</v>
      </c>
      <c r="Y90" s="106">
        <v>0</v>
      </c>
      <c r="Z90" s="106">
        <v>0</v>
      </c>
      <c r="AA90" s="106">
        <v>0</v>
      </c>
      <c r="AB90" s="106">
        <v>0</v>
      </c>
      <c r="AC90" s="106">
        <v>0</v>
      </c>
      <c r="AD90" s="106">
        <v>0</v>
      </c>
      <c r="AE90" s="106">
        <v>0</v>
      </c>
      <c r="AF90" s="106">
        <v>0</v>
      </c>
      <c r="AG90" s="106">
        <v>0</v>
      </c>
      <c r="AH90" s="106">
        <v>0</v>
      </c>
      <c r="AI90" s="106">
        <v>0</v>
      </c>
      <c r="AJ90" s="106">
        <v>0</v>
      </c>
      <c r="AK90" s="106">
        <v>0</v>
      </c>
      <c r="AL90" s="106">
        <v>0</v>
      </c>
      <c r="AM90" s="106">
        <v>0</v>
      </c>
      <c r="AN90" s="106">
        <v>0</v>
      </c>
      <c r="AO90" s="106">
        <v>0</v>
      </c>
      <c r="AP90" s="106">
        <v>0</v>
      </c>
      <c r="AQ90" s="106">
        <v>0</v>
      </c>
      <c r="AR90" s="106">
        <v>0</v>
      </c>
      <c r="AS90" s="106">
        <v>0</v>
      </c>
      <c r="AT90" s="106">
        <v>0</v>
      </c>
      <c r="AU90" s="106">
        <v>0</v>
      </c>
      <c r="AV90" s="106">
        <v>0</v>
      </c>
      <c r="AW90" s="106">
        <v>0</v>
      </c>
      <c r="AX90" s="106">
        <v>0</v>
      </c>
      <c r="AY90" s="106">
        <v>0</v>
      </c>
      <c r="AZ90" s="106">
        <v>0</v>
      </c>
      <c r="BA90" s="106">
        <v>0</v>
      </c>
      <c r="BB90" s="106">
        <v>0</v>
      </c>
      <c r="BC90" s="106">
        <v>0</v>
      </c>
      <c r="BD90" s="106">
        <v>0</v>
      </c>
      <c r="BE90" s="106">
        <v>0</v>
      </c>
      <c r="BF90" s="106">
        <v>0</v>
      </c>
      <c r="BG90" s="106">
        <v>0</v>
      </c>
      <c r="BH90" s="106">
        <v>0</v>
      </c>
      <c r="BI90" s="106">
        <v>0</v>
      </c>
      <c r="BJ90" s="106">
        <v>0</v>
      </c>
      <c r="BK90" s="106">
        <v>0</v>
      </c>
      <c r="BL90" s="106">
        <v>0</v>
      </c>
      <c r="BM90" s="106">
        <v>0</v>
      </c>
      <c r="BN90" s="106">
        <v>0</v>
      </c>
      <c r="BO90" s="106">
        <v>0</v>
      </c>
      <c r="BP90" s="106">
        <v>0</v>
      </c>
      <c r="BQ90" s="106">
        <v>0</v>
      </c>
      <c r="BR90" s="106">
        <v>0</v>
      </c>
      <c r="BS90" s="106">
        <v>0</v>
      </c>
      <c r="BT90" s="106">
        <v>0</v>
      </c>
      <c r="BU90" s="106">
        <v>0</v>
      </c>
      <c r="BV90" s="106">
        <v>0</v>
      </c>
      <c r="BW90" s="106">
        <v>0</v>
      </c>
      <c r="BX90" s="106">
        <v>0</v>
      </c>
      <c r="BY90" s="106">
        <v>0</v>
      </c>
      <c r="BZ90" s="106">
        <v>0</v>
      </c>
      <c r="CA90" s="106">
        <v>0</v>
      </c>
      <c r="CB90" s="106">
        <v>0</v>
      </c>
      <c r="CC90" s="106">
        <v>0</v>
      </c>
      <c r="CD90" s="106">
        <v>0</v>
      </c>
      <c r="CE90" s="106">
        <v>0</v>
      </c>
      <c r="CF90" s="106">
        <v>0</v>
      </c>
      <c r="CG90" s="106">
        <v>0</v>
      </c>
      <c r="CH90" s="106">
        <v>0</v>
      </c>
      <c r="CI90" s="106">
        <v>0</v>
      </c>
      <c r="CJ90" s="106">
        <v>0</v>
      </c>
      <c r="CK90" s="106">
        <v>0</v>
      </c>
      <c r="CL90" s="106">
        <v>0</v>
      </c>
      <c r="CM90" s="106">
        <v>0</v>
      </c>
      <c r="CN90" s="106">
        <v>0</v>
      </c>
      <c r="CO90" s="106">
        <v>0</v>
      </c>
      <c r="CP90" s="106">
        <v>0</v>
      </c>
      <c r="CQ90" s="106">
        <v>0</v>
      </c>
      <c r="CR90" s="106">
        <v>0</v>
      </c>
      <c r="CS90" s="106">
        <v>0</v>
      </c>
      <c r="CT90" s="106">
        <v>0</v>
      </c>
      <c r="CU90" s="106">
        <v>0</v>
      </c>
    </row>
    <row r="91" spans="2:99" x14ac:dyDescent="0.2">
      <c r="C91" s="105" t="s">
        <v>257</v>
      </c>
      <c r="D91" s="106">
        <v>0</v>
      </c>
      <c r="E91" s="106">
        <v>0</v>
      </c>
      <c r="F91" s="106">
        <v>0</v>
      </c>
      <c r="G91" s="106">
        <v>0</v>
      </c>
      <c r="H91" s="106">
        <v>0</v>
      </c>
      <c r="I91" s="106">
        <v>0</v>
      </c>
      <c r="J91" s="106">
        <v>0</v>
      </c>
      <c r="K91" s="106">
        <v>0</v>
      </c>
      <c r="L91" s="106">
        <v>0</v>
      </c>
      <c r="M91" s="106">
        <v>0</v>
      </c>
      <c r="N91" s="106">
        <v>0</v>
      </c>
      <c r="O91" s="106">
        <v>0</v>
      </c>
      <c r="P91" s="106">
        <v>0</v>
      </c>
      <c r="Q91" s="106">
        <v>0</v>
      </c>
      <c r="R91" s="106">
        <v>0</v>
      </c>
      <c r="S91" s="106">
        <v>0</v>
      </c>
      <c r="T91" s="106">
        <v>0</v>
      </c>
      <c r="U91" s="106">
        <v>0</v>
      </c>
      <c r="V91" s="106">
        <v>0</v>
      </c>
      <c r="W91" s="106">
        <v>0</v>
      </c>
      <c r="X91" s="106">
        <v>0</v>
      </c>
      <c r="Y91" s="106">
        <v>0</v>
      </c>
      <c r="Z91" s="106">
        <v>0</v>
      </c>
      <c r="AA91" s="106">
        <v>0</v>
      </c>
      <c r="AB91" s="106">
        <v>0</v>
      </c>
      <c r="AC91" s="106">
        <v>0</v>
      </c>
      <c r="AD91" s="106">
        <v>0</v>
      </c>
      <c r="AE91" s="106">
        <v>0</v>
      </c>
      <c r="AF91" s="106">
        <v>0</v>
      </c>
      <c r="AG91" s="106">
        <v>0</v>
      </c>
      <c r="AH91" s="106">
        <v>0</v>
      </c>
      <c r="AI91" s="106">
        <v>0</v>
      </c>
      <c r="AJ91" s="106">
        <v>0</v>
      </c>
      <c r="AK91" s="106">
        <v>0</v>
      </c>
      <c r="AL91" s="106">
        <v>0</v>
      </c>
      <c r="AM91" s="106">
        <v>0</v>
      </c>
      <c r="AN91" s="106">
        <v>0</v>
      </c>
      <c r="AO91" s="106">
        <v>0</v>
      </c>
      <c r="AP91" s="106">
        <v>0</v>
      </c>
      <c r="AQ91" s="106">
        <v>0</v>
      </c>
      <c r="AR91" s="106">
        <v>0</v>
      </c>
      <c r="AS91" s="106">
        <v>0</v>
      </c>
      <c r="AT91" s="106">
        <v>0</v>
      </c>
      <c r="AU91" s="106">
        <v>0</v>
      </c>
      <c r="AV91" s="106">
        <v>0</v>
      </c>
      <c r="AW91" s="106">
        <v>0</v>
      </c>
      <c r="AX91" s="106">
        <v>0</v>
      </c>
      <c r="AY91" s="106">
        <v>0</v>
      </c>
      <c r="AZ91" s="106">
        <v>0</v>
      </c>
      <c r="BA91" s="106">
        <v>0</v>
      </c>
      <c r="BB91" s="106">
        <v>0</v>
      </c>
      <c r="BC91" s="106">
        <v>0</v>
      </c>
      <c r="BD91" s="106">
        <v>0</v>
      </c>
      <c r="BE91" s="106">
        <v>0</v>
      </c>
      <c r="BF91" s="106">
        <v>0</v>
      </c>
      <c r="BG91" s="106">
        <v>0</v>
      </c>
      <c r="BH91" s="106">
        <v>0</v>
      </c>
      <c r="BI91" s="106">
        <v>0</v>
      </c>
      <c r="BJ91" s="106">
        <v>0</v>
      </c>
      <c r="BK91" s="106">
        <v>0</v>
      </c>
      <c r="BL91" s="106">
        <v>0</v>
      </c>
      <c r="BM91" s="106">
        <v>0</v>
      </c>
      <c r="BN91" s="106">
        <v>0</v>
      </c>
      <c r="BO91" s="106">
        <v>0</v>
      </c>
      <c r="BP91" s="106">
        <v>0</v>
      </c>
      <c r="BQ91" s="106">
        <v>0</v>
      </c>
      <c r="BR91" s="106">
        <v>0</v>
      </c>
      <c r="BS91" s="106">
        <v>0</v>
      </c>
      <c r="BT91" s="106">
        <v>0</v>
      </c>
      <c r="BU91" s="106">
        <v>0</v>
      </c>
      <c r="BV91" s="106">
        <v>0</v>
      </c>
      <c r="BW91" s="106">
        <v>0</v>
      </c>
      <c r="BX91" s="106">
        <v>0</v>
      </c>
      <c r="BY91" s="106">
        <v>0</v>
      </c>
      <c r="BZ91" s="106">
        <v>0</v>
      </c>
      <c r="CA91" s="106">
        <v>0</v>
      </c>
      <c r="CB91" s="106">
        <v>0</v>
      </c>
      <c r="CC91" s="106">
        <v>0</v>
      </c>
      <c r="CD91" s="106">
        <v>0</v>
      </c>
      <c r="CE91" s="106">
        <v>0</v>
      </c>
      <c r="CF91" s="106">
        <v>0</v>
      </c>
      <c r="CG91" s="106">
        <v>0</v>
      </c>
      <c r="CH91" s="106">
        <v>0</v>
      </c>
      <c r="CI91" s="106">
        <v>0</v>
      </c>
      <c r="CJ91" s="106">
        <v>0</v>
      </c>
      <c r="CK91" s="106">
        <v>0</v>
      </c>
      <c r="CL91" s="106">
        <v>0</v>
      </c>
      <c r="CM91" s="106">
        <v>0</v>
      </c>
      <c r="CN91" s="106">
        <v>0</v>
      </c>
      <c r="CO91" s="106">
        <v>0</v>
      </c>
      <c r="CP91" s="106">
        <v>0</v>
      </c>
      <c r="CQ91" s="106">
        <v>0</v>
      </c>
      <c r="CR91" s="106">
        <v>0</v>
      </c>
      <c r="CS91" s="106">
        <v>0</v>
      </c>
      <c r="CT91" s="106">
        <v>0</v>
      </c>
      <c r="CU91" s="106">
        <v>0</v>
      </c>
    </row>
    <row r="92" spans="2:99" x14ac:dyDescent="0.2">
      <c r="C92" s="105" t="s">
        <v>258</v>
      </c>
      <c r="D92" s="106">
        <v>0</v>
      </c>
      <c r="E92" s="106">
        <v>0</v>
      </c>
      <c r="F92" s="106">
        <v>0</v>
      </c>
      <c r="G92" s="106">
        <v>0</v>
      </c>
      <c r="H92" s="106">
        <v>0</v>
      </c>
      <c r="I92" s="106">
        <v>0</v>
      </c>
      <c r="J92" s="106">
        <v>0</v>
      </c>
      <c r="K92" s="106">
        <v>0</v>
      </c>
      <c r="L92" s="106">
        <v>0</v>
      </c>
      <c r="M92" s="106">
        <v>0</v>
      </c>
      <c r="N92" s="106">
        <v>0</v>
      </c>
      <c r="O92" s="106">
        <v>0</v>
      </c>
      <c r="P92" s="106">
        <v>0</v>
      </c>
      <c r="Q92" s="106">
        <v>0</v>
      </c>
      <c r="R92" s="106">
        <v>0</v>
      </c>
      <c r="S92" s="106">
        <v>0</v>
      </c>
      <c r="T92" s="106">
        <v>0</v>
      </c>
      <c r="U92" s="106">
        <v>0</v>
      </c>
      <c r="V92" s="106">
        <v>0</v>
      </c>
      <c r="W92" s="106">
        <v>0</v>
      </c>
      <c r="X92" s="106">
        <v>0</v>
      </c>
      <c r="Y92" s="106">
        <v>0</v>
      </c>
      <c r="Z92" s="106">
        <v>0</v>
      </c>
      <c r="AA92" s="106">
        <v>0</v>
      </c>
      <c r="AB92" s="106">
        <v>0</v>
      </c>
      <c r="AC92" s="106">
        <v>0</v>
      </c>
      <c r="AD92" s="106">
        <v>0</v>
      </c>
      <c r="AE92" s="106">
        <v>0</v>
      </c>
      <c r="AF92" s="106">
        <v>0</v>
      </c>
      <c r="AG92" s="106">
        <v>0</v>
      </c>
      <c r="AH92" s="106">
        <v>0</v>
      </c>
      <c r="AI92" s="106">
        <v>0</v>
      </c>
      <c r="AJ92" s="106">
        <v>0</v>
      </c>
      <c r="AK92" s="106">
        <v>0</v>
      </c>
      <c r="AL92" s="106">
        <v>0</v>
      </c>
      <c r="AM92" s="106">
        <v>0</v>
      </c>
      <c r="AN92" s="106">
        <v>0</v>
      </c>
      <c r="AO92" s="106">
        <v>0</v>
      </c>
      <c r="AP92" s="106">
        <v>0</v>
      </c>
      <c r="AQ92" s="106">
        <v>0</v>
      </c>
      <c r="AR92" s="106">
        <v>0</v>
      </c>
      <c r="AS92" s="106">
        <v>0</v>
      </c>
      <c r="AT92" s="106">
        <v>0</v>
      </c>
      <c r="AU92" s="106">
        <v>0</v>
      </c>
      <c r="AV92" s="106">
        <v>0</v>
      </c>
      <c r="AW92" s="106">
        <v>0</v>
      </c>
      <c r="AX92" s="106">
        <v>0</v>
      </c>
      <c r="AY92" s="106">
        <v>0</v>
      </c>
      <c r="AZ92" s="106">
        <v>0</v>
      </c>
      <c r="BA92" s="106">
        <v>0</v>
      </c>
      <c r="BB92" s="106">
        <v>0</v>
      </c>
      <c r="BC92" s="106">
        <v>0</v>
      </c>
      <c r="BD92" s="106">
        <v>0</v>
      </c>
      <c r="BE92" s="106">
        <v>0</v>
      </c>
      <c r="BF92" s="106">
        <v>0</v>
      </c>
      <c r="BG92" s="106">
        <v>0</v>
      </c>
      <c r="BH92" s="106">
        <v>0</v>
      </c>
      <c r="BI92" s="106">
        <v>0</v>
      </c>
      <c r="BJ92" s="106">
        <v>0</v>
      </c>
      <c r="BK92" s="106">
        <v>0</v>
      </c>
      <c r="BL92" s="106">
        <v>0</v>
      </c>
      <c r="BM92" s="106">
        <v>0</v>
      </c>
      <c r="BN92" s="106">
        <v>0</v>
      </c>
      <c r="BO92" s="106">
        <v>0</v>
      </c>
      <c r="BP92" s="106">
        <v>0</v>
      </c>
      <c r="BQ92" s="106">
        <v>0</v>
      </c>
      <c r="BR92" s="106">
        <v>0</v>
      </c>
      <c r="BS92" s="106">
        <v>0</v>
      </c>
      <c r="BT92" s="106">
        <v>0</v>
      </c>
      <c r="BU92" s="106">
        <v>0</v>
      </c>
      <c r="BV92" s="106">
        <v>0</v>
      </c>
      <c r="BW92" s="106">
        <v>0</v>
      </c>
      <c r="BX92" s="106">
        <v>0</v>
      </c>
      <c r="BY92" s="106">
        <v>0</v>
      </c>
      <c r="BZ92" s="106">
        <v>0</v>
      </c>
      <c r="CA92" s="106">
        <v>0</v>
      </c>
      <c r="CB92" s="106">
        <v>0</v>
      </c>
      <c r="CC92" s="106">
        <v>0</v>
      </c>
      <c r="CD92" s="106">
        <v>0</v>
      </c>
      <c r="CE92" s="106">
        <v>0</v>
      </c>
      <c r="CF92" s="106">
        <v>0</v>
      </c>
      <c r="CG92" s="106">
        <v>0</v>
      </c>
      <c r="CH92" s="106">
        <v>0</v>
      </c>
      <c r="CI92" s="106">
        <v>0</v>
      </c>
      <c r="CJ92" s="106">
        <v>0</v>
      </c>
      <c r="CK92" s="106">
        <v>0</v>
      </c>
      <c r="CL92" s="106">
        <v>0</v>
      </c>
      <c r="CM92" s="106">
        <v>0</v>
      </c>
      <c r="CN92" s="106">
        <v>0</v>
      </c>
      <c r="CO92" s="106">
        <v>0</v>
      </c>
      <c r="CP92" s="106">
        <v>0</v>
      </c>
      <c r="CQ92" s="106">
        <v>0</v>
      </c>
      <c r="CR92" s="106">
        <v>0</v>
      </c>
      <c r="CS92" s="106">
        <v>0</v>
      </c>
      <c r="CT92" s="106">
        <v>0</v>
      </c>
      <c r="CU92" s="106">
        <v>0</v>
      </c>
    </row>
    <row r="93" spans="2:99" x14ac:dyDescent="0.2">
      <c r="C93" s="105" t="s">
        <v>259</v>
      </c>
      <c r="D93" s="106">
        <v>0</v>
      </c>
      <c r="E93" s="106">
        <v>0</v>
      </c>
      <c r="F93" s="106">
        <v>0</v>
      </c>
      <c r="G93" s="106">
        <v>0</v>
      </c>
      <c r="H93" s="106">
        <v>0</v>
      </c>
      <c r="I93" s="106">
        <v>0</v>
      </c>
      <c r="J93" s="106">
        <v>0</v>
      </c>
      <c r="K93" s="106">
        <v>0</v>
      </c>
      <c r="L93" s="106">
        <v>0</v>
      </c>
      <c r="M93" s="106">
        <v>0</v>
      </c>
      <c r="N93" s="106">
        <v>0</v>
      </c>
      <c r="O93" s="106">
        <v>0</v>
      </c>
      <c r="P93" s="106">
        <v>0</v>
      </c>
      <c r="Q93" s="106">
        <v>0</v>
      </c>
      <c r="R93" s="106">
        <v>0</v>
      </c>
      <c r="S93" s="106">
        <v>0</v>
      </c>
      <c r="T93" s="106">
        <v>0</v>
      </c>
      <c r="U93" s="106">
        <v>0</v>
      </c>
      <c r="V93" s="106">
        <v>0</v>
      </c>
      <c r="W93" s="106">
        <v>0</v>
      </c>
      <c r="X93" s="106">
        <v>0</v>
      </c>
      <c r="Y93" s="106">
        <v>0</v>
      </c>
      <c r="Z93" s="106">
        <v>0</v>
      </c>
      <c r="AA93" s="106">
        <v>0</v>
      </c>
      <c r="AB93" s="106">
        <v>0</v>
      </c>
      <c r="AC93" s="106">
        <v>0</v>
      </c>
      <c r="AD93" s="106">
        <v>0</v>
      </c>
      <c r="AE93" s="106">
        <v>0</v>
      </c>
      <c r="AF93" s="106">
        <v>0</v>
      </c>
      <c r="AG93" s="106">
        <v>0</v>
      </c>
      <c r="AH93" s="106">
        <v>0</v>
      </c>
      <c r="AI93" s="106">
        <v>0</v>
      </c>
      <c r="AJ93" s="106">
        <v>0</v>
      </c>
      <c r="AK93" s="106">
        <v>0</v>
      </c>
      <c r="AL93" s="106">
        <v>0</v>
      </c>
      <c r="AM93" s="106">
        <v>0</v>
      </c>
      <c r="AN93" s="106">
        <v>0</v>
      </c>
      <c r="AO93" s="106">
        <v>0</v>
      </c>
      <c r="AP93" s="106">
        <v>0</v>
      </c>
      <c r="AQ93" s="106">
        <v>0</v>
      </c>
      <c r="AR93" s="106">
        <v>0</v>
      </c>
      <c r="AS93" s="106">
        <v>0</v>
      </c>
      <c r="AT93" s="106">
        <v>0</v>
      </c>
      <c r="AU93" s="106">
        <v>0</v>
      </c>
      <c r="AV93" s="106">
        <v>0</v>
      </c>
      <c r="AW93" s="106">
        <v>0</v>
      </c>
      <c r="AX93" s="106">
        <v>0</v>
      </c>
      <c r="AY93" s="106">
        <v>0</v>
      </c>
      <c r="AZ93" s="106">
        <v>0</v>
      </c>
      <c r="BA93" s="106">
        <v>0</v>
      </c>
      <c r="BB93" s="106">
        <v>0</v>
      </c>
      <c r="BC93" s="106">
        <v>0</v>
      </c>
      <c r="BD93" s="106">
        <v>0</v>
      </c>
      <c r="BE93" s="106">
        <v>0</v>
      </c>
      <c r="BF93" s="106">
        <v>0</v>
      </c>
      <c r="BG93" s="106">
        <v>0</v>
      </c>
      <c r="BH93" s="106">
        <v>0</v>
      </c>
      <c r="BI93" s="106">
        <v>0</v>
      </c>
      <c r="BJ93" s="106">
        <v>0</v>
      </c>
      <c r="BK93" s="106">
        <v>0</v>
      </c>
      <c r="BL93" s="106">
        <v>0</v>
      </c>
      <c r="BM93" s="106">
        <v>0</v>
      </c>
      <c r="BN93" s="106">
        <v>0</v>
      </c>
      <c r="BO93" s="106">
        <v>0</v>
      </c>
      <c r="BP93" s="106">
        <v>0</v>
      </c>
      <c r="BQ93" s="106">
        <v>0</v>
      </c>
      <c r="BR93" s="106">
        <v>0</v>
      </c>
      <c r="BS93" s="106">
        <v>0</v>
      </c>
      <c r="BT93" s="106">
        <v>0</v>
      </c>
      <c r="BU93" s="106">
        <v>0</v>
      </c>
      <c r="BV93" s="106">
        <v>0</v>
      </c>
      <c r="BW93" s="106">
        <v>0</v>
      </c>
      <c r="BX93" s="106">
        <v>0</v>
      </c>
      <c r="BY93" s="106">
        <v>0</v>
      </c>
      <c r="BZ93" s="106">
        <v>0</v>
      </c>
      <c r="CA93" s="106">
        <v>0</v>
      </c>
      <c r="CB93" s="106">
        <v>0</v>
      </c>
      <c r="CC93" s="106">
        <v>0</v>
      </c>
      <c r="CD93" s="106">
        <v>0</v>
      </c>
      <c r="CE93" s="106">
        <v>0</v>
      </c>
      <c r="CF93" s="106">
        <v>0</v>
      </c>
      <c r="CG93" s="106">
        <v>0</v>
      </c>
      <c r="CH93" s="106">
        <v>0</v>
      </c>
      <c r="CI93" s="106">
        <v>0</v>
      </c>
      <c r="CJ93" s="106">
        <v>0</v>
      </c>
      <c r="CK93" s="106">
        <v>0</v>
      </c>
      <c r="CL93" s="106">
        <v>0</v>
      </c>
      <c r="CM93" s="106">
        <v>0</v>
      </c>
      <c r="CN93" s="106">
        <v>0</v>
      </c>
      <c r="CO93" s="106">
        <v>0</v>
      </c>
      <c r="CP93" s="106">
        <v>0</v>
      </c>
      <c r="CQ93" s="106">
        <v>0</v>
      </c>
      <c r="CR93" s="106">
        <v>0</v>
      </c>
      <c r="CS93" s="106">
        <v>0</v>
      </c>
      <c r="CT93" s="106">
        <v>0</v>
      </c>
      <c r="CU93" s="106">
        <v>0</v>
      </c>
    </row>
    <row r="94" spans="2:99" x14ac:dyDescent="0.2">
      <c r="C94" s="105" t="s">
        <v>260</v>
      </c>
      <c r="D94" s="106">
        <v>0</v>
      </c>
      <c r="E94" s="106">
        <v>0</v>
      </c>
      <c r="F94" s="106">
        <v>0</v>
      </c>
      <c r="G94" s="106">
        <v>0</v>
      </c>
      <c r="H94" s="106">
        <v>0</v>
      </c>
      <c r="I94" s="106">
        <v>0</v>
      </c>
      <c r="J94" s="106">
        <v>0</v>
      </c>
      <c r="K94" s="106">
        <v>0</v>
      </c>
      <c r="L94" s="106">
        <v>0</v>
      </c>
      <c r="M94" s="106">
        <v>0</v>
      </c>
      <c r="N94" s="106">
        <v>0</v>
      </c>
      <c r="O94" s="106">
        <v>0</v>
      </c>
      <c r="P94" s="106">
        <v>0</v>
      </c>
      <c r="Q94" s="106">
        <v>0</v>
      </c>
      <c r="R94" s="106">
        <v>0</v>
      </c>
      <c r="S94" s="106">
        <v>0</v>
      </c>
      <c r="T94" s="106">
        <v>0</v>
      </c>
      <c r="U94" s="106">
        <v>0</v>
      </c>
      <c r="V94" s="106">
        <v>0</v>
      </c>
      <c r="W94" s="106">
        <v>0</v>
      </c>
      <c r="X94" s="106">
        <v>0</v>
      </c>
      <c r="Y94" s="106">
        <v>0</v>
      </c>
      <c r="Z94" s="106">
        <v>0</v>
      </c>
      <c r="AA94" s="106">
        <v>0</v>
      </c>
      <c r="AB94" s="106">
        <v>0</v>
      </c>
      <c r="AC94" s="106">
        <v>0</v>
      </c>
      <c r="AD94" s="106">
        <v>0</v>
      </c>
      <c r="AE94" s="106">
        <v>0</v>
      </c>
      <c r="AF94" s="106">
        <v>0</v>
      </c>
      <c r="AG94" s="106">
        <v>0</v>
      </c>
      <c r="AH94" s="106">
        <v>0</v>
      </c>
      <c r="AI94" s="106">
        <v>0</v>
      </c>
      <c r="AJ94" s="106">
        <v>0</v>
      </c>
      <c r="AK94" s="106">
        <v>0</v>
      </c>
      <c r="AL94" s="106">
        <v>0</v>
      </c>
      <c r="AM94" s="106">
        <v>0</v>
      </c>
      <c r="AN94" s="106">
        <v>0</v>
      </c>
      <c r="AO94" s="106">
        <v>0</v>
      </c>
      <c r="AP94" s="106">
        <v>0</v>
      </c>
      <c r="AQ94" s="106">
        <v>0</v>
      </c>
      <c r="AR94" s="106">
        <v>0</v>
      </c>
      <c r="AS94" s="106">
        <v>0</v>
      </c>
      <c r="AT94" s="106">
        <v>0</v>
      </c>
      <c r="AU94" s="106">
        <v>0</v>
      </c>
      <c r="AV94" s="106">
        <v>0</v>
      </c>
      <c r="AW94" s="106">
        <v>0</v>
      </c>
      <c r="AX94" s="106">
        <v>0</v>
      </c>
      <c r="AY94" s="106">
        <v>0</v>
      </c>
      <c r="AZ94" s="106">
        <v>0</v>
      </c>
      <c r="BA94" s="106">
        <v>0</v>
      </c>
      <c r="BB94" s="106">
        <v>0</v>
      </c>
      <c r="BC94" s="106">
        <v>0</v>
      </c>
      <c r="BD94" s="106">
        <v>0</v>
      </c>
      <c r="BE94" s="106">
        <v>0</v>
      </c>
      <c r="BF94" s="106">
        <v>0</v>
      </c>
      <c r="BG94" s="106">
        <v>0</v>
      </c>
      <c r="BH94" s="106">
        <v>0</v>
      </c>
      <c r="BI94" s="106">
        <v>0</v>
      </c>
      <c r="BJ94" s="106">
        <v>0</v>
      </c>
      <c r="BK94" s="106">
        <v>0</v>
      </c>
      <c r="BL94" s="106">
        <v>0</v>
      </c>
      <c r="BM94" s="106">
        <v>0</v>
      </c>
      <c r="BN94" s="106">
        <v>0</v>
      </c>
      <c r="BO94" s="106">
        <v>0</v>
      </c>
      <c r="BP94" s="106">
        <v>0</v>
      </c>
      <c r="BQ94" s="106">
        <v>0</v>
      </c>
      <c r="BR94" s="106">
        <v>0</v>
      </c>
      <c r="BS94" s="106">
        <v>0</v>
      </c>
      <c r="BT94" s="106">
        <v>0</v>
      </c>
      <c r="BU94" s="106">
        <v>0</v>
      </c>
      <c r="BV94" s="106">
        <v>0</v>
      </c>
      <c r="BW94" s="106">
        <v>0</v>
      </c>
      <c r="BX94" s="106">
        <v>0</v>
      </c>
      <c r="BY94" s="106">
        <v>0</v>
      </c>
      <c r="BZ94" s="106">
        <v>0</v>
      </c>
      <c r="CA94" s="106">
        <v>0</v>
      </c>
      <c r="CB94" s="106">
        <v>0</v>
      </c>
      <c r="CC94" s="106">
        <v>0</v>
      </c>
      <c r="CD94" s="106">
        <v>0</v>
      </c>
      <c r="CE94" s="106">
        <v>0</v>
      </c>
      <c r="CF94" s="106">
        <v>0</v>
      </c>
      <c r="CG94" s="106">
        <v>0</v>
      </c>
      <c r="CH94" s="106">
        <v>0</v>
      </c>
      <c r="CI94" s="106">
        <v>0</v>
      </c>
      <c r="CJ94" s="106">
        <v>0</v>
      </c>
      <c r="CK94" s="106">
        <v>0</v>
      </c>
      <c r="CL94" s="106">
        <v>0</v>
      </c>
      <c r="CM94" s="106">
        <v>0</v>
      </c>
      <c r="CN94" s="106">
        <v>0</v>
      </c>
      <c r="CO94" s="106">
        <v>0</v>
      </c>
      <c r="CP94" s="106">
        <v>0</v>
      </c>
      <c r="CQ94" s="106">
        <v>0</v>
      </c>
      <c r="CR94" s="106">
        <v>0</v>
      </c>
      <c r="CS94" s="106">
        <v>0</v>
      </c>
      <c r="CT94" s="106">
        <v>0</v>
      </c>
      <c r="CU94" s="106">
        <v>0</v>
      </c>
    </row>
    <row r="95" spans="2:99" x14ac:dyDescent="0.2">
      <c r="B95" s="105" t="s">
        <v>132</v>
      </c>
      <c r="C95" s="105" t="s">
        <v>261</v>
      </c>
      <c r="D95" s="106">
        <v>0</v>
      </c>
      <c r="E95" s="106">
        <v>0</v>
      </c>
      <c r="F95" s="106">
        <v>0</v>
      </c>
      <c r="G95" s="106">
        <v>0</v>
      </c>
      <c r="H95" s="106">
        <v>0</v>
      </c>
      <c r="I95" s="106">
        <v>0</v>
      </c>
      <c r="J95" s="106">
        <v>0</v>
      </c>
      <c r="K95" s="106">
        <v>0</v>
      </c>
      <c r="L95" s="106">
        <v>0</v>
      </c>
      <c r="M95" s="106">
        <v>0</v>
      </c>
      <c r="N95" s="106">
        <v>0</v>
      </c>
      <c r="O95" s="106">
        <v>0</v>
      </c>
      <c r="P95" s="106">
        <v>0</v>
      </c>
      <c r="Q95" s="106">
        <v>0</v>
      </c>
      <c r="R95" s="106">
        <v>0</v>
      </c>
      <c r="S95" s="106">
        <v>0</v>
      </c>
      <c r="T95" s="106">
        <v>0</v>
      </c>
      <c r="U95" s="106">
        <v>0</v>
      </c>
      <c r="V95" s="106">
        <v>0</v>
      </c>
      <c r="W95" s="106">
        <v>0</v>
      </c>
      <c r="X95" s="106">
        <v>0</v>
      </c>
      <c r="Y95" s="106">
        <v>0</v>
      </c>
      <c r="Z95" s="106">
        <v>0</v>
      </c>
      <c r="AA95" s="106">
        <v>0</v>
      </c>
      <c r="AB95" s="106">
        <v>0</v>
      </c>
      <c r="AC95" s="106">
        <v>0</v>
      </c>
      <c r="AD95" s="106">
        <v>0</v>
      </c>
      <c r="AE95" s="106">
        <v>0</v>
      </c>
      <c r="AF95" s="106">
        <v>0</v>
      </c>
      <c r="AG95" s="106">
        <v>0</v>
      </c>
      <c r="AH95" s="106">
        <v>0</v>
      </c>
      <c r="AI95" s="106">
        <v>0</v>
      </c>
      <c r="AJ95" s="106">
        <v>0</v>
      </c>
      <c r="AK95" s="106">
        <v>0</v>
      </c>
      <c r="AL95" s="106">
        <v>0</v>
      </c>
      <c r="AM95" s="106">
        <v>0</v>
      </c>
      <c r="AN95" s="106">
        <v>0</v>
      </c>
      <c r="AO95" s="106">
        <v>0</v>
      </c>
      <c r="AP95" s="106">
        <v>0</v>
      </c>
      <c r="AQ95" s="106">
        <v>0</v>
      </c>
      <c r="AR95" s="106">
        <v>0</v>
      </c>
      <c r="AS95" s="106">
        <v>0</v>
      </c>
      <c r="AT95" s="106">
        <v>0</v>
      </c>
      <c r="AU95" s="106">
        <v>0</v>
      </c>
      <c r="AV95" s="106">
        <v>0</v>
      </c>
      <c r="AW95" s="106">
        <v>0</v>
      </c>
      <c r="AX95" s="106">
        <v>0</v>
      </c>
      <c r="AY95" s="106">
        <v>0</v>
      </c>
      <c r="AZ95" s="106">
        <v>0</v>
      </c>
      <c r="BA95" s="106">
        <v>0</v>
      </c>
      <c r="BB95" s="106">
        <v>0</v>
      </c>
      <c r="BC95" s="106">
        <v>0</v>
      </c>
      <c r="BD95" s="106">
        <v>0</v>
      </c>
      <c r="BE95" s="106">
        <v>0</v>
      </c>
      <c r="BF95" s="106">
        <v>0</v>
      </c>
      <c r="BG95" s="106">
        <v>0</v>
      </c>
      <c r="BH95" s="106">
        <v>0</v>
      </c>
      <c r="BI95" s="106">
        <v>0</v>
      </c>
      <c r="BJ95" s="106">
        <v>0</v>
      </c>
      <c r="BK95" s="106">
        <v>0</v>
      </c>
      <c r="BL95" s="106">
        <v>0</v>
      </c>
      <c r="BM95" s="106">
        <v>0</v>
      </c>
      <c r="BN95" s="106">
        <v>0</v>
      </c>
      <c r="BO95" s="106">
        <v>0</v>
      </c>
      <c r="BP95" s="106">
        <v>0</v>
      </c>
      <c r="BQ95" s="106">
        <v>0</v>
      </c>
      <c r="BR95" s="106">
        <v>0</v>
      </c>
      <c r="BS95" s="106">
        <v>0</v>
      </c>
      <c r="BT95" s="106">
        <v>0</v>
      </c>
      <c r="BU95" s="106">
        <v>0</v>
      </c>
      <c r="BV95" s="106">
        <v>0</v>
      </c>
      <c r="BW95" s="106">
        <v>0</v>
      </c>
      <c r="BX95" s="106">
        <v>0</v>
      </c>
      <c r="BY95" s="106">
        <v>0</v>
      </c>
      <c r="BZ95" s="106">
        <v>0</v>
      </c>
      <c r="CA95" s="106">
        <v>0</v>
      </c>
      <c r="CB95" s="106">
        <v>0</v>
      </c>
      <c r="CC95" s="106">
        <v>0</v>
      </c>
      <c r="CD95" s="106">
        <v>0</v>
      </c>
      <c r="CE95" s="106">
        <v>0</v>
      </c>
      <c r="CF95" s="106">
        <v>0</v>
      </c>
      <c r="CG95" s="106">
        <v>0</v>
      </c>
      <c r="CH95" s="106">
        <v>0</v>
      </c>
      <c r="CI95" s="106">
        <v>0</v>
      </c>
      <c r="CJ95" s="106">
        <v>0</v>
      </c>
      <c r="CK95" s="106">
        <v>0</v>
      </c>
      <c r="CL95" s="106">
        <v>0</v>
      </c>
      <c r="CM95" s="106">
        <v>0</v>
      </c>
      <c r="CN95" s="106">
        <v>0</v>
      </c>
      <c r="CO95" s="106">
        <v>0</v>
      </c>
      <c r="CP95" s="106">
        <v>0</v>
      </c>
      <c r="CQ95" s="106">
        <v>0</v>
      </c>
      <c r="CR95" s="106">
        <v>0</v>
      </c>
      <c r="CS95" s="106">
        <v>0</v>
      </c>
      <c r="CT95" s="106">
        <v>0</v>
      </c>
      <c r="CU95" s="106">
        <v>0</v>
      </c>
    </row>
    <row r="96" spans="2:99" x14ac:dyDescent="0.2">
      <c r="C96" s="105" t="s">
        <v>262</v>
      </c>
      <c r="D96" s="106">
        <v>0</v>
      </c>
      <c r="E96" s="106">
        <v>0</v>
      </c>
      <c r="F96" s="106">
        <v>0</v>
      </c>
      <c r="G96" s="106">
        <v>0</v>
      </c>
      <c r="H96" s="106">
        <v>0</v>
      </c>
      <c r="I96" s="106">
        <v>0</v>
      </c>
      <c r="J96" s="106">
        <v>0</v>
      </c>
      <c r="K96" s="106">
        <v>0</v>
      </c>
      <c r="L96" s="106">
        <v>0</v>
      </c>
      <c r="M96" s="106">
        <v>0</v>
      </c>
      <c r="N96" s="106">
        <v>0</v>
      </c>
      <c r="O96" s="106">
        <v>0</v>
      </c>
      <c r="P96" s="106">
        <v>0</v>
      </c>
      <c r="Q96" s="106">
        <v>0</v>
      </c>
      <c r="R96" s="106">
        <v>0</v>
      </c>
      <c r="S96" s="106">
        <v>0</v>
      </c>
      <c r="T96" s="106">
        <v>0</v>
      </c>
      <c r="U96" s="106">
        <v>0</v>
      </c>
      <c r="V96" s="106">
        <v>0</v>
      </c>
      <c r="W96" s="106">
        <v>0</v>
      </c>
      <c r="X96" s="106">
        <v>0</v>
      </c>
      <c r="Y96" s="106">
        <v>0</v>
      </c>
      <c r="Z96" s="106">
        <v>0</v>
      </c>
      <c r="AA96" s="106">
        <v>0</v>
      </c>
      <c r="AB96" s="106">
        <v>0</v>
      </c>
      <c r="AC96" s="106">
        <v>0</v>
      </c>
      <c r="AD96" s="106">
        <v>0</v>
      </c>
      <c r="AE96" s="106">
        <v>0</v>
      </c>
      <c r="AF96" s="106">
        <v>0</v>
      </c>
      <c r="AG96" s="106">
        <v>0</v>
      </c>
      <c r="AH96" s="106">
        <v>0</v>
      </c>
      <c r="AI96" s="106">
        <v>0</v>
      </c>
      <c r="AJ96" s="106">
        <v>0</v>
      </c>
      <c r="AK96" s="106">
        <v>0</v>
      </c>
      <c r="AL96" s="106">
        <v>0</v>
      </c>
      <c r="AM96" s="106">
        <v>0</v>
      </c>
      <c r="AN96" s="106">
        <v>0</v>
      </c>
      <c r="AO96" s="106">
        <v>0</v>
      </c>
      <c r="AP96" s="106">
        <v>0</v>
      </c>
      <c r="AQ96" s="106">
        <v>0</v>
      </c>
      <c r="AR96" s="106">
        <v>0</v>
      </c>
      <c r="AS96" s="106">
        <v>0</v>
      </c>
      <c r="AT96" s="106">
        <v>0</v>
      </c>
      <c r="AU96" s="106">
        <v>0</v>
      </c>
      <c r="AV96" s="106">
        <v>0</v>
      </c>
      <c r="AW96" s="106">
        <v>0</v>
      </c>
      <c r="AX96" s="106">
        <v>0</v>
      </c>
      <c r="AY96" s="106">
        <v>0</v>
      </c>
      <c r="AZ96" s="106">
        <v>0</v>
      </c>
      <c r="BA96" s="106">
        <v>0</v>
      </c>
      <c r="BB96" s="106">
        <v>0</v>
      </c>
      <c r="BC96" s="106">
        <v>0</v>
      </c>
      <c r="BD96" s="106">
        <v>0</v>
      </c>
      <c r="BE96" s="106">
        <v>0</v>
      </c>
      <c r="BF96" s="106">
        <v>0</v>
      </c>
      <c r="BG96" s="106">
        <v>0</v>
      </c>
      <c r="BH96" s="106">
        <v>0</v>
      </c>
      <c r="BI96" s="106">
        <v>0</v>
      </c>
      <c r="BJ96" s="106">
        <v>0</v>
      </c>
      <c r="BK96" s="106">
        <v>0</v>
      </c>
      <c r="BL96" s="106">
        <v>0</v>
      </c>
      <c r="BM96" s="106">
        <v>0</v>
      </c>
      <c r="BN96" s="106">
        <v>0</v>
      </c>
      <c r="BO96" s="106">
        <v>0</v>
      </c>
      <c r="BP96" s="106">
        <v>0</v>
      </c>
      <c r="BQ96" s="106">
        <v>0</v>
      </c>
      <c r="BR96" s="106">
        <v>0</v>
      </c>
      <c r="BS96" s="106">
        <v>0</v>
      </c>
      <c r="BT96" s="106">
        <v>0</v>
      </c>
      <c r="BU96" s="106">
        <v>0</v>
      </c>
      <c r="BV96" s="106">
        <v>0</v>
      </c>
      <c r="BW96" s="106">
        <v>0</v>
      </c>
      <c r="BX96" s="106">
        <v>0</v>
      </c>
      <c r="BY96" s="106">
        <v>0</v>
      </c>
      <c r="BZ96" s="106">
        <v>0</v>
      </c>
      <c r="CA96" s="106">
        <v>0</v>
      </c>
      <c r="CB96" s="106">
        <v>0</v>
      </c>
      <c r="CC96" s="106">
        <v>0</v>
      </c>
      <c r="CD96" s="106">
        <v>0</v>
      </c>
      <c r="CE96" s="106">
        <v>0</v>
      </c>
      <c r="CF96" s="106">
        <v>0</v>
      </c>
      <c r="CG96" s="106">
        <v>0</v>
      </c>
      <c r="CH96" s="106">
        <v>0</v>
      </c>
      <c r="CI96" s="106">
        <v>0</v>
      </c>
      <c r="CJ96" s="106">
        <v>0</v>
      </c>
      <c r="CK96" s="106">
        <v>0</v>
      </c>
      <c r="CL96" s="106">
        <v>0</v>
      </c>
      <c r="CM96" s="106">
        <v>0</v>
      </c>
      <c r="CN96" s="106">
        <v>0</v>
      </c>
      <c r="CO96" s="106">
        <v>0</v>
      </c>
      <c r="CP96" s="106">
        <v>0</v>
      </c>
      <c r="CQ96" s="106">
        <v>0</v>
      </c>
      <c r="CR96" s="106">
        <v>0</v>
      </c>
      <c r="CS96" s="106">
        <v>0</v>
      </c>
      <c r="CT96" s="106">
        <v>0</v>
      </c>
      <c r="CU96" s="106">
        <v>0</v>
      </c>
    </row>
    <row r="97" spans="2:99" x14ac:dyDescent="0.2">
      <c r="C97" s="105" t="s">
        <v>263</v>
      </c>
      <c r="D97" s="106">
        <v>0</v>
      </c>
      <c r="E97" s="106">
        <v>0</v>
      </c>
      <c r="F97" s="106">
        <v>0</v>
      </c>
      <c r="G97" s="106">
        <v>0</v>
      </c>
      <c r="H97" s="106">
        <v>0</v>
      </c>
      <c r="I97" s="106">
        <v>0</v>
      </c>
      <c r="J97" s="106">
        <v>0</v>
      </c>
      <c r="K97" s="106">
        <v>0</v>
      </c>
      <c r="L97" s="106">
        <v>0</v>
      </c>
      <c r="M97" s="106">
        <v>0</v>
      </c>
      <c r="N97" s="106">
        <v>0</v>
      </c>
      <c r="O97" s="106">
        <v>0</v>
      </c>
      <c r="P97" s="106">
        <v>0</v>
      </c>
      <c r="Q97" s="106">
        <v>0</v>
      </c>
      <c r="R97" s="106">
        <v>0</v>
      </c>
      <c r="S97" s="106">
        <v>0</v>
      </c>
      <c r="T97" s="106">
        <v>0</v>
      </c>
      <c r="U97" s="106">
        <v>0</v>
      </c>
      <c r="V97" s="106">
        <v>0</v>
      </c>
      <c r="W97" s="106">
        <v>0</v>
      </c>
      <c r="X97" s="106">
        <v>0</v>
      </c>
      <c r="Y97" s="106">
        <v>0</v>
      </c>
      <c r="Z97" s="106">
        <v>0</v>
      </c>
      <c r="AA97" s="106">
        <v>0</v>
      </c>
      <c r="AB97" s="106">
        <v>0</v>
      </c>
      <c r="AC97" s="106">
        <v>0</v>
      </c>
      <c r="AD97" s="106">
        <v>0</v>
      </c>
      <c r="AE97" s="106">
        <v>0</v>
      </c>
      <c r="AF97" s="106">
        <v>0</v>
      </c>
      <c r="AG97" s="106">
        <v>0</v>
      </c>
      <c r="AH97" s="106">
        <v>0</v>
      </c>
      <c r="AI97" s="106">
        <v>0</v>
      </c>
      <c r="AJ97" s="106">
        <v>0</v>
      </c>
      <c r="AK97" s="106">
        <v>0</v>
      </c>
      <c r="AL97" s="106">
        <v>0</v>
      </c>
      <c r="AM97" s="106">
        <v>0</v>
      </c>
      <c r="AN97" s="106">
        <v>0</v>
      </c>
      <c r="AO97" s="106">
        <v>0</v>
      </c>
      <c r="AP97" s="106">
        <v>0</v>
      </c>
      <c r="AQ97" s="106">
        <v>0</v>
      </c>
      <c r="AR97" s="106">
        <v>0</v>
      </c>
      <c r="AS97" s="106">
        <v>0</v>
      </c>
      <c r="AT97" s="106">
        <v>0</v>
      </c>
      <c r="AU97" s="106">
        <v>0</v>
      </c>
      <c r="AV97" s="106">
        <v>0</v>
      </c>
      <c r="AW97" s="106">
        <v>0</v>
      </c>
      <c r="AX97" s="106">
        <v>0</v>
      </c>
      <c r="AY97" s="106">
        <v>0</v>
      </c>
      <c r="AZ97" s="106">
        <v>0</v>
      </c>
      <c r="BA97" s="106">
        <v>0</v>
      </c>
      <c r="BB97" s="106">
        <v>0</v>
      </c>
      <c r="BC97" s="106">
        <v>0</v>
      </c>
      <c r="BD97" s="106">
        <v>0</v>
      </c>
      <c r="BE97" s="106">
        <v>0</v>
      </c>
      <c r="BF97" s="106">
        <v>0</v>
      </c>
      <c r="BG97" s="106">
        <v>0</v>
      </c>
      <c r="BH97" s="106">
        <v>0</v>
      </c>
      <c r="BI97" s="106">
        <v>0</v>
      </c>
      <c r="BJ97" s="106">
        <v>0</v>
      </c>
      <c r="BK97" s="106">
        <v>0</v>
      </c>
      <c r="BL97" s="106">
        <v>0</v>
      </c>
      <c r="BM97" s="106">
        <v>0</v>
      </c>
      <c r="BN97" s="106">
        <v>0</v>
      </c>
      <c r="BO97" s="106">
        <v>0</v>
      </c>
      <c r="BP97" s="106">
        <v>0</v>
      </c>
      <c r="BQ97" s="106">
        <v>0</v>
      </c>
      <c r="BR97" s="106">
        <v>0</v>
      </c>
      <c r="BS97" s="106">
        <v>0</v>
      </c>
      <c r="BT97" s="106">
        <v>0</v>
      </c>
      <c r="BU97" s="106">
        <v>0</v>
      </c>
      <c r="BV97" s="106">
        <v>0</v>
      </c>
      <c r="BW97" s="106">
        <v>0</v>
      </c>
      <c r="BX97" s="106">
        <v>0</v>
      </c>
      <c r="BY97" s="106">
        <v>0</v>
      </c>
      <c r="BZ97" s="106">
        <v>0</v>
      </c>
      <c r="CA97" s="106">
        <v>0</v>
      </c>
      <c r="CB97" s="106">
        <v>0</v>
      </c>
      <c r="CC97" s="106">
        <v>0</v>
      </c>
      <c r="CD97" s="106">
        <v>0</v>
      </c>
      <c r="CE97" s="106">
        <v>0</v>
      </c>
      <c r="CF97" s="106">
        <v>0</v>
      </c>
      <c r="CG97" s="106">
        <v>0</v>
      </c>
      <c r="CH97" s="106">
        <v>0</v>
      </c>
      <c r="CI97" s="106">
        <v>0</v>
      </c>
      <c r="CJ97" s="106">
        <v>0</v>
      </c>
      <c r="CK97" s="106">
        <v>0</v>
      </c>
      <c r="CL97" s="106">
        <v>0</v>
      </c>
      <c r="CM97" s="106">
        <v>0</v>
      </c>
      <c r="CN97" s="106">
        <v>0</v>
      </c>
      <c r="CO97" s="106">
        <v>0</v>
      </c>
      <c r="CP97" s="106">
        <v>0</v>
      </c>
      <c r="CQ97" s="106">
        <v>0</v>
      </c>
      <c r="CR97" s="106">
        <v>0</v>
      </c>
      <c r="CS97" s="106">
        <v>0</v>
      </c>
      <c r="CT97" s="106">
        <v>0</v>
      </c>
      <c r="CU97" s="106">
        <v>0</v>
      </c>
    </row>
    <row r="98" spans="2:99" x14ac:dyDescent="0.2">
      <c r="C98" s="105" t="s">
        <v>264</v>
      </c>
      <c r="D98" s="106">
        <v>0</v>
      </c>
      <c r="E98" s="106">
        <v>0</v>
      </c>
      <c r="F98" s="106">
        <v>0</v>
      </c>
      <c r="G98" s="106">
        <v>0</v>
      </c>
      <c r="H98" s="106">
        <v>0</v>
      </c>
      <c r="I98" s="106">
        <v>0</v>
      </c>
      <c r="J98" s="106">
        <v>0</v>
      </c>
      <c r="K98" s="106">
        <v>0</v>
      </c>
      <c r="L98" s="106">
        <v>0</v>
      </c>
      <c r="M98" s="106">
        <v>0</v>
      </c>
      <c r="N98" s="106">
        <v>0</v>
      </c>
      <c r="O98" s="106">
        <v>0</v>
      </c>
      <c r="P98" s="106">
        <v>0</v>
      </c>
      <c r="Q98" s="106">
        <v>0</v>
      </c>
      <c r="R98" s="106">
        <v>0</v>
      </c>
      <c r="S98" s="106">
        <v>0</v>
      </c>
      <c r="T98" s="106">
        <v>0</v>
      </c>
      <c r="U98" s="106">
        <v>0</v>
      </c>
      <c r="V98" s="106">
        <v>0</v>
      </c>
      <c r="W98" s="106">
        <v>0</v>
      </c>
      <c r="X98" s="106">
        <v>0</v>
      </c>
      <c r="Y98" s="106">
        <v>0</v>
      </c>
      <c r="Z98" s="106">
        <v>0</v>
      </c>
      <c r="AA98" s="106">
        <v>0</v>
      </c>
      <c r="AB98" s="106">
        <v>0</v>
      </c>
      <c r="AC98" s="106">
        <v>0</v>
      </c>
      <c r="AD98" s="106">
        <v>0</v>
      </c>
      <c r="AE98" s="106">
        <v>0</v>
      </c>
      <c r="AF98" s="106">
        <v>0</v>
      </c>
      <c r="AG98" s="106">
        <v>0</v>
      </c>
      <c r="AH98" s="106">
        <v>0</v>
      </c>
      <c r="AI98" s="106">
        <v>0</v>
      </c>
      <c r="AJ98" s="106">
        <v>0</v>
      </c>
      <c r="AK98" s="106">
        <v>0</v>
      </c>
      <c r="AL98" s="106">
        <v>0</v>
      </c>
      <c r="AM98" s="106">
        <v>0</v>
      </c>
      <c r="AN98" s="106">
        <v>0</v>
      </c>
      <c r="AO98" s="106">
        <v>0</v>
      </c>
      <c r="AP98" s="106">
        <v>0</v>
      </c>
      <c r="AQ98" s="106">
        <v>0</v>
      </c>
      <c r="AR98" s="106">
        <v>0</v>
      </c>
      <c r="AS98" s="106">
        <v>0</v>
      </c>
      <c r="AT98" s="106">
        <v>0</v>
      </c>
      <c r="AU98" s="106">
        <v>0</v>
      </c>
      <c r="AV98" s="106">
        <v>0</v>
      </c>
      <c r="AW98" s="106">
        <v>0</v>
      </c>
      <c r="AX98" s="106">
        <v>0</v>
      </c>
      <c r="AY98" s="106">
        <v>0</v>
      </c>
      <c r="AZ98" s="106">
        <v>0</v>
      </c>
      <c r="BA98" s="106">
        <v>0</v>
      </c>
      <c r="BB98" s="106">
        <v>0</v>
      </c>
      <c r="BC98" s="106">
        <v>0</v>
      </c>
      <c r="BD98" s="106">
        <v>0</v>
      </c>
      <c r="BE98" s="106">
        <v>0</v>
      </c>
      <c r="BF98" s="106">
        <v>0</v>
      </c>
      <c r="BG98" s="106">
        <v>0</v>
      </c>
      <c r="BH98" s="106">
        <v>0</v>
      </c>
      <c r="BI98" s="106">
        <v>0</v>
      </c>
      <c r="BJ98" s="106">
        <v>0</v>
      </c>
      <c r="BK98" s="106">
        <v>0</v>
      </c>
      <c r="BL98" s="106">
        <v>0</v>
      </c>
      <c r="BM98" s="106">
        <v>0</v>
      </c>
      <c r="BN98" s="106">
        <v>0</v>
      </c>
      <c r="BO98" s="106">
        <v>0</v>
      </c>
      <c r="BP98" s="106">
        <v>0</v>
      </c>
      <c r="BQ98" s="106">
        <v>0</v>
      </c>
      <c r="BR98" s="106">
        <v>0</v>
      </c>
      <c r="BS98" s="106">
        <v>0</v>
      </c>
      <c r="BT98" s="106">
        <v>0</v>
      </c>
      <c r="BU98" s="106">
        <v>0</v>
      </c>
      <c r="BV98" s="106">
        <v>0</v>
      </c>
      <c r="BW98" s="106">
        <v>0</v>
      </c>
      <c r="BX98" s="106">
        <v>0</v>
      </c>
      <c r="BY98" s="106">
        <v>0</v>
      </c>
      <c r="BZ98" s="106">
        <v>0</v>
      </c>
      <c r="CA98" s="106">
        <v>0</v>
      </c>
      <c r="CB98" s="106">
        <v>0</v>
      </c>
      <c r="CC98" s="106">
        <v>0</v>
      </c>
      <c r="CD98" s="106">
        <v>0</v>
      </c>
      <c r="CE98" s="106">
        <v>0</v>
      </c>
      <c r="CF98" s="106">
        <v>0</v>
      </c>
      <c r="CG98" s="106">
        <v>0</v>
      </c>
      <c r="CH98" s="106">
        <v>0</v>
      </c>
      <c r="CI98" s="106">
        <v>0</v>
      </c>
      <c r="CJ98" s="106">
        <v>0</v>
      </c>
      <c r="CK98" s="106">
        <v>0</v>
      </c>
      <c r="CL98" s="106">
        <v>0</v>
      </c>
      <c r="CM98" s="106">
        <v>0</v>
      </c>
      <c r="CN98" s="106">
        <v>0</v>
      </c>
      <c r="CO98" s="106">
        <v>0</v>
      </c>
      <c r="CP98" s="106">
        <v>0</v>
      </c>
      <c r="CQ98" s="106">
        <v>0</v>
      </c>
      <c r="CR98" s="106">
        <v>0</v>
      </c>
      <c r="CS98" s="106">
        <v>0</v>
      </c>
      <c r="CT98" s="106">
        <v>0</v>
      </c>
      <c r="CU98" s="106">
        <v>0</v>
      </c>
    </row>
    <row r="99" spans="2:99" x14ac:dyDescent="0.2">
      <c r="C99" s="105" t="s">
        <v>265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  <c r="AY99" s="106">
        <v>0</v>
      </c>
      <c r="AZ99" s="106">
        <v>0</v>
      </c>
      <c r="BA99" s="106">
        <v>0</v>
      </c>
      <c r="BB99" s="106">
        <v>0</v>
      </c>
      <c r="BC99" s="106">
        <v>0</v>
      </c>
      <c r="BD99" s="106">
        <v>0</v>
      </c>
      <c r="BE99" s="106">
        <v>0</v>
      </c>
      <c r="BF99" s="106">
        <v>0</v>
      </c>
      <c r="BG99" s="106">
        <v>0</v>
      </c>
      <c r="BH99" s="106">
        <v>0</v>
      </c>
      <c r="BI99" s="106">
        <v>0</v>
      </c>
      <c r="BJ99" s="106">
        <v>0</v>
      </c>
      <c r="BK99" s="106">
        <v>0</v>
      </c>
      <c r="BL99" s="106">
        <v>0</v>
      </c>
      <c r="BM99" s="106">
        <v>0</v>
      </c>
      <c r="BN99" s="106">
        <v>0</v>
      </c>
      <c r="BO99" s="106">
        <v>0</v>
      </c>
      <c r="BP99" s="106">
        <v>0</v>
      </c>
      <c r="BQ99" s="106">
        <v>0</v>
      </c>
      <c r="BR99" s="106">
        <v>0</v>
      </c>
      <c r="BS99" s="106">
        <v>0</v>
      </c>
      <c r="BT99" s="106">
        <v>0</v>
      </c>
      <c r="BU99" s="106">
        <v>0</v>
      </c>
      <c r="BV99" s="106">
        <v>0</v>
      </c>
      <c r="BW99" s="106">
        <v>0</v>
      </c>
      <c r="BX99" s="106">
        <v>0</v>
      </c>
      <c r="BY99" s="106">
        <v>0</v>
      </c>
      <c r="BZ99" s="106">
        <v>0</v>
      </c>
      <c r="CA99" s="106">
        <v>0</v>
      </c>
      <c r="CB99" s="106">
        <v>0</v>
      </c>
      <c r="CC99" s="106">
        <v>0</v>
      </c>
      <c r="CD99" s="106">
        <v>0</v>
      </c>
      <c r="CE99" s="106">
        <v>0</v>
      </c>
      <c r="CF99" s="106">
        <v>0</v>
      </c>
      <c r="CG99" s="106">
        <v>0</v>
      </c>
      <c r="CH99" s="106">
        <v>0</v>
      </c>
      <c r="CI99" s="106">
        <v>0</v>
      </c>
      <c r="CJ99" s="106">
        <v>0</v>
      </c>
      <c r="CK99" s="106">
        <v>0</v>
      </c>
      <c r="CL99" s="106">
        <v>0</v>
      </c>
      <c r="CM99" s="106">
        <v>0</v>
      </c>
      <c r="CN99" s="106">
        <v>0</v>
      </c>
      <c r="CO99" s="106">
        <v>0</v>
      </c>
      <c r="CP99" s="106">
        <v>0</v>
      </c>
      <c r="CQ99" s="106">
        <v>0</v>
      </c>
      <c r="CR99" s="106">
        <v>0</v>
      </c>
      <c r="CS99" s="106">
        <v>0</v>
      </c>
      <c r="CT99" s="106">
        <v>0</v>
      </c>
      <c r="CU99" s="106">
        <v>0</v>
      </c>
    </row>
    <row r="100" spans="2:99" x14ac:dyDescent="0.2">
      <c r="C100" s="105" t="s">
        <v>266</v>
      </c>
      <c r="D100" s="106">
        <v>0</v>
      </c>
      <c r="E100" s="106">
        <v>0</v>
      </c>
      <c r="F100" s="106">
        <v>0</v>
      </c>
      <c r="G100" s="106">
        <v>0</v>
      </c>
      <c r="H100" s="106">
        <v>0</v>
      </c>
      <c r="I100" s="106">
        <v>0</v>
      </c>
      <c r="J100" s="106">
        <v>0</v>
      </c>
      <c r="K100" s="106">
        <v>0</v>
      </c>
      <c r="L100" s="106">
        <v>0</v>
      </c>
      <c r="M100" s="106">
        <v>0</v>
      </c>
      <c r="N100" s="106">
        <v>0</v>
      </c>
      <c r="O100" s="106">
        <v>0</v>
      </c>
      <c r="P100" s="106">
        <v>0</v>
      </c>
      <c r="Q100" s="106">
        <v>0</v>
      </c>
      <c r="R100" s="106">
        <v>0</v>
      </c>
      <c r="S100" s="106">
        <v>0</v>
      </c>
      <c r="T100" s="106">
        <v>0</v>
      </c>
      <c r="U100" s="106">
        <v>0</v>
      </c>
      <c r="V100" s="106">
        <v>0</v>
      </c>
      <c r="W100" s="106">
        <v>0</v>
      </c>
      <c r="X100" s="106">
        <v>0</v>
      </c>
      <c r="Y100" s="106">
        <v>0</v>
      </c>
      <c r="Z100" s="106">
        <v>0</v>
      </c>
      <c r="AA100" s="106">
        <v>0</v>
      </c>
      <c r="AB100" s="106">
        <v>0</v>
      </c>
      <c r="AC100" s="106">
        <v>0</v>
      </c>
      <c r="AD100" s="106">
        <v>0</v>
      </c>
      <c r="AE100" s="106">
        <v>0</v>
      </c>
      <c r="AF100" s="106">
        <v>0</v>
      </c>
      <c r="AG100" s="106">
        <v>0</v>
      </c>
      <c r="AH100" s="106">
        <v>0</v>
      </c>
      <c r="AI100" s="106">
        <v>0</v>
      </c>
      <c r="AJ100" s="106">
        <v>0</v>
      </c>
      <c r="AK100" s="106">
        <v>0</v>
      </c>
      <c r="AL100" s="106">
        <v>0</v>
      </c>
      <c r="AM100" s="106">
        <v>0</v>
      </c>
      <c r="AN100" s="106">
        <v>0</v>
      </c>
      <c r="AO100" s="106">
        <v>0</v>
      </c>
      <c r="AP100" s="106">
        <v>0</v>
      </c>
      <c r="AQ100" s="106">
        <v>0</v>
      </c>
      <c r="AR100" s="106">
        <v>0</v>
      </c>
      <c r="AS100" s="106">
        <v>0</v>
      </c>
      <c r="AT100" s="106">
        <v>0</v>
      </c>
      <c r="AU100" s="106">
        <v>0</v>
      </c>
      <c r="AV100" s="106">
        <v>0</v>
      </c>
      <c r="AW100" s="106">
        <v>0</v>
      </c>
      <c r="AX100" s="106">
        <v>0</v>
      </c>
      <c r="AY100" s="106">
        <v>0</v>
      </c>
      <c r="AZ100" s="106">
        <v>0</v>
      </c>
      <c r="BA100" s="106">
        <v>0</v>
      </c>
      <c r="BB100" s="106">
        <v>0</v>
      </c>
      <c r="BC100" s="106">
        <v>0</v>
      </c>
      <c r="BD100" s="106">
        <v>0</v>
      </c>
      <c r="BE100" s="106">
        <v>0</v>
      </c>
      <c r="BF100" s="106">
        <v>0</v>
      </c>
      <c r="BG100" s="106">
        <v>0</v>
      </c>
      <c r="BH100" s="106">
        <v>0</v>
      </c>
      <c r="BI100" s="106">
        <v>0</v>
      </c>
      <c r="BJ100" s="106">
        <v>0</v>
      </c>
      <c r="BK100" s="106">
        <v>0</v>
      </c>
      <c r="BL100" s="106">
        <v>0</v>
      </c>
      <c r="BM100" s="106">
        <v>0</v>
      </c>
      <c r="BN100" s="106">
        <v>0</v>
      </c>
      <c r="BO100" s="106">
        <v>0</v>
      </c>
      <c r="BP100" s="106">
        <v>0</v>
      </c>
      <c r="BQ100" s="106">
        <v>0</v>
      </c>
      <c r="BR100" s="106">
        <v>0</v>
      </c>
      <c r="BS100" s="106">
        <v>0</v>
      </c>
      <c r="BT100" s="106">
        <v>0</v>
      </c>
      <c r="BU100" s="106">
        <v>0</v>
      </c>
      <c r="BV100" s="106">
        <v>0</v>
      </c>
      <c r="BW100" s="106">
        <v>0</v>
      </c>
      <c r="BX100" s="106">
        <v>0</v>
      </c>
      <c r="BY100" s="106">
        <v>0</v>
      </c>
      <c r="BZ100" s="106">
        <v>0</v>
      </c>
      <c r="CA100" s="106">
        <v>0</v>
      </c>
      <c r="CB100" s="106">
        <v>0</v>
      </c>
      <c r="CC100" s="106">
        <v>0</v>
      </c>
      <c r="CD100" s="106">
        <v>0</v>
      </c>
      <c r="CE100" s="106">
        <v>0</v>
      </c>
      <c r="CF100" s="106">
        <v>0</v>
      </c>
      <c r="CG100" s="106">
        <v>0</v>
      </c>
      <c r="CH100" s="106">
        <v>0</v>
      </c>
      <c r="CI100" s="106">
        <v>0</v>
      </c>
      <c r="CJ100" s="106">
        <v>0</v>
      </c>
      <c r="CK100" s="106">
        <v>0</v>
      </c>
      <c r="CL100" s="106">
        <v>0</v>
      </c>
      <c r="CM100" s="106">
        <v>0</v>
      </c>
      <c r="CN100" s="106">
        <v>0</v>
      </c>
      <c r="CO100" s="106">
        <v>0</v>
      </c>
      <c r="CP100" s="106">
        <v>0</v>
      </c>
      <c r="CQ100" s="106">
        <v>0</v>
      </c>
      <c r="CR100" s="106">
        <v>0</v>
      </c>
      <c r="CS100" s="106">
        <v>0</v>
      </c>
      <c r="CT100" s="106">
        <v>0</v>
      </c>
      <c r="CU100" s="106">
        <v>0</v>
      </c>
    </row>
    <row r="101" spans="2:99" x14ac:dyDescent="0.2">
      <c r="C101" s="105" t="s">
        <v>267</v>
      </c>
      <c r="D101" s="106">
        <v>0</v>
      </c>
      <c r="E101" s="106">
        <v>0</v>
      </c>
      <c r="F101" s="106">
        <v>0</v>
      </c>
      <c r="G101" s="106">
        <v>0</v>
      </c>
      <c r="H101" s="106">
        <v>0</v>
      </c>
      <c r="I101" s="106">
        <v>0</v>
      </c>
      <c r="J101" s="106">
        <v>0</v>
      </c>
      <c r="K101" s="106">
        <v>0</v>
      </c>
      <c r="L101" s="106">
        <v>0</v>
      </c>
      <c r="M101" s="106">
        <v>0</v>
      </c>
      <c r="N101" s="106">
        <v>0</v>
      </c>
      <c r="O101" s="106">
        <v>0</v>
      </c>
      <c r="P101" s="106">
        <v>0</v>
      </c>
      <c r="Q101" s="106">
        <v>0</v>
      </c>
      <c r="R101" s="106">
        <v>0</v>
      </c>
      <c r="S101" s="106">
        <v>0</v>
      </c>
      <c r="T101" s="106">
        <v>0</v>
      </c>
      <c r="U101" s="106">
        <v>0</v>
      </c>
      <c r="V101" s="106">
        <v>0</v>
      </c>
      <c r="W101" s="106">
        <v>0</v>
      </c>
      <c r="X101" s="106">
        <v>0</v>
      </c>
      <c r="Y101" s="106">
        <v>0</v>
      </c>
      <c r="Z101" s="106">
        <v>0</v>
      </c>
      <c r="AA101" s="106">
        <v>0</v>
      </c>
      <c r="AB101" s="106">
        <v>0</v>
      </c>
      <c r="AC101" s="106">
        <v>0</v>
      </c>
      <c r="AD101" s="106">
        <v>0</v>
      </c>
      <c r="AE101" s="106">
        <v>0</v>
      </c>
      <c r="AF101" s="106">
        <v>0</v>
      </c>
      <c r="AG101" s="106">
        <v>0</v>
      </c>
      <c r="AH101" s="106">
        <v>0</v>
      </c>
      <c r="AI101" s="106">
        <v>0</v>
      </c>
      <c r="AJ101" s="106">
        <v>0</v>
      </c>
      <c r="AK101" s="106">
        <v>0</v>
      </c>
      <c r="AL101" s="106">
        <v>0</v>
      </c>
      <c r="AM101" s="106">
        <v>0</v>
      </c>
      <c r="AN101" s="106">
        <v>0</v>
      </c>
      <c r="AO101" s="106">
        <v>0</v>
      </c>
      <c r="AP101" s="106">
        <v>0</v>
      </c>
      <c r="AQ101" s="106">
        <v>0</v>
      </c>
      <c r="AR101" s="106">
        <v>0</v>
      </c>
      <c r="AS101" s="106">
        <v>0</v>
      </c>
      <c r="AT101" s="106">
        <v>0</v>
      </c>
      <c r="AU101" s="106">
        <v>0</v>
      </c>
      <c r="AV101" s="106">
        <v>0</v>
      </c>
      <c r="AW101" s="106">
        <v>0</v>
      </c>
      <c r="AX101" s="106">
        <v>0</v>
      </c>
      <c r="AY101" s="106">
        <v>0</v>
      </c>
      <c r="AZ101" s="106">
        <v>0</v>
      </c>
      <c r="BA101" s="106">
        <v>0</v>
      </c>
      <c r="BB101" s="106">
        <v>0</v>
      </c>
      <c r="BC101" s="106">
        <v>0</v>
      </c>
      <c r="BD101" s="106">
        <v>0</v>
      </c>
      <c r="BE101" s="106">
        <v>0</v>
      </c>
      <c r="BF101" s="106">
        <v>0</v>
      </c>
      <c r="BG101" s="106">
        <v>0</v>
      </c>
      <c r="BH101" s="106">
        <v>0</v>
      </c>
      <c r="BI101" s="106">
        <v>0</v>
      </c>
      <c r="BJ101" s="106">
        <v>0</v>
      </c>
      <c r="BK101" s="106">
        <v>0</v>
      </c>
      <c r="BL101" s="106">
        <v>0</v>
      </c>
      <c r="BM101" s="106">
        <v>0</v>
      </c>
      <c r="BN101" s="106">
        <v>0</v>
      </c>
      <c r="BO101" s="106">
        <v>0</v>
      </c>
      <c r="BP101" s="106">
        <v>0</v>
      </c>
      <c r="BQ101" s="106">
        <v>0</v>
      </c>
      <c r="BR101" s="106">
        <v>0</v>
      </c>
      <c r="BS101" s="106">
        <v>0</v>
      </c>
      <c r="BT101" s="106">
        <v>0</v>
      </c>
      <c r="BU101" s="106">
        <v>0</v>
      </c>
      <c r="BV101" s="106">
        <v>0</v>
      </c>
      <c r="BW101" s="106">
        <v>0</v>
      </c>
      <c r="BX101" s="106">
        <v>0</v>
      </c>
      <c r="BY101" s="106">
        <v>0</v>
      </c>
      <c r="BZ101" s="106">
        <v>0</v>
      </c>
      <c r="CA101" s="106">
        <v>0</v>
      </c>
      <c r="CB101" s="106">
        <v>0</v>
      </c>
      <c r="CC101" s="106">
        <v>0</v>
      </c>
      <c r="CD101" s="106">
        <v>0</v>
      </c>
      <c r="CE101" s="106">
        <v>0</v>
      </c>
      <c r="CF101" s="106">
        <v>0</v>
      </c>
      <c r="CG101" s="106">
        <v>0</v>
      </c>
      <c r="CH101" s="106">
        <v>0</v>
      </c>
      <c r="CI101" s="106">
        <v>0</v>
      </c>
      <c r="CJ101" s="106">
        <v>0</v>
      </c>
      <c r="CK101" s="106">
        <v>0</v>
      </c>
      <c r="CL101" s="106">
        <v>0</v>
      </c>
      <c r="CM101" s="106">
        <v>0</v>
      </c>
      <c r="CN101" s="106">
        <v>0</v>
      </c>
      <c r="CO101" s="106">
        <v>0</v>
      </c>
      <c r="CP101" s="106">
        <v>0</v>
      </c>
      <c r="CQ101" s="106">
        <v>0</v>
      </c>
      <c r="CR101" s="106">
        <v>0</v>
      </c>
      <c r="CS101" s="106">
        <v>0</v>
      </c>
      <c r="CT101" s="106">
        <v>0</v>
      </c>
      <c r="CU101" s="106">
        <v>0</v>
      </c>
    </row>
    <row r="102" spans="2:99" x14ac:dyDescent="0.2">
      <c r="C102" s="105" t="s">
        <v>268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  <c r="AZ102" s="106">
        <v>0</v>
      </c>
      <c r="BA102" s="106">
        <v>0</v>
      </c>
      <c r="BB102" s="106">
        <v>0</v>
      </c>
      <c r="BC102" s="106">
        <v>0</v>
      </c>
      <c r="BD102" s="106">
        <v>0</v>
      </c>
      <c r="BE102" s="106">
        <v>0</v>
      </c>
      <c r="BF102" s="106">
        <v>0</v>
      </c>
      <c r="BG102" s="106">
        <v>0</v>
      </c>
      <c r="BH102" s="106">
        <v>0</v>
      </c>
      <c r="BI102" s="106">
        <v>0</v>
      </c>
      <c r="BJ102" s="106">
        <v>0</v>
      </c>
      <c r="BK102" s="106">
        <v>0</v>
      </c>
      <c r="BL102" s="106">
        <v>0</v>
      </c>
      <c r="BM102" s="106">
        <v>0</v>
      </c>
      <c r="BN102" s="106">
        <v>0</v>
      </c>
      <c r="BO102" s="106">
        <v>0</v>
      </c>
      <c r="BP102" s="106">
        <v>0</v>
      </c>
      <c r="BQ102" s="106">
        <v>0</v>
      </c>
      <c r="BR102" s="106">
        <v>0</v>
      </c>
      <c r="BS102" s="106">
        <v>0</v>
      </c>
      <c r="BT102" s="106">
        <v>0</v>
      </c>
      <c r="BU102" s="106">
        <v>0</v>
      </c>
      <c r="BV102" s="106">
        <v>0</v>
      </c>
      <c r="BW102" s="106">
        <v>0</v>
      </c>
      <c r="BX102" s="106">
        <v>0</v>
      </c>
      <c r="BY102" s="106">
        <v>0</v>
      </c>
      <c r="BZ102" s="106">
        <v>0</v>
      </c>
      <c r="CA102" s="106">
        <v>0</v>
      </c>
      <c r="CB102" s="106">
        <v>0</v>
      </c>
      <c r="CC102" s="106">
        <v>0</v>
      </c>
      <c r="CD102" s="106">
        <v>0</v>
      </c>
      <c r="CE102" s="106">
        <v>0</v>
      </c>
      <c r="CF102" s="106">
        <v>0</v>
      </c>
      <c r="CG102" s="106">
        <v>0</v>
      </c>
      <c r="CH102" s="106">
        <v>0</v>
      </c>
      <c r="CI102" s="106">
        <v>0</v>
      </c>
      <c r="CJ102" s="106">
        <v>0</v>
      </c>
      <c r="CK102" s="106">
        <v>0</v>
      </c>
      <c r="CL102" s="106">
        <v>0</v>
      </c>
      <c r="CM102" s="106">
        <v>0</v>
      </c>
      <c r="CN102" s="106">
        <v>0</v>
      </c>
      <c r="CO102" s="106">
        <v>0</v>
      </c>
      <c r="CP102" s="106">
        <v>0</v>
      </c>
      <c r="CQ102" s="106">
        <v>0</v>
      </c>
      <c r="CR102" s="106">
        <v>0</v>
      </c>
      <c r="CS102" s="106">
        <v>0</v>
      </c>
      <c r="CT102" s="106">
        <v>0</v>
      </c>
      <c r="CU102" s="106">
        <v>0</v>
      </c>
    </row>
    <row r="103" spans="2:99" x14ac:dyDescent="0.2">
      <c r="C103" s="105" t="s">
        <v>269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  <c r="AZ103" s="106">
        <v>0</v>
      </c>
      <c r="BA103" s="106">
        <v>0</v>
      </c>
      <c r="BB103" s="106">
        <v>0</v>
      </c>
      <c r="BC103" s="106">
        <v>0</v>
      </c>
      <c r="BD103" s="106">
        <v>0</v>
      </c>
      <c r="BE103" s="106">
        <v>0</v>
      </c>
      <c r="BF103" s="106">
        <v>0</v>
      </c>
      <c r="BG103" s="106">
        <v>0</v>
      </c>
      <c r="BH103" s="106">
        <v>0</v>
      </c>
      <c r="BI103" s="106">
        <v>0</v>
      </c>
      <c r="BJ103" s="106">
        <v>0</v>
      </c>
      <c r="BK103" s="106">
        <v>0</v>
      </c>
      <c r="BL103" s="106">
        <v>0</v>
      </c>
      <c r="BM103" s="106">
        <v>0</v>
      </c>
      <c r="BN103" s="106">
        <v>0</v>
      </c>
      <c r="BO103" s="106">
        <v>0</v>
      </c>
      <c r="BP103" s="106">
        <v>0</v>
      </c>
      <c r="BQ103" s="106">
        <v>0</v>
      </c>
      <c r="BR103" s="106">
        <v>0</v>
      </c>
      <c r="BS103" s="106">
        <v>0</v>
      </c>
      <c r="BT103" s="106">
        <v>0</v>
      </c>
      <c r="BU103" s="106">
        <v>0</v>
      </c>
      <c r="BV103" s="106">
        <v>0</v>
      </c>
      <c r="BW103" s="106">
        <v>0</v>
      </c>
      <c r="BX103" s="106">
        <v>0</v>
      </c>
      <c r="BY103" s="106">
        <v>0</v>
      </c>
      <c r="BZ103" s="106">
        <v>0</v>
      </c>
      <c r="CA103" s="106">
        <v>0</v>
      </c>
      <c r="CB103" s="106">
        <v>0</v>
      </c>
      <c r="CC103" s="106">
        <v>0</v>
      </c>
      <c r="CD103" s="106">
        <v>0</v>
      </c>
      <c r="CE103" s="106">
        <v>0</v>
      </c>
      <c r="CF103" s="106">
        <v>0</v>
      </c>
      <c r="CG103" s="106">
        <v>0</v>
      </c>
      <c r="CH103" s="106">
        <v>0</v>
      </c>
      <c r="CI103" s="106">
        <v>0</v>
      </c>
      <c r="CJ103" s="106">
        <v>0</v>
      </c>
      <c r="CK103" s="106">
        <v>0</v>
      </c>
      <c r="CL103" s="106">
        <v>0</v>
      </c>
      <c r="CM103" s="106">
        <v>0</v>
      </c>
      <c r="CN103" s="106">
        <v>0</v>
      </c>
      <c r="CO103" s="106">
        <v>0</v>
      </c>
      <c r="CP103" s="106">
        <v>0</v>
      </c>
      <c r="CQ103" s="106">
        <v>0</v>
      </c>
      <c r="CR103" s="106">
        <v>0</v>
      </c>
      <c r="CS103" s="106">
        <v>0</v>
      </c>
      <c r="CT103" s="106">
        <v>0</v>
      </c>
      <c r="CU103" s="106">
        <v>0</v>
      </c>
    </row>
    <row r="104" spans="2:99" x14ac:dyDescent="0.2">
      <c r="C104" s="105" t="s">
        <v>270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  <c r="AZ104" s="106">
        <v>0</v>
      </c>
      <c r="BA104" s="106">
        <v>0</v>
      </c>
      <c r="BB104" s="106">
        <v>0</v>
      </c>
      <c r="BC104" s="106">
        <v>0</v>
      </c>
      <c r="BD104" s="106">
        <v>0</v>
      </c>
      <c r="BE104" s="106">
        <v>0</v>
      </c>
      <c r="BF104" s="106">
        <v>0</v>
      </c>
      <c r="BG104" s="106">
        <v>0</v>
      </c>
      <c r="BH104" s="106">
        <v>0</v>
      </c>
      <c r="BI104" s="106">
        <v>0</v>
      </c>
      <c r="BJ104" s="106">
        <v>0</v>
      </c>
      <c r="BK104" s="106">
        <v>0</v>
      </c>
      <c r="BL104" s="106">
        <v>0</v>
      </c>
      <c r="BM104" s="106">
        <v>0</v>
      </c>
      <c r="BN104" s="106">
        <v>0</v>
      </c>
      <c r="BO104" s="106">
        <v>0</v>
      </c>
      <c r="BP104" s="106">
        <v>0</v>
      </c>
      <c r="BQ104" s="106">
        <v>0</v>
      </c>
      <c r="BR104" s="106">
        <v>0</v>
      </c>
      <c r="BS104" s="106">
        <v>0</v>
      </c>
      <c r="BT104" s="106">
        <v>0</v>
      </c>
      <c r="BU104" s="106">
        <v>0</v>
      </c>
      <c r="BV104" s="106">
        <v>0</v>
      </c>
      <c r="BW104" s="106">
        <v>0</v>
      </c>
      <c r="BX104" s="106">
        <v>0</v>
      </c>
      <c r="BY104" s="106">
        <v>0</v>
      </c>
      <c r="BZ104" s="106">
        <v>0</v>
      </c>
      <c r="CA104" s="106">
        <v>0</v>
      </c>
      <c r="CB104" s="106">
        <v>0</v>
      </c>
      <c r="CC104" s="106">
        <v>0</v>
      </c>
      <c r="CD104" s="106">
        <v>0</v>
      </c>
      <c r="CE104" s="106">
        <v>0</v>
      </c>
      <c r="CF104" s="106">
        <v>0</v>
      </c>
      <c r="CG104" s="106">
        <v>0</v>
      </c>
      <c r="CH104" s="106">
        <v>0</v>
      </c>
      <c r="CI104" s="106">
        <v>0</v>
      </c>
      <c r="CJ104" s="106">
        <v>0</v>
      </c>
      <c r="CK104" s="106">
        <v>0</v>
      </c>
      <c r="CL104" s="106">
        <v>0</v>
      </c>
      <c r="CM104" s="106">
        <v>0</v>
      </c>
      <c r="CN104" s="106">
        <v>0</v>
      </c>
      <c r="CO104" s="106">
        <v>0</v>
      </c>
      <c r="CP104" s="106">
        <v>0</v>
      </c>
      <c r="CQ104" s="106">
        <v>0</v>
      </c>
      <c r="CR104" s="106">
        <v>0</v>
      </c>
      <c r="CS104" s="106">
        <v>0</v>
      </c>
      <c r="CT104" s="106">
        <v>0</v>
      </c>
      <c r="CU104" s="106">
        <v>0</v>
      </c>
    </row>
    <row r="105" spans="2:99" x14ac:dyDescent="0.2">
      <c r="C105" s="105" t="s">
        <v>271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  <c r="AZ105" s="106">
        <v>0</v>
      </c>
      <c r="BA105" s="106">
        <v>0</v>
      </c>
      <c r="BB105" s="106">
        <v>0</v>
      </c>
      <c r="BC105" s="106">
        <v>0</v>
      </c>
      <c r="BD105" s="106">
        <v>0</v>
      </c>
      <c r="BE105" s="106">
        <v>0</v>
      </c>
      <c r="BF105" s="106">
        <v>0</v>
      </c>
      <c r="BG105" s="106">
        <v>0</v>
      </c>
      <c r="BH105" s="106">
        <v>0</v>
      </c>
      <c r="BI105" s="106">
        <v>0</v>
      </c>
      <c r="BJ105" s="106">
        <v>0</v>
      </c>
      <c r="BK105" s="106">
        <v>0</v>
      </c>
      <c r="BL105" s="106">
        <v>0</v>
      </c>
      <c r="BM105" s="106">
        <v>0</v>
      </c>
      <c r="BN105" s="106">
        <v>0</v>
      </c>
      <c r="BO105" s="106">
        <v>0</v>
      </c>
      <c r="BP105" s="106">
        <v>0</v>
      </c>
      <c r="BQ105" s="106">
        <v>0</v>
      </c>
      <c r="BR105" s="106">
        <v>0</v>
      </c>
      <c r="BS105" s="106">
        <v>0</v>
      </c>
      <c r="BT105" s="106">
        <v>0</v>
      </c>
      <c r="BU105" s="106">
        <v>0</v>
      </c>
      <c r="BV105" s="106">
        <v>0</v>
      </c>
      <c r="BW105" s="106">
        <v>0</v>
      </c>
      <c r="BX105" s="106">
        <v>0</v>
      </c>
      <c r="BY105" s="106">
        <v>0</v>
      </c>
      <c r="BZ105" s="106">
        <v>0</v>
      </c>
      <c r="CA105" s="106">
        <v>0</v>
      </c>
      <c r="CB105" s="106">
        <v>0</v>
      </c>
      <c r="CC105" s="106">
        <v>0</v>
      </c>
      <c r="CD105" s="106">
        <v>0</v>
      </c>
      <c r="CE105" s="106">
        <v>0</v>
      </c>
      <c r="CF105" s="106">
        <v>0</v>
      </c>
      <c r="CG105" s="106">
        <v>0</v>
      </c>
      <c r="CH105" s="106">
        <v>0</v>
      </c>
      <c r="CI105" s="106">
        <v>0</v>
      </c>
      <c r="CJ105" s="106">
        <v>0</v>
      </c>
      <c r="CK105" s="106">
        <v>0</v>
      </c>
      <c r="CL105" s="106">
        <v>0</v>
      </c>
      <c r="CM105" s="106">
        <v>0</v>
      </c>
      <c r="CN105" s="106">
        <v>0</v>
      </c>
      <c r="CO105" s="106">
        <v>0</v>
      </c>
      <c r="CP105" s="106">
        <v>0</v>
      </c>
      <c r="CQ105" s="106">
        <v>0</v>
      </c>
      <c r="CR105" s="106">
        <v>0</v>
      </c>
      <c r="CS105" s="106">
        <v>0</v>
      </c>
      <c r="CT105" s="106">
        <v>0</v>
      </c>
      <c r="CU105" s="106">
        <v>0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0</v>
      </c>
      <c r="E112" s="106">
        <f>SUM(L$49:L$70)+SUM(N$49:N$70)+SUM(P$49:P$70)+SUM(R$49:R$70)</f>
        <v>0</v>
      </c>
      <c r="F112" s="106">
        <f>SUM(T$49:T$70)+SUM(V$49:V$70)+SUM(X$49:X$70)+SUM(Z$49:Z$70)</f>
        <v>0</v>
      </c>
      <c r="G112" s="106">
        <f>SUM(AB$49:AB$70)+SUM(AD$49:AD$70)+SUM(AF$49:AF$70)+SUM(AH$49:AH$70)</f>
        <v>0</v>
      </c>
      <c r="H112" s="106">
        <f>SUM(AJ$49:AJ$70)+SUM(AL$49:AL$70)+SUM(AN$49:AN$70)+SUM(AP$49:AP$70)</f>
        <v>0</v>
      </c>
      <c r="I112" s="106">
        <f>SUM(AR$49:AR$70)+SUM(AT$49:AT$70)+SUM(AV$49:AV$70)+SUM(AX$49:AX$70)</f>
        <v>0</v>
      </c>
      <c r="J112" s="106">
        <f>SUM(AZ$49:AZ$70)+SUM(BB$49:BB$70)+SUM(BD$49:BD$70)+SUM(BF$49:BF$70)</f>
        <v>0</v>
      </c>
      <c r="K112" s="106">
        <f>SUM(BH$49:BH$70)+SUM(BJ$49:BJ$70)+SUM(BL$49:BL$70)+SUM(BN$49:BN$70)</f>
        <v>0</v>
      </c>
      <c r="L112" s="106">
        <f>SUM(BP$49:BP$70)+SUM(BR$49:BR$70)+SUM(BT$49:BT$70)+SUM(BV$49:BV$70)</f>
        <v>0</v>
      </c>
      <c r="M112" s="106">
        <f>SUM(BX$49:BX$70)+SUM(BZ$49:BZ$70)+SUM(CB$49:CB$70)+SUM(CD$49:CD$70)</f>
        <v>0</v>
      </c>
      <c r="N112" s="106">
        <f>SUM(CF$49:CF$70)+SUM(CH$49:CH$70)+SUM(CJ$49:CJ$70)+SUM(CL$49:CL$70)</f>
        <v>0</v>
      </c>
      <c r="O112" s="106">
        <f>SUM(CN$49:CN$70)+SUM(CP$49:CP$70)+SUM(CR$49:CR$70)+SUM(CT$49:CT$70)</f>
        <v>0</v>
      </c>
    </row>
    <row r="113" spans="2:15" x14ac:dyDescent="0.2">
      <c r="C113" s="105" t="s">
        <v>130</v>
      </c>
      <c r="D113" s="106">
        <f>SUM(D$71:D$86)+SUM(F$71:F$86)+SUM(H$71:H$86)+SUM(J$71:J$86)</f>
        <v>0</v>
      </c>
      <c r="E113" s="106">
        <f>SUM(L$71:L$86)+SUM(N$71:N$86)+SUM(P$71:P$86)+SUM(R$71:R$86)</f>
        <v>0</v>
      </c>
      <c r="F113" s="106">
        <f>SUM(T$71:T$86)+SUM(V$71:V$86)+SUM(X$71:X$86)+SUM(Z$71:Z$86)</f>
        <v>0</v>
      </c>
      <c r="G113" s="106">
        <f>SUM(AB$71:AB$86)+SUM(AD$71:AD$86)+SUM(AF$71:AF$86)+SUM(AH$71:AH$86)</f>
        <v>0</v>
      </c>
      <c r="H113" s="106">
        <f>SUM(AJ$71:AJ$86)+SUM(AL$71:AL$86)+SUM(AN$71:AN$86)+SUM(AP$71:AP$86)</f>
        <v>0</v>
      </c>
      <c r="I113" s="106">
        <f>SUM(AR$71:AR$86)+SUM(AT$71:AT$86)+SUM(AV$71:AV$86)+SUM(AX$71:AX$86)</f>
        <v>0</v>
      </c>
      <c r="J113" s="106">
        <f>SUM(AZ$71:AZ$86)+SUM(BB$71:BB$86)+SUM(BD$71:BD$86)+SUM(BF$71:BF$86)</f>
        <v>0</v>
      </c>
      <c r="K113" s="106">
        <f>SUM(BH$71:BH$86)+SUM(BJ$71:BJ$86)+SUM(BL$71:BL$86)+SUM(BN$71:BN$86)</f>
        <v>0</v>
      </c>
      <c r="L113" s="106">
        <f>SUM(BP$71:BP$86)+SUM(BR$71:BR$86)+SUM(BT$71:BT$86)+SUM(BV$71:BV$86)</f>
        <v>0</v>
      </c>
      <c r="M113" s="106">
        <f>SUM(BX$71:BX$86)+SUM(BZ$71:BZ$86)+SUM(CB$71:CB$86)+SUM(CD$71:CD$86)</f>
        <v>0</v>
      </c>
      <c r="N113" s="106">
        <f>SUM(CF$71:CF$86)+SUM(CH$71:CH$86)+SUM(CJ$71:CJ$86)+SUM(CL$71:CL$86)</f>
        <v>0</v>
      </c>
      <c r="O113" s="106">
        <f>SUM(CN$71:CN$86)+SUM(CP$71:CP$86)+SUM(CR$71:CR$86)+SUM(CT$71:CT$86)</f>
        <v>0</v>
      </c>
    </row>
    <row r="114" spans="2:15" x14ac:dyDescent="0.2">
      <c r="C114" s="105" t="s">
        <v>131</v>
      </c>
      <c r="D114" s="106">
        <f>SUM(D$87:D$94)+SUM(F$87:F$94)+SUM(H$87:H$94)+SUM(J$87:J$94)</f>
        <v>0</v>
      </c>
      <c r="E114" s="106">
        <f>SUM(L$87:L$94)+SUM(N$87:N$94)+SUM(P$87:P$94)+SUM(R$87:R$94)</f>
        <v>0</v>
      </c>
      <c r="F114" s="106">
        <f>SUM(T$87:T$94)+SUM(V$87:V$94)+SUM(X$87:X$94)+SUM(Z$87:Z$94)</f>
        <v>0</v>
      </c>
      <c r="G114" s="106">
        <f>SUM(AB$87:AB$94)+SUM(AD$87:AD$94)+SUM(AF$87:AF$94)+SUM(AH$87:AH$94)</f>
        <v>0</v>
      </c>
      <c r="H114" s="106">
        <f>SUM(AJ$87:AJ$94)+SUM(AL$87:AL$94)+SUM(AN$87:AN$94)+SUM(AP$87:AP$94)</f>
        <v>0</v>
      </c>
      <c r="I114" s="106">
        <f>SUM(AR$87:AR$94)+SUM(AT$87:AT$94)+SUM(AV$87:AV$94)+SUM(AX$87:AX$94)</f>
        <v>0</v>
      </c>
      <c r="J114" s="106">
        <f>SUM(AZ$87:AZ$94)+SUM(BB$87:BB$94)+SUM(BD$87:BD$94)+SUM(BF$87:BF$94)</f>
        <v>0</v>
      </c>
      <c r="K114" s="106">
        <f>SUM(BH$87:BH$94)+SUM(BJ$87:BJ$94)+SUM(BL$87:BL$94)+SUM(BN$87:BN$94)</f>
        <v>0</v>
      </c>
      <c r="L114" s="106">
        <f>SUM(BP$87:BP$94)+SUM(BR$87:BR$94)+SUM(BT$87:BT$94)+SUM(BV$87:BV$94)</f>
        <v>0</v>
      </c>
      <c r="M114" s="106">
        <f>SUM(BX$87:BX$94)+SUM(BZ$87:BZ$94)+SUM(CB$87:CB$94)+SUM(CD$87:CD$94)</f>
        <v>0</v>
      </c>
      <c r="N114" s="106">
        <f>SUM(CF$87:CF$94)+SUM(CH$87:CH$94)+SUM(CJ$87:CJ$94)+SUM(CL$87:CL$94)</f>
        <v>0</v>
      </c>
      <c r="O114" s="106">
        <f>SUM(CN$87:CN$94)+SUM(CP$87:CP$94)+SUM(CR$87:CR$94)+SUM(CT$87:CT$94)</f>
        <v>0</v>
      </c>
    </row>
    <row r="115" spans="2:15" x14ac:dyDescent="0.2">
      <c r="C115" s="105" t="s">
        <v>132</v>
      </c>
      <c r="D115" s="106">
        <f>SUM(D$95:D$105)+SUM(F$95:F$105)+SUM(H$95:H$105)+SUM(J$95:J$105)</f>
        <v>0</v>
      </c>
      <c r="E115" s="106">
        <f>SUM(L$95:L$105)+SUM(N$95:N$105)+SUM(P$95:P$105)+SUM(R$95:R$105)</f>
        <v>0</v>
      </c>
      <c r="F115" s="106">
        <f>SUM(T$95:T$105)+SUM(V$95:V$105)+SUM(X$95:X$105)+SUM(Z$95:Z$105)</f>
        <v>0</v>
      </c>
      <c r="G115" s="106">
        <f>SUM(AB$95:AB$105)+SUM(AD$95:AD$105)+SUM(AF$95:AF$105)+SUM(AH$95:AH$105)</f>
        <v>0</v>
      </c>
      <c r="H115" s="106">
        <f>SUM(AJ$95:AJ$105)+SUM(AL$95:AL$105)+SUM(AN$95:AN$105)+SUM(AP$95:AP$105)</f>
        <v>0</v>
      </c>
      <c r="I115" s="106">
        <f>SUM(AR$95:AR$105)+SUM(AT$95:AT$105)+SUM(AV$95:AV$105)+SUM(AX$95:AX$105)</f>
        <v>0</v>
      </c>
      <c r="J115" s="106">
        <f>SUM(AZ$95:AZ$105)+SUM(BB$95:BB$105)+SUM(BD$95:BD$105)+SUM(BF$95:BF$105)</f>
        <v>0</v>
      </c>
      <c r="K115" s="106">
        <f>SUM(BH$95:BH$105)+SUM(BJ$95:BJ$105)+SUM(BL$95:BL$105)+SUM(BN$95:BN$105)</f>
        <v>0</v>
      </c>
      <c r="L115" s="106">
        <f>SUM(BP$95:BP$105)+SUM(BR$95:BR$105)+SUM(BT$95:BT$105)+SUM(BV$95:BV$105)</f>
        <v>0</v>
      </c>
      <c r="M115" s="106">
        <f>SUM(BX$95:BX$105)+SUM(BZ$95:BZ$105)+SUM(CB$95:CB$105)+SUM(CD$95:CD$105)</f>
        <v>0</v>
      </c>
      <c r="N115" s="106">
        <f>SUM(CF$95:CF$105)+SUM(CH$95:CH$105)+SUM(CJ$95:CJ$105)+SUM(CL$95:CL$105)</f>
        <v>0</v>
      </c>
      <c r="O115" s="106">
        <f>SUM(CN$95:CN$105)+SUM(CP$95:CP$105)+SUM(CR$95:CR$105)+SUM(CT$95:CT$105)</f>
        <v>0</v>
      </c>
    </row>
    <row r="116" spans="2:15" x14ac:dyDescent="0.2">
      <c r="C116" s="105" t="s">
        <v>278</v>
      </c>
      <c r="D116" s="106">
        <f t="shared" ref="D116:O116" si="0">SUM(D$109:D$115)</f>
        <v>0</v>
      </c>
      <c r="E116" s="106">
        <f t="shared" si="0"/>
        <v>0</v>
      </c>
      <c r="F116" s="106">
        <f t="shared" si="0"/>
        <v>0</v>
      </c>
      <c r="G116" s="106">
        <f t="shared" si="0"/>
        <v>0</v>
      </c>
      <c r="H116" s="106">
        <f t="shared" si="0"/>
        <v>0</v>
      </c>
      <c r="I116" s="106">
        <f t="shared" si="0"/>
        <v>0</v>
      </c>
      <c r="J116" s="106">
        <f t="shared" si="0"/>
        <v>0</v>
      </c>
      <c r="K116" s="106">
        <f t="shared" si="0"/>
        <v>0</v>
      </c>
      <c r="L116" s="106">
        <f t="shared" si="0"/>
        <v>0</v>
      </c>
      <c r="M116" s="106">
        <f t="shared" si="0"/>
        <v>0</v>
      </c>
      <c r="N116" s="106">
        <f t="shared" si="0"/>
        <v>0</v>
      </c>
      <c r="O116" s="106">
        <f t="shared" si="0"/>
        <v>0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D109*pricing!D15*2000</f>
        <v>0</v>
      </c>
      <c r="E120" s="106">
        <f>E109*pricing!E15*2000</f>
        <v>0</v>
      </c>
      <c r="F120" s="106">
        <f>F109*pricing!F15*2000</f>
        <v>0</v>
      </c>
      <c r="G120" s="106">
        <f>G109*pricing!G15*2000</f>
        <v>0</v>
      </c>
      <c r="H120" s="106">
        <f>H109*pricing!H15*2000</f>
        <v>0</v>
      </c>
      <c r="I120" s="106">
        <f>I109*pricing!I15*2000</f>
        <v>0</v>
      </c>
      <c r="J120" s="106">
        <f>J109*pricing!J15*2000</f>
        <v>0</v>
      </c>
      <c r="K120" s="106">
        <f>K109*pricing!K15*2000</f>
        <v>0</v>
      </c>
      <c r="L120" s="106">
        <f>L109*pricing!L15*2000</f>
        <v>0</v>
      </c>
      <c r="M120" s="106">
        <f>M109*pricing!M15*2000</f>
        <v>0</v>
      </c>
      <c r="N120" s="106">
        <f>N109*pricing!N15*2000</f>
        <v>0</v>
      </c>
      <c r="O120" s="106">
        <f>O109*pricing!O15*2000</f>
        <v>0</v>
      </c>
    </row>
    <row r="121" spans="2:15" x14ac:dyDescent="0.2">
      <c r="C121" s="105" t="s">
        <v>127</v>
      </c>
      <c r="D121" s="106">
        <f>D110*pricing!D16*2000</f>
        <v>0</v>
      </c>
      <c r="E121" s="106">
        <f>E110*pricing!E16*2000</f>
        <v>0</v>
      </c>
      <c r="F121" s="106">
        <f>F110*pricing!F16*2000</f>
        <v>0</v>
      </c>
      <c r="G121" s="106">
        <f>G110*pricing!G16*2000</f>
        <v>0</v>
      </c>
      <c r="H121" s="106">
        <f>H110*pricing!H16*2000</f>
        <v>0</v>
      </c>
      <c r="I121" s="106">
        <f>I110*pricing!I16*2000</f>
        <v>0</v>
      </c>
      <c r="J121" s="106">
        <f>J110*pricing!J16*2000</f>
        <v>0</v>
      </c>
      <c r="K121" s="106">
        <f>K110*pricing!K16*2000</f>
        <v>0</v>
      </c>
      <c r="L121" s="106">
        <f>L110*pricing!L16*2000</f>
        <v>0</v>
      </c>
      <c r="M121" s="106">
        <f>M110*pricing!M16*2000</f>
        <v>0</v>
      </c>
      <c r="N121" s="106">
        <f>N110*pricing!N16*2000</f>
        <v>0</v>
      </c>
      <c r="O121" s="106">
        <f>O110*pricing!O16*2000</f>
        <v>0</v>
      </c>
    </row>
    <row r="122" spans="2:15" x14ac:dyDescent="0.2">
      <c r="C122" s="105" t="s">
        <v>128</v>
      </c>
      <c r="D122" s="106">
        <f>D111*pricing!D17*2000</f>
        <v>0</v>
      </c>
      <c r="E122" s="106">
        <f>E111*pricing!E17*2000</f>
        <v>0</v>
      </c>
      <c r="F122" s="106">
        <f>F111*pricing!F17*2000</f>
        <v>0</v>
      </c>
      <c r="G122" s="106">
        <f>G111*pricing!G17*2000</f>
        <v>0</v>
      </c>
      <c r="H122" s="106">
        <f>H111*pricing!H17*2000</f>
        <v>0</v>
      </c>
      <c r="I122" s="106">
        <f>I111*pricing!I17*2000</f>
        <v>0</v>
      </c>
      <c r="J122" s="106">
        <f>J111*pricing!J17*2000</f>
        <v>0</v>
      </c>
      <c r="K122" s="106">
        <f>K111*pricing!K17*2000</f>
        <v>0</v>
      </c>
      <c r="L122" s="106">
        <f>L111*pricing!L17*2000</f>
        <v>0</v>
      </c>
      <c r="M122" s="106">
        <f>M111*pricing!M17*2000</f>
        <v>0</v>
      </c>
      <c r="N122" s="106">
        <f>N111*pricing!N17*2000</f>
        <v>0</v>
      </c>
      <c r="O122" s="106">
        <f>O111*pricing!O17*2000</f>
        <v>0</v>
      </c>
    </row>
    <row r="123" spans="2:15" x14ac:dyDescent="0.2">
      <c r="C123" s="105" t="s">
        <v>129</v>
      </c>
      <c r="D123" s="106">
        <f>D112*pricing!D18*2000</f>
        <v>0</v>
      </c>
      <c r="E123" s="106">
        <f>E112*pricing!E18*2000</f>
        <v>0</v>
      </c>
      <c r="F123" s="106">
        <f>F112*pricing!F18*2000</f>
        <v>0</v>
      </c>
      <c r="G123" s="106">
        <f>G112*pricing!G18*2000</f>
        <v>0</v>
      </c>
      <c r="H123" s="106">
        <f>H112*pricing!H18*2000</f>
        <v>0</v>
      </c>
      <c r="I123" s="106">
        <f>I112*pricing!I18*2000</f>
        <v>0</v>
      </c>
      <c r="J123" s="106">
        <f>J112*pricing!J18*2000</f>
        <v>0</v>
      </c>
      <c r="K123" s="106">
        <f>K112*pricing!K18*2000</f>
        <v>0</v>
      </c>
      <c r="L123" s="106">
        <f>L112*pricing!L18*2000</f>
        <v>0</v>
      </c>
      <c r="M123" s="106">
        <f>M112*pricing!M18*2000</f>
        <v>0</v>
      </c>
      <c r="N123" s="106">
        <f>N112*pricing!N18*2000</f>
        <v>0</v>
      </c>
      <c r="O123" s="106">
        <f>O112*pricing!O18*2000</f>
        <v>0</v>
      </c>
    </row>
    <row r="124" spans="2:15" x14ac:dyDescent="0.2">
      <c r="C124" s="105" t="s">
        <v>130</v>
      </c>
      <c r="D124" s="106">
        <f>D113*pricing!D19*2000</f>
        <v>0</v>
      </c>
      <c r="E124" s="106">
        <f>E113*pricing!E19*2000</f>
        <v>0</v>
      </c>
      <c r="F124" s="106">
        <f>F113*pricing!F19*2000</f>
        <v>0</v>
      </c>
      <c r="G124" s="106">
        <f>G113*pricing!G19*2000</f>
        <v>0</v>
      </c>
      <c r="H124" s="106">
        <f>H113*pricing!H19*2000</f>
        <v>0</v>
      </c>
      <c r="I124" s="106">
        <f>I113*pricing!I19*2000</f>
        <v>0</v>
      </c>
      <c r="J124" s="106">
        <f>J113*pricing!J19*2000</f>
        <v>0</v>
      </c>
      <c r="K124" s="106">
        <f>K113*pricing!K19*2000</f>
        <v>0</v>
      </c>
      <c r="L124" s="106">
        <f>L113*pricing!L19*2000</f>
        <v>0</v>
      </c>
      <c r="M124" s="106">
        <f>M113*pricing!M19*2000</f>
        <v>0</v>
      </c>
      <c r="N124" s="106">
        <f>N113*pricing!N19*2000</f>
        <v>0</v>
      </c>
      <c r="O124" s="106">
        <f>O113*pricing!O19*2000</f>
        <v>0</v>
      </c>
    </row>
    <row r="125" spans="2:15" x14ac:dyDescent="0.2">
      <c r="C125" s="105" t="s">
        <v>131</v>
      </c>
      <c r="D125" s="106">
        <f>D114*pricing!D20*2000</f>
        <v>0</v>
      </c>
      <c r="E125" s="106">
        <f>E114*pricing!E20*2000</f>
        <v>0</v>
      </c>
      <c r="F125" s="106">
        <f>F114*pricing!F20*2000</f>
        <v>0</v>
      </c>
      <c r="G125" s="106">
        <f>G114*pricing!G20*2000</f>
        <v>0</v>
      </c>
      <c r="H125" s="106">
        <f>H114*pricing!H20*2000</f>
        <v>0</v>
      </c>
      <c r="I125" s="106">
        <f>I114*pricing!I20*2000</f>
        <v>0</v>
      </c>
      <c r="J125" s="106">
        <f>J114*pricing!J20*2000</f>
        <v>0</v>
      </c>
      <c r="K125" s="106">
        <f>K114*pricing!K20*2000</f>
        <v>0</v>
      </c>
      <c r="L125" s="106">
        <f>L114*pricing!L20*2000</f>
        <v>0</v>
      </c>
      <c r="M125" s="106">
        <f>M114*pricing!M20*2000</f>
        <v>0</v>
      </c>
      <c r="N125" s="106">
        <f>N114*pricing!N20*2000</f>
        <v>0</v>
      </c>
      <c r="O125" s="106">
        <f>O114*pricing!O20*2000</f>
        <v>0</v>
      </c>
    </row>
    <row r="126" spans="2:15" x14ac:dyDescent="0.2">
      <c r="C126" s="105" t="s">
        <v>132</v>
      </c>
      <c r="D126" s="106">
        <f>D115*pricing!D21*2000</f>
        <v>0</v>
      </c>
      <c r="E126" s="106">
        <f>E115*pricing!E21*2000</f>
        <v>0</v>
      </c>
      <c r="F126" s="106">
        <f>F115*pricing!F21*2000</f>
        <v>0</v>
      </c>
      <c r="G126" s="106">
        <f>G115*pricing!G21*2000</f>
        <v>0</v>
      </c>
      <c r="H126" s="106">
        <f>H115*pricing!H21*2000</f>
        <v>0</v>
      </c>
      <c r="I126" s="106">
        <f>I115*pricing!I21*2000</f>
        <v>0</v>
      </c>
      <c r="J126" s="106">
        <f>J115*pricing!J21*2000</f>
        <v>0</v>
      </c>
      <c r="K126" s="106">
        <f>K115*pricing!K21*2000</f>
        <v>0</v>
      </c>
      <c r="L126" s="106">
        <f>L115*pricing!L21*2000</f>
        <v>0</v>
      </c>
      <c r="M126" s="106">
        <f>M115*pricing!M21*2000</f>
        <v>0</v>
      </c>
      <c r="N126" s="106">
        <f>N115*pricing!N21*2000</f>
        <v>0</v>
      </c>
      <c r="O126" s="106">
        <f>O115*pricing!O21*2000</f>
        <v>0</v>
      </c>
    </row>
    <row r="127" spans="2:15" x14ac:dyDescent="0.2">
      <c r="C127" s="105" t="s">
        <v>278</v>
      </c>
      <c r="D127" s="106">
        <f t="shared" ref="D127:O127" si="1">SUM(D$120:D$126)</f>
        <v>0</v>
      </c>
      <c r="E127" s="106">
        <f t="shared" si="1"/>
        <v>0</v>
      </c>
      <c r="F127" s="106">
        <f t="shared" si="1"/>
        <v>0</v>
      </c>
      <c r="G127" s="106">
        <f t="shared" si="1"/>
        <v>0</v>
      </c>
      <c r="H127" s="106">
        <f t="shared" si="1"/>
        <v>0</v>
      </c>
      <c r="I127" s="106">
        <f t="shared" si="1"/>
        <v>0</v>
      </c>
      <c r="J127" s="106">
        <f t="shared" si="1"/>
        <v>0</v>
      </c>
      <c r="K127" s="106">
        <f t="shared" si="1"/>
        <v>0</v>
      </c>
      <c r="L127" s="106">
        <f t="shared" si="1"/>
        <v>0</v>
      </c>
      <c r="M127" s="106">
        <f t="shared" si="1"/>
        <v>0</v>
      </c>
      <c r="N127" s="106">
        <f t="shared" si="1"/>
        <v>0</v>
      </c>
      <c r="O127" s="106">
        <f t="shared" si="1"/>
        <v>0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0</v>
      </c>
      <c r="E134" s="112">
        <f>SUM(M$49:M$70)+SUM(O$49:O$70)+SUM(Q$49:Q$70)+SUM(S$49:S$70)</f>
        <v>0</v>
      </c>
      <c r="F134" s="112">
        <f>SUM(U$49:U$70)+SUM(W$49:W$70)+SUM(Y$49:Y$70)+SUM(AA$49:AA$70)</f>
        <v>0</v>
      </c>
      <c r="G134" s="112">
        <f>SUM(AC$49:AC$70)+SUM(AE$49:AE$70)+SUM(AG$49:AG$70)+SUM(AI$49:AI$70)</f>
        <v>0</v>
      </c>
      <c r="H134" s="112">
        <f>SUM(AK$49:AK$70)+SUM(AM$49:AM$70)+SUM(AO$49:AO$70)+SUM(AQ$49:AQ$70)</f>
        <v>0</v>
      </c>
      <c r="I134" s="112">
        <f>SUM(AS$49:AS$70)+SUM(AU$49:AU$70)+SUM(AW$49:AW$70)+SUM(AY$49:AY$70)</f>
        <v>0</v>
      </c>
      <c r="J134" s="112">
        <f>SUM(BA$49:BA$70)+SUM(BC$49:BC$70)+SUM(BE$49:BE$70)+SUM(BG$49:BG$70)</f>
        <v>0</v>
      </c>
      <c r="K134" s="112">
        <f>SUM(BI$49:BI$70)+SUM(BK$49:BK$70)+SUM(BM$49:BM$70)+SUM(BO$49:BO$70)</f>
        <v>0</v>
      </c>
      <c r="L134" s="112">
        <f>SUM(BQ$49:BQ$70)+SUM(BS$49:BS$70)+SUM(BU$49:BU$70)+SUM(BW$49:BW$70)</f>
        <v>0</v>
      </c>
      <c r="M134" s="112">
        <f>SUM(BY$49:BY$70)+SUM(CA$49:CA$70)+SUM(CC$49:CC$70)+SUM(CE$49:CE$70)</f>
        <v>0</v>
      </c>
      <c r="N134" s="112">
        <f>SUM(CG$49:CG$70)+SUM(CI$49:CI$70)+SUM(CK$49:CK$70)+SUM(CM$49:CM$70)</f>
        <v>0</v>
      </c>
      <c r="O134" s="112">
        <f>SUM(CO$49:CO$70)+SUM(CQ$49:CQ$70)+SUM(CS$49:CS$70)+SUM(CU$49:CU$70)</f>
        <v>0</v>
      </c>
    </row>
    <row r="135" spans="2:15" x14ac:dyDescent="0.2">
      <c r="C135" s="111" t="s">
        <v>130</v>
      </c>
      <c r="D135" s="112">
        <f>SUM(E$71:E$86)+SUM(G$71:G$86)+SUM(I$71:I$86)+SUM(K$71:K$86)</f>
        <v>0</v>
      </c>
      <c r="E135" s="112">
        <f>SUM(M$71:M$86)+SUM(O$71:O$86)+SUM(Q$71:Q$86)+SUM(S$71:S$86)</f>
        <v>0</v>
      </c>
      <c r="F135" s="112">
        <f>SUM(U$71:U$86)+SUM(W$71:W$86)+SUM(Y$71:Y$86)+SUM(AA$71:AA$86)</f>
        <v>0</v>
      </c>
      <c r="G135" s="112">
        <f>SUM(AC$71:AC$86)+SUM(AE$71:AE$86)+SUM(AG$71:AG$86)+SUM(AI$71:AI$86)</f>
        <v>0</v>
      </c>
      <c r="H135" s="112">
        <f>SUM(AK$71:AK$86)+SUM(AM$71:AM$86)+SUM(AO$71:AO$86)+SUM(AQ$71:AQ$86)</f>
        <v>0</v>
      </c>
      <c r="I135" s="112">
        <f>SUM(AS$71:AS$86)+SUM(AU$71:AU$86)+SUM(AW$71:AW$86)+SUM(AY$71:AY$86)</f>
        <v>0</v>
      </c>
      <c r="J135" s="112">
        <f>SUM(BA$71:BA$86)+SUM(BC$71:BC$86)+SUM(BE$71:BE$86)+SUM(BG$71:BG$86)</f>
        <v>0</v>
      </c>
      <c r="K135" s="112">
        <f>SUM(BI$71:BI$86)+SUM(BK$71:BK$86)+SUM(BM$71:BM$86)+SUM(BO$71:BO$86)</f>
        <v>0</v>
      </c>
      <c r="L135" s="112">
        <f>SUM(BQ$71:BQ$86)+SUM(BS$71:BS$86)+SUM(BU$71:BU$86)+SUM(BW$71:BW$86)</f>
        <v>0</v>
      </c>
      <c r="M135" s="112">
        <f>SUM(BY$71:BY$86)+SUM(CA$71:CA$86)+SUM(CC$71:CC$86)+SUM(CE$71:CE$86)</f>
        <v>0</v>
      </c>
      <c r="N135" s="112">
        <f>SUM(CG$71:CG$86)+SUM(CI$71:CI$86)+SUM(CK$71:CK$86)+SUM(CM$71:CM$86)</f>
        <v>0</v>
      </c>
      <c r="O135" s="112">
        <f>SUM(CO$71:CO$86)+SUM(CQ$71:CQ$86)+SUM(CS$71:CS$86)+SUM(CU$71:CU$86)</f>
        <v>0</v>
      </c>
    </row>
    <row r="136" spans="2:15" x14ac:dyDescent="0.2">
      <c r="C136" s="111" t="s">
        <v>131</v>
      </c>
      <c r="D136" s="112">
        <f>SUM(E$87:E$94)+SUM(G$87:G$94)+SUM(I$87:I$94)+SUM(K$87:K$94)</f>
        <v>0</v>
      </c>
      <c r="E136" s="112">
        <f>SUM(M$87:M$94)+SUM(O$87:O$94)+SUM(Q$87:Q$94)+SUM(S$87:S$94)</f>
        <v>0</v>
      </c>
      <c r="F136" s="112">
        <f>SUM(U$87:U$94)+SUM(W$87:W$94)+SUM(Y$87:Y$94)+SUM(AA$87:AA$94)</f>
        <v>0</v>
      </c>
      <c r="G136" s="112">
        <f>SUM(AC$87:AC$94)+SUM(AE$87:AE$94)+SUM(AG$87:AG$94)+SUM(AI$87:AI$94)</f>
        <v>0</v>
      </c>
      <c r="H136" s="112">
        <f>SUM(AK$87:AK$94)+SUM(AM$87:AM$94)+SUM(AO$87:AO$94)+SUM(AQ$87:AQ$94)</f>
        <v>0</v>
      </c>
      <c r="I136" s="112">
        <f>SUM(AS$87:AS$94)+SUM(AU$87:AU$94)+SUM(AW$87:AW$94)+SUM(AY$87:AY$94)</f>
        <v>0</v>
      </c>
      <c r="J136" s="112">
        <f>SUM(BA$87:BA$94)+SUM(BC$87:BC$94)+SUM(BE$87:BE$94)+SUM(BG$87:BG$94)</f>
        <v>0</v>
      </c>
      <c r="K136" s="112">
        <f>SUM(BI$87:BI$94)+SUM(BK$87:BK$94)+SUM(BM$87:BM$94)+SUM(BO$87:BO$94)</f>
        <v>0</v>
      </c>
      <c r="L136" s="112">
        <f>SUM(BQ$87:BQ$94)+SUM(BS$87:BS$94)+SUM(BU$87:BU$94)+SUM(BW$87:BW$94)</f>
        <v>0</v>
      </c>
      <c r="M136" s="112">
        <f>SUM(BY$87:BY$94)+SUM(CA$87:CA$94)+SUM(CC$87:CC$94)+SUM(CE$87:CE$94)</f>
        <v>0</v>
      </c>
      <c r="N136" s="112">
        <f>SUM(CG$87:CG$94)+SUM(CI$87:CI$94)+SUM(CK$87:CK$94)+SUM(CM$87:CM$94)</f>
        <v>0</v>
      </c>
      <c r="O136" s="112">
        <f>SUM(CO$87:CO$94)+SUM(CQ$87:CQ$94)+SUM(CS$87:CS$94)+SUM(CU$87:CU$94)</f>
        <v>0</v>
      </c>
    </row>
    <row r="137" spans="2:15" x14ac:dyDescent="0.2">
      <c r="C137" s="111" t="s">
        <v>132</v>
      </c>
      <c r="D137" s="112">
        <f>SUM(E$95:E$105)+SUM(G$95:G$105)+SUM(I$95:I$105)+SUM(K$95:K$105)</f>
        <v>0</v>
      </c>
      <c r="E137" s="112">
        <f>SUM(M$95:M$105)+SUM(O$95:O$105)+SUM(Q$95:Q$105)+SUM(S$95:S$105)</f>
        <v>0</v>
      </c>
      <c r="F137" s="112">
        <f>SUM(U$95:U$105)+SUM(W$95:W$105)+SUM(Y$95:Y$105)+SUM(AA$95:AA$105)</f>
        <v>0</v>
      </c>
      <c r="G137" s="112">
        <f>SUM(AC$95:AC$105)+SUM(AE$95:AE$105)+SUM(AG$95:AG$105)+SUM(AI$95:AI$105)</f>
        <v>0</v>
      </c>
      <c r="H137" s="112">
        <f>SUM(AK$95:AK$105)+SUM(AM$95:AM$105)+SUM(AO$95:AO$105)+SUM(AQ$95:AQ$105)</f>
        <v>0</v>
      </c>
      <c r="I137" s="112">
        <f>SUM(AS$95:AS$105)+SUM(AU$95:AU$105)+SUM(AW$95:AW$105)+SUM(AY$95:AY$105)</f>
        <v>0</v>
      </c>
      <c r="J137" s="112">
        <f>SUM(BA$95:BA$105)+SUM(BC$95:BC$105)+SUM(BE$95:BE$105)+SUM(BG$95:BG$105)</f>
        <v>0</v>
      </c>
      <c r="K137" s="112">
        <f>SUM(BI$95:BI$105)+SUM(BK$95:BK$105)+SUM(BM$95:BM$105)+SUM(BO$95:BO$105)</f>
        <v>0</v>
      </c>
      <c r="L137" s="112">
        <f>SUM(BQ$95:BQ$105)+SUM(BS$95:BS$105)+SUM(BU$95:BU$105)+SUM(BW$95:BW$105)</f>
        <v>0</v>
      </c>
      <c r="M137" s="112">
        <f>SUM(BY$95:BY$105)+SUM(CA$95:CA$105)+SUM(CC$95:CC$105)+SUM(CE$95:CE$105)</f>
        <v>0</v>
      </c>
      <c r="N137" s="112">
        <f>SUM(CG$95:CG$105)+SUM(CI$95:CI$105)+SUM(CK$95:CK$105)+SUM(CM$95:CM$105)</f>
        <v>0</v>
      </c>
      <c r="O137" s="112">
        <f>SUM(CO$95:CO$105)+SUM(CQ$95:CQ$105)+SUM(CS$95:CS$105)+SUM(CU$95:CU$105)</f>
        <v>0</v>
      </c>
    </row>
    <row r="138" spans="2:15" x14ac:dyDescent="0.2">
      <c r="C138" s="111" t="s">
        <v>278</v>
      </c>
      <c r="D138" s="106">
        <f t="shared" ref="D138:O138" si="2">SUM(D$131:D$137)</f>
        <v>0</v>
      </c>
      <c r="E138" s="106">
        <f t="shared" si="2"/>
        <v>0</v>
      </c>
      <c r="F138" s="106">
        <f t="shared" si="2"/>
        <v>0</v>
      </c>
      <c r="G138" s="106">
        <f t="shared" si="2"/>
        <v>0</v>
      </c>
      <c r="H138" s="106">
        <f t="shared" si="2"/>
        <v>0</v>
      </c>
      <c r="I138" s="106">
        <f t="shared" si="2"/>
        <v>0</v>
      </c>
      <c r="J138" s="106">
        <f t="shared" si="2"/>
        <v>0</v>
      </c>
      <c r="K138" s="106">
        <f t="shared" si="2"/>
        <v>0</v>
      </c>
      <c r="L138" s="106">
        <f t="shared" si="2"/>
        <v>0</v>
      </c>
      <c r="M138" s="106">
        <f t="shared" si="2"/>
        <v>0</v>
      </c>
      <c r="N138" s="106">
        <f t="shared" si="2"/>
        <v>0</v>
      </c>
      <c r="O138" s="106">
        <f t="shared" si="2"/>
        <v>0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281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63</v>
      </c>
      <c r="E6" s="106">
        <v>36439.199999999997</v>
      </c>
      <c r="F6" s="106">
        <v>56.340253985707015</v>
      </c>
      <c r="G6" s="106">
        <v>32587.202905332935</v>
      </c>
      <c r="H6" s="106">
        <v>0</v>
      </c>
      <c r="I6" s="106">
        <v>0</v>
      </c>
      <c r="J6" s="106">
        <v>0</v>
      </c>
      <c r="K6" s="106">
        <v>0</v>
      </c>
      <c r="L6" s="106">
        <v>15.329236336342095</v>
      </c>
      <c r="M6" s="106">
        <v>8866.430296940267</v>
      </c>
      <c r="N6" s="106">
        <v>52</v>
      </c>
      <c r="O6" s="106">
        <v>30076.799999999999</v>
      </c>
      <c r="P6" s="106">
        <v>42</v>
      </c>
      <c r="Q6" s="106">
        <v>24292.799999999999</v>
      </c>
      <c r="R6" s="106">
        <v>52</v>
      </c>
      <c r="S6" s="106">
        <v>30076.799999999999</v>
      </c>
      <c r="T6" s="106">
        <v>9</v>
      </c>
      <c r="U6" s="106">
        <v>5205.5999999999995</v>
      </c>
      <c r="V6" s="106">
        <v>11</v>
      </c>
      <c r="W6" s="106">
        <v>6362.4</v>
      </c>
      <c r="X6" s="106">
        <v>8</v>
      </c>
      <c r="Y6" s="106">
        <v>4627.2</v>
      </c>
      <c r="Z6" s="106">
        <v>11</v>
      </c>
      <c r="AA6" s="106">
        <v>6362.4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7</v>
      </c>
      <c r="AK6" s="106">
        <v>4048.7999999999997</v>
      </c>
      <c r="AL6" s="106">
        <v>7</v>
      </c>
      <c r="AM6" s="106">
        <v>4048.7999999999997</v>
      </c>
      <c r="AN6" s="106">
        <v>7</v>
      </c>
      <c r="AO6" s="106">
        <v>4048.7999999999997</v>
      </c>
      <c r="AP6" s="106">
        <v>9</v>
      </c>
      <c r="AQ6" s="106">
        <v>5205.5999999999995</v>
      </c>
      <c r="AR6" s="106">
        <v>11</v>
      </c>
      <c r="AS6" s="106">
        <v>6362.4</v>
      </c>
      <c r="AT6" s="106">
        <v>6</v>
      </c>
      <c r="AU6" s="106">
        <v>3470.3999999999996</v>
      </c>
      <c r="AV6" s="106">
        <v>7</v>
      </c>
      <c r="AW6" s="106">
        <v>4048.7999999999997</v>
      </c>
      <c r="AX6" s="106">
        <v>8</v>
      </c>
      <c r="AY6" s="106">
        <v>4627.2</v>
      </c>
      <c r="AZ6" s="106">
        <v>13.262692653799379</v>
      </c>
      <c r="BA6" s="106">
        <v>7671.1414309575603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16.983781283902815</v>
      </c>
      <c r="BI6" s="106">
        <v>9823.4190946093877</v>
      </c>
      <c r="BJ6" s="106">
        <v>33.32231087631942</v>
      </c>
      <c r="BK6" s="106">
        <v>19273.624610863153</v>
      </c>
      <c r="BL6" s="106">
        <v>29</v>
      </c>
      <c r="BM6" s="106">
        <v>16773.599999999999</v>
      </c>
      <c r="BN6" s="106">
        <v>42</v>
      </c>
      <c r="BO6" s="106">
        <v>24292.799999999999</v>
      </c>
      <c r="BP6" s="106">
        <v>7</v>
      </c>
      <c r="BQ6" s="106">
        <v>4048.7999999999997</v>
      </c>
      <c r="BR6" s="106">
        <v>8</v>
      </c>
      <c r="BS6" s="106">
        <v>4627.2</v>
      </c>
      <c r="BT6" s="106">
        <v>11</v>
      </c>
      <c r="BU6" s="106">
        <v>6362.4</v>
      </c>
      <c r="BV6" s="106">
        <v>8</v>
      </c>
      <c r="BW6" s="106">
        <v>4627.2</v>
      </c>
      <c r="BX6" s="106">
        <v>24.294716927864766</v>
      </c>
      <c r="BY6" s="106">
        <v>14052.064271076981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13.922837932530388</v>
      </c>
      <c r="CG6" s="106">
        <v>8052.9694601755764</v>
      </c>
      <c r="CH6" s="106">
        <v>17</v>
      </c>
      <c r="CI6" s="106">
        <v>9832.7999999999993</v>
      </c>
      <c r="CJ6" s="106">
        <v>22</v>
      </c>
      <c r="CK6" s="106">
        <v>12724.8</v>
      </c>
      <c r="CL6" s="106">
        <v>21</v>
      </c>
      <c r="CM6" s="106">
        <v>12146.4</v>
      </c>
      <c r="CN6" s="106">
        <v>14</v>
      </c>
      <c r="CO6" s="106">
        <v>8097.5999999999995</v>
      </c>
      <c r="CP6" s="106">
        <v>11</v>
      </c>
      <c r="CQ6" s="106">
        <v>6362.4</v>
      </c>
      <c r="CR6" s="106">
        <v>8</v>
      </c>
      <c r="CS6" s="106">
        <v>4627.2</v>
      </c>
      <c r="CT6" s="106">
        <v>11</v>
      </c>
      <c r="CU6" s="106">
        <v>6362.4</v>
      </c>
    </row>
    <row r="7" spans="1:99" x14ac:dyDescent="0.2">
      <c r="C7" s="105" t="s">
        <v>173</v>
      </c>
      <c r="D7" s="106">
        <v>56</v>
      </c>
      <c r="E7" s="106">
        <v>44150.400000000001</v>
      </c>
      <c r="F7" s="106">
        <v>62.055931926285979</v>
      </c>
      <c r="G7" s="106">
        <v>48924.896730683868</v>
      </c>
      <c r="H7" s="106">
        <v>0</v>
      </c>
      <c r="I7" s="106">
        <v>0</v>
      </c>
      <c r="J7" s="106">
        <v>0</v>
      </c>
      <c r="K7" s="106">
        <v>0</v>
      </c>
      <c r="L7" s="106">
        <v>13.892120429810026</v>
      </c>
      <c r="M7" s="106">
        <v>10952.547746862225</v>
      </c>
      <c r="N7" s="106">
        <v>46</v>
      </c>
      <c r="O7" s="106">
        <v>36266.400000000001</v>
      </c>
      <c r="P7" s="106">
        <v>36</v>
      </c>
      <c r="Q7" s="106">
        <v>28382.399999999998</v>
      </c>
      <c r="R7" s="106">
        <v>46</v>
      </c>
      <c r="S7" s="106">
        <v>36266.400000000001</v>
      </c>
      <c r="T7" s="106">
        <v>8</v>
      </c>
      <c r="U7" s="106">
        <v>6307.2</v>
      </c>
      <c r="V7" s="106">
        <v>11</v>
      </c>
      <c r="W7" s="106">
        <v>8672.4</v>
      </c>
      <c r="X7" s="106">
        <v>7</v>
      </c>
      <c r="Y7" s="106">
        <v>5518.8</v>
      </c>
      <c r="Z7" s="106">
        <v>11</v>
      </c>
      <c r="AA7" s="106">
        <v>8672.4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7</v>
      </c>
      <c r="AK7" s="106">
        <v>5518.8</v>
      </c>
      <c r="AL7" s="106">
        <v>7</v>
      </c>
      <c r="AM7" s="106">
        <v>5518.8</v>
      </c>
      <c r="AN7" s="106">
        <v>7</v>
      </c>
      <c r="AO7" s="106">
        <v>5518.8</v>
      </c>
      <c r="AP7" s="106">
        <v>7</v>
      </c>
      <c r="AQ7" s="106">
        <v>5518.8</v>
      </c>
      <c r="AR7" s="106">
        <v>11</v>
      </c>
      <c r="AS7" s="106">
        <v>8672.4</v>
      </c>
      <c r="AT7" s="106">
        <v>5</v>
      </c>
      <c r="AU7" s="106">
        <v>3942</v>
      </c>
      <c r="AV7" s="106">
        <v>7</v>
      </c>
      <c r="AW7" s="106">
        <v>5518.8</v>
      </c>
      <c r="AX7" s="106">
        <v>7</v>
      </c>
      <c r="AY7" s="106">
        <v>5518.8</v>
      </c>
      <c r="AZ7" s="106">
        <v>13.865542319881168</v>
      </c>
      <c r="BA7" s="106">
        <v>10931.593564994313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14.749073220231388</v>
      </c>
      <c r="BI7" s="106">
        <v>11628.169326830426</v>
      </c>
      <c r="BJ7" s="106">
        <v>35.076116711915176</v>
      </c>
      <c r="BK7" s="106">
        <v>27654.010415673925</v>
      </c>
      <c r="BL7" s="106">
        <v>26</v>
      </c>
      <c r="BM7" s="106">
        <v>20498.399999999998</v>
      </c>
      <c r="BN7" s="106">
        <v>46</v>
      </c>
      <c r="BO7" s="106">
        <v>36266.400000000001</v>
      </c>
      <c r="BP7" s="106">
        <v>7</v>
      </c>
      <c r="BQ7" s="106">
        <v>5518.8</v>
      </c>
      <c r="BR7" s="106">
        <v>9</v>
      </c>
      <c r="BS7" s="106">
        <v>7095.5999999999995</v>
      </c>
      <c r="BT7" s="106">
        <v>12</v>
      </c>
      <c r="BU7" s="106">
        <v>9460.7999999999993</v>
      </c>
      <c r="BV7" s="106">
        <v>9</v>
      </c>
      <c r="BW7" s="106">
        <v>7095.5999999999995</v>
      </c>
      <c r="BX7" s="106">
        <v>26.21272089585409</v>
      </c>
      <c r="BY7" s="106">
        <v>20666.109154291364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12.182483190964092</v>
      </c>
      <c r="CG7" s="106">
        <v>9604.6697477560901</v>
      </c>
      <c r="CH7" s="106">
        <v>16</v>
      </c>
      <c r="CI7" s="106">
        <v>12614.4</v>
      </c>
      <c r="CJ7" s="106">
        <v>22</v>
      </c>
      <c r="CK7" s="106">
        <v>17344.8</v>
      </c>
      <c r="CL7" s="106">
        <v>23</v>
      </c>
      <c r="CM7" s="106">
        <v>18133.2</v>
      </c>
      <c r="CN7" s="106">
        <v>13</v>
      </c>
      <c r="CO7" s="106">
        <v>10249.199999999999</v>
      </c>
      <c r="CP7" s="106">
        <v>12</v>
      </c>
      <c r="CQ7" s="106">
        <v>9460.7999999999993</v>
      </c>
      <c r="CR7" s="106">
        <v>8</v>
      </c>
      <c r="CS7" s="106">
        <v>6307.2</v>
      </c>
      <c r="CT7" s="106">
        <v>9</v>
      </c>
      <c r="CU7" s="106">
        <v>7095.5999999999995</v>
      </c>
    </row>
    <row r="8" spans="1:99" x14ac:dyDescent="0.2">
      <c r="C8" s="105" t="s">
        <v>174</v>
      </c>
      <c r="D8" s="106">
        <v>58</v>
      </c>
      <c r="E8" s="106">
        <v>17956.8</v>
      </c>
      <c r="F8" s="106">
        <v>62.872457346368691</v>
      </c>
      <c r="G8" s="106">
        <v>19465.312794435744</v>
      </c>
      <c r="H8" s="106">
        <v>0</v>
      </c>
      <c r="I8" s="106">
        <v>0</v>
      </c>
      <c r="J8" s="106">
        <v>0</v>
      </c>
      <c r="K8" s="106">
        <v>0</v>
      </c>
      <c r="L8" s="106">
        <v>15.329236336342095</v>
      </c>
      <c r="M8" s="106">
        <v>4745.9315697315124</v>
      </c>
      <c r="N8" s="106">
        <v>53</v>
      </c>
      <c r="O8" s="106">
        <v>16408.8</v>
      </c>
      <c r="P8" s="106">
        <v>43</v>
      </c>
      <c r="Q8" s="106">
        <v>13312.8</v>
      </c>
      <c r="R8" s="106">
        <v>55</v>
      </c>
      <c r="S8" s="106">
        <v>17027.999999999996</v>
      </c>
      <c r="T8" s="106">
        <v>8</v>
      </c>
      <c r="U8" s="106">
        <v>2476.7999999999997</v>
      </c>
      <c r="V8" s="106">
        <v>10</v>
      </c>
      <c r="W8" s="106">
        <v>3095.9999999999995</v>
      </c>
      <c r="X8" s="106">
        <v>8</v>
      </c>
      <c r="Y8" s="106">
        <v>2476.7999999999997</v>
      </c>
      <c r="Z8" s="106">
        <v>12</v>
      </c>
      <c r="AA8" s="106">
        <v>3715.2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8</v>
      </c>
      <c r="AK8" s="106">
        <v>2476.7999999999997</v>
      </c>
      <c r="AL8" s="106">
        <v>8</v>
      </c>
      <c r="AM8" s="106">
        <v>2476.7999999999997</v>
      </c>
      <c r="AN8" s="106">
        <v>7</v>
      </c>
      <c r="AO8" s="106">
        <v>2167.1999999999998</v>
      </c>
      <c r="AP8" s="106">
        <v>8</v>
      </c>
      <c r="AQ8" s="106">
        <v>2476.7999999999997</v>
      </c>
      <c r="AR8" s="106">
        <v>12</v>
      </c>
      <c r="AS8" s="106">
        <v>3715.2</v>
      </c>
      <c r="AT8" s="106">
        <v>6</v>
      </c>
      <c r="AU8" s="106">
        <v>1857.6</v>
      </c>
      <c r="AV8" s="106">
        <v>9</v>
      </c>
      <c r="AW8" s="106">
        <v>2786.3999999999996</v>
      </c>
      <c r="AX8" s="106">
        <v>8</v>
      </c>
      <c r="AY8" s="106">
        <v>2476.7999999999997</v>
      </c>
      <c r="AZ8" s="106">
        <v>14.769816819003854</v>
      </c>
      <c r="BA8" s="106">
        <v>4572.7352871635921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15.642956445699957</v>
      </c>
      <c r="BI8" s="106">
        <v>4843.0593155887063</v>
      </c>
      <c r="BJ8" s="106">
        <v>37.706825465308818</v>
      </c>
      <c r="BK8" s="106">
        <v>11674.033164059609</v>
      </c>
      <c r="BL8" s="106">
        <v>25</v>
      </c>
      <c r="BM8" s="106">
        <v>7739.9999999999991</v>
      </c>
      <c r="BN8" s="106">
        <v>52</v>
      </c>
      <c r="BO8" s="106">
        <v>16099.199999999999</v>
      </c>
      <c r="BP8" s="106">
        <v>7</v>
      </c>
      <c r="BQ8" s="106">
        <v>2167.1999999999998</v>
      </c>
      <c r="BR8" s="106">
        <v>7</v>
      </c>
      <c r="BS8" s="106">
        <v>2167.1999999999998</v>
      </c>
      <c r="BT8" s="106">
        <v>13</v>
      </c>
      <c r="BU8" s="106">
        <v>4024.7999999999997</v>
      </c>
      <c r="BV8" s="106">
        <v>9</v>
      </c>
      <c r="BW8" s="106">
        <v>2786.3999999999996</v>
      </c>
      <c r="BX8" s="106">
        <v>24.934051583861208</v>
      </c>
      <c r="BY8" s="106">
        <v>7719.5823703634296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13.922837932530388</v>
      </c>
      <c r="CG8" s="106">
        <v>4310.5106239114075</v>
      </c>
      <c r="CH8" s="106">
        <v>16</v>
      </c>
      <c r="CI8" s="106">
        <v>4953.5999999999995</v>
      </c>
      <c r="CJ8" s="106">
        <v>27</v>
      </c>
      <c r="CK8" s="106">
        <v>8359.1999999999989</v>
      </c>
      <c r="CL8" s="106">
        <v>24</v>
      </c>
      <c r="CM8" s="106">
        <v>7430.4</v>
      </c>
      <c r="CN8" s="106">
        <v>13</v>
      </c>
      <c r="CO8" s="106">
        <v>4024.7999999999997</v>
      </c>
      <c r="CP8" s="106">
        <v>12</v>
      </c>
      <c r="CQ8" s="106">
        <v>3715.2</v>
      </c>
      <c r="CR8" s="106">
        <v>8</v>
      </c>
      <c r="CS8" s="106">
        <v>2476.7999999999997</v>
      </c>
      <c r="CT8" s="106">
        <v>11</v>
      </c>
      <c r="CU8" s="106">
        <v>3405.5999999999995</v>
      </c>
    </row>
    <row r="9" spans="1:99" x14ac:dyDescent="0.2">
      <c r="C9" s="105" t="s">
        <v>175</v>
      </c>
      <c r="D9" s="106">
        <v>55</v>
      </c>
      <c r="E9" s="106">
        <v>38610</v>
      </c>
      <c r="F9" s="106">
        <v>53.074152305376167</v>
      </c>
      <c r="G9" s="106">
        <v>37258.054918374066</v>
      </c>
      <c r="H9" s="106">
        <v>0</v>
      </c>
      <c r="I9" s="106">
        <v>0</v>
      </c>
      <c r="J9" s="106">
        <v>0</v>
      </c>
      <c r="K9" s="106">
        <v>0</v>
      </c>
      <c r="L9" s="106">
        <v>13.892120429810026</v>
      </c>
      <c r="M9" s="106">
        <v>9752.2685417266384</v>
      </c>
      <c r="N9" s="106">
        <v>53</v>
      </c>
      <c r="O9" s="106">
        <v>37206</v>
      </c>
      <c r="P9" s="106">
        <v>42</v>
      </c>
      <c r="Q9" s="106">
        <v>29484</v>
      </c>
      <c r="R9" s="106">
        <v>54</v>
      </c>
      <c r="S9" s="106">
        <v>37908</v>
      </c>
      <c r="T9" s="106">
        <v>8</v>
      </c>
      <c r="U9" s="106">
        <v>5616</v>
      </c>
      <c r="V9" s="106">
        <v>10</v>
      </c>
      <c r="W9" s="106">
        <v>7020</v>
      </c>
      <c r="X9" s="106">
        <v>8</v>
      </c>
      <c r="Y9" s="106">
        <v>5616</v>
      </c>
      <c r="Z9" s="106">
        <v>12</v>
      </c>
      <c r="AA9" s="106">
        <v>8424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8</v>
      </c>
      <c r="AK9" s="106">
        <v>5616</v>
      </c>
      <c r="AL9" s="106">
        <v>7</v>
      </c>
      <c r="AM9" s="106">
        <v>4914</v>
      </c>
      <c r="AN9" s="106">
        <v>8</v>
      </c>
      <c r="AO9" s="106">
        <v>5616</v>
      </c>
      <c r="AP9" s="106">
        <v>8</v>
      </c>
      <c r="AQ9" s="106">
        <v>5616</v>
      </c>
      <c r="AR9" s="106">
        <v>11</v>
      </c>
      <c r="AS9" s="106">
        <v>7722</v>
      </c>
      <c r="AT9" s="106">
        <v>6</v>
      </c>
      <c r="AU9" s="106">
        <v>4212</v>
      </c>
      <c r="AV9" s="106">
        <v>7</v>
      </c>
      <c r="AW9" s="106">
        <v>4914</v>
      </c>
      <c r="AX9" s="106">
        <v>8</v>
      </c>
      <c r="AY9" s="106">
        <v>5616</v>
      </c>
      <c r="AZ9" s="106">
        <v>13.262692653799379</v>
      </c>
      <c r="BA9" s="106">
        <v>9310.4102429671639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16.983781283902815</v>
      </c>
      <c r="BI9" s="106">
        <v>11922.614461299776</v>
      </c>
      <c r="BJ9" s="106">
        <v>38.583728383106688</v>
      </c>
      <c r="BK9" s="106">
        <v>27085.777324940897</v>
      </c>
      <c r="BL9" s="106">
        <v>25</v>
      </c>
      <c r="BM9" s="106">
        <v>17550</v>
      </c>
      <c r="BN9" s="106">
        <v>45</v>
      </c>
      <c r="BO9" s="106">
        <v>31590</v>
      </c>
      <c r="BP9" s="106">
        <v>6</v>
      </c>
      <c r="BQ9" s="106">
        <v>4212</v>
      </c>
      <c r="BR9" s="106">
        <v>9</v>
      </c>
      <c r="BS9" s="106">
        <v>6318</v>
      </c>
      <c r="BT9" s="106">
        <v>11</v>
      </c>
      <c r="BU9" s="106">
        <v>7722</v>
      </c>
      <c r="BV9" s="106">
        <v>8</v>
      </c>
      <c r="BW9" s="106">
        <v>5616</v>
      </c>
      <c r="BX9" s="106">
        <v>22.696380287873662</v>
      </c>
      <c r="BY9" s="106">
        <v>15932.858962087312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13.052660561747238</v>
      </c>
      <c r="CG9" s="106">
        <v>9162.9677143465615</v>
      </c>
      <c r="CH9" s="106">
        <v>16</v>
      </c>
      <c r="CI9" s="106">
        <v>11232</v>
      </c>
      <c r="CJ9" s="106">
        <v>25</v>
      </c>
      <c r="CK9" s="106">
        <v>17550</v>
      </c>
      <c r="CL9" s="106">
        <v>24</v>
      </c>
      <c r="CM9" s="106">
        <v>16848</v>
      </c>
      <c r="CN9" s="106">
        <v>13</v>
      </c>
      <c r="CO9" s="106">
        <v>9126</v>
      </c>
      <c r="CP9" s="106">
        <v>12</v>
      </c>
      <c r="CQ9" s="106">
        <v>8424</v>
      </c>
      <c r="CR9" s="106">
        <v>7</v>
      </c>
      <c r="CS9" s="106">
        <v>4914</v>
      </c>
      <c r="CT9" s="106">
        <v>10</v>
      </c>
      <c r="CU9" s="106">
        <v>7020</v>
      </c>
    </row>
    <row r="10" spans="1:99" x14ac:dyDescent="0.2">
      <c r="C10" s="105" t="s">
        <v>176</v>
      </c>
      <c r="D10" s="106">
        <v>55</v>
      </c>
      <c r="E10" s="106">
        <v>29963.999999999996</v>
      </c>
      <c r="F10" s="106">
        <v>62.055931926285979</v>
      </c>
      <c r="G10" s="106">
        <v>33808.0717134406</v>
      </c>
      <c r="H10" s="106">
        <v>0</v>
      </c>
      <c r="I10" s="106">
        <v>0</v>
      </c>
      <c r="J10" s="106">
        <v>0</v>
      </c>
      <c r="K10" s="106">
        <v>0</v>
      </c>
      <c r="L10" s="106">
        <v>14.371159065320715</v>
      </c>
      <c r="M10" s="106">
        <v>7829.4074587867244</v>
      </c>
      <c r="N10" s="106">
        <v>50</v>
      </c>
      <c r="O10" s="106">
        <v>27239.999999999996</v>
      </c>
      <c r="P10" s="106">
        <v>44</v>
      </c>
      <c r="Q10" s="106">
        <v>23971.199999999997</v>
      </c>
      <c r="R10" s="106">
        <v>56</v>
      </c>
      <c r="S10" s="106">
        <v>30508.799999999996</v>
      </c>
      <c r="T10" s="106">
        <v>9</v>
      </c>
      <c r="U10" s="106">
        <v>4903.2</v>
      </c>
      <c r="V10" s="106">
        <v>10</v>
      </c>
      <c r="W10" s="106">
        <v>5448</v>
      </c>
      <c r="X10" s="106">
        <v>8</v>
      </c>
      <c r="Y10" s="106">
        <v>4358.3999999999996</v>
      </c>
      <c r="Z10" s="106">
        <v>13</v>
      </c>
      <c r="AA10" s="106">
        <v>7082.4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8</v>
      </c>
      <c r="AK10" s="106">
        <v>4358.3999999999996</v>
      </c>
      <c r="AL10" s="106">
        <v>7</v>
      </c>
      <c r="AM10" s="106">
        <v>3813.5999999999995</v>
      </c>
      <c r="AN10" s="106">
        <v>8</v>
      </c>
      <c r="AO10" s="106">
        <v>4358.3999999999996</v>
      </c>
      <c r="AP10" s="106">
        <v>8</v>
      </c>
      <c r="AQ10" s="106">
        <v>4358.3999999999996</v>
      </c>
      <c r="AR10" s="106">
        <v>10</v>
      </c>
      <c r="AS10" s="106">
        <v>5448</v>
      </c>
      <c r="AT10" s="106">
        <v>6</v>
      </c>
      <c r="AU10" s="106">
        <v>3268.7999999999997</v>
      </c>
      <c r="AV10" s="106">
        <v>8</v>
      </c>
      <c r="AW10" s="106">
        <v>4358.3999999999996</v>
      </c>
      <c r="AX10" s="106">
        <v>9</v>
      </c>
      <c r="AY10" s="106">
        <v>4903.2</v>
      </c>
      <c r="AZ10" s="106">
        <v>12.659842987717589</v>
      </c>
      <c r="BA10" s="106">
        <v>6897.082459708542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16.983781283902815</v>
      </c>
      <c r="BI10" s="106">
        <v>9252.7640434702535</v>
      </c>
      <c r="BJ10" s="106">
        <v>39.460631300904566</v>
      </c>
      <c r="BK10" s="106">
        <v>21498.151932732806</v>
      </c>
      <c r="BL10" s="106">
        <v>25</v>
      </c>
      <c r="BM10" s="106">
        <v>13619.999999999998</v>
      </c>
      <c r="BN10" s="106">
        <v>43</v>
      </c>
      <c r="BO10" s="106">
        <v>23426.399999999998</v>
      </c>
      <c r="BP10" s="106">
        <v>7</v>
      </c>
      <c r="BQ10" s="106">
        <v>3813.5999999999995</v>
      </c>
      <c r="BR10" s="106">
        <v>8</v>
      </c>
      <c r="BS10" s="106">
        <v>4358.3999999999996</v>
      </c>
      <c r="BT10" s="106">
        <v>12</v>
      </c>
      <c r="BU10" s="106">
        <v>6537.5999999999995</v>
      </c>
      <c r="BV10" s="106">
        <v>9</v>
      </c>
      <c r="BW10" s="106">
        <v>4903.2</v>
      </c>
      <c r="BX10" s="106">
        <v>27.491390207846973</v>
      </c>
      <c r="BY10" s="106">
        <v>14977.30938523503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13.922837932530388</v>
      </c>
      <c r="CG10" s="106">
        <v>7585.1621056425547</v>
      </c>
      <c r="CH10" s="106">
        <v>16</v>
      </c>
      <c r="CI10" s="106">
        <v>8716.7999999999993</v>
      </c>
      <c r="CJ10" s="106">
        <v>22</v>
      </c>
      <c r="CK10" s="106">
        <v>11985.599999999999</v>
      </c>
      <c r="CL10" s="106">
        <v>21</v>
      </c>
      <c r="CM10" s="106">
        <v>11440.8</v>
      </c>
      <c r="CN10" s="106">
        <v>14</v>
      </c>
      <c r="CO10" s="106">
        <v>7627.1999999999989</v>
      </c>
      <c r="CP10" s="106">
        <v>12</v>
      </c>
      <c r="CQ10" s="106">
        <v>6537.5999999999995</v>
      </c>
      <c r="CR10" s="106">
        <v>8</v>
      </c>
      <c r="CS10" s="106">
        <v>4358.3999999999996</v>
      </c>
      <c r="CT10" s="106">
        <v>11</v>
      </c>
      <c r="CU10" s="106">
        <v>5992.7999999999993</v>
      </c>
    </row>
    <row r="11" spans="1:99" x14ac:dyDescent="0.2">
      <c r="C11" s="105" t="s">
        <v>177</v>
      </c>
      <c r="D11" s="106">
        <v>56</v>
      </c>
      <c r="E11" s="106">
        <v>29836.799999999996</v>
      </c>
      <c r="F11" s="106">
        <v>57.973304825872425</v>
      </c>
      <c r="G11" s="106">
        <v>30888.176811224825</v>
      </c>
      <c r="H11" s="106">
        <v>0</v>
      </c>
      <c r="I11" s="106">
        <v>0</v>
      </c>
      <c r="J11" s="106">
        <v>0</v>
      </c>
      <c r="K11" s="106">
        <v>0</v>
      </c>
      <c r="L11" s="106">
        <v>13.892120429810026</v>
      </c>
      <c r="M11" s="106">
        <v>7401.7217650027815</v>
      </c>
      <c r="N11" s="106">
        <v>56</v>
      </c>
      <c r="O11" s="106">
        <v>29836.799999999996</v>
      </c>
      <c r="P11" s="106">
        <v>38</v>
      </c>
      <c r="Q11" s="106">
        <v>20246.399999999998</v>
      </c>
      <c r="R11" s="106">
        <v>49</v>
      </c>
      <c r="S11" s="106">
        <v>26107.199999999997</v>
      </c>
      <c r="T11" s="106">
        <v>8</v>
      </c>
      <c r="U11" s="106">
        <v>4262.3999999999996</v>
      </c>
      <c r="V11" s="106">
        <v>11</v>
      </c>
      <c r="W11" s="106">
        <v>5860.7999999999993</v>
      </c>
      <c r="X11" s="106">
        <v>7</v>
      </c>
      <c r="Y11" s="106">
        <v>3729.5999999999995</v>
      </c>
      <c r="Z11" s="106">
        <v>11</v>
      </c>
      <c r="AA11" s="106">
        <v>5860.7999999999993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8</v>
      </c>
      <c r="AK11" s="106">
        <v>4262.3999999999996</v>
      </c>
      <c r="AL11" s="106">
        <v>7</v>
      </c>
      <c r="AM11" s="106">
        <v>3729.5999999999995</v>
      </c>
      <c r="AN11" s="106">
        <v>7</v>
      </c>
      <c r="AO11" s="106">
        <v>3729.5999999999995</v>
      </c>
      <c r="AP11" s="106">
        <v>8</v>
      </c>
      <c r="AQ11" s="106">
        <v>4262.3999999999996</v>
      </c>
      <c r="AR11" s="106">
        <v>10</v>
      </c>
      <c r="AS11" s="106">
        <v>5328</v>
      </c>
      <c r="AT11" s="106">
        <v>6</v>
      </c>
      <c r="AU11" s="106">
        <v>3196.7999999999997</v>
      </c>
      <c r="AV11" s="106">
        <v>8</v>
      </c>
      <c r="AW11" s="106">
        <v>4262.3999999999996</v>
      </c>
      <c r="AX11" s="106">
        <v>8</v>
      </c>
      <c r="AY11" s="106">
        <v>4262.3999999999996</v>
      </c>
      <c r="AZ11" s="106">
        <v>13.262692653799379</v>
      </c>
      <c r="BA11" s="106">
        <v>7066.3626459443085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17.430722896637096</v>
      </c>
      <c r="BI11" s="106">
        <v>9287.0891593282449</v>
      </c>
      <c r="BJ11" s="106">
        <v>39.460631300904566</v>
      </c>
      <c r="BK11" s="106">
        <v>21024.624357121953</v>
      </c>
      <c r="BL11" s="106">
        <v>27</v>
      </c>
      <c r="BM11" s="106">
        <v>14385.599999999999</v>
      </c>
      <c r="BN11" s="106">
        <v>50</v>
      </c>
      <c r="BO11" s="106">
        <v>26639.999999999996</v>
      </c>
      <c r="BP11" s="106">
        <v>6</v>
      </c>
      <c r="BQ11" s="106">
        <v>3196.7999999999997</v>
      </c>
      <c r="BR11" s="106">
        <v>7</v>
      </c>
      <c r="BS11" s="106">
        <v>3729.5999999999995</v>
      </c>
      <c r="BT11" s="106">
        <v>11</v>
      </c>
      <c r="BU11" s="106">
        <v>5860.7999999999993</v>
      </c>
      <c r="BV11" s="106">
        <v>8</v>
      </c>
      <c r="BW11" s="106">
        <v>4262.3999999999996</v>
      </c>
      <c r="BX11" s="106">
        <v>27.81105753584519</v>
      </c>
      <c r="BY11" s="106">
        <v>14817.731455098316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13.052660561747238</v>
      </c>
      <c r="CG11" s="106">
        <v>6954.4575472989281</v>
      </c>
      <c r="CH11" s="106">
        <v>18</v>
      </c>
      <c r="CI11" s="106">
        <v>9590.4</v>
      </c>
      <c r="CJ11" s="106">
        <v>24</v>
      </c>
      <c r="CK11" s="106">
        <v>12787.199999999999</v>
      </c>
      <c r="CL11" s="106">
        <v>23</v>
      </c>
      <c r="CM11" s="106">
        <v>12254.4</v>
      </c>
      <c r="CN11" s="106">
        <v>14</v>
      </c>
      <c r="CO11" s="106">
        <v>7459.1999999999989</v>
      </c>
      <c r="CP11" s="106">
        <v>12</v>
      </c>
      <c r="CQ11" s="106">
        <v>6393.5999999999995</v>
      </c>
      <c r="CR11" s="106">
        <v>7</v>
      </c>
      <c r="CS11" s="106">
        <v>3729.5999999999995</v>
      </c>
      <c r="CT11" s="106">
        <v>11</v>
      </c>
      <c r="CU11" s="106">
        <v>5860.7999999999993</v>
      </c>
    </row>
    <row r="12" spans="1:99" x14ac:dyDescent="0.2">
      <c r="C12" s="105" t="s">
        <v>178</v>
      </c>
      <c r="D12" s="106">
        <v>58</v>
      </c>
      <c r="E12" s="106">
        <v>32642.399999999998</v>
      </c>
      <c r="F12" s="106">
        <v>57.15677940578972</v>
      </c>
      <c r="G12" s="106">
        <v>32167.835449578452</v>
      </c>
      <c r="H12" s="106">
        <v>0</v>
      </c>
      <c r="I12" s="106">
        <v>0</v>
      </c>
      <c r="J12" s="106">
        <v>0</v>
      </c>
      <c r="K12" s="106">
        <v>0</v>
      </c>
      <c r="L12" s="106">
        <v>15.808274971852786</v>
      </c>
      <c r="M12" s="106">
        <v>8896.8971541587471</v>
      </c>
      <c r="N12" s="106">
        <v>52</v>
      </c>
      <c r="O12" s="106">
        <v>29265.599999999999</v>
      </c>
      <c r="P12" s="106">
        <v>36</v>
      </c>
      <c r="Q12" s="106">
        <v>20260.8</v>
      </c>
      <c r="R12" s="106">
        <v>49</v>
      </c>
      <c r="S12" s="106">
        <v>27577.199999999997</v>
      </c>
      <c r="T12" s="106">
        <v>9</v>
      </c>
      <c r="U12" s="106">
        <v>5065.2</v>
      </c>
      <c r="V12" s="106">
        <v>12</v>
      </c>
      <c r="W12" s="106">
        <v>6753.5999999999995</v>
      </c>
      <c r="X12" s="106">
        <v>8</v>
      </c>
      <c r="Y12" s="106">
        <v>4502.3999999999996</v>
      </c>
      <c r="Z12" s="106">
        <v>12</v>
      </c>
      <c r="AA12" s="106">
        <v>6753.5999999999995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8</v>
      </c>
      <c r="AK12" s="106">
        <v>4502.3999999999996</v>
      </c>
      <c r="AL12" s="106">
        <v>8</v>
      </c>
      <c r="AM12" s="106">
        <v>4502.3999999999996</v>
      </c>
      <c r="AN12" s="106">
        <v>8</v>
      </c>
      <c r="AO12" s="106">
        <v>4502.3999999999996</v>
      </c>
      <c r="AP12" s="106">
        <v>8</v>
      </c>
      <c r="AQ12" s="106">
        <v>4502.3999999999996</v>
      </c>
      <c r="AR12" s="106">
        <v>11</v>
      </c>
      <c r="AS12" s="106">
        <v>6190.7999999999993</v>
      </c>
      <c r="AT12" s="106">
        <v>6</v>
      </c>
      <c r="AU12" s="106">
        <v>3376.7999999999997</v>
      </c>
      <c r="AV12" s="106">
        <v>7</v>
      </c>
      <c r="AW12" s="106">
        <v>3939.5999999999995</v>
      </c>
      <c r="AX12" s="106">
        <v>7</v>
      </c>
      <c r="AY12" s="106">
        <v>3939.5999999999995</v>
      </c>
      <c r="AZ12" s="106">
        <v>12.659842987717589</v>
      </c>
      <c r="BA12" s="106">
        <v>7124.9596334874586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15.642956445699957</v>
      </c>
      <c r="BI12" s="106">
        <v>8803.8558876399347</v>
      </c>
      <c r="BJ12" s="106">
        <v>33.32231087631942</v>
      </c>
      <c r="BK12" s="106">
        <v>18753.796561192568</v>
      </c>
      <c r="BL12" s="106">
        <v>28</v>
      </c>
      <c r="BM12" s="106">
        <v>15758.399999999998</v>
      </c>
      <c r="BN12" s="106">
        <v>42</v>
      </c>
      <c r="BO12" s="106">
        <v>23637.599999999999</v>
      </c>
      <c r="BP12" s="106">
        <v>6</v>
      </c>
      <c r="BQ12" s="106">
        <v>3376.7999999999997</v>
      </c>
      <c r="BR12" s="106">
        <v>7</v>
      </c>
      <c r="BS12" s="106">
        <v>3939.5999999999995</v>
      </c>
      <c r="BT12" s="106">
        <v>12</v>
      </c>
      <c r="BU12" s="106">
        <v>6753.5999999999995</v>
      </c>
      <c r="BV12" s="106">
        <v>9</v>
      </c>
      <c r="BW12" s="106">
        <v>5065.2</v>
      </c>
      <c r="BX12" s="106">
        <v>27.491390207846973</v>
      </c>
      <c r="BY12" s="106">
        <v>15472.154408976276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12.182483190964092</v>
      </c>
      <c r="CG12" s="106">
        <v>6856.3015398745902</v>
      </c>
      <c r="CH12" s="106">
        <v>18</v>
      </c>
      <c r="CI12" s="106">
        <v>10130.4</v>
      </c>
      <c r="CJ12" s="106">
        <v>25</v>
      </c>
      <c r="CK12" s="106">
        <v>14069.999999999998</v>
      </c>
      <c r="CL12" s="106">
        <v>22</v>
      </c>
      <c r="CM12" s="106">
        <v>12381.599999999999</v>
      </c>
      <c r="CN12" s="106">
        <v>13</v>
      </c>
      <c r="CO12" s="106">
        <v>7316.4</v>
      </c>
      <c r="CP12" s="106">
        <v>11</v>
      </c>
      <c r="CQ12" s="106">
        <v>6190.7999999999993</v>
      </c>
      <c r="CR12" s="106">
        <v>7</v>
      </c>
      <c r="CS12" s="106">
        <v>3939.5999999999995</v>
      </c>
      <c r="CT12" s="106">
        <v>10</v>
      </c>
      <c r="CU12" s="106">
        <v>5628</v>
      </c>
    </row>
    <row r="13" spans="1:99" x14ac:dyDescent="0.2">
      <c r="C13" s="105" t="s">
        <v>179</v>
      </c>
      <c r="D13" s="106">
        <v>63</v>
      </c>
      <c r="E13" s="106">
        <v>5367.6</v>
      </c>
      <c r="F13" s="106">
        <v>58.789830245955145</v>
      </c>
      <c r="G13" s="106">
        <v>5008.8935369553783</v>
      </c>
      <c r="H13" s="106">
        <v>0</v>
      </c>
      <c r="I13" s="106">
        <v>0</v>
      </c>
      <c r="J13" s="106">
        <v>0</v>
      </c>
      <c r="K13" s="106">
        <v>0</v>
      </c>
      <c r="L13" s="106">
        <v>17.245390878384857</v>
      </c>
      <c r="M13" s="106">
        <v>1469.3073028383899</v>
      </c>
      <c r="N13" s="106">
        <v>59</v>
      </c>
      <c r="O13" s="106">
        <v>5026.8</v>
      </c>
      <c r="P13" s="106">
        <v>47</v>
      </c>
      <c r="Q13" s="106">
        <v>4004.4</v>
      </c>
      <c r="R13" s="106">
        <v>60</v>
      </c>
      <c r="S13" s="106">
        <v>5112</v>
      </c>
      <c r="T13" s="106">
        <v>8</v>
      </c>
      <c r="U13" s="106">
        <v>681.6</v>
      </c>
      <c r="V13" s="106">
        <v>11</v>
      </c>
      <c r="W13" s="106">
        <v>937.2</v>
      </c>
      <c r="X13" s="106">
        <v>7</v>
      </c>
      <c r="Y13" s="106">
        <v>596.4</v>
      </c>
      <c r="Z13" s="106">
        <v>14</v>
      </c>
      <c r="AA13" s="106">
        <v>1192.8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7</v>
      </c>
      <c r="AK13" s="106">
        <v>596.4</v>
      </c>
      <c r="AL13" s="106">
        <v>7</v>
      </c>
      <c r="AM13" s="106">
        <v>596.4</v>
      </c>
      <c r="AN13" s="106">
        <v>7</v>
      </c>
      <c r="AO13" s="106">
        <v>596.4</v>
      </c>
      <c r="AP13" s="106">
        <v>9</v>
      </c>
      <c r="AQ13" s="106">
        <v>766.80000000000007</v>
      </c>
      <c r="AR13" s="106">
        <v>10</v>
      </c>
      <c r="AS13" s="106">
        <v>852</v>
      </c>
      <c r="AT13" s="106">
        <v>6</v>
      </c>
      <c r="AU13" s="106">
        <v>511.20000000000005</v>
      </c>
      <c r="AV13" s="106">
        <v>8</v>
      </c>
      <c r="AW13" s="106">
        <v>681.6</v>
      </c>
      <c r="AX13" s="106">
        <v>8</v>
      </c>
      <c r="AY13" s="106">
        <v>681.6</v>
      </c>
      <c r="AZ13" s="106">
        <v>14.769816819003854</v>
      </c>
      <c r="BA13" s="106">
        <v>1258.3883929791284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16.536839671168526</v>
      </c>
      <c r="BI13" s="106">
        <v>1408.9387399835584</v>
      </c>
      <c r="BJ13" s="106">
        <v>36.82992254751094</v>
      </c>
      <c r="BK13" s="106">
        <v>3137.9094010479321</v>
      </c>
      <c r="BL13" s="106">
        <v>30</v>
      </c>
      <c r="BM13" s="106">
        <v>2556</v>
      </c>
      <c r="BN13" s="106">
        <v>51</v>
      </c>
      <c r="BO13" s="106">
        <v>4345.2</v>
      </c>
      <c r="BP13" s="106">
        <v>8</v>
      </c>
      <c r="BQ13" s="106">
        <v>681.6</v>
      </c>
      <c r="BR13" s="106">
        <v>8</v>
      </c>
      <c r="BS13" s="106">
        <v>681.6</v>
      </c>
      <c r="BT13" s="106">
        <v>12</v>
      </c>
      <c r="BU13" s="106">
        <v>1022.4000000000001</v>
      </c>
      <c r="BV13" s="106">
        <v>9</v>
      </c>
      <c r="BW13" s="106">
        <v>766.80000000000007</v>
      </c>
      <c r="BX13" s="106">
        <v>28.130724863843412</v>
      </c>
      <c r="BY13" s="106">
        <v>2396.7377583994589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13.922837932530388</v>
      </c>
      <c r="CG13" s="106">
        <v>1186.2257918515891</v>
      </c>
      <c r="CH13" s="106">
        <v>17</v>
      </c>
      <c r="CI13" s="106">
        <v>1448.4</v>
      </c>
      <c r="CJ13" s="106">
        <v>27</v>
      </c>
      <c r="CK13" s="106">
        <v>2300.4</v>
      </c>
      <c r="CL13" s="106">
        <v>24</v>
      </c>
      <c r="CM13" s="106">
        <v>2044.8000000000002</v>
      </c>
      <c r="CN13" s="106">
        <v>15</v>
      </c>
      <c r="CO13" s="106">
        <v>1278</v>
      </c>
      <c r="CP13" s="106">
        <v>14</v>
      </c>
      <c r="CQ13" s="106">
        <v>1192.8</v>
      </c>
      <c r="CR13" s="106">
        <v>7</v>
      </c>
      <c r="CS13" s="106">
        <v>596.4</v>
      </c>
      <c r="CT13" s="106">
        <v>10</v>
      </c>
      <c r="CU13" s="106">
        <v>852</v>
      </c>
    </row>
    <row r="14" spans="1:99" x14ac:dyDescent="0.2">
      <c r="C14" s="105" t="s">
        <v>180</v>
      </c>
      <c r="D14" s="106">
        <v>64</v>
      </c>
      <c r="E14" s="106">
        <v>31257.599999999999</v>
      </c>
      <c r="F14" s="106">
        <v>58.789830245955145</v>
      </c>
      <c r="G14" s="106">
        <v>28712.953092124491</v>
      </c>
      <c r="H14" s="106">
        <v>0</v>
      </c>
      <c r="I14" s="106">
        <v>0</v>
      </c>
      <c r="J14" s="106">
        <v>0</v>
      </c>
      <c r="K14" s="106">
        <v>0</v>
      </c>
      <c r="L14" s="106">
        <v>15.808274971852786</v>
      </c>
      <c r="M14" s="106">
        <v>7720.7614962529005</v>
      </c>
      <c r="N14" s="106">
        <v>54</v>
      </c>
      <c r="O14" s="106">
        <v>26373.599999999999</v>
      </c>
      <c r="P14" s="106">
        <v>43</v>
      </c>
      <c r="Q14" s="106">
        <v>21001.200000000001</v>
      </c>
      <c r="R14" s="106">
        <v>57</v>
      </c>
      <c r="S14" s="106">
        <v>27838.799999999999</v>
      </c>
      <c r="T14" s="106">
        <v>9</v>
      </c>
      <c r="U14" s="106">
        <v>4395.5999999999995</v>
      </c>
      <c r="V14" s="106">
        <v>11</v>
      </c>
      <c r="W14" s="106">
        <v>5372.4</v>
      </c>
      <c r="X14" s="106">
        <v>8</v>
      </c>
      <c r="Y14" s="106">
        <v>3907.2</v>
      </c>
      <c r="Z14" s="106">
        <v>12</v>
      </c>
      <c r="AA14" s="106">
        <v>5860.7999999999993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7</v>
      </c>
      <c r="AK14" s="106">
        <v>3418.7999999999997</v>
      </c>
      <c r="AL14" s="106">
        <v>7</v>
      </c>
      <c r="AM14" s="106">
        <v>3418.7999999999997</v>
      </c>
      <c r="AN14" s="106">
        <v>7</v>
      </c>
      <c r="AO14" s="106">
        <v>3418.7999999999997</v>
      </c>
      <c r="AP14" s="106">
        <v>8</v>
      </c>
      <c r="AQ14" s="106">
        <v>3907.2</v>
      </c>
      <c r="AR14" s="106">
        <v>10</v>
      </c>
      <c r="AS14" s="106">
        <v>4884</v>
      </c>
      <c r="AT14" s="106">
        <v>5</v>
      </c>
      <c r="AU14" s="106">
        <v>2442</v>
      </c>
      <c r="AV14" s="106">
        <v>9</v>
      </c>
      <c r="AW14" s="106">
        <v>4395.5999999999995</v>
      </c>
      <c r="AX14" s="106">
        <v>8</v>
      </c>
      <c r="AY14" s="106">
        <v>3907.2</v>
      </c>
      <c r="AZ14" s="106">
        <v>13.865542319881168</v>
      </c>
      <c r="BA14" s="106">
        <v>6771.9308690299622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15.196014832965673</v>
      </c>
      <c r="BI14" s="106">
        <v>7421.7336444204348</v>
      </c>
      <c r="BJ14" s="106">
        <v>40.337534218702451</v>
      </c>
      <c r="BK14" s="106">
        <v>19700.851712414278</v>
      </c>
      <c r="BL14" s="106">
        <v>29</v>
      </c>
      <c r="BM14" s="106">
        <v>14163.599999999999</v>
      </c>
      <c r="BN14" s="106">
        <v>48</v>
      </c>
      <c r="BO14" s="106">
        <v>23443.199999999997</v>
      </c>
      <c r="BP14" s="106">
        <v>7</v>
      </c>
      <c r="BQ14" s="106">
        <v>3418.7999999999997</v>
      </c>
      <c r="BR14" s="106">
        <v>7</v>
      </c>
      <c r="BS14" s="106">
        <v>3418.7999999999997</v>
      </c>
      <c r="BT14" s="106">
        <v>11</v>
      </c>
      <c r="BU14" s="106">
        <v>5372.4</v>
      </c>
      <c r="BV14" s="106">
        <v>9</v>
      </c>
      <c r="BW14" s="106">
        <v>4395.5999999999995</v>
      </c>
      <c r="BX14" s="106">
        <v>27.491390207846973</v>
      </c>
      <c r="BY14" s="106">
        <v>13426.794977512462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13.922837932530388</v>
      </c>
      <c r="CG14" s="106">
        <v>6799.9140462478417</v>
      </c>
      <c r="CH14" s="106">
        <v>18</v>
      </c>
      <c r="CI14" s="106">
        <v>8791.1999999999989</v>
      </c>
      <c r="CJ14" s="106">
        <v>24</v>
      </c>
      <c r="CK14" s="106">
        <v>11721.599999999999</v>
      </c>
      <c r="CL14" s="106">
        <v>25</v>
      </c>
      <c r="CM14" s="106">
        <v>12210</v>
      </c>
      <c r="CN14" s="106">
        <v>13</v>
      </c>
      <c r="CO14" s="106">
        <v>6349.2</v>
      </c>
      <c r="CP14" s="106">
        <v>12</v>
      </c>
      <c r="CQ14" s="106">
        <v>5860.7999999999993</v>
      </c>
      <c r="CR14" s="106">
        <v>7</v>
      </c>
      <c r="CS14" s="106">
        <v>3418.7999999999997</v>
      </c>
      <c r="CT14" s="106">
        <v>9</v>
      </c>
      <c r="CU14" s="106">
        <v>4395.5999999999995</v>
      </c>
    </row>
    <row r="15" spans="1:99" x14ac:dyDescent="0.2">
      <c r="C15" s="105" t="s">
        <v>181</v>
      </c>
      <c r="D15" s="106">
        <v>64</v>
      </c>
      <c r="E15" s="106">
        <v>48844.799999999996</v>
      </c>
      <c r="F15" s="106">
        <v>58.789830245955145</v>
      </c>
      <c r="G15" s="106">
        <v>44868.398443712962</v>
      </c>
      <c r="H15" s="106">
        <v>0</v>
      </c>
      <c r="I15" s="106">
        <v>0</v>
      </c>
      <c r="J15" s="106">
        <v>0</v>
      </c>
      <c r="K15" s="106">
        <v>0</v>
      </c>
      <c r="L15" s="106">
        <v>13.892120429810026</v>
      </c>
      <c r="M15" s="106">
        <v>10602.466312031011</v>
      </c>
      <c r="N15" s="106">
        <v>45</v>
      </c>
      <c r="O15" s="106">
        <v>34344</v>
      </c>
      <c r="P15" s="106">
        <v>38</v>
      </c>
      <c r="Q15" s="106">
        <v>29001.599999999999</v>
      </c>
      <c r="R15" s="106">
        <v>50</v>
      </c>
      <c r="S15" s="106">
        <v>38160</v>
      </c>
      <c r="T15" s="106">
        <v>9</v>
      </c>
      <c r="U15" s="106">
        <v>6868.7999999999993</v>
      </c>
      <c r="V15" s="106">
        <v>11</v>
      </c>
      <c r="W15" s="106">
        <v>8395.1999999999989</v>
      </c>
      <c r="X15" s="106">
        <v>8</v>
      </c>
      <c r="Y15" s="106">
        <v>6105.5999999999995</v>
      </c>
      <c r="Z15" s="106">
        <v>12</v>
      </c>
      <c r="AA15" s="106">
        <v>9158.4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7</v>
      </c>
      <c r="AK15" s="106">
        <v>5342.4</v>
      </c>
      <c r="AL15" s="106">
        <v>7</v>
      </c>
      <c r="AM15" s="106">
        <v>5342.4</v>
      </c>
      <c r="AN15" s="106">
        <v>7</v>
      </c>
      <c r="AO15" s="106">
        <v>5342.4</v>
      </c>
      <c r="AP15" s="106">
        <v>8</v>
      </c>
      <c r="AQ15" s="106">
        <v>6105.5999999999995</v>
      </c>
      <c r="AR15" s="106">
        <v>11</v>
      </c>
      <c r="AS15" s="106">
        <v>8395.1999999999989</v>
      </c>
      <c r="AT15" s="106">
        <v>5</v>
      </c>
      <c r="AU15" s="106">
        <v>3815.9999999999995</v>
      </c>
      <c r="AV15" s="106">
        <v>9</v>
      </c>
      <c r="AW15" s="106">
        <v>6868.7999999999993</v>
      </c>
      <c r="AX15" s="106">
        <v>9</v>
      </c>
      <c r="AY15" s="106">
        <v>6868.7999999999993</v>
      </c>
      <c r="AZ15" s="106">
        <v>13.564117486840274</v>
      </c>
      <c r="BA15" s="106">
        <v>10352.134465956497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17.430722896637096</v>
      </c>
      <c r="BI15" s="106">
        <v>13303.127714713431</v>
      </c>
      <c r="BJ15" s="106">
        <v>37.706825465308818</v>
      </c>
      <c r="BK15" s="106">
        <v>28777.849195123687</v>
      </c>
      <c r="BL15" s="106">
        <v>28</v>
      </c>
      <c r="BM15" s="106">
        <v>21369.599999999999</v>
      </c>
      <c r="BN15" s="106">
        <v>41</v>
      </c>
      <c r="BO15" s="106">
        <v>31291.199999999997</v>
      </c>
      <c r="BP15" s="106">
        <v>7</v>
      </c>
      <c r="BQ15" s="106">
        <v>5342.4</v>
      </c>
      <c r="BR15" s="106">
        <v>7</v>
      </c>
      <c r="BS15" s="106">
        <v>5342.4</v>
      </c>
      <c r="BT15" s="106">
        <v>11</v>
      </c>
      <c r="BU15" s="106">
        <v>8395.1999999999989</v>
      </c>
      <c r="BV15" s="106">
        <v>9</v>
      </c>
      <c r="BW15" s="106">
        <v>6868.7999999999993</v>
      </c>
      <c r="BX15" s="106">
        <v>24.934051583861208</v>
      </c>
      <c r="BY15" s="106">
        <v>19029.668168802873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13.052660561747238</v>
      </c>
      <c r="CG15" s="106">
        <v>9961.7905407254912</v>
      </c>
      <c r="CH15" s="106">
        <v>15</v>
      </c>
      <c r="CI15" s="106">
        <v>11447.999999999998</v>
      </c>
      <c r="CJ15" s="106">
        <v>23</v>
      </c>
      <c r="CK15" s="106">
        <v>17553.599999999999</v>
      </c>
      <c r="CL15" s="106">
        <v>21</v>
      </c>
      <c r="CM15" s="106">
        <v>16027.199999999999</v>
      </c>
      <c r="CN15" s="106">
        <v>13</v>
      </c>
      <c r="CO15" s="106">
        <v>9921.5999999999985</v>
      </c>
      <c r="CP15" s="106">
        <v>12</v>
      </c>
      <c r="CQ15" s="106">
        <v>9158.4</v>
      </c>
      <c r="CR15" s="106">
        <v>8</v>
      </c>
      <c r="CS15" s="106">
        <v>6105.5999999999995</v>
      </c>
      <c r="CT15" s="106">
        <v>10</v>
      </c>
      <c r="CU15" s="106">
        <v>7631.9999999999991</v>
      </c>
    </row>
    <row r="16" spans="1:99" x14ac:dyDescent="0.2">
      <c r="C16" s="105" t="s">
        <v>182</v>
      </c>
      <c r="D16" s="106">
        <v>68</v>
      </c>
      <c r="E16" s="106">
        <v>23174.400000000001</v>
      </c>
      <c r="F16" s="106">
        <v>62.872457346368691</v>
      </c>
      <c r="G16" s="106">
        <v>21426.93346364245</v>
      </c>
      <c r="H16" s="106">
        <v>0</v>
      </c>
      <c r="I16" s="106">
        <v>0</v>
      </c>
      <c r="J16" s="106">
        <v>0</v>
      </c>
      <c r="K16" s="106">
        <v>0</v>
      </c>
      <c r="L16" s="106">
        <v>14.850197700831403</v>
      </c>
      <c r="M16" s="106">
        <v>5060.9473764433424</v>
      </c>
      <c r="N16" s="106">
        <v>54</v>
      </c>
      <c r="O16" s="106">
        <v>18403.2</v>
      </c>
      <c r="P16" s="106">
        <v>43</v>
      </c>
      <c r="Q16" s="106">
        <v>14654.4</v>
      </c>
      <c r="R16" s="106">
        <v>59</v>
      </c>
      <c r="S16" s="106">
        <v>20107.2</v>
      </c>
      <c r="T16" s="106">
        <v>9</v>
      </c>
      <c r="U16" s="106">
        <v>3067.2000000000003</v>
      </c>
      <c r="V16" s="106">
        <v>10</v>
      </c>
      <c r="W16" s="106">
        <v>3408</v>
      </c>
      <c r="X16" s="106">
        <v>8</v>
      </c>
      <c r="Y16" s="106">
        <v>2726.4</v>
      </c>
      <c r="Z16" s="106">
        <v>13</v>
      </c>
      <c r="AA16" s="106">
        <v>4430.4000000000005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7</v>
      </c>
      <c r="AK16" s="106">
        <v>2385.6</v>
      </c>
      <c r="AL16" s="106">
        <v>8</v>
      </c>
      <c r="AM16" s="106">
        <v>2726.4</v>
      </c>
      <c r="AN16" s="106">
        <v>8</v>
      </c>
      <c r="AO16" s="106">
        <v>2726.4</v>
      </c>
      <c r="AP16" s="106">
        <v>9</v>
      </c>
      <c r="AQ16" s="106">
        <v>3067.2000000000003</v>
      </c>
      <c r="AR16" s="106">
        <v>12</v>
      </c>
      <c r="AS16" s="106">
        <v>4089.6000000000004</v>
      </c>
      <c r="AT16" s="106">
        <v>6</v>
      </c>
      <c r="AU16" s="106">
        <v>2044.8000000000002</v>
      </c>
      <c r="AV16" s="106">
        <v>9</v>
      </c>
      <c r="AW16" s="106">
        <v>3067.2000000000003</v>
      </c>
      <c r="AX16" s="106">
        <v>8</v>
      </c>
      <c r="AY16" s="106">
        <v>2726.4</v>
      </c>
      <c r="AZ16" s="106">
        <v>12.358418154676693</v>
      </c>
      <c r="BA16" s="106">
        <v>4211.748907113817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15.196014832965673</v>
      </c>
      <c r="BI16" s="106">
        <v>5178.801855074702</v>
      </c>
      <c r="BJ16" s="106">
        <v>40.337534218702451</v>
      </c>
      <c r="BK16" s="106">
        <v>13747.031661733796</v>
      </c>
      <c r="BL16" s="106">
        <v>26</v>
      </c>
      <c r="BM16" s="106">
        <v>8860.8000000000011</v>
      </c>
      <c r="BN16" s="106">
        <v>47</v>
      </c>
      <c r="BO16" s="106">
        <v>16017.6</v>
      </c>
      <c r="BP16" s="106">
        <v>8</v>
      </c>
      <c r="BQ16" s="106">
        <v>2726.4</v>
      </c>
      <c r="BR16" s="106">
        <v>9</v>
      </c>
      <c r="BS16" s="106">
        <v>3067.2000000000003</v>
      </c>
      <c r="BT16" s="106">
        <v>11</v>
      </c>
      <c r="BU16" s="106">
        <v>3748.8</v>
      </c>
      <c r="BV16" s="106">
        <v>9</v>
      </c>
      <c r="BW16" s="106">
        <v>3067.2000000000003</v>
      </c>
      <c r="BX16" s="106">
        <v>28.450392191841633</v>
      </c>
      <c r="BY16" s="106">
        <v>9695.8936589796285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13.922837932530388</v>
      </c>
      <c r="CG16" s="106">
        <v>4744.9031674063563</v>
      </c>
      <c r="CH16" s="106">
        <v>16</v>
      </c>
      <c r="CI16" s="106">
        <v>5452.8</v>
      </c>
      <c r="CJ16" s="106">
        <v>26</v>
      </c>
      <c r="CK16" s="106">
        <v>8860.8000000000011</v>
      </c>
      <c r="CL16" s="106">
        <v>25</v>
      </c>
      <c r="CM16" s="106">
        <v>8520</v>
      </c>
      <c r="CN16" s="106">
        <v>15</v>
      </c>
      <c r="CO16" s="106">
        <v>5112</v>
      </c>
      <c r="CP16" s="106">
        <v>13</v>
      </c>
      <c r="CQ16" s="106">
        <v>4430.4000000000005</v>
      </c>
      <c r="CR16" s="106">
        <v>8</v>
      </c>
      <c r="CS16" s="106">
        <v>2726.4</v>
      </c>
      <c r="CT16" s="106">
        <v>9</v>
      </c>
      <c r="CU16" s="106">
        <v>3067.2000000000003</v>
      </c>
    </row>
    <row r="17" spans="2:99" x14ac:dyDescent="0.2">
      <c r="C17" s="105" t="s">
        <v>183</v>
      </c>
      <c r="D17" s="106">
        <v>66</v>
      </c>
      <c r="E17" s="106">
        <v>27878.399999999998</v>
      </c>
      <c r="F17" s="106">
        <v>57.15677940578972</v>
      </c>
      <c r="G17" s="106">
        <v>24143.023621005577</v>
      </c>
      <c r="H17" s="106">
        <v>0</v>
      </c>
      <c r="I17" s="106">
        <v>0</v>
      </c>
      <c r="J17" s="106">
        <v>0</v>
      </c>
      <c r="K17" s="106">
        <v>0</v>
      </c>
      <c r="L17" s="106">
        <v>14.371159065320715</v>
      </c>
      <c r="M17" s="106">
        <v>6070.3775891914693</v>
      </c>
      <c r="N17" s="106">
        <v>57</v>
      </c>
      <c r="O17" s="106">
        <v>24076.799999999999</v>
      </c>
      <c r="P17" s="106">
        <v>41</v>
      </c>
      <c r="Q17" s="106">
        <v>17318.399999999998</v>
      </c>
      <c r="R17" s="106">
        <v>54</v>
      </c>
      <c r="S17" s="106">
        <v>22809.599999999999</v>
      </c>
      <c r="T17" s="106">
        <v>8</v>
      </c>
      <c r="U17" s="106">
        <v>3379.2</v>
      </c>
      <c r="V17" s="106">
        <v>12</v>
      </c>
      <c r="W17" s="106">
        <v>5068.7999999999993</v>
      </c>
      <c r="X17" s="106">
        <v>7</v>
      </c>
      <c r="Y17" s="106">
        <v>2956.7999999999997</v>
      </c>
      <c r="Z17" s="106">
        <v>13</v>
      </c>
      <c r="AA17" s="106">
        <v>5491.2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7</v>
      </c>
      <c r="AK17" s="106">
        <v>2956.7999999999997</v>
      </c>
      <c r="AL17" s="106">
        <v>7</v>
      </c>
      <c r="AM17" s="106">
        <v>2956.7999999999997</v>
      </c>
      <c r="AN17" s="106">
        <v>7</v>
      </c>
      <c r="AO17" s="106">
        <v>2956.7999999999997</v>
      </c>
      <c r="AP17" s="106">
        <v>8</v>
      </c>
      <c r="AQ17" s="106">
        <v>3379.2</v>
      </c>
      <c r="AR17" s="106">
        <v>11</v>
      </c>
      <c r="AS17" s="106">
        <v>4646.3999999999996</v>
      </c>
      <c r="AT17" s="106">
        <v>5</v>
      </c>
      <c r="AU17" s="106">
        <v>2112</v>
      </c>
      <c r="AV17" s="106">
        <v>9</v>
      </c>
      <c r="AW17" s="106">
        <v>3801.6</v>
      </c>
      <c r="AX17" s="106">
        <v>8</v>
      </c>
      <c r="AY17" s="106">
        <v>3379.2</v>
      </c>
      <c r="AZ17" s="106">
        <v>14.468391985962958</v>
      </c>
      <c r="BA17" s="106">
        <v>6111.4487748707534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17.430722896637096</v>
      </c>
      <c r="BI17" s="106">
        <v>7362.7373515395093</v>
      </c>
      <c r="BJ17" s="106">
        <v>33.32231087631942</v>
      </c>
      <c r="BK17" s="106">
        <v>14075.344114157322</v>
      </c>
      <c r="BL17" s="106">
        <v>27</v>
      </c>
      <c r="BM17" s="106">
        <v>11404.8</v>
      </c>
      <c r="BN17" s="106">
        <v>49</v>
      </c>
      <c r="BO17" s="106">
        <v>20697.599999999999</v>
      </c>
      <c r="BP17" s="106">
        <v>7</v>
      </c>
      <c r="BQ17" s="106">
        <v>2956.7999999999997</v>
      </c>
      <c r="BR17" s="106">
        <v>7</v>
      </c>
      <c r="BS17" s="106">
        <v>2956.7999999999997</v>
      </c>
      <c r="BT17" s="106">
        <v>13</v>
      </c>
      <c r="BU17" s="106">
        <v>5491.2</v>
      </c>
      <c r="BV17" s="106">
        <v>9</v>
      </c>
      <c r="BW17" s="106">
        <v>3801.6</v>
      </c>
      <c r="BX17" s="106">
        <v>27.491390207846973</v>
      </c>
      <c r="BY17" s="106">
        <v>11612.36322379456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13.052660561747238</v>
      </c>
      <c r="CG17" s="106">
        <v>5513.4438212820332</v>
      </c>
      <c r="CH17" s="106">
        <v>17</v>
      </c>
      <c r="CI17" s="106">
        <v>7180.7999999999993</v>
      </c>
      <c r="CJ17" s="106">
        <v>22</v>
      </c>
      <c r="CK17" s="106">
        <v>9292.7999999999993</v>
      </c>
      <c r="CL17" s="106">
        <v>22</v>
      </c>
      <c r="CM17" s="106">
        <v>9292.7999999999993</v>
      </c>
      <c r="CN17" s="106">
        <v>13</v>
      </c>
      <c r="CO17" s="106">
        <v>5491.2</v>
      </c>
      <c r="CP17" s="106">
        <v>11</v>
      </c>
      <c r="CQ17" s="106">
        <v>4646.3999999999996</v>
      </c>
      <c r="CR17" s="106">
        <v>8</v>
      </c>
      <c r="CS17" s="106">
        <v>3379.2</v>
      </c>
      <c r="CT17" s="106">
        <v>10</v>
      </c>
      <c r="CU17" s="106">
        <v>4224</v>
      </c>
    </row>
    <row r="18" spans="2:99" x14ac:dyDescent="0.2">
      <c r="C18" s="105" t="s">
        <v>184</v>
      </c>
      <c r="D18" s="106">
        <v>63</v>
      </c>
      <c r="E18" s="106">
        <v>41126.399999999994</v>
      </c>
      <c r="F18" s="106">
        <v>61.239406506203274</v>
      </c>
      <c r="G18" s="106">
        <v>39977.084567249498</v>
      </c>
      <c r="H18" s="106">
        <v>0</v>
      </c>
      <c r="I18" s="106">
        <v>0</v>
      </c>
      <c r="J18" s="106">
        <v>0</v>
      </c>
      <c r="K18" s="106">
        <v>0</v>
      </c>
      <c r="L18" s="106">
        <v>16.287313607363476</v>
      </c>
      <c r="M18" s="106">
        <v>10632.358322886876</v>
      </c>
      <c r="N18" s="106">
        <v>50</v>
      </c>
      <c r="O18" s="106">
        <v>32639.999999999996</v>
      </c>
      <c r="P18" s="106">
        <v>37</v>
      </c>
      <c r="Q18" s="106">
        <v>24153.599999999999</v>
      </c>
      <c r="R18" s="106">
        <v>56</v>
      </c>
      <c r="S18" s="106">
        <v>36556.799999999996</v>
      </c>
      <c r="T18" s="106">
        <v>9</v>
      </c>
      <c r="U18" s="106">
        <v>5875.2</v>
      </c>
      <c r="V18" s="106">
        <v>11</v>
      </c>
      <c r="W18" s="106">
        <v>7180.7999999999993</v>
      </c>
      <c r="X18" s="106">
        <v>7</v>
      </c>
      <c r="Y18" s="106">
        <v>4569.5999999999995</v>
      </c>
      <c r="Z18" s="106">
        <v>12</v>
      </c>
      <c r="AA18" s="106">
        <v>7833.5999999999995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7</v>
      </c>
      <c r="AK18" s="106">
        <v>4569.5999999999995</v>
      </c>
      <c r="AL18" s="106">
        <v>8</v>
      </c>
      <c r="AM18" s="106">
        <v>5222.3999999999996</v>
      </c>
      <c r="AN18" s="106">
        <v>7</v>
      </c>
      <c r="AO18" s="106">
        <v>4569.5999999999995</v>
      </c>
      <c r="AP18" s="106">
        <v>8</v>
      </c>
      <c r="AQ18" s="106">
        <v>5222.3999999999996</v>
      </c>
      <c r="AR18" s="106">
        <v>10</v>
      </c>
      <c r="AS18" s="106">
        <v>6528</v>
      </c>
      <c r="AT18" s="106">
        <v>5</v>
      </c>
      <c r="AU18" s="106">
        <v>3264</v>
      </c>
      <c r="AV18" s="106">
        <v>9</v>
      </c>
      <c r="AW18" s="106">
        <v>5875.2</v>
      </c>
      <c r="AX18" s="106">
        <v>7</v>
      </c>
      <c r="AY18" s="106">
        <v>4569.5999999999995</v>
      </c>
      <c r="AZ18" s="106">
        <v>12.961267820758485</v>
      </c>
      <c r="BA18" s="106">
        <v>8461.1156333911385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15.196014832965673</v>
      </c>
      <c r="BI18" s="106">
        <v>9919.9584829599917</v>
      </c>
      <c r="BJ18" s="106">
        <v>33.32231087631942</v>
      </c>
      <c r="BK18" s="106">
        <v>21752.804540061315</v>
      </c>
      <c r="BL18" s="106">
        <v>25</v>
      </c>
      <c r="BM18" s="106">
        <v>16319.999999999998</v>
      </c>
      <c r="BN18" s="106">
        <v>49</v>
      </c>
      <c r="BO18" s="106">
        <v>31987.199999999997</v>
      </c>
      <c r="BP18" s="106">
        <v>7</v>
      </c>
      <c r="BQ18" s="106">
        <v>4569.5999999999995</v>
      </c>
      <c r="BR18" s="106">
        <v>8</v>
      </c>
      <c r="BS18" s="106">
        <v>5222.3999999999996</v>
      </c>
      <c r="BT18" s="106">
        <v>11</v>
      </c>
      <c r="BU18" s="106">
        <v>7180.7999999999993</v>
      </c>
      <c r="BV18" s="106">
        <v>9</v>
      </c>
      <c r="BW18" s="106">
        <v>5875.2</v>
      </c>
      <c r="BX18" s="106">
        <v>26.852055551850533</v>
      </c>
      <c r="BY18" s="106">
        <v>17529.021864248029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13.922837932530388</v>
      </c>
      <c r="CG18" s="106">
        <v>9088.8286023558376</v>
      </c>
      <c r="CH18" s="106">
        <v>16</v>
      </c>
      <c r="CI18" s="106">
        <v>10444.799999999999</v>
      </c>
      <c r="CJ18" s="106">
        <v>24</v>
      </c>
      <c r="CK18" s="106">
        <v>15667.199999999999</v>
      </c>
      <c r="CL18" s="106">
        <v>22</v>
      </c>
      <c r="CM18" s="106">
        <v>14361.599999999999</v>
      </c>
      <c r="CN18" s="106">
        <v>12</v>
      </c>
      <c r="CO18" s="106">
        <v>7833.5999999999995</v>
      </c>
      <c r="CP18" s="106">
        <v>12</v>
      </c>
      <c r="CQ18" s="106">
        <v>7833.5999999999995</v>
      </c>
      <c r="CR18" s="106">
        <v>8</v>
      </c>
      <c r="CS18" s="106">
        <v>5222.3999999999996</v>
      </c>
      <c r="CT18" s="106">
        <v>11</v>
      </c>
      <c r="CU18" s="106">
        <v>7180.7999999999993</v>
      </c>
    </row>
    <row r="19" spans="2:99" x14ac:dyDescent="0.2">
      <c r="C19" s="105" t="s">
        <v>185</v>
      </c>
      <c r="D19" s="106">
        <v>60</v>
      </c>
      <c r="E19" s="106">
        <v>19800</v>
      </c>
      <c r="F19" s="106">
        <v>66.138559026699525</v>
      </c>
      <c r="G19" s="106">
        <v>21825.724478810844</v>
      </c>
      <c r="H19" s="106">
        <v>0</v>
      </c>
      <c r="I19" s="106">
        <v>0</v>
      </c>
      <c r="J19" s="106">
        <v>0</v>
      </c>
      <c r="K19" s="106">
        <v>0</v>
      </c>
      <c r="L19" s="106">
        <v>15.808274971852786</v>
      </c>
      <c r="M19" s="106">
        <v>5216.7307407114195</v>
      </c>
      <c r="N19" s="106">
        <v>56</v>
      </c>
      <c r="O19" s="106">
        <v>18480</v>
      </c>
      <c r="P19" s="106">
        <v>38</v>
      </c>
      <c r="Q19" s="106">
        <v>12540</v>
      </c>
      <c r="R19" s="106">
        <v>50</v>
      </c>
      <c r="S19" s="106">
        <v>16500</v>
      </c>
      <c r="T19" s="106">
        <v>9</v>
      </c>
      <c r="U19" s="106">
        <v>2970</v>
      </c>
      <c r="V19" s="106">
        <v>12</v>
      </c>
      <c r="W19" s="106">
        <v>3960</v>
      </c>
      <c r="X19" s="106">
        <v>7</v>
      </c>
      <c r="Y19" s="106">
        <v>2310</v>
      </c>
      <c r="Z19" s="106">
        <v>13</v>
      </c>
      <c r="AA19" s="106">
        <v>4290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8</v>
      </c>
      <c r="AK19" s="106">
        <v>2640</v>
      </c>
      <c r="AL19" s="106">
        <v>7</v>
      </c>
      <c r="AM19" s="106">
        <v>2310</v>
      </c>
      <c r="AN19" s="106">
        <v>7</v>
      </c>
      <c r="AO19" s="106">
        <v>2310</v>
      </c>
      <c r="AP19" s="106">
        <v>8</v>
      </c>
      <c r="AQ19" s="106">
        <v>2640</v>
      </c>
      <c r="AR19" s="106">
        <v>11</v>
      </c>
      <c r="AS19" s="106">
        <v>3630</v>
      </c>
      <c r="AT19" s="106">
        <v>6</v>
      </c>
      <c r="AU19" s="106">
        <v>1980</v>
      </c>
      <c r="AV19" s="106">
        <v>8</v>
      </c>
      <c r="AW19" s="106">
        <v>2640</v>
      </c>
      <c r="AX19" s="106">
        <v>7</v>
      </c>
      <c r="AY19" s="106">
        <v>2310</v>
      </c>
      <c r="AZ19" s="106">
        <v>14.166967152922064</v>
      </c>
      <c r="BA19" s="106">
        <v>4675.0991604642813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17.877664509371382</v>
      </c>
      <c r="BI19" s="106">
        <v>5899.6292880925557</v>
      </c>
      <c r="BJ19" s="106">
        <v>34.199213794117298</v>
      </c>
      <c r="BK19" s="106">
        <v>11285.740552058709</v>
      </c>
      <c r="BL19" s="106">
        <v>27</v>
      </c>
      <c r="BM19" s="106">
        <v>8910</v>
      </c>
      <c r="BN19" s="106">
        <v>44</v>
      </c>
      <c r="BO19" s="106">
        <v>14520</v>
      </c>
      <c r="BP19" s="106">
        <v>7</v>
      </c>
      <c r="BQ19" s="106">
        <v>2310</v>
      </c>
      <c r="BR19" s="106">
        <v>8</v>
      </c>
      <c r="BS19" s="106">
        <v>2640</v>
      </c>
      <c r="BT19" s="106">
        <v>11</v>
      </c>
      <c r="BU19" s="106">
        <v>3630</v>
      </c>
      <c r="BV19" s="106">
        <v>8</v>
      </c>
      <c r="BW19" s="106">
        <v>2640</v>
      </c>
      <c r="BX19" s="106">
        <v>26.532388223852312</v>
      </c>
      <c r="BY19" s="106">
        <v>8755.6881138712633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13.922837932530388</v>
      </c>
      <c r="CG19" s="106">
        <v>4594.5365177350286</v>
      </c>
      <c r="CH19" s="106">
        <v>17</v>
      </c>
      <c r="CI19" s="106">
        <v>5610</v>
      </c>
      <c r="CJ19" s="106">
        <v>25</v>
      </c>
      <c r="CK19" s="106">
        <v>8250</v>
      </c>
      <c r="CL19" s="106">
        <v>22</v>
      </c>
      <c r="CM19" s="106">
        <v>7260</v>
      </c>
      <c r="CN19" s="106">
        <v>13</v>
      </c>
      <c r="CO19" s="106">
        <v>4290</v>
      </c>
      <c r="CP19" s="106">
        <v>13</v>
      </c>
      <c r="CQ19" s="106">
        <v>4290</v>
      </c>
      <c r="CR19" s="106">
        <v>7</v>
      </c>
      <c r="CS19" s="106">
        <v>2310</v>
      </c>
      <c r="CT19" s="106">
        <v>11</v>
      </c>
      <c r="CU19" s="106">
        <v>3630</v>
      </c>
    </row>
    <row r="20" spans="2:99" x14ac:dyDescent="0.2">
      <c r="B20" s="105" t="s">
        <v>127</v>
      </c>
      <c r="C20" s="105" t="s">
        <v>186</v>
      </c>
      <c r="D20" s="106">
        <v>36</v>
      </c>
      <c r="E20" s="106">
        <v>10324.800000000001</v>
      </c>
      <c r="F20" s="106">
        <v>18.780084661902336</v>
      </c>
      <c r="G20" s="106">
        <v>5386.1282810335906</v>
      </c>
      <c r="H20" s="106">
        <v>0</v>
      </c>
      <c r="I20" s="106">
        <v>0</v>
      </c>
      <c r="J20" s="106">
        <v>0</v>
      </c>
      <c r="K20" s="106">
        <v>0</v>
      </c>
      <c r="L20" s="106">
        <v>9.5807727102138092</v>
      </c>
      <c r="M20" s="106">
        <v>2747.7656132893208</v>
      </c>
      <c r="N20" s="106">
        <v>38</v>
      </c>
      <c r="O20" s="106">
        <v>10898.4</v>
      </c>
      <c r="P20" s="106">
        <v>29</v>
      </c>
      <c r="Q20" s="106">
        <v>8317.2000000000007</v>
      </c>
      <c r="R20" s="106">
        <v>25</v>
      </c>
      <c r="S20" s="106">
        <v>7170</v>
      </c>
      <c r="T20" s="106">
        <v>25</v>
      </c>
      <c r="U20" s="106">
        <v>7170</v>
      </c>
      <c r="V20" s="106">
        <v>20</v>
      </c>
      <c r="W20" s="106">
        <v>5736</v>
      </c>
      <c r="X20" s="106">
        <v>17</v>
      </c>
      <c r="Y20" s="106">
        <v>4875.6000000000004</v>
      </c>
      <c r="Z20" s="106">
        <v>22</v>
      </c>
      <c r="AA20" s="106">
        <v>6309.6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13</v>
      </c>
      <c r="AK20" s="106">
        <v>3728.4</v>
      </c>
      <c r="AL20" s="106">
        <v>12</v>
      </c>
      <c r="AM20" s="106">
        <v>3441.6000000000004</v>
      </c>
      <c r="AN20" s="106">
        <v>9</v>
      </c>
      <c r="AO20" s="106">
        <v>2581.2000000000003</v>
      </c>
      <c r="AP20" s="106">
        <v>11</v>
      </c>
      <c r="AQ20" s="106">
        <v>3154.8</v>
      </c>
      <c r="AR20" s="106">
        <v>13</v>
      </c>
      <c r="AS20" s="106">
        <v>3728.4</v>
      </c>
      <c r="AT20" s="106">
        <v>13</v>
      </c>
      <c r="AU20" s="106">
        <v>3728.4</v>
      </c>
      <c r="AV20" s="106">
        <v>9</v>
      </c>
      <c r="AW20" s="106">
        <v>2581.2000000000003</v>
      </c>
      <c r="AX20" s="106">
        <v>11</v>
      </c>
      <c r="AY20" s="106">
        <v>3154.8</v>
      </c>
      <c r="AZ20" s="106">
        <v>2.7128234973680549</v>
      </c>
      <c r="BA20" s="106">
        <v>778.03777904515823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9.3857738674199744</v>
      </c>
      <c r="BI20" s="106">
        <v>2691.8399451760488</v>
      </c>
      <c r="BJ20" s="106">
        <v>32.445407958521542</v>
      </c>
      <c r="BK20" s="106">
        <v>9305.3430025039779</v>
      </c>
      <c r="BL20" s="106">
        <v>40</v>
      </c>
      <c r="BM20" s="106">
        <v>11472</v>
      </c>
      <c r="BN20" s="106">
        <v>22</v>
      </c>
      <c r="BO20" s="106">
        <v>6309.6</v>
      </c>
      <c r="BP20" s="106">
        <v>27</v>
      </c>
      <c r="BQ20" s="106">
        <v>7743.6</v>
      </c>
      <c r="BR20" s="106">
        <v>18</v>
      </c>
      <c r="BS20" s="106">
        <v>5162.4000000000005</v>
      </c>
      <c r="BT20" s="106">
        <v>24</v>
      </c>
      <c r="BU20" s="106">
        <v>6883.2000000000007</v>
      </c>
      <c r="BV20" s="106">
        <v>22</v>
      </c>
      <c r="BW20" s="106">
        <v>6309.6</v>
      </c>
      <c r="BX20" s="106">
        <v>7.0326812159608529</v>
      </c>
      <c r="BY20" s="106">
        <v>2016.9729727375727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93.979156044580137</v>
      </c>
      <c r="CG20" s="106">
        <v>26953.221953585584</v>
      </c>
      <c r="CH20" s="106">
        <v>94</v>
      </c>
      <c r="CI20" s="106">
        <v>26959.200000000001</v>
      </c>
      <c r="CJ20" s="106">
        <v>72</v>
      </c>
      <c r="CK20" s="106">
        <v>20649.600000000002</v>
      </c>
      <c r="CL20" s="106">
        <v>76</v>
      </c>
      <c r="CM20" s="106">
        <v>21796.799999999999</v>
      </c>
      <c r="CN20" s="106">
        <v>64</v>
      </c>
      <c r="CO20" s="106">
        <v>18355.2</v>
      </c>
      <c r="CP20" s="106">
        <v>56</v>
      </c>
      <c r="CQ20" s="106">
        <v>16060.800000000001</v>
      </c>
      <c r="CR20" s="106">
        <v>41</v>
      </c>
      <c r="CS20" s="106">
        <v>11758.800000000001</v>
      </c>
      <c r="CT20" s="106">
        <v>46</v>
      </c>
      <c r="CU20" s="106">
        <v>13192.800000000001</v>
      </c>
    </row>
    <row r="21" spans="2:99" x14ac:dyDescent="0.2">
      <c r="C21" s="105" t="s">
        <v>187</v>
      </c>
      <c r="D21" s="106">
        <v>35</v>
      </c>
      <c r="E21" s="106">
        <v>2184</v>
      </c>
      <c r="F21" s="106">
        <v>19.596610081985045</v>
      </c>
      <c r="G21" s="106">
        <v>1222.8284691158667</v>
      </c>
      <c r="H21" s="106">
        <v>0</v>
      </c>
      <c r="I21" s="106">
        <v>0</v>
      </c>
      <c r="J21" s="106">
        <v>0</v>
      </c>
      <c r="K21" s="106">
        <v>0</v>
      </c>
      <c r="L21" s="106">
        <v>9.5807727102138092</v>
      </c>
      <c r="M21" s="106">
        <v>597.84021711734169</v>
      </c>
      <c r="N21" s="106">
        <v>39</v>
      </c>
      <c r="O21" s="106">
        <v>2433.6</v>
      </c>
      <c r="P21" s="106">
        <v>33</v>
      </c>
      <c r="Q21" s="106">
        <v>2059.1999999999998</v>
      </c>
      <c r="R21" s="106">
        <v>22</v>
      </c>
      <c r="S21" s="106">
        <v>1372.8</v>
      </c>
      <c r="T21" s="106">
        <v>23</v>
      </c>
      <c r="U21" s="106">
        <v>1435.2</v>
      </c>
      <c r="V21" s="106">
        <v>19</v>
      </c>
      <c r="W21" s="106">
        <v>1185.5999999999999</v>
      </c>
      <c r="X21" s="106">
        <v>20</v>
      </c>
      <c r="Y21" s="106">
        <v>1248</v>
      </c>
      <c r="Z21" s="106">
        <v>21</v>
      </c>
      <c r="AA21" s="106">
        <v>1310.3999999999999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13</v>
      </c>
      <c r="AK21" s="106">
        <v>811.19999999999993</v>
      </c>
      <c r="AL21" s="106">
        <v>12</v>
      </c>
      <c r="AM21" s="106">
        <v>748.8</v>
      </c>
      <c r="AN21" s="106">
        <v>10</v>
      </c>
      <c r="AO21" s="106">
        <v>624</v>
      </c>
      <c r="AP21" s="106">
        <v>12</v>
      </c>
      <c r="AQ21" s="106">
        <v>748.8</v>
      </c>
      <c r="AR21" s="106">
        <v>12</v>
      </c>
      <c r="AS21" s="106">
        <v>748.8</v>
      </c>
      <c r="AT21" s="106">
        <v>13</v>
      </c>
      <c r="AU21" s="106">
        <v>811.19999999999993</v>
      </c>
      <c r="AV21" s="106">
        <v>9</v>
      </c>
      <c r="AW21" s="106">
        <v>561.6</v>
      </c>
      <c r="AX21" s="106">
        <v>11</v>
      </c>
      <c r="AY21" s="106">
        <v>686.4</v>
      </c>
      <c r="AZ21" s="106">
        <v>2.7128234973680549</v>
      </c>
      <c r="BA21" s="106">
        <v>169.28018623576662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10.279657092888543</v>
      </c>
      <c r="BI21" s="106">
        <v>641.45060259624506</v>
      </c>
      <c r="BJ21" s="106">
        <v>35.076116711915176</v>
      </c>
      <c r="BK21" s="106">
        <v>2188.7496828235071</v>
      </c>
      <c r="BL21" s="106">
        <v>46</v>
      </c>
      <c r="BM21" s="106">
        <v>2870.4</v>
      </c>
      <c r="BN21" s="106">
        <v>27</v>
      </c>
      <c r="BO21" s="106">
        <v>1684.8</v>
      </c>
      <c r="BP21" s="106">
        <v>30</v>
      </c>
      <c r="BQ21" s="106">
        <v>1872</v>
      </c>
      <c r="BR21" s="106">
        <v>17</v>
      </c>
      <c r="BS21" s="106">
        <v>1060.8</v>
      </c>
      <c r="BT21" s="106">
        <v>25</v>
      </c>
      <c r="BU21" s="106">
        <v>1560</v>
      </c>
      <c r="BV21" s="106">
        <v>20</v>
      </c>
      <c r="BW21" s="106">
        <v>1248</v>
      </c>
      <c r="BX21" s="106">
        <v>7.0326812159608529</v>
      </c>
      <c r="BY21" s="106">
        <v>438.83930787595722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100.94057501084534</v>
      </c>
      <c r="CG21" s="106">
        <v>6298.691880676749</v>
      </c>
      <c r="CH21" s="106">
        <v>99</v>
      </c>
      <c r="CI21" s="106">
        <v>6177.5999999999995</v>
      </c>
      <c r="CJ21" s="106">
        <v>72</v>
      </c>
      <c r="CK21" s="106">
        <v>4492.8</v>
      </c>
      <c r="CL21" s="106">
        <v>78</v>
      </c>
      <c r="CM21" s="106">
        <v>4867.2</v>
      </c>
      <c r="CN21" s="106">
        <v>69</v>
      </c>
      <c r="CO21" s="106">
        <v>4305.5999999999995</v>
      </c>
      <c r="CP21" s="106">
        <v>54</v>
      </c>
      <c r="CQ21" s="106">
        <v>3369.6</v>
      </c>
      <c r="CR21" s="106">
        <v>49</v>
      </c>
      <c r="CS21" s="106">
        <v>3057.6</v>
      </c>
      <c r="CT21" s="106">
        <v>50</v>
      </c>
      <c r="CU21" s="106">
        <v>3120</v>
      </c>
    </row>
    <row r="22" spans="2:99" x14ac:dyDescent="0.2">
      <c r="C22" s="105" t="s">
        <v>188</v>
      </c>
      <c r="D22" s="106">
        <v>35</v>
      </c>
      <c r="E22" s="106">
        <v>6552</v>
      </c>
      <c r="F22" s="106">
        <v>18.780084661902336</v>
      </c>
      <c r="G22" s="106">
        <v>3515.6318487081171</v>
      </c>
      <c r="H22" s="106">
        <v>0</v>
      </c>
      <c r="I22" s="106">
        <v>0</v>
      </c>
      <c r="J22" s="106">
        <v>0</v>
      </c>
      <c r="K22" s="106">
        <v>0</v>
      </c>
      <c r="L22" s="106">
        <v>9.1017340747031188</v>
      </c>
      <c r="M22" s="106">
        <v>1703.8446187844238</v>
      </c>
      <c r="N22" s="106">
        <v>34</v>
      </c>
      <c r="O22" s="106">
        <v>6364.7999999999993</v>
      </c>
      <c r="P22" s="106">
        <v>31</v>
      </c>
      <c r="Q22" s="106">
        <v>5803.2</v>
      </c>
      <c r="R22" s="106">
        <v>25</v>
      </c>
      <c r="S22" s="106">
        <v>4680</v>
      </c>
      <c r="T22" s="106">
        <v>22</v>
      </c>
      <c r="U22" s="106">
        <v>4118.3999999999996</v>
      </c>
      <c r="V22" s="106">
        <v>21</v>
      </c>
      <c r="W22" s="106">
        <v>3931.2</v>
      </c>
      <c r="X22" s="106">
        <v>19</v>
      </c>
      <c r="Y22" s="106">
        <v>3556.7999999999997</v>
      </c>
      <c r="Z22" s="106">
        <v>20</v>
      </c>
      <c r="AA22" s="106">
        <v>3744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13</v>
      </c>
      <c r="AK22" s="106">
        <v>2433.6</v>
      </c>
      <c r="AL22" s="106">
        <v>12</v>
      </c>
      <c r="AM22" s="106">
        <v>2246.3999999999996</v>
      </c>
      <c r="AN22" s="106">
        <v>10</v>
      </c>
      <c r="AO22" s="106">
        <v>1872</v>
      </c>
      <c r="AP22" s="106">
        <v>12</v>
      </c>
      <c r="AQ22" s="106">
        <v>2246.3999999999996</v>
      </c>
      <c r="AR22" s="106">
        <v>12</v>
      </c>
      <c r="AS22" s="106">
        <v>2246.3999999999996</v>
      </c>
      <c r="AT22" s="106">
        <v>13</v>
      </c>
      <c r="AU22" s="106">
        <v>2433.6</v>
      </c>
      <c r="AV22" s="106">
        <v>9</v>
      </c>
      <c r="AW22" s="106">
        <v>1684.8</v>
      </c>
      <c r="AX22" s="106">
        <v>11</v>
      </c>
      <c r="AY22" s="106">
        <v>2059.1999999999998</v>
      </c>
      <c r="AZ22" s="106">
        <v>3.0142483304089494</v>
      </c>
      <c r="BA22" s="106">
        <v>564.26728745255525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10.726598705622829</v>
      </c>
      <c r="BI22" s="106">
        <v>2008.0192776925935</v>
      </c>
      <c r="BJ22" s="106">
        <v>35.953019629713062</v>
      </c>
      <c r="BK22" s="106">
        <v>6730.4052746822845</v>
      </c>
      <c r="BL22" s="106">
        <v>44</v>
      </c>
      <c r="BM22" s="106">
        <v>8236.7999999999993</v>
      </c>
      <c r="BN22" s="106">
        <v>25</v>
      </c>
      <c r="BO22" s="106">
        <v>4680</v>
      </c>
      <c r="BP22" s="106">
        <v>29</v>
      </c>
      <c r="BQ22" s="106">
        <v>5428.7999999999993</v>
      </c>
      <c r="BR22" s="106">
        <v>17</v>
      </c>
      <c r="BS22" s="106">
        <v>3182.3999999999996</v>
      </c>
      <c r="BT22" s="106">
        <v>21</v>
      </c>
      <c r="BU22" s="106">
        <v>3931.2</v>
      </c>
      <c r="BV22" s="106">
        <v>20</v>
      </c>
      <c r="BW22" s="106">
        <v>3744</v>
      </c>
      <c r="BX22" s="106">
        <v>7.6720158719572948</v>
      </c>
      <c r="BY22" s="106">
        <v>1436.2013712304056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100.07039764006218</v>
      </c>
      <c r="CG22" s="106">
        <v>18733.178438219638</v>
      </c>
      <c r="CH22" s="106">
        <v>96</v>
      </c>
      <c r="CI22" s="106">
        <v>17971.199999999997</v>
      </c>
      <c r="CJ22" s="106">
        <v>80</v>
      </c>
      <c r="CK22" s="106">
        <v>14976</v>
      </c>
      <c r="CL22" s="106">
        <v>87</v>
      </c>
      <c r="CM22" s="106">
        <v>16286.4</v>
      </c>
      <c r="CN22" s="106">
        <v>61</v>
      </c>
      <c r="CO22" s="106">
        <v>11419.199999999999</v>
      </c>
      <c r="CP22" s="106">
        <v>51</v>
      </c>
      <c r="CQ22" s="106">
        <v>9547.1999999999989</v>
      </c>
      <c r="CR22" s="106">
        <v>43</v>
      </c>
      <c r="CS22" s="106">
        <v>8049.5999999999995</v>
      </c>
      <c r="CT22" s="106">
        <v>47</v>
      </c>
      <c r="CU22" s="106">
        <v>8798.4</v>
      </c>
    </row>
    <row r="23" spans="2:99" x14ac:dyDescent="0.2">
      <c r="C23" s="105" t="s">
        <v>189</v>
      </c>
      <c r="D23" s="106">
        <v>33</v>
      </c>
      <c r="E23" s="106">
        <v>9702</v>
      </c>
      <c r="F23" s="106">
        <v>17.963559241819627</v>
      </c>
      <c r="G23" s="106">
        <v>5281.2864170949706</v>
      </c>
      <c r="H23" s="106">
        <v>0</v>
      </c>
      <c r="I23" s="106">
        <v>0</v>
      </c>
      <c r="J23" s="106">
        <v>0</v>
      </c>
      <c r="K23" s="106">
        <v>0</v>
      </c>
      <c r="L23" s="106">
        <v>9.1017340747031188</v>
      </c>
      <c r="M23" s="106">
        <v>2675.9098179627167</v>
      </c>
      <c r="N23" s="106">
        <v>32</v>
      </c>
      <c r="O23" s="106">
        <v>9408</v>
      </c>
      <c r="P23" s="106">
        <v>31</v>
      </c>
      <c r="Q23" s="106">
        <v>9114</v>
      </c>
      <c r="R23" s="106">
        <v>26</v>
      </c>
      <c r="S23" s="106">
        <v>7644</v>
      </c>
      <c r="T23" s="106">
        <v>23</v>
      </c>
      <c r="U23" s="106">
        <v>6762</v>
      </c>
      <c r="V23" s="106">
        <v>19</v>
      </c>
      <c r="W23" s="106">
        <v>5586</v>
      </c>
      <c r="X23" s="106">
        <v>16</v>
      </c>
      <c r="Y23" s="106">
        <v>4704</v>
      </c>
      <c r="Z23" s="106">
        <v>22</v>
      </c>
      <c r="AA23" s="106">
        <v>6468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11</v>
      </c>
      <c r="AK23" s="106">
        <v>3234</v>
      </c>
      <c r="AL23" s="106">
        <v>12</v>
      </c>
      <c r="AM23" s="106">
        <v>3528</v>
      </c>
      <c r="AN23" s="106">
        <v>11</v>
      </c>
      <c r="AO23" s="106">
        <v>3234</v>
      </c>
      <c r="AP23" s="106">
        <v>11</v>
      </c>
      <c r="AQ23" s="106">
        <v>3234</v>
      </c>
      <c r="AR23" s="106">
        <v>13</v>
      </c>
      <c r="AS23" s="106">
        <v>3822</v>
      </c>
      <c r="AT23" s="106">
        <v>14</v>
      </c>
      <c r="AU23" s="106">
        <v>4116</v>
      </c>
      <c r="AV23" s="106">
        <v>9</v>
      </c>
      <c r="AW23" s="106">
        <v>2646</v>
      </c>
      <c r="AX23" s="106">
        <v>11</v>
      </c>
      <c r="AY23" s="106">
        <v>3234</v>
      </c>
      <c r="AZ23" s="106">
        <v>2.7128234973680549</v>
      </c>
      <c r="BA23" s="106">
        <v>797.57010822620816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9.3857738674199744</v>
      </c>
      <c r="BI23" s="106">
        <v>2759.4175170214726</v>
      </c>
      <c r="BJ23" s="106">
        <v>33.32231087631942</v>
      </c>
      <c r="BK23" s="106">
        <v>9796.7593976379103</v>
      </c>
      <c r="BL23" s="106">
        <v>44</v>
      </c>
      <c r="BM23" s="106">
        <v>12936</v>
      </c>
      <c r="BN23" s="106">
        <v>23</v>
      </c>
      <c r="BO23" s="106">
        <v>6762</v>
      </c>
      <c r="BP23" s="106">
        <v>26</v>
      </c>
      <c r="BQ23" s="106">
        <v>7644</v>
      </c>
      <c r="BR23" s="106">
        <v>17</v>
      </c>
      <c r="BS23" s="106">
        <v>4998</v>
      </c>
      <c r="BT23" s="106">
        <v>23</v>
      </c>
      <c r="BU23" s="106">
        <v>6762</v>
      </c>
      <c r="BV23" s="106">
        <v>22</v>
      </c>
      <c r="BW23" s="106">
        <v>6468</v>
      </c>
      <c r="BX23" s="106">
        <v>7.3523485439590743</v>
      </c>
      <c r="BY23" s="106">
        <v>2161.5904719239679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87.017737078314937</v>
      </c>
      <c r="CG23" s="106">
        <v>25583.21470102459</v>
      </c>
      <c r="CH23" s="106">
        <v>105</v>
      </c>
      <c r="CI23" s="106">
        <v>30870</v>
      </c>
      <c r="CJ23" s="106">
        <v>76</v>
      </c>
      <c r="CK23" s="106">
        <v>22344</v>
      </c>
      <c r="CL23" s="106">
        <v>88</v>
      </c>
      <c r="CM23" s="106">
        <v>25872</v>
      </c>
      <c r="CN23" s="106">
        <v>60</v>
      </c>
      <c r="CO23" s="106">
        <v>17640</v>
      </c>
      <c r="CP23" s="106">
        <v>57</v>
      </c>
      <c r="CQ23" s="106">
        <v>16758</v>
      </c>
      <c r="CR23" s="106">
        <v>44</v>
      </c>
      <c r="CS23" s="106">
        <v>12936</v>
      </c>
      <c r="CT23" s="106">
        <v>45</v>
      </c>
      <c r="CU23" s="106">
        <v>13230</v>
      </c>
    </row>
    <row r="24" spans="2:99" x14ac:dyDescent="0.2">
      <c r="C24" s="105" t="s">
        <v>190</v>
      </c>
      <c r="D24" s="106">
        <v>30</v>
      </c>
      <c r="E24" s="106">
        <v>11016</v>
      </c>
      <c r="F24" s="106">
        <v>18.780084661902336</v>
      </c>
      <c r="G24" s="106">
        <v>6896.0470878505375</v>
      </c>
      <c r="H24" s="106">
        <v>0</v>
      </c>
      <c r="I24" s="106">
        <v>0</v>
      </c>
      <c r="J24" s="106">
        <v>0</v>
      </c>
      <c r="K24" s="106">
        <v>0</v>
      </c>
      <c r="L24" s="106">
        <v>10.059811345724501</v>
      </c>
      <c r="M24" s="106">
        <v>3693.9627261500368</v>
      </c>
      <c r="N24" s="106">
        <v>37</v>
      </c>
      <c r="O24" s="106">
        <v>13586.4</v>
      </c>
      <c r="P24" s="106">
        <v>32</v>
      </c>
      <c r="Q24" s="106">
        <v>11750.4</v>
      </c>
      <c r="R24" s="106">
        <v>23</v>
      </c>
      <c r="S24" s="106">
        <v>8445.6</v>
      </c>
      <c r="T24" s="106">
        <v>24</v>
      </c>
      <c r="U24" s="106">
        <v>8812.7999999999993</v>
      </c>
      <c r="V24" s="106">
        <v>17</v>
      </c>
      <c r="W24" s="106">
        <v>6242.4</v>
      </c>
      <c r="X24" s="106">
        <v>18</v>
      </c>
      <c r="Y24" s="106">
        <v>6609.5999999999995</v>
      </c>
      <c r="Z24" s="106">
        <v>20</v>
      </c>
      <c r="AA24" s="106">
        <v>7344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12</v>
      </c>
      <c r="AK24" s="106">
        <v>4406.3999999999996</v>
      </c>
      <c r="AL24" s="106">
        <v>10</v>
      </c>
      <c r="AM24" s="106">
        <v>3672</v>
      </c>
      <c r="AN24" s="106">
        <v>11</v>
      </c>
      <c r="AO24" s="106">
        <v>4039.2</v>
      </c>
      <c r="AP24" s="106">
        <v>11</v>
      </c>
      <c r="AQ24" s="106">
        <v>4039.2</v>
      </c>
      <c r="AR24" s="106">
        <v>12</v>
      </c>
      <c r="AS24" s="106">
        <v>4406.3999999999996</v>
      </c>
      <c r="AT24" s="106">
        <v>14</v>
      </c>
      <c r="AU24" s="106">
        <v>5140.8</v>
      </c>
      <c r="AV24" s="106">
        <v>10</v>
      </c>
      <c r="AW24" s="106">
        <v>3672</v>
      </c>
      <c r="AX24" s="106">
        <v>11</v>
      </c>
      <c r="AY24" s="106">
        <v>4039.2</v>
      </c>
      <c r="AZ24" s="106">
        <v>2.7128234973680549</v>
      </c>
      <c r="BA24" s="106">
        <v>996.14878823354979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9.3857738674199744</v>
      </c>
      <c r="BI24" s="106">
        <v>3446.4561641166147</v>
      </c>
      <c r="BJ24" s="106">
        <v>29.814699205127898</v>
      </c>
      <c r="BK24" s="106">
        <v>10947.957548122964</v>
      </c>
      <c r="BL24" s="106">
        <v>43</v>
      </c>
      <c r="BM24" s="106">
        <v>15789.6</v>
      </c>
      <c r="BN24" s="106">
        <v>25</v>
      </c>
      <c r="BO24" s="106">
        <v>9180</v>
      </c>
      <c r="BP24" s="106">
        <v>28</v>
      </c>
      <c r="BQ24" s="106">
        <v>10281.6</v>
      </c>
      <c r="BR24" s="106">
        <v>19</v>
      </c>
      <c r="BS24" s="106">
        <v>6976.8</v>
      </c>
      <c r="BT24" s="106">
        <v>21</v>
      </c>
      <c r="BU24" s="106">
        <v>7711.2</v>
      </c>
      <c r="BV24" s="106">
        <v>20</v>
      </c>
      <c r="BW24" s="106">
        <v>7344</v>
      </c>
      <c r="BX24" s="106">
        <v>7.9916831999555153</v>
      </c>
      <c r="BY24" s="106">
        <v>2934.5460710236653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80.926495482832891</v>
      </c>
      <c r="CG24" s="106">
        <v>29716.209141296236</v>
      </c>
      <c r="CH24" s="106">
        <v>95</v>
      </c>
      <c r="CI24" s="106">
        <v>34884</v>
      </c>
      <c r="CJ24" s="106">
        <v>71</v>
      </c>
      <c r="CK24" s="106">
        <v>26071.200000000001</v>
      </c>
      <c r="CL24" s="106">
        <v>87</v>
      </c>
      <c r="CM24" s="106">
        <v>31946.399999999998</v>
      </c>
      <c r="CN24" s="106">
        <v>68</v>
      </c>
      <c r="CO24" s="106">
        <v>24969.599999999999</v>
      </c>
      <c r="CP24" s="106">
        <v>52</v>
      </c>
      <c r="CQ24" s="106">
        <v>19094.399999999998</v>
      </c>
      <c r="CR24" s="106">
        <v>48</v>
      </c>
      <c r="CS24" s="106">
        <v>17625.599999999999</v>
      </c>
      <c r="CT24" s="106">
        <v>41</v>
      </c>
      <c r="CU24" s="106">
        <v>15055.199999999999</v>
      </c>
    </row>
    <row r="25" spans="2:99" x14ac:dyDescent="0.2">
      <c r="C25" s="105" t="s">
        <v>191</v>
      </c>
      <c r="D25" s="106">
        <v>34</v>
      </c>
      <c r="E25" s="106">
        <v>18033.599999999999</v>
      </c>
      <c r="F25" s="106">
        <v>18.780084661902336</v>
      </c>
      <c r="G25" s="106">
        <v>9960.9569046729994</v>
      </c>
      <c r="H25" s="106">
        <v>0</v>
      </c>
      <c r="I25" s="106">
        <v>0</v>
      </c>
      <c r="J25" s="106">
        <v>0</v>
      </c>
      <c r="K25" s="106">
        <v>0</v>
      </c>
      <c r="L25" s="106">
        <v>8.6226954391924284</v>
      </c>
      <c r="M25" s="106">
        <v>4573.4776609476639</v>
      </c>
      <c r="N25" s="106">
        <v>31</v>
      </c>
      <c r="O25" s="106">
        <v>16442.399999999998</v>
      </c>
      <c r="P25" s="106">
        <v>34</v>
      </c>
      <c r="Q25" s="106">
        <v>18033.599999999999</v>
      </c>
      <c r="R25" s="106">
        <v>21</v>
      </c>
      <c r="S25" s="106">
        <v>11138.4</v>
      </c>
      <c r="T25" s="106">
        <v>22</v>
      </c>
      <c r="U25" s="106">
        <v>11668.8</v>
      </c>
      <c r="V25" s="106">
        <v>19</v>
      </c>
      <c r="W25" s="106">
        <v>10077.6</v>
      </c>
      <c r="X25" s="106">
        <v>17</v>
      </c>
      <c r="Y25" s="106">
        <v>9016.7999999999993</v>
      </c>
      <c r="Z25" s="106">
        <v>21</v>
      </c>
      <c r="AA25" s="106">
        <v>11138.4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13</v>
      </c>
      <c r="AK25" s="106">
        <v>6895.2</v>
      </c>
      <c r="AL25" s="106">
        <v>10</v>
      </c>
      <c r="AM25" s="106">
        <v>5304</v>
      </c>
      <c r="AN25" s="106">
        <v>10</v>
      </c>
      <c r="AO25" s="106">
        <v>5304</v>
      </c>
      <c r="AP25" s="106">
        <v>12</v>
      </c>
      <c r="AQ25" s="106">
        <v>6364.7999999999993</v>
      </c>
      <c r="AR25" s="106">
        <v>13</v>
      </c>
      <c r="AS25" s="106">
        <v>6895.2</v>
      </c>
      <c r="AT25" s="106">
        <v>13</v>
      </c>
      <c r="AU25" s="106">
        <v>6895.2</v>
      </c>
      <c r="AV25" s="106">
        <v>9</v>
      </c>
      <c r="AW25" s="106">
        <v>4773.5999999999995</v>
      </c>
      <c r="AX25" s="106">
        <v>11</v>
      </c>
      <c r="AY25" s="106">
        <v>5834.4</v>
      </c>
      <c r="AZ25" s="106">
        <v>2.7128234973680549</v>
      </c>
      <c r="BA25" s="106">
        <v>1438.8815830040162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10.279657092888543</v>
      </c>
      <c r="BI25" s="106">
        <v>5452.3301220680833</v>
      </c>
      <c r="BJ25" s="106">
        <v>28.060893369532138</v>
      </c>
      <c r="BK25" s="106">
        <v>14883.497843199846</v>
      </c>
      <c r="BL25" s="106">
        <v>37</v>
      </c>
      <c r="BM25" s="106">
        <v>19624.8</v>
      </c>
      <c r="BN25" s="106">
        <v>25</v>
      </c>
      <c r="BO25" s="106">
        <v>13260</v>
      </c>
      <c r="BP25" s="106">
        <v>25</v>
      </c>
      <c r="BQ25" s="106">
        <v>13260</v>
      </c>
      <c r="BR25" s="106">
        <v>16</v>
      </c>
      <c r="BS25" s="106">
        <v>8486.4</v>
      </c>
      <c r="BT25" s="106">
        <v>24</v>
      </c>
      <c r="BU25" s="106">
        <v>12729.599999999999</v>
      </c>
      <c r="BV25" s="106">
        <v>22</v>
      </c>
      <c r="BW25" s="106">
        <v>11668.8</v>
      </c>
      <c r="BX25" s="106">
        <v>6.7130138879626333</v>
      </c>
      <c r="BY25" s="106">
        <v>3560.5825661753806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79.186140741266598</v>
      </c>
      <c r="CG25" s="106">
        <v>42000.329049167805</v>
      </c>
      <c r="CH25" s="106">
        <v>86</v>
      </c>
      <c r="CI25" s="106">
        <v>45614.400000000001</v>
      </c>
      <c r="CJ25" s="106">
        <v>67</v>
      </c>
      <c r="CK25" s="106">
        <v>35536.799999999996</v>
      </c>
      <c r="CL25" s="106">
        <v>82</v>
      </c>
      <c r="CM25" s="106">
        <v>43492.799999999996</v>
      </c>
      <c r="CN25" s="106">
        <v>64</v>
      </c>
      <c r="CO25" s="106">
        <v>33945.599999999999</v>
      </c>
      <c r="CP25" s="106">
        <v>54</v>
      </c>
      <c r="CQ25" s="106">
        <v>28641.599999999999</v>
      </c>
      <c r="CR25" s="106">
        <v>47</v>
      </c>
      <c r="CS25" s="106">
        <v>24928.799999999999</v>
      </c>
      <c r="CT25" s="106">
        <v>47</v>
      </c>
      <c r="CU25" s="106">
        <v>24928.799999999999</v>
      </c>
    </row>
    <row r="26" spans="2:99" x14ac:dyDescent="0.2">
      <c r="C26" s="105" t="s">
        <v>192</v>
      </c>
      <c r="D26" s="106">
        <v>34</v>
      </c>
      <c r="E26" s="106">
        <v>16524</v>
      </c>
      <c r="F26" s="106">
        <v>17.963559241819627</v>
      </c>
      <c r="G26" s="106">
        <v>8730.2897915243393</v>
      </c>
      <c r="H26" s="106">
        <v>0</v>
      </c>
      <c r="I26" s="106">
        <v>0</v>
      </c>
      <c r="J26" s="106">
        <v>0</v>
      </c>
      <c r="K26" s="106">
        <v>0</v>
      </c>
      <c r="L26" s="106">
        <v>9.1017340747031188</v>
      </c>
      <c r="M26" s="106">
        <v>4423.4427603057156</v>
      </c>
      <c r="N26" s="106">
        <v>34</v>
      </c>
      <c r="O26" s="106">
        <v>16524</v>
      </c>
      <c r="P26" s="106">
        <v>34</v>
      </c>
      <c r="Q26" s="106">
        <v>16524</v>
      </c>
      <c r="R26" s="106">
        <v>25</v>
      </c>
      <c r="S26" s="106">
        <v>12150</v>
      </c>
      <c r="T26" s="106">
        <v>21</v>
      </c>
      <c r="U26" s="106">
        <v>10206</v>
      </c>
      <c r="V26" s="106">
        <v>17</v>
      </c>
      <c r="W26" s="106">
        <v>8262</v>
      </c>
      <c r="X26" s="106">
        <v>19</v>
      </c>
      <c r="Y26" s="106">
        <v>9234</v>
      </c>
      <c r="Z26" s="106">
        <v>20</v>
      </c>
      <c r="AA26" s="106">
        <v>9720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11</v>
      </c>
      <c r="AK26" s="106">
        <v>5346</v>
      </c>
      <c r="AL26" s="106">
        <v>12</v>
      </c>
      <c r="AM26" s="106">
        <v>5832</v>
      </c>
      <c r="AN26" s="106">
        <v>9</v>
      </c>
      <c r="AO26" s="106">
        <v>4374</v>
      </c>
      <c r="AP26" s="106">
        <v>11</v>
      </c>
      <c r="AQ26" s="106">
        <v>5346</v>
      </c>
      <c r="AR26" s="106">
        <v>14</v>
      </c>
      <c r="AS26" s="106">
        <v>6804</v>
      </c>
      <c r="AT26" s="106">
        <v>14</v>
      </c>
      <c r="AU26" s="106">
        <v>6804</v>
      </c>
      <c r="AV26" s="106">
        <v>9</v>
      </c>
      <c r="AW26" s="106">
        <v>4374</v>
      </c>
      <c r="AX26" s="106">
        <v>11</v>
      </c>
      <c r="AY26" s="106">
        <v>5346</v>
      </c>
      <c r="AZ26" s="106">
        <v>3.0142483304089494</v>
      </c>
      <c r="BA26" s="106">
        <v>1464.9246885787493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9.8327154801542598</v>
      </c>
      <c r="BI26" s="106">
        <v>4778.69972335497</v>
      </c>
      <c r="BJ26" s="106">
        <v>30.691602122925776</v>
      </c>
      <c r="BK26" s="106">
        <v>14916.118631741927</v>
      </c>
      <c r="BL26" s="106">
        <v>37</v>
      </c>
      <c r="BM26" s="106">
        <v>17982</v>
      </c>
      <c r="BN26" s="106">
        <v>24</v>
      </c>
      <c r="BO26" s="106">
        <v>11664</v>
      </c>
      <c r="BP26" s="106">
        <v>27</v>
      </c>
      <c r="BQ26" s="106">
        <v>13122</v>
      </c>
      <c r="BR26" s="106">
        <v>18</v>
      </c>
      <c r="BS26" s="106">
        <v>8748</v>
      </c>
      <c r="BT26" s="106">
        <v>23</v>
      </c>
      <c r="BU26" s="106">
        <v>11178</v>
      </c>
      <c r="BV26" s="106">
        <v>19</v>
      </c>
      <c r="BW26" s="106">
        <v>9234</v>
      </c>
      <c r="BX26" s="106">
        <v>7.0326812159608529</v>
      </c>
      <c r="BY26" s="106">
        <v>3417.8830709569747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92.23880130301383</v>
      </c>
      <c r="CG26" s="106">
        <v>44828.057433264723</v>
      </c>
      <c r="CH26" s="106">
        <v>90</v>
      </c>
      <c r="CI26" s="106">
        <v>43740</v>
      </c>
      <c r="CJ26" s="106">
        <v>66</v>
      </c>
      <c r="CK26" s="106">
        <v>32076</v>
      </c>
      <c r="CL26" s="106">
        <v>87</v>
      </c>
      <c r="CM26" s="106">
        <v>42282</v>
      </c>
      <c r="CN26" s="106">
        <v>60</v>
      </c>
      <c r="CO26" s="106">
        <v>29160</v>
      </c>
      <c r="CP26" s="106">
        <v>54</v>
      </c>
      <c r="CQ26" s="106">
        <v>26244</v>
      </c>
      <c r="CR26" s="106">
        <v>43</v>
      </c>
      <c r="CS26" s="106">
        <v>20898</v>
      </c>
      <c r="CT26" s="106">
        <v>47</v>
      </c>
      <c r="CU26" s="106">
        <v>22842</v>
      </c>
    </row>
    <row r="27" spans="2:99" x14ac:dyDescent="0.2">
      <c r="C27" s="105" t="s">
        <v>193</v>
      </c>
      <c r="D27" s="106">
        <v>33</v>
      </c>
      <c r="E27" s="106">
        <v>14097.6</v>
      </c>
      <c r="F27" s="106">
        <v>17.963559241819627</v>
      </c>
      <c r="G27" s="106">
        <v>7674.0325081053443</v>
      </c>
      <c r="H27" s="106">
        <v>0</v>
      </c>
      <c r="I27" s="106">
        <v>0</v>
      </c>
      <c r="J27" s="106">
        <v>0</v>
      </c>
      <c r="K27" s="106">
        <v>0</v>
      </c>
      <c r="L27" s="106">
        <v>9.5807727102138092</v>
      </c>
      <c r="M27" s="106">
        <v>4092.906101803339</v>
      </c>
      <c r="N27" s="106">
        <v>35</v>
      </c>
      <c r="O27" s="106">
        <v>14952</v>
      </c>
      <c r="P27" s="106">
        <v>29</v>
      </c>
      <c r="Q27" s="106">
        <v>12388.8</v>
      </c>
      <c r="R27" s="106">
        <v>23</v>
      </c>
      <c r="S27" s="106">
        <v>9825.6</v>
      </c>
      <c r="T27" s="106">
        <v>21</v>
      </c>
      <c r="U27" s="106">
        <v>8971.1999999999989</v>
      </c>
      <c r="V27" s="106">
        <v>18</v>
      </c>
      <c r="W27" s="106">
        <v>7689.5999999999995</v>
      </c>
      <c r="X27" s="106">
        <v>18</v>
      </c>
      <c r="Y27" s="106">
        <v>7689.5999999999995</v>
      </c>
      <c r="Z27" s="106">
        <v>19</v>
      </c>
      <c r="AA27" s="106">
        <v>8116.8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12</v>
      </c>
      <c r="AK27" s="106">
        <v>5126.3999999999996</v>
      </c>
      <c r="AL27" s="106">
        <v>12</v>
      </c>
      <c r="AM27" s="106">
        <v>5126.3999999999996</v>
      </c>
      <c r="AN27" s="106">
        <v>10</v>
      </c>
      <c r="AO27" s="106">
        <v>4272</v>
      </c>
      <c r="AP27" s="106">
        <v>12</v>
      </c>
      <c r="AQ27" s="106">
        <v>5126.3999999999996</v>
      </c>
      <c r="AR27" s="106">
        <v>13</v>
      </c>
      <c r="AS27" s="106">
        <v>5553.5999999999995</v>
      </c>
      <c r="AT27" s="106">
        <v>15</v>
      </c>
      <c r="AU27" s="106">
        <v>6408</v>
      </c>
      <c r="AV27" s="106">
        <v>8</v>
      </c>
      <c r="AW27" s="106">
        <v>3417.6</v>
      </c>
      <c r="AX27" s="106">
        <v>11</v>
      </c>
      <c r="AY27" s="106">
        <v>4699.2</v>
      </c>
      <c r="AZ27" s="106">
        <v>2.7128234973680549</v>
      </c>
      <c r="BA27" s="106">
        <v>1158.918198075633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10.279657092888543</v>
      </c>
      <c r="BI27" s="106">
        <v>4391.4695100819854</v>
      </c>
      <c r="BJ27" s="106">
        <v>31.568505040723661</v>
      </c>
      <c r="BK27" s="106">
        <v>13486.065353397147</v>
      </c>
      <c r="BL27" s="106">
        <v>43</v>
      </c>
      <c r="BM27" s="106">
        <v>18369.599999999999</v>
      </c>
      <c r="BN27" s="106">
        <v>24</v>
      </c>
      <c r="BO27" s="106">
        <v>10252.799999999999</v>
      </c>
      <c r="BP27" s="106">
        <v>30</v>
      </c>
      <c r="BQ27" s="106">
        <v>12816</v>
      </c>
      <c r="BR27" s="106">
        <v>16</v>
      </c>
      <c r="BS27" s="106">
        <v>6835.2</v>
      </c>
      <c r="BT27" s="106">
        <v>21</v>
      </c>
      <c r="BU27" s="106">
        <v>8971.1999999999989</v>
      </c>
      <c r="BV27" s="106">
        <v>21</v>
      </c>
      <c r="BW27" s="106">
        <v>8971.1999999999989</v>
      </c>
      <c r="BX27" s="106">
        <v>7.9916831999555153</v>
      </c>
      <c r="BY27" s="106">
        <v>3414.0470630209961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92.23880130301383</v>
      </c>
      <c r="CG27" s="106">
        <v>39404.415916647507</v>
      </c>
      <c r="CH27" s="106">
        <v>91</v>
      </c>
      <c r="CI27" s="106">
        <v>38875.199999999997</v>
      </c>
      <c r="CJ27" s="106">
        <v>71</v>
      </c>
      <c r="CK27" s="106">
        <v>30331.200000000001</v>
      </c>
      <c r="CL27" s="106">
        <v>82</v>
      </c>
      <c r="CM27" s="106">
        <v>35030.400000000001</v>
      </c>
      <c r="CN27" s="106">
        <v>64</v>
      </c>
      <c r="CO27" s="106">
        <v>27340.799999999999</v>
      </c>
      <c r="CP27" s="106">
        <v>53</v>
      </c>
      <c r="CQ27" s="106">
        <v>22641.599999999999</v>
      </c>
      <c r="CR27" s="106">
        <v>46</v>
      </c>
      <c r="CS27" s="106">
        <v>19651.2</v>
      </c>
      <c r="CT27" s="106">
        <v>45</v>
      </c>
      <c r="CU27" s="106">
        <v>19224</v>
      </c>
    </row>
    <row r="28" spans="2:99" x14ac:dyDescent="0.2">
      <c r="C28" s="105" t="s">
        <v>194</v>
      </c>
      <c r="D28" s="106">
        <v>35</v>
      </c>
      <c r="E28" s="106">
        <v>25830</v>
      </c>
      <c r="F28" s="106">
        <v>17.147033821736915</v>
      </c>
      <c r="G28" s="106">
        <v>12654.510960441843</v>
      </c>
      <c r="H28" s="106">
        <v>0</v>
      </c>
      <c r="I28" s="106">
        <v>0</v>
      </c>
      <c r="J28" s="106">
        <v>0</v>
      </c>
      <c r="K28" s="106">
        <v>0</v>
      </c>
      <c r="L28" s="106">
        <v>10.059811345724501</v>
      </c>
      <c r="M28" s="106">
        <v>7424.1407731446816</v>
      </c>
      <c r="N28" s="106">
        <v>31</v>
      </c>
      <c r="O28" s="106">
        <v>22878</v>
      </c>
      <c r="P28" s="106">
        <v>32</v>
      </c>
      <c r="Q28" s="106">
        <v>23616</v>
      </c>
      <c r="R28" s="106">
        <v>23</v>
      </c>
      <c r="S28" s="106">
        <v>16974</v>
      </c>
      <c r="T28" s="106">
        <v>22</v>
      </c>
      <c r="U28" s="106">
        <v>16236</v>
      </c>
      <c r="V28" s="106">
        <v>18</v>
      </c>
      <c r="W28" s="106">
        <v>13284</v>
      </c>
      <c r="X28" s="106">
        <v>16</v>
      </c>
      <c r="Y28" s="106">
        <v>11808</v>
      </c>
      <c r="Z28" s="106">
        <v>20</v>
      </c>
      <c r="AA28" s="106">
        <v>14760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12</v>
      </c>
      <c r="AK28" s="106">
        <v>8856</v>
      </c>
      <c r="AL28" s="106">
        <v>11</v>
      </c>
      <c r="AM28" s="106">
        <v>8118</v>
      </c>
      <c r="AN28" s="106">
        <v>10</v>
      </c>
      <c r="AO28" s="106">
        <v>7380</v>
      </c>
      <c r="AP28" s="106">
        <v>11</v>
      </c>
      <c r="AQ28" s="106">
        <v>8118</v>
      </c>
      <c r="AR28" s="106">
        <v>13</v>
      </c>
      <c r="AS28" s="106">
        <v>9594</v>
      </c>
      <c r="AT28" s="106">
        <v>13</v>
      </c>
      <c r="AU28" s="106">
        <v>9594</v>
      </c>
      <c r="AV28" s="106">
        <v>8</v>
      </c>
      <c r="AW28" s="106">
        <v>5904</v>
      </c>
      <c r="AX28" s="106">
        <v>11</v>
      </c>
      <c r="AY28" s="106">
        <v>8118</v>
      </c>
      <c r="AZ28" s="106">
        <v>2.4113986643271597</v>
      </c>
      <c r="BA28" s="106">
        <v>1779.6122142734439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8.9388322546856909</v>
      </c>
      <c r="BI28" s="106">
        <v>6596.8582039580397</v>
      </c>
      <c r="BJ28" s="106">
        <v>30.691602122925776</v>
      </c>
      <c r="BK28" s="106">
        <v>22650.402366719223</v>
      </c>
      <c r="BL28" s="106">
        <v>38</v>
      </c>
      <c r="BM28" s="106">
        <v>28044</v>
      </c>
      <c r="BN28" s="106">
        <v>23</v>
      </c>
      <c r="BO28" s="106">
        <v>16974</v>
      </c>
      <c r="BP28" s="106">
        <v>25</v>
      </c>
      <c r="BQ28" s="106">
        <v>18450</v>
      </c>
      <c r="BR28" s="106">
        <v>17</v>
      </c>
      <c r="BS28" s="106">
        <v>12546</v>
      </c>
      <c r="BT28" s="106">
        <v>21</v>
      </c>
      <c r="BU28" s="106">
        <v>15498</v>
      </c>
      <c r="BV28" s="106">
        <v>19</v>
      </c>
      <c r="BW28" s="106">
        <v>14022</v>
      </c>
      <c r="BX28" s="106">
        <v>7.3523485439590743</v>
      </c>
      <c r="BY28" s="106">
        <v>5426.0332254417972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80.926495482832891</v>
      </c>
      <c r="CG28" s="106">
        <v>59723.753666330675</v>
      </c>
      <c r="CH28" s="106">
        <v>94</v>
      </c>
      <c r="CI28" s="106">
        <v>69372</v>
      </c>
      <c r="CJ28" s="106">
        <v>70</v>
      </c>
      <c r="CK28" s="106">
        <v>51660</v>
      </c>
      <c r="CL28" s="106">
        <v>77</v>
      </c>
      <c r="CM28" s="106">
        <v>56826</v>
      </c>
      <c r="CN28" s="106">
        <v>59</v>
      </c>
      <c r="CO28" s="106">
        <v>43542</v>
      </c>
      <c r="CP28" s="106">
        <v>55</v>
      </c>
      <c r="CQ28" s="106">
        <v>40590</v>
      </c>
      <c r="CR28" s="106">
        <v>40</v>
      </c>
      <c r="CS28" s="106">
        <v>29520</v>
      </c>
      <c r="CT28" s="106">
        <v>46</v>
      </c>
      <c r="CU28" s="106">
        <v>33948</v>
      </c>
    </row>
    <row r="29" spans="2:99" x14ac:dyDescent="0.2">
      <c r="C29" s="105" t="s">
        <v>195</v>
      </c>
      <c r="D29" s="106">
        <v>30</v>
      </c>
      <c r="E29" s="106">
        <v>10152</v>
      </c>
      <c r="F29" s="106">
        <v>18.780084661902336</v>
      </c>
      <c r="G29" s="106">
        <v>6355.1806495877499</v>
      </c>
      <c r="H29" s="106">
        <v>0</v>
      </c>
      <c r="I29" s="106">
        <v>0</v>
      </c>
      <c r="J29" s="106">
        <v>0</v>
      </c>
      <c r="K29" s="106">
        <v>0</v>
      </c>
      <c r="L29" s="106">
        <v>10.059811345724501</v>
      </c>
      <c r="M29" s="106">
        <v>3404.2401593931709</v>
      </c>
      <c r="N29" s="106">
        <v>33</v>
      </c>
      <c r="O29" s="106">
        <v>11167.199999999999</v>
      </c>
      <c r="P29" s="106">
        <v>31</v>
      </c>
      <c r="Q29" s="106">
        <v>10490.4</v>
      </c>
      <c r="R29" s="106">
        <v>23</v>
      </c>
      <c r="S29" s="106">
        <v>7783.2</v>
      </c>
      <c r="T29" s="106">
        <v>22</v>
      </c>
      <c r="U29" s="106">
        <v>7444.7999999999993</v>
      </c>
      <c r="V29" s="106">
        <v>18</v>
      </c>
      <c r="W29" s="106">
        <v>6091.2</v>
      </c>
      <c r="X29" s="106">
        <v>18</v>
      </c>
      <c r="Y29" s="106">
        <v>6091.2</v>
      </c>
      <c r="Z29" s="106">
        <v>21</v>
      </c>
      <c r="AA29" s="106">
        <v>7106.4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13</v>
      </c>
      <c r="AK29" s="106">
        <v>4399.2</v>
      </c>
      <c r="AL29" s="106">
        <v>11</v>
      </c>
      <c r="AM29" s="106">
        <v>3722.3999999999996</v>
      </c>
      <c r="AN29" s="106">
        <v>10</v>
      </c>
      <c r="AO29" s="106">
        <v>3384</v>
      </c>
      <c r="AP29" s="106">
        <v>13</v>
      </c>
      <c r="AQ29" s="106">
        <v>4399.2</v>
      </c>
      <c r="AR29" s="106">
        <v>14</v>
      </c>
      <c r="AS29" s="106">
        <v>4737.5999999999995</v>
      </c>
      <c r="AT29" s="106">
        <v>15</v>
      </c>
      <c r="AU29" s="106">
        <v>5076</v>
      </c>
      <c r="AV29" s="106">
        <v>9</v>
      </c>
      <c r="AW29" s="106">
        <v>3045.6</v>
      </c>
      <c r="AX29" s="106">
        <v>12</v>
      </c>
      <c r="AY29" s="106">
        <v>4060.7999999999997</v>
      </c>
      <c r="AZ29" s="106">
        <v>3.0142483304089494</v>
      </c>
      <c r="BA29" s="106">
        <v>1020.0216350103884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10.279657092888543</v>
      </c>
      <c r="BI29" s="106">
        <v>3478.6359602334828</v>
      </c>
      <c r="BJ29" s="106">
        <v>33.32231087631942</v>
      </c>
      <c r="BK29" s="106">
        <v>11276.27000054649</v>
      </c>
      <c r="BL29" s="106">
        <v>38</v>
      </c>
      <c r="BM29" s="106">
        <v>12859.199999999999</v>
      </c>
      <c r="BN29" s="106">
        <v>22</v>
      </c>
      <c r="BO29" s="106">
        <v>7444.7999999999993</v>
      </c>
      <c r="BP29" s="106">
        <v>25</v>
      </c>
      <c r="BQ29" s="106">
        <v>8460</v>
      </c>
      <c r="BR29" s="106">
        <v>18</v>
      </c>
      <c r="BS29" s="106">
        <v>6091.2</v>
      </c>
      <c r="BT29" s="106">
        <v>23</v>
      </c>
      <c r="BU29" s="106">
        <v>7783.2</v>
      </c>
      <c r="BV29" s="106">
        <v>23</v>
      </c>
      <c r="BW29" s="106">
        <v>7783.2</v>
      </c>
      <c r="BX29" s="106">
        <v>7.6720158719572948</v>
      </c>
      <c r="BY29" s="106">
        <v>2596.2101710703482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86.147559707531784</v>
      </c>
      <c r="CG29" s="106">
        <v>29152.334205028754</v>
      </c>
      <c r="CH29" s="106">
        <v>103</v>
      </c>
      <c r="CI29" s="106">
        <v>34855.199999999997</v>
      </c>
      <c r="CJ29" s="106">
        <v>79</v>
      </c>
      <c r="CK29" s="106">
        <v>26733.599999999999</v>
      </c>
      <c r="CL29" s="106">
        <v>77</v>
      </c>
      <c r="CM29" s="106">
        <v>26056.799999999999</v>
      </c>
      <c r="CN29" s="106">
        <v>58</v>
      </c>
      <c r="CO29" s="106">
        <v>19627.199999999997</v>
      </c>
      <c r="CP29" s="106">
        <v>50</v>
      </c>
      <c r="CQ29" s="106">
        <v>16920</v>
      </c>
      <c r="CR29" s="106">
        <v>47</v>
      </c>
      <c r="CS29" s="106">
        <v>15904.8</v>
      </c>
      <c r="CT29" s="106">
        <v>49</v>
      </c>
      <c r="CU29" s="106">
        <v>16581.599999999999</v>
      </c>
    </row>
    <row r="30" spans="2:99" x14ac:dyDescent="0.2">
      <c r="C30" s="105" t="s">
        <v>196</v>
      </c>
      <c r="D30" s="106">
        <v>33</v>
      </c>
      <c r="E30" s="106">
        <v>4593.5999999999995</v>
      </c>
      <c r="F30" s="106">
        <v>20.413135502067757</v>
      </c>
      <c r="G30" s="106">
        <v>2841.5084618878313</v>
      </c>
      <c r="H30" s="106">
        <v>0</v>
      </c>
      <c r="I30" s="106">
        <v>0</v>
      </c>
      <c r="J30" s="106">
        <v>0</v>
      </c>
      <c r="K30" s="106">
        <v>0</v>
      </c>
      <c r="L30" s="106">
        <v>9.1017340747031188</v>
      </c>
      <c r="M30" s="106">
        <v>1266.961383198674</v>
      </c>
      <c r="N30" s="106">
        <v>36</v>
      </c>
      <c r="O30" s="106">
        <v>5011.2</v>
      </c>
      <c r="P30" s="106">
        <v>30</v>
      </c>
      <c r="Q30" s="106">
        <v>4176</v>
      </c>
      <c r="R30" s="106">
        <v>24</v>
      </c>
      <c r="S30" s="106">
        <v>3340.7999999999997</v>
      </c>
      <c r="T30" s="106">
        <v>24</v>
      </c>
      <c r="U30" s="106">
        <v>3340.7999999999997</v>
      </c>
      <c r="V30" s="106">
        <v>20</v>
      </c>
      <c r="W30" s="106">
        <v>2784</v>
      </c>
      <c r="X30" s="106">
        <v>19</v>
      </c>
      <c r="Y30" s="106">
        <v>2644.7999999999997</v>
      </c>
      <c r="Z30" s="106">
        <v>20</v>
      </c>
      <c r="AA30" s="106">
        <v>2784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12</v>
      </c>
      <c r="AK30" s="106">
        <v>1670.3999999999999</v>
      </c>
      <c r="AL30" s="106">
        <v>11</v>
      </c>
      <c r="AM30" s="106">
        <v>1531.1999999999998</v>
      </c>
      <c r="AN30" s="106">
        <v>11</v>
      </c>
      <c r="AO30" s="106">
        <v>1531.1999999999998</v>
      </c>
      <c r="AP30" s="106">
        <v>12</v>
      </c>
      <c r="AQ30" s="106">
        <v>1670.3999999999999</v>
      </c>
      <c r="AR30" s="106">
        <v>14</v>
      </c>
      <c r="AS30" s="106">
        <v>1948.7999999999997</v>
      </c>
      <c r="AT30" s="106">
        <v>13</v>
      </c>
      <c r="AU30" s="106">
        <v>1809.6</v>
      </c>
      <c r="AV30" s="106">
        <v>9</v>
      </c>
      <c r="AW30" s="106">
        <v>1252.8</v>
      </c>
      <c r="AX30" s="106">
        <v>11</v>
      </c>
      <c r="AY30" s="106">
        <v>1531.1999999999998</v>
      </c>
      <c r="AZ30" s="106">
        <v>3.0142483304089494</v>
      </c>
      <c r="BA30" s="106">
        <v>419.5833675929257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9.8327154801542598</v>
      </c>
      <c r="BI30" s="106">
        <v>1368.7139948374729</v>
      </c>
      <c r="BJ30" s="106">
        <v>35.076116711915176</v>
      </c>
      <c r="BK30" s="106">
        <v>4882.5954462985919</v>
      </c>
      <c r="BL30" s="106">
        <v>39</v>
      </c>
      <c r="BM30" s="106">
        <v>5428.7999999999993</v>
      </c>
      <c r="BN30" s="106">
        <v>24</v>
      </c>
      <c r="BO30" s="106">
        <v>3340.7999999999997</v>
      </c>
      <c r="BP30" s="106">
        <v>25</v>
      </c>
      <c r="BQ30" s="106">
        <v>3479.9999999999995</v>
      </c>
      <c r="BR30" s="106">
        <v>18</v>
      </c>
      <c r="BS30" s="106">
        <v>2505.6</v>
      </c>
      <c r="BT30" s="106">
        <v>25</v>
      </c>
      <c r="BU30" s="106">
        <v>3479.9999999999995</v>
      </c>
      <c r="BV30" s="106">
        <v>21</v>
      </c>
      <c r="BW30" s="106">
        <v>2923.2</v>
      </c>
      <c r="BX30" s="106">
        <v>8.3113505279537367</v>
      </c>
      <c r="BY30" s="106">
        <v>1156.9399934911601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84.407204965965491</v>
      </c>
      <c r="CG30" s="106">
        <v>11749.482931262395</v>
      </c>
      <c r="CH30" s="106">
        <v>96</v>
      </c>
      <c r="CI30" s="106">
        <v>13363.199999999999</v>
      </c>
      <c r="CJ30" s="106">
        <v>84</v>
      </c>
      <c r="CK30" s="106">
        <v>11692.8</v>
      </c>
      <c r="CL30" s="106">
        <v>77</v>
      </c>
      <c r="CM30" s="106">
        <v>10718.4</v>
      </c>
      <c r="CN30" s="106">
        <v>72</v>
      </c>
      <c r="CO30" s="106">
        <v>10022.4</v>
      </c>
      <c r="CP30" s="106">
        <v>52</v>
      </c>
      <c r="CQ30" s="106">
        <v>7238.4</v>
      </c>
      <c r="CR30" s="106">
        <v>51</v>
      </c>
      <c r="CS30" s="106">
        <v>7099.2</v>
      </c>
      <c r="CT30" s="106">
        <v>50</v>
      </c>
      <c r="CU30" s="106">
        <v>6959.9999999999991</v>
      </c>
    </row>
    <row r="31" spans="2:99" x14ac:dyDescent="0.2">
      <c r="C31" s="105" t="s">
        <v>197</v>
      </c>
      <c r="D31" s="106">
        <v>34</v>
      </c>
      <c r="E31" s="106">
        <v>11587.2</v>
      </c>
      <c r="F31" s="106">
        <v>18.780084661902336</v>
      </c>
      <c r="G31" s="106">
        <v>6400.2528527763161</v>
      </c>
      <c r="H31" s="106">
        <v>0</v>
      </c>
      <c r="I31" s="106">
        <v>0</v>
      </c>
      <c r="J31" s="106">
        <v>0</v>
      </c>
      <c r="K31" s="106">
        <v>0</v>
      </c>
      <c r="L31" s="106">
        <v>8.6226954391924284</v>
      </c>
      <c r="M31" s="106">
        <v>2938.6146056767798</v>
      </c>
      <c r="N31" s="106">
        <v>35</v>
      </c>
      <c r="O31" s="106">
        <v>11928</v>
      </c>
      <c r="P31" s="106">
        <v>34</v>
      </c>
      <c r="Q31" s="106">
        <v>11587.2</v>
      </c>
      <c r="R31" s="106">
        <v>22</v>
      </c>
      <c r="S31" s="106">
        <v>7497.6</v>
      </c>
      <c r="T31" s="106">
        <v>22</v>
      </c>
      <c r="U31" s="106">
        <v>7497.6</v>
      </c>
      <c r="V31" s="106">
        <v>20</v>
      </c>
      <c r="W31" s="106">
        <v>6816</v>
      </c>
      <c r="X31" s="106">
        <v>18</v>
      </c>
      <c r="Y31" s="106">
        <v>6134.4000000000005</v>
      </c>
      <c r="Z31" s="106">
        <v>22</v>
      </c>
      <c r="AA31" s="106">
        <v>7497.6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12</v>
      </c>
      <c r="AK31" s="106">
        <v>4089.6000000000004</v>
      </c>
      <c r="AL31" s="106">
        <v>12</v>
      </c>
      <c r="AM31" s="106">
        <v>4089.6000000000004</v>
      </c>
      <c r="AN31" s="106">
        <v>11</v>
      </c>
      <c r="AO31" s="106">
        <v>3748.8</v>
      </c>
      <c r="AP31" s="106">
        <v>13</v>
      </c>
      <c r="AQ31" s="106">
        <v>4430.4000000000005</v>
      </c>
      <c r="AR31" s="106">
        <v>13</v>
      </c>
      <c r="AS31" s="106">
        <v>4430.4000000000005</v>
      </c>
      <c r="AT31" s="106">
        <v>13</v>
      </c>
      <c r="AU31" s="106">
        <v>4430.4000000000005</v>
      </c>
      <c r="AV31" s="106">
        <v>9</v>
      </c>
      <c r="AW31" s="106">
        <v>3067.2000000000003</v>
      </c>
      <c r="AX31" s="106">
        <v>12</v>
      </c>
      <c r="AY31" s="106">
        <v>4089.6000000000004</v>
      </c>
      <c r="AZ31" s="106">
        <v>3.0142483304089494</v>
      </c>
      <c r="BA31" s="106">
        <v>1027.2558310033701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10.279657092888543</v>
      </c>
      <c r="BI31" s="106">
        <v>3503.3071372564159</v>
      </c>
      <c r="BJ31" s="106">
        <v>33.32231087631942</v>
      </c>
      <c r="BK31" s="106">
        <v>11356.243546649659</v>
      </c>
      <c r="BL31" s="106">
        <v>43</v>
      </c>
      <c r="BM31" s="106">
        <v>14654.4</v>
      </c>
      <c r="BN31" s="106">
        <v>23</v>
      </c>
      <c r="BO31" s="106">
        <v>7838.4000000000005</v>
      </c>
      <c r="BP31" s="106">
        <v>28</v>
      </c>
      <c r="BQ31" s="106">
        <v>9542.4</v>
      </c>
      <c r="BR31" s="106">
        <v>19</v>
      </c>
      <c r="BS31" s="106">
        <v>6475.2</v>
      </c>
      <c r="BT31" s="106">
        <v>25</v>
      </c>
      <c r="BU31" s="106">
        <v>8520</v>
      </c>
      <c r="BV31" s="106">
        <v>22</v>
      </c>
      <c r="BW31" s="106">
        <v>7497.6</v>
      </c>
      <c r="BX31" s="106">
        <v>7.3523485439590743</v>
      </c>
      <c r="BY31" s="106">
        <v>2505.6803837812527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85.277382336748644</v>
      </c>
      <c r="CG31" s="106">
        <v>29062.531900363938</v>
      </c>
      <c r="CH31" s="106">
        <v>103</v>
      </c>
      <c r="CI31" s="106">
        <v>35102.400000000001</v>
      </c>
      <c r="CJ31" s="106">
        <v>79</v>
      </c>
      <c r="CK31" s="106">
        <v>26923.200000000001</v>
      </c>
      <c r="CL31" s="106">
        <v>84</v>
      </c>
      <c r="CM31" s="106">
        <v>28627.200000000001</v>
      </c>
      <c r="CN31" s="106">
        <v>67</v>
      </c>
      <c r="CO31" s="106">
        <v>22833.600000000002</v>
      </c>
      <c r="CP31" s="106">
        <v>57</v>
      </c>
      <c r="CQ31" s="106">
        <v>19425.600000000002</v>
      </c>
      <c r="CR31" s="106">
        <v>46</v>
      </c>
      <c r="CS31" s="106">
        <v>15676.800000000001</v>
      </c>
      <c r="CT31" s="106">
        <v>45</v>
      </c>
      <c r="CU31" s="106">
        <v>15336</v>
      </c>
    </row>
    <row r="32" spans="2:99" x14ac:dyDescent="0.2">
      <c r="C32" s="105" t="s">
        <v>198</v>
      </c>
      <c r="D32" s="106">
        <v>29</v>
      </c>
      <c r="E32" s="106">
        <v>24360</v>
      </c>
      <c r="F32" s="106">
        <v>16.330508401654203</v>
      </c>
      <c r="G32" s="106">
        <v>13717.627057389531</v>
      </c>
      <c r="H32" s="106">
        <v>0</v>
      </c>
      <c r="I32" s="106">
        <v>0</v>
      </c>
      <c r="J32" s="106">
        <v>0</v>
      </c>
      <c r="K32" s="106">
        <v>0</v>
      </c>
      <c r="L32" s="106">
        <v>8.6226954391924284</v>
      </c>
      <c r="M32" s="106">
        <v>7243.06416892164</v>
      </c>
      <c r="N32" s="106">
        <v>34</v>
      </c>
      <c r="O32" s="106">
        <v>28560</v>
      </c>
      <c r="P32" s="106">
        <v>33</v>
      </c>
      <c r="Q32" s="106">
        <v>27720</v>
      </c>
      <c r="R32" s="106">
        <v>25</v>
      </c>
      <c r="S32" s="106">
        <v>21000</v>
      </c>
      <c r="T32" s="106">
        <v>22</v>
      </c>
      <c r="U32" s="106">
        <v>18480</v>
      </c>
      <c r="V32" s="106">
        <v>17</v>
      </c>
      <c r="W32" s="106">
        <v>14280</v>
      </c>
      <c r="X32" s="106">
        <v>18</v>
      </c>
      <c r="Y32" s="106">
        <v>15120</v>
      </c>
      <c r="Z32" s="106">
        <v>21</v>
      </c>
      <c r="AA32" s="106">
        <v>17640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13</v>
      </c>
      <c r="AK32" s="106">
        <v>10920</v>
      </c>
      <c r="AL32" s="106">
        <v>11</v>
      </c>
      <c r="AM32" s="106">
        <v>9240</v>
      </c>
      <c r="AN32" s="106">
        <v>9</v>
      </c>
      <c r="AO32" s="106">
        <v>7560</v>
      </c>
      <c r="AP32" s="106">
        <v>11</v>
      </c>
      <c r="AQ32" s="106">
        <v>9240</v>
      </c>
      <c r="AR32" s="106">
        <v>13</v>
      </c>
      <c r="AS32" s="106">
        <v>10920</v>
      </c>
      <c r="AT32" s="106">
        <v>12</v>
      </c>
      <c r="AU32" s="106">
        <v>10080</v>
      </c>
      <c r="AV32" s="106">
        <v>8</v>
      </c>
      <c r="AW32" s="106">
        <v>6720</v>
      </c>
      <c r="AX32" s="106">
        <v>10</v>
      </c>
      <c r="AY32" s="106">
        <v>8400</v>
      </c>
      <c r="AZ32" s="106">
        <v>2.7128234973680549</v>
      </c>
      <c r="BA32" s="106">
        <v>2278.7717377891663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8.4918906419514073</v>
      </c>
      <c r="BI32" s="106">
        <v>7133.1881392391824</v>
      </c>
      <c r="BJ32" s="106">
        <v>28.060893369532138</v>
      </c>
      <c r="BK32" s="106">
        <v>23571.150430406997</v>
      </c>
      <c r="BL32" s="106">
        <v>42</v>
      </c>
      <c r="BM32" s="106">
        <v>35280</v>
      </c>
      <c r="BN32" s="106">
        <v>22</v>
      </c>
      <c r="BO32" s="106">
        <v>18480</v>
      </c>
      <c r="BP32" s="106">
        <v>28</v>
      </c>
      <c r="BQ32" s="106">
        <v>23520</v>
      </c>
      <c r="BR32" s="106">
        <v>17</v>
      </c>
      <c r="BS32" s="106">
        <v>14280</v>
      </c>
      <c r="BT32" s="106">
        <v>23</v>
      </c>
      <c r="BU32" s="106">
        <v>19320</v>
      </c>
      <c r="BV32" s="106">
        <v>18</v>
      </c>
      <c r="BW32" s="106">
        <v>15120</v>
      </c>
      <c r="BX32" s="106">
        <v>7.6720158719572948</v>
      </c>
      <c r="BY32" s="106">
        <v>6444.4933324441281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74.835253887350845</v>
      </c>
      <c r="CG32" s="106">
        <v>62861.613265374712</v>
      </c>
      <c r="CH32" s="106">
        <v>80</v>
      </c>
      <c r="CI32" s="106">
        <v>67200</v>
      </c>
      <c r="CJ32" s="106">
        <v>71</v>
      </c>
      <c r="CK32" s="106">
        <v>59640</v>
      </c>
      <c r="CL32" s="106">
        <v>73</v>
      </c>
      <c r="CM32" s="106">
        <v>61320</v>
      </c>
      <c r="CN32" s="106">
        <v>64</v>
      </c>
      <c r="CO32" s="106">
        <v>53760</v>
      </c>
      <c r="CP32" s="106">
        <v>46</v>
      </c>
      <c r="CQ32" s="106">
        <v>38640</v>
      </c>
      <c r="CR32" s="106">
        <v>46</v>
      </c>
      <c r="CS32" s="106">
        <v>38640</v>
      </c>
      <c r="CT32" s="106">
        <v>43</v>
      </c>
      <c r="CU32" s="106">
        <v>36120</v>
      </c>
    </row>
    <row r="33" spans="2:99" x14ac:dyDescent="0.2">
      <c r="C33" s="105" t="s">
        <v>199</v>
      </c>
      <c r="D33" s="106">
        <v>30</v>
      </c>
      <c r="E33" s="106">
        <v>14220</v>
      </c>
      <c r="F33" s="106">
        <v>19.596610081985045</v>
      </c>
      <c r="G33" s="106">
        <v>9288.7931788609112</v>
      </c>
      <c r="H33" s="106">
        <v>0</v>
      </c>
      <c r="I33" s="106">
        <v>0</v>
      </c>
      <c r="J33" s="106">
        <v>0</v>
      </c>
      <c r="K33" s="106">
        <v>0</v>
      </c>
      <c r="L33" s="106">
        <v>10.059811345724501</v>
      </c>
      <c r="M33" s="106">
        <v>4768.3505778734134</v>
      </c>
      <c r="N33" s="106">
        <v>37</v>
      </c>
      <c r="O33" s="106">
        <v>17538</v>
      </c>
      <c r="P33" s="106">
        <v>30</v>
      </c>
      <c r="Q33" s="106">
        <v>14220</v>
      </c>
      <c r="R33" s="106">
        <v>22</v>
      </c>
      <c r="S33" s="106">
        <v>10428</v>
      </c>
      <c r="T33" s="106">
        <v>23</v>
      </c>
      <c r="U33" s="106">
        <v>10902</v>
      </c>
      <c r="V33" s="106">
        <v>20</v>
      </c>
      <c r="W33" s="106">
        <v>9480</v>
      </c>
      <c r="X33" s="106">
        <v>16</v>
      </c>
      <c r="Y33" s="106">
        <v>7584</v>
      </c>
      <c r="Z33" s="106">
        <v>22</v>
      </c>
      <c r="AA33" s="106">
        <v>10428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12</v>
      </c>
      <c r="AK33" s="106">
        <v>5688</v>
      </c>
      <c r="AL33" s="106">
        <v>11</v>
      </c>
      <c r="AM33" s="106">
        <v>5214</v>
      </c>
      <c r="AN33" s="106">
        <v>10</v>
      </c>
      <c r="AO33" s="106">
        <v>4740</v>
      </c>
      <c r="AP33" s="106">
        <v>11</v>
      </c>
      <c r="AQ33" s="106">
        <v>5214</v>
      </c>
      <c r="AR33" s="106">
        <v>14</v>
      </c>
      <c r="AS33" s="106">
        <v>6636</v>
      </c>
      <c r="AT33" s="106">
        <v>13</v>
      </c>
      <c r="AU33" s="106">
        <v>6162</v>
      </c>
      <c r="AV33" s="106">
        <v>9</v>
      </c>
      <c r="AW33" s="106">
        <v>4266</v>
      </c>
      <c r="AX33" s="106">
        <v>11</v>
      </c>
      <c r="AY33" s="106">
        <v>5214</v>
      </c>
      <c r="AZ33" s="106">
        <v>3.0142483304089494</v>
      </c>
      <c r="BA33" s="106">
        <v>1428.753708613842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9.8327154801542598</v>
      </c>
      <c r="BI33" s="106">
        <v>4660.7071375931191</v>
      </c>
      <c r="BJ33" s="106">
        <v>30.691602122925776</v>
      </c>
      <c r="BK33" s="106">
        <v>14547.819406266817</v>
      </c>
      <c r="BL33" s="106">
        <v>41</v>
      </c>
      <c r="BM33" s="106">
        <v>19434</v>
      </c>
      <c r="BN33" s="106">
        <v>22</v>
      </c>
      <c r="BO33" s="106">
        <v>10428</v>
      </c>
      <c r="BP33" s="106">
        <v>29</v>
      </c>
      <c r="BQ33" s="106">
        <v>13746</v>
      </c>
      <c r="BR33" s="106">
        <v>18</v>
      </c>
      <c r="BS33" s="106">
        <v>8532</v>
      </c>
      <c r="BT33" s="106">
        <v>24</v>
      </c>
      <c r="BU33" s="106">
        <v>11376</v>
      </c>
      <c r="BV33" s="106">
        <v>19</v>
      </c>
      <c r="BW33" s="106">
        <v>9006</v>
      </c>
      <c r="BX33" s="106">
        <v>7.6720158719572948</v>
      </c>
      <c r="BY33" s="106">
        <v>3636.5355233077576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83.537027595182337</v>
      </c>
      <c r="CG33" s="106">
        <v>39596.551080116427</v>
      </c>
      <c r="CH33" s="106">
        <v>100</v>
      </c>
      <c r="CI33" s="106">
        <v>47400</v>
      </c>
      <c r="CJ33" s="106">
        <v>66</v>
      </c>
      <c r="CK33" s="106">
        <v>31284</v>
      </c>
      <c r="CL33" s="106">
        <v>87</v>
      </c>
      <c r="CM33" s="106">
        <v>41238</v>
      </c>
      <c r="CN33" s="106">
        <v>60</v>
      </c>
      <c r="CO33" s="106">
        <v>28440</v>
      </c>
      <c r="CP33" s="106">
        <v>49</v>
      </c>
      <c r="CQ33" s="106">
        <v>23226</v>
      </c>
      <c r="CR33" s="106">
        <v>46</v>
      </c>
      <c r="CS33" s="106">
        <v>21804</v>
      </c>
      <c r="CT33" s="106">
        <v>48</v>
      </c>
      <c r="CU33" s="106">
        <v>22752</v>
      </c>
    </row>
    <row r="34" spans="2:99" x14ac:dyDescent="0.2">
      <c r="C34" s="105" t="s">
        <v>200</v>
      </c>
      <c r="D34" s="106">
        <v>32</v>
      </c>
      <c r="E34" s="106">
        <v>17548.8</v>
      </c>
      <c r="F34" s="106">
        <v>17.147033821736915</v>
      </c>
      <c r="G34" s="106">
        <v>9403.4333478405242</v>
      </c>
      <c r="H34" s="106">
        <v>0</v>
      </c>
      <c r="I34" s="106">
        <v>0</v>
      </c>
      <c r="J34" s="106">
        <v>0</v>
      </c>
      <c r="K34" s="106">
        <v>0</v>
      </c>
      <c r="L34" s="106">
        <v>9.5807727102138092</v>
      </c>
      <c r="M34" s="106">
        <v>5254.095754281253</v>
      </c>
      <c r="N34" s="106">
        <v>31</v>
      </c>
      <c r="O34" s="106">
        <v>17000.399999999998</v>
      </c>
      <c r="P34" s="106">
        <v>31</v>
      </c>
      <c r="Q34" s="106">
        <v>17000.399999999998</v>
      </c>
      <c r="R34" s="106">
        <v>25</v>
      </c>
      <c r="S34" s="106">
        <v>13710</v>
      </c>
      <c r="T34" s="106">
        <v>24</v>
      </c>
      <c r="U34" s="106">
        <v>13161.599999999999</v>
      </c>
      <c r="V34" s="106">
        <v>19</v>
      </c>
      <c r="W34" s="106">
        <v>10419.6</v>
      </c>
      <c r="X34" s="106">
        <v>18</v>
      </c>
      <c r="Y34" s="106">
        <v>9871.1999999999989</v>
      </c>
      <c r="Z34" s="106">
        <v>23</v>
      </c>
      <c r="AA34" s="106">
        <v>12613.199999999999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12</v>
      </c>
      <c r="AK34" s="106">
        <v>6580.7999999999993</v>
      </c>
      <c r="AL34" s="106">
        <v>12</v>
      </c>
      <c r="AM34" s="106">
        <v>6580.7999999999993</v>
      </c>
      <c r="AN34" s="106">
        <v>9</v>
      </c>
      <c r="AO34" s="106">
        <v>4935.5999999999995</v>
      </c>
      <c r="AP34" s="106">
        <v>11</v>
      </c>
      <c r="AQ34" s="106">
        <v>6032.4</v>
      </c>
      <c r="AR34" s="106">
        <v>12</v>
      </c>
      <c r="AS34" s="106">
        <v>6580.7999999999993</v>
      </c>
      <c r="AT34" s="106">
        <v>15</v>
      </c>
      <c r="AU34" s="106">
        <v>8226</v>
      </c>
      <c r="AV34" s="106">
        <v>8</v>
      </c>
      <c r="AW34" s="106">
        <v>4387.2</v>
      </c>
      <c r="AX34" s="106">
        <v>11</v>
      </c>
      <c r="AY34" s="106">
        <v>6032.4</v>
      </c>
      <c r="AZ34" s="106">
        <v>2.7128234973680549</v>
      </c>
      <c r="BA34" s="106">
        <v>1487.7124059566413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9.3857738674199744</v>
      </c>
      <c r="BI34" s="106">
        <v>5147.1583888931136</v>
      </c>
      <c r="BJ34" s="106">
        <v>34.199213794117298</v>
      </c>
      <c r="BK34" s="106">
        <v>18754.848844693926</v>
      </c>
      <c r="BL34" s="106">
        <v>40</v>
      </c>
      <c r="BM34" s="106">
        <v>21936</v>
      </c>
      <c r="BN34" s="106">
        <v>25</v>
      </c>
      <c r="BO34" s="106">
        <v>13710</v>
      </c>
      <c r="BP34" s="106">
        <v>25</v>
      </c>
      <c r="BQ34" s="106">
        <v>13710</v>
      </c>
      <c r="BR34" s="106">
        <v>17</v>
      </c>
      <c r="BS34" s="106">
        <v>9322.7999999999993</v>
      </c>
      <c r="BT34" s="106">
        <v>23</v>
      </c>
      <c r="BU34" s="106">
        <v>12613.199999999999</v>
      </c>
      <c r="BV34" s="106">
        <v>19</v>
      </c>
      <c r="BW34" s="106">
        <v>10419.6</v>
      </c>
      <c r="BX34" s="106">
        <v>6.7130138879626333</v>
      </c>
      <c r="BY34" s="106">
        <v>3681.4168161587081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89.628269190664383</v>
      </c>
      <c r="CG34" s="106">
        <v>49152.142824160343</v>
      </c>
      <c r="CH34" s="106">
        <v>89</v>
      </c>
      <c r="CI34" s="106">
        <v>48807.6</v>
      </c>
      <c r="CJ34" s="106">
        <v>73</v>
      </c>
      <c r="CK34" s="106">
        <v>40033.199999999997</v>
      </c>
      <c r="CL34" s="106">
        <v>80</v>
      </c>
      <c r="CM34" s="106">
        <v>43872</v>
      </c>
      <c r="CN34" s="106">
        <v>63</v>
      </c>
      <c r="CO34" s="106">
        <v>34549.199999999997</v>
      </c>
      <c r="CP34" s="106">
        <v>49</v>
      </c>
      <c r="CQ34" s="106">
        <v>26871.599999999999</v>
      </c>
      <c r="CR34" s="106">
        <v>41</v>
      </c>
      <c r="CS34" s="106">
        <v>22484.399999999998</v>
      </c>
      <c r="CT34" s="106">
        <v>45</v>
      </c>
      <c r="CU34" s="106">
        <v>24678</v>
      </c>
    </row>
    <row r="35" spans="2:99" x14ac:dyDescent="0.2">
      <c r="C35" s="105" t="s">
        <v>201</v>
      </c>
      <c r="D35" s="106">
        <v>34</v>
      </c>
      <c r="E35" s="106">
        <v>17095.199999999997</v>
      </c>
      <c r="F35" s="106">
        <v>17.147033821736915</v>
      </c>
      <c r="G35" s="106">
        <v>8621.5286055693196</v>
      </c>
      <c r="H35" s="106">
        <v>0</v>
      </c>
      <c r="I35" s="106">
        <v>0</v>
      </c>
      <c r="J35" s="106">
        <v>0</v>
      </c>
      <c r="K35" s="106">
        <v>0</v>
      </c>
      <c r="L35" s="106">
        <v>8.6226954391924284</v>
      </c>
      <c r="M35" s="106">
        <v>4335.4912668259522</v>
      </c>
      <c r="N35" s="106">
        <v>34</v>
      </c>
      <c r="O35" s="106">
        <v>17095.199999999997</v>
      </c>
      <c r="P35" s="106">
        <v>30</v>
      </c>
      <c r="Q35" s="106">
        <v>15083.999999999996</v>
      </c>
      <c r="R35" s="106">
        <v>23</v>
      </c>
      <c r="S35" s="106">
        <v>11564.399999999998</v>
      </c>
      <c r="T35" s="106">
        <v>21</v>
      </c>
      <c r="U35" s="106">
        <v>10558.799999999997</v>
      </c>
      <c r="V35" s="106">
        <v>20</v>
      </c>
      <c r="W35" s="106">
        <v>10055.999999999998</v>
      </c>
      <c r="X35" s="106">
        <v>16</v>
      </c>
      <c r="Y35" s="106">
        <v>8044.7999999999984</v>
      </c>
      <c r="Z35" s="106">
        <v>19</v>
      </c>
      <c r="AA35" s="106">
        <v>9553.1999999999989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12</v>
      </c>
      <c r="AK35" s="106">
        <v>6033.5999999999985</v>
      </c>
      <c r="AL35" s="106">
        <v>10</v>
      </c>
      <c r="AM35" s="106">
        <v>5027.9999999999991</v>
      </c>
      <c r="AN35" s="106">
        <v>10</v>
      </c>
      <c r="AO35" s="106">
        <v>5027.9999999999991</v>
      </c>
      <c r="AP35" s="106">
        <v>12</v>
      </c>
      <c r="AQ35" s="106">
        <v>6033.5999999999985</v>
      </c>
      <c r="AR35" s="106">
        <v>13</v>
      </c>
      <c r="AS35" s="106">
        <v>6536.3999999999987</v>
      </c>
      <c r="AT35" s="106">
        <v>13</v>
      </c>
      <c r="AU35" s="106">
        <v>6536.3999999999987</v>
      </c>
      <c r="AV35" s="106">
        <v>8</v>
      </c>
      <c r="AW35" s="106">
        <v>4022.3999999999992</v>
      </c>
      <c r="AX35" s="106">
        <v>11</v>
      </c>
      <c r="AY35" s="106">
        <v>5530.7999999999993</v>
      </c>
      <c r="AZ35" s="106">
        <v>2.7128234973680549</v>
      </c>
      <c r="BA35" s="106">
        <v>1364.0076544766578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9.8327154801542598</v>
      </c>
      <c r="BI35" s="106">
        <v>4943.8893434215606</v>
      </c>
      <c r="BJ35" s="106">
        <v>34.199213794117298</v>
      </c>
      <c r="BK35" s="106">
        <v>17195.364695682176</v>
      </c>
      <c r="BL35" s="106">
        <v>45</v>
      </c>
      <c r="BM35" s="106">
        <v>22625.999999999996</v>
      </c>
      <c r="BN35" s="106">
        <v>22</v>
      </c>
      <c r="BO35" s="106">
        <v>11061.599999999999</v>
      </c>
      <c r="BP35" s="106">
        <v>26</v>
      </c>
      <c r="BQ35" s="106">
        <v>13072.799999999997</v>
      </c>
      <c r="BR35" s="106">
        <v>16</v>
      </c>
      <c r="BS35" s="106">
        <v>8044.7999999999984</v>
      </c>
      <c r="BT35" s="106">
        <v>22</v>
      </c>
      <c r="BU35" s="106">
        <v>11061.599999999999</v>
      </c>
      <c r="BV35" s="106">
        <v>21</v>
      </c>
      <c r="BW35" s="106">
        <v>10558.799999999997</v>
      </c>
      <c r="BX35" s="106">
        <v>7.0326812159608529</v>
      </c>
      <c r="BY35" s="106">
        <v>3536.032115385116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92.23880130301383</v>
      </c>
      <c r="CG35" s="106">
        <v>46377.669295155341</v>
      </c>
      <c r="CH35" s="106">
        <v>96</v>
      </c>
      <c r="CI35" s="106">
        <v>48268.799999999988</v>
      </c>
      <c r="CJ35" s="106">
        <v>68</v>
      </c>
      <c r="CK35" s="106">
        <v>34190.399999999994</v>
      </c>
      <c r="CL35" s="106">
        <v>73</v>
      </c>
      <c r="CM35" s="106">
        <v>36704.399999999994</v>
      </c>
      <c r="CN35" s="106">
        <v>58</v>
      </c>
      <c r="CO35" s="106">
        <v>29162.399999999994</v>
      </c>
      <c r="CP35" s="106">
        <v>47</v>
      </c>
      <c r="CQ35" s="106">
        <v>23631.599999999995</v>
      </c>
      <c r="CR35" s="106">
        <v>43</v>
      </c>
      <c r="CS35" s="106">
        <v>21620.399999999994</v>
      </c>
      <c r="CT35" s="106">
        <v>48</v>
      </c>
      <c r="CU35" s="106">
        <v>24134.399999999994</v>
      </c>
    </row>
    <row r="36" spans="2:99" x14ac:dyDescent="0.2">
      <c r="C36" s="105" t="s">
        <v>202</v>
      </c>
      <c r="D36" s="106">
        <v>29</v>
      </c>
      <c r="E36" s="106">
        <v>22063.199999999997</v>
      </c>
      <c r="F36" s="106">
        <v>17.963559241819627</v>
      </c>
      <c r="G36" s="106">
        <v>13666.675871176372</v>
      </c>
      <c r="H36" s="106">
        <v>0</v>
      </c>
      <c r="I36" s="106">
        <v>0</v>
      </c>
      <c r="J36" s="106">
        <v>0</v>
      </c>
      <c r="K36" s="106">
        <v>0</v>
      </c>
      <c r="L36" s="106">
        <v>9.1017340747031188</v>
      </c>
      <c r="M36" s="106">
        <v>6924.5992840341323</v>
      </c>
      <c r="N36" s="106">
        <v>32</v>
      </c>
      <c r="O36" s="106">
        <v>24345.599999999999</v>
      </c>
      <c r="P36" s="106">
        <v>31</v>
      </c>
      <c r="Q36" s="106">
        <v>23584.799999999999</v>
      </c>
      <c r="R36" s="106">
        <v>23</v>
      </c>
      <c r="S36" s="106">
        <v>17498.399999999998</v>
      </c>
      <c r="T36" s="106">
        <v>21</v>
      </c>
      <c r="U36" s="106">
        <v>15976.8</v>
      </c>
      <c r="V36" s="106">
        <v>18</v>
      </c>
      <c r="W36" s="106">
        <v>13694.4</v>
      </c>
      <c r="X36" s="106">
        <v>17</v>
      </c>
      <c r="Y36" s="106">
        <v>12933.599999999999</v>
      </c>
      <c r="Z36" s="106">
        <v>20</v>
      </c>
      <c r="AA36" s="106">
        <v>15216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12</v>
      </c>
      <c r="AK36" s="106">
        <v>9129.5999999999985</v>
      </c>
      <c r="AL36" s="106">
        <v>11</v>
      </c>
      <c r="AM36" s="106">
        <v>8368.7999999999993</v>
      </c>
      <c r="AN36" s="106">
        <v>9</v>
      </c>
      <c r="AO36" s="106">
        <v>6847.2</v>
      </c>
      <c r="AP36" s="106">
        <v>11</v>
      </c>
      <c r="AQ36" s="106">
        <v>8368.7999999999993</v>
      </c>
      <c r="AR36" s="106">
        <v>13</v>
      </c>
      <c r="AS36" s="106">
        <v>9890.4</v>
      </c>
      <c r="AT36" s="106">
        <v>13</v>
      </c>
      <c r="AU36" s="106">
        <v>9890.4</v>
      </c>
      <c r="AV36" s="106">
        <v>8</v>
      </c>
      <c r="AW36" s="106">
        <v>6086.4</v>
      </c>
      <c r="AX36" s="106">
        <v>12</v>
      </c>
      <c r="AY36" s="106">
        <v>9129.5999999999985</v>
      </c>
      <c r="AZ36" s="106">
        <v>2.7128234973680549</v>
      </c>
      <c r="BA36" s="106">
        <v>2063.9161167976163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9.3857738674199744</v>
      </c>
      <c r="BI36" s="106">
        <v>7140.6967583331161</v>
      </c>
      <c r="BJ36" s="106">
        <v>28.060893369532138</v>
      </c>
      <c r="BK36" s="106">
        <v>21348.727675540049</v>
      </c>
      <c r="BL36" s="106">
        <v>37</v>
      </c>
      <c r="BM36" s="106">
        <v>28149.599999999999</v>
      </c>
      <c r="BN36" s="106">
        <v>22</v>
      </c>
      <c r="BO36" s="106">
        <v>16737.599999999999</v>
      </c>
      <c r="BP36" s="106">
        <v>29</v>
      </c>
      <c r="BQ36" s="106">
        <v>22063.199999999997</v>
      </c>
      <c r="BR36" s="106">
        <v>18</v>
      </c>
      <c r="BS36" s="106">
        <v>13694.4</v>
      </c>
      <c r="BT36" s="106">
        <v>22</v>
      </c>
      <c r="BU36" s="106">
        <v>16737.599999999999</v>
      </c>
      <c r="BV36" s="106">
        <v>21</v>
      </c>
      <c r="BW36" s="106">
        <v>15976.8</v>
      </c>
      <c r="BX36" s="106">
        <v>7.6720158719572948</v>
      </c>
      <c r="BY36" s="106">
        <v>5836.86967538511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78.315963370483445</v>
      </c>
      <c r="CG36" s="106">
        <v>59582.784932263799</v>
      </c>
      <c r="CH36" s="106">
        <v>89</v>
      </c>
      <c r="CI36" s="106">
        <v>67711.199999999997</v>
      </c>
      <c r="CJ36" s="106">
        <v>64</v>
      </c>
      <c r="CK36" s="106">
        <v>48691.199999999997</v>
      </c>
      <c r="CL36" s="106">
        <v>76</v>
      </c>
      <c r="CM36" s="106">
        <v>57820.799999999996</v>
      </c>
      <c r="CN36" s="106">
        <v>55</v>
      </c>
      <c r="CO36" s="106">
        <v>41844</v>
      </c>
      <c r="CP36" s="106">
        <v>51</v>
      </c>
      <c r="CQ36" s="106">
        <v>38800.799999999996</v>
      </c>
      <c r="CR36" s="106">
        <v>38</v>
      </c>
      <c r="CS36" s="106">
        <v>28910.399999999998</v>
      </c>
      <c r="CT36" s="106">
        <v>41</v>
      </c>
      <c r="CU36" s="106">
        <v>31192.799999999999</v>
      </c>
    </row>
    <row r="37" spans="2:99" x14ac:dyDescent="0.2">
      <c r="B37" s="105" t="s">
        <v>128</v>
      </c>
      <c r="C37" s="105" t="s">
        <v>203</v>
      </c>
      <c r="D37" s="106">
        <v>44</v>
      </c>
      <c r="E37" s="106">
        <v>37857.599999999999</v>
      </c>
      <c r="F37" s="106">
        <v>57.15677940578972</v>
      </c>
      <c r="G37" s="106">
        <v>49177.693000741478</v>
      </c>
      <c r="H37" s="106">
        <v>0</v>
      </c>
      <c r="I37" s="106">
        <v>0</v>
      </c>
      <c r="J37" s="106">
        <v>0</v>
      </c>
      <c r="K37" s="106">
        <v>0</v>
      </c>
      <c r="L37" s="106">
        <v>15.808274971852786</v>
      </c>
      <c r="M37" s="106">
        <v>13601.439785782137</v>
      </c>
      <c r="N37" s="106">
        <v>33</v>
      </c>
      <c r="O37" s="106">
        <v>28393.200000000001</v>
      </c>
      <c r="P37" s="106">
        <v>41</v>
      </c>
      <c r="Q37" s="106">
        <v>35276.400000000001</v>
      </c>
      <c r="R37" s="106">
        <v>43</v>
      </c>
      <c r="S37" s="106">
        <v>36997.199999999997</v>
      </c>
      <c r="T37" s="106">
        <v>10</v>
      </c>
      <c r="U37" s="106">
        <v>8604</v>
      </c>
      <c r="V37" s="106">
        <v>7</v>
      </c>
      <c r="W37" s="106">
        <v>6022.8</v>
      </c>
      <c r="X37" s="106">
        <v>12</v>
      </c>
      <c r="Y37" s="106">
        <v>10324.799999999999</v>
      </c>
      <c r="Z37" s="106">
        <v>8</v>
      </c>
      <c r="AA37" s="106">
        <v>6883.2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12</v>
      </c>
      <c r="AK37" s="106">
        <v>10324.799999999999</v>
      </c>
      <c r="AL37" s="106">
        <v>8</v>
      </c>
      <c r="AM37" s="106">
        <v>6883.2</v>
      </c>
      <c r="AN37" s="106">
        <v>8</v>
      </c>
      <c r="AO37" s="106">
        <v>6883.2</v>
      </c>
      <c r="AP37" s="106">
        <v>11</v>
      </c>
      <c r="AQ37" s="106">
        <v>9464.4</v>
      </c>
      <c r="AR37" s="106">
        <v>7</v>
      </c>
      <c r="AS37" s="106">
        <v>6022.8</v>
      </c>
      <c r="AT37" s="106">
        <v>4</v>
      </c>
      <c r="AU37" s="106">
        <v>3441.6</v>
      </c>
      <c r="AV37" s="106">
        <v>6</v>
      </c>
      <c r="AW37" s="106">
        <v>5162.3999999999996</v>
      </c>
      <c r="AX37" s="106">
        <v>8</v>
      </c>
      <c r="AY37" s="106">
        <v>6883.2</v>
      </c>
      <c r="AZ37" s="106">
        <v>2.7128234973680549</v>
      </c>
      <c r="BA37" s="106">
        <v>2334.1133371354745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25.9226135385885</v>
      </c>
      <c r="BI37" s="106">
        <v>22303.816688601546</v>
      </c>
      <c r="BJ37" s="106">
        <v>66.644621752638841</v>
      </c>
      <c r="BK37" s="106">
        <v>57341.032555970458</v>
      </c>
      <c r="BL37" s="106">
        <v>84</v>
      </c>
      <c r="BM37" s="106">
        <v>72273.599999999991</v>
      </c>
      <c r="BN37" s="106">
        <v>66</v>
      </c>
      <c r="BO37" s="106">
        <v>56786.400000000001</v>
      </c>
      <c r="BP37" s="106">
        <v>24</v>
      </c>
      <c r="BQ37" s="106">
        <v>20649.599999999999</v>
      </c>
      <c r="BR37" s="106">
        <v>16</v>
      </c>
      <c r="BS37" s="106">
        <v>13766.4</v>
      </c>
      <c r="BT37" s="106">
        <v>14</v>
      </c>
      <c r="BU37" s="106">
        <v>12045.6</v>
      </c>
      <c r="BV37" s="106">
        <v>15</v>
      </c>
      <c r="BW37" s="106">
        <v>12906</v>
      </c>
      <c r="BX37" s="106">
        <v>2.5573386239857649</v>
      </c>
      <c r="BY37" s="106">
        <v>2200.334152077352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20.884256898795584</v>
      </c>
      <c r="CG37" s="106">
        <v>17968.81463572372</v>
      </c>
      <c r="CH37" s="106">
        <v>35</v>
      </c>
      <c r="CI37" s="106">
        <v>30114</v>
      </c>
      <c r="CJ37" s="106">
        <v>27</v>
      </c>
      <c r="CK37" s="106">
        <v>23230.799999999999</v>
      </c>
      <c r="CL37" s="106">
        <v>22</v>
      </c>
      <c r="CM37" s="106">
        <v>18928.8</v>
      </c>
      <c r="CN37" s="106">
        <v>12</v>
      </c>
      <c r="CO37" s="106">
        <v>10324.799999999999</v>
      </c>
      <c r="CP37" s="106">
        <v>9</v>
      </c>
      <c r="CQ37" s="106">
        <v>7743.5999999999995</v>
      </c>
      <c r="CR37" s="106">
        <v>15</v>
      </c>
      <c r="CS37" s="106">
        <v>12906</v>
      </c>
      <c r="CT37" s="106">
        <v>16</v>
      </c>
      <c r="CU37" s="106">
        <v>13766.4</v>
      </c>
    </row>
    <row r="38" spans="2:99" x14ac:dyDescent="0.2">
      <c r="C38" s="105" t="s">
        <v>204</v>
      </c>
      <c r="D38" s="106">
        <v>40</v>
      </c>
      <c r="E38" s="106">
        <v>49680</v>
      </c>
      <c r="F38" s="106">
        <v>49.808050625045325</v>
      </c>
      <c r="G38" s="106">
        <v>61861.598876306292</v>
      </c>
      <c r="H38" s="106">
        <v>0</v>
      </c>
      <c r="I38" s="106">
        <v>0</v>
      </c>
      <c r="J38" s="106">
        <v>0</v>
      </c>
      <c r="K38" s="106">
        <v>0</v>
      </c>
      <c r="L38" s="106">
        <v>15.329236336342095</v>
      </c>
      <c r="M38" s="106">
        <v>19038.911529736881</v>
      </c>
      <c r="N38" s="106">
        <v>28</v>
      </c>
      <c r="O38" s="106">
        <v>34776</v>
      </c>
      <c r="P38" s="106">
        <v>41</v>
      </c>
      <c r="Q38" s="106">
        <v>50922</v>
      </c>
      <c r="R38" s="106">
        <v>40</v>
      </c>
      <c r="S38" s="106">
        <v>49680</v>
      </c>
      <c r="T38" s="106">
        <v>9</v>
      </c>
      <c r="U38" s="106">
        <v>11178</v>
      </c>
      <c r="V38" s="106">
        <v>7</v>
      </c>
      <c r="W38" s="106">
        <v>8694</v>
      </c>
      <c r="X38" s="106">
        <v>11</v>
      </c>
      <c r="Y38" s="106">
        <v>13662</v>
      </c>
      <c r="Z38" s="106">
        <v>8</v>
      </c>
      <c r="AA38" s="106">
        <v>9936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12</v>
      </c>
      <c r="AK38" s="106">
        <v>14904</v>
      </c>
      <c r="AL38" s="106">
        <v>7</v>
      </c>
      <c r="AM38" s="106">
        <v>8694</v>
      </c>
      <c r="AN38" s="106">
        <v>8</v>
      </c>
      <c r="AO38" s="106">
        <v>9936</v>
      </c>
      <c r="AP38" s="106">
        <v>12</v>
      </c>
      <c r="AQ38" s="106">
        <v>14904</v>
      </c>
      <c r="AR38" s="106">
        <v>6</v>
      </c>
      <c r="AS38" s="106">
        <v>7452</v>
      </c>
      <c r="AT38" s="106">
        <v>4</v>
      </c>
      <c r="AU38" s="106">
        <v>4968</v>
      </c>
      <c r="AV38" s="106">
        <v>6</v>
      </c>
      <c r="AW38" s="106">
        <v>7452</v>
      </c>
      <c r="AX38" s="106">
        <v>7</v>
      </c>
      <c r="AY38" s="106">
        <v>8694</v>
      </c>
      <c r="AZ38" s="106">
        <v>2.7128234973680549</v>
      </c>
      <c r="BA38" s="106">
        <v>3369.3267837311241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23.687905474917081</v>
      </c>
      <c r="BI38" s="106">
        <v>29420.378599847016</v>
      </c>
      <c r="BJ38" s="106">
        <v>64.013912999245207</v>
      </c>
      <c r="BK38" s="106">
        <v>79505.279945062546</v>
      </c>
      <c r="BL38" s="106">
        <v>85</v>
      </c>
      <c r="BM38" s="106">
        <v>105570</v>
      </c>
      <c r="BN38" s="106">
        <v>57</v>
      </c>
      <c r="BO38" s="106">
        <v>70794</v>
      </c>
      <c r="BP38" s="106">
        <v>25</v>
      </c>
      <c r="BQ38" s="106">
        <v>31050</v>
      </c>
      <c r="BR38" s="106">
        <v>14</v>
      </c>
      <c r="BS38" s="106">
        <v>17388</v>
      </c>
      <c r="BT38" s="106">
        <v>14</v>
      </c>
      <c r="BU38" s="106">
        <v>17388</v>
      </c>
      <c r="BV38" s="106">
        <v>14</v>
      </c>
      <c r="BW38" s="106">
        <v>17388</v>
      </c>
      <c r="BX38" s="106">
        <v>2.5573386239857649</v>
      </c>
      <c r="BY38" s="106">
        <v>3176.2145709903202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21.754434269578734</v>
      </c>
      <c r="CG38" s="106">
        <v>27019.007362816788</v>
      </c>
      <c r="CH38" s="106">
        <v>36</v>
      </c>
      <c r="CI38" s="106">
        <v>44712</v>
      </c>
      <c r="CJ38" s="106">
        <v>27</v>
      </c>
      <c r="CK38" s="106">
        <v>33534</v>
      </c>
      <c r="CL38" s="106">
        <v>22</v>
      </c>
      <c r="CM38" s="106">
        <v>27324</v>
      </c>
      <c r="CN38" s="106">
        <v>12</v>
      </c>
      <c r="CO38" s="106">
        <v>14904</v>
      </c>
      <c r="CP38" s="106">
        <v>9</v>
      </c>
      <c r="CQ38" s="106">
        <v>11178</v>
      </c>
      <c r="CR38" s="106">
        <v>13</v>
      </c>
      <c r="CS38" s="106">
        <v>16146</v>
      </c>
      <c r="CT38" s="106">
        <v>16</v>
      </c>
      <c r="CU38" s="106">
        <v>19872</v>
      </c>
    </row>
    <row r="39" spans="2:99" x14ac:dyDescent="0.2">
      <c r="C39" s="105" t="s">
        <v>205</v>
      </c>
      <c r="D39" s="106">
        <v>37</v>
      </c>
      <c r="E39" s="106">
        <v>52658.400000000001</v>
      </c>
      <c r="F39" s="106">
        <v>44.092372684466355</v>
      </c>
      <c r="G39" s="106">
        <v>62752.264804532519</v>
      </c>
      <c r="H39" s="106">
        <v>0</v>
      </c>
      <c r="I39" s="106">
        <v>0</v>
      </c>
      <c r="J39" s="106">
        <v>0</v>
      </c>
      <c r="K39" s="106">
        <v>0</v>
      </c>
      <c r="L39" s="106">
        <v>16.287313607363476</v>
      </c>
      <c r="M39" s="106">
        <v>23180.104725999699</v>
      </c>
      <c r="N39" s="106">
        <v>28</v>
      </c>
      <c r="O39" s="106">
        <v>39849.599999999999</v>
      </c>
      <c r="P39" s="106">
        <v>41</v>
      </c>
      <c r="Q39" s="106">
        <v>58351.200000000004</v>
      </c>
      <c r="R39" s="106">
        <v>37</v>
      </c>
      <c r="S39" s="106">
        <v>52658.400000000001</v>
      </c>
      <c r="T39" s="106">
        <v>10</v>
      </c>
      <c r="U39" s="106">
        <v>14232</v>
      </c>
      <c r="V39" s="106">
        <v>6</v>
      </c>
      <c r="W39" s="106">
        <v>8539.2000000000007</v>
      </c>
      <c r="X39" s="106">
        <v>10</v>
      </c>
      <c r="Y39" s="106">
        <v>14232</v>
      </c>
      <c r="Z39" s="106">
        <v>8</v>
      </c>
      <c r="AA39" s="106">
        <v>11385.6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13</v>
      </c>
      <c r="AK39" s="106">
        <v>18501.600000000002</v>
      </c>
      <c r="AL39" s="106">
        <v>8</v>
      </c>
      <c r="AM39" s="106">
        <v>11385.6</v>
      </c>
      <c r="AN39" s="106">
        <v>8</v>
      </c>
      <c r="AO39" s="106">
        <v>11385.6</v>
      </c>
      <c r="AP39" s="106">
        <v>12</v>
      </c>
      <c r="AQ39" s="106">
        <v>17078.400000000001</v>
      </c>
      <c r="AR39" s="106">
        <v>7</v>
      </c>
      <c r="AS39" s="106">
        <v>9962.4</v>
      </c>
      <c r="AT39" s="106">
        <v>5</v>
      </c>
      <c r="AU39" s="106">
        <v>7116</v>
      </c>
      <c r="AV39" s="106">
        <v>6</v>
      </c>
      <c r="AW39" s="106">
        <v>8539.2000000000007</v>
      </c>
      <c r="AX39" s="106">
        <v>7</v>
      </c>
      <c r="AY39" s="106">
        <v>9962.4</v>
      </c>
      <c r="AZ39" s="106">
        <v>2.7128234973680549</v>
      </c>
      <c r="BA39" s="106">
        <v>3860.8904014542159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20.112372573042805</v>
      </c>
      <c r="BI39" s="106">
        <v>28623.928645954522</v>
      </c>
      <c r="BJ39" s="106">
        <v>60.506301328053674</v>
      </c>
      <c r="BK39" s="106">
        <v>86112.568050085989</v>
      </c>
      <c r="BL39" s="106">
        <v>83</v>
      </c>
      <c r="BM39" s="106">
        <v>118125.6</v>
      </c>
      <c r="BN39" s="106">
        <v>58</v>
      </c>
      <c r="BO39" s="106">
        <v>82545.600000000006</v>
      </c>
      <c r="BP39" s="106">
        <v>22</v>
      </c>
      <c r="BQ39" s="106">
        <v>31310.400000000001</v>
      </c>
      <c r="BR39" s="106">
        <v>14</v>
      </c>
      <c r="BS39" s="106">
        <v>19924.8</v>
      </c>
      <c r="BT39" s="106">
        <v>15</v>
      </c>
      <c r="BU39" s="106">
        <v>21348</v>
      </c>
      <c r="BV39" s="106">
        <v>14</v>
      </c>
      <c r="BW39" s="106">
        <v>19924.8</v>
      </c>
      <c r="BX39" s="106">
        <v>2.2376712959875444</v>
      </c>
      <c r="BY39" s="106">
        <v>3184.6537884494733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19.143902157229288</v>
      </c>
      <c r="CG39" s="106">
        <v>27245.601550168725</v>
      </c>
      <c r="CH39" s="106">
        <v>32</v>
      </c>
      <c r="CI39" s="106">
        <v>45542.400000000001</v>
      </c>
      <c r="CJ39" s="106">
        <v>26</v>
      </c>
      <c r="CK39" s="106">
        <v>37003.200000000004</v>
      </c>
      <c r="CL39" s="106">
        <v>21</v>
      </c>
      <c r="CM39" s="106">
        <v>29887.200000000001</v>
      </c>
      <c r="CN39" s="106">
        <v>11</v>
      </c>
      <c r="CO39" s="106">
        <v>15655.2</v>
      </c>
      <c r="CP39" s="106">
        <v>10</v>
      </c>
      <c r="CQ39" s="106">
        <v>14232</v>
      </c>
      <c r="CR39" s="106">
        <v>12</v>
      </c>
      <c r="CS39" s="106">
        <v>17078.400000000001</v>
      </c>
      <c r="CT39" s="106">
        <v>15</v>
      </c>
      <c r="CU39" s="106">
        <v>21348</v>
      </c>
    </row>
    <row r="40" spans="2:99" x14ac:dyDescent="0.2">
      <c r="C40" s="105" t="s">
        <v>206</v>
      </c>
      <c r="D40" s="106">
        <v>45</v>
      </c>
      <c r="E40" s="106">
        <v>32615.999999999996</v>
      </c>
      <c r="F40" s="106">
        <v>48.991525204962613</v>
      </c>
      <c r="G40" s="106">
        <v>35509.057468556901</v>
      </c>
      <c r="H40" s="106">
        <v>0</v>
      </c>
      <c r="I40" s="106">
        <v>0</v>
      </c>
      <c r="J40" s="106">
        <v>0</v>
      </c>
      <c r="K40" s="106">
        <v>0</v>
      </c>
      <c r="L40" s="106">
        <v>17.245390878384857</v>
      </c>
      <c r="M40" s="106">
        <v>12499.459308653344</v>
      </c>
      <c r="N40" s="106">
        <v>33</v>
      </c>
      <c r="O40" s="106">
        <v>23918.399999999998</v>
      </c>
      <c r="P40" s="106">
        <v>50</v>
      </c>
      <c r="Q40" s="106">
        <v>36240</v>
      </c>
      <c r="R40" s="106">
        <v>43</v>
      </c>
      <c r="S40" s="106">
        <v>31166.399999999998</v>
      </c>
      <c r="T40" s="106">
        <v>10</v>
      </c>
      <c r="U40" s="106">
        <v>7248</v>
      </c>
      <c r="V40" s="106">
        <v>7</v>
      </c>
      <c r="W40" s="106">
        <v>5073.5999999999995</v>
      </c>
      <c r="X40" s="106">
        <v>10</v>
      </c>
      <c r="Y40" s="106">
        <v>7248</v>
      </c>
      <c r="Z40" s="106">
        <v>7</v>
      </c>
      <c r="AA40" s="106">
        <v>5073.5999999999995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12</v>
      </c>
      <c r="AK40" s="106">
        <v>8697.5999999999985</v>
      </c>
      <c r="AL40" s="106">
        <v>8</v>
      </c>
      <c r="AM40" s="106">
        <v>5798.4</v>
      </c>
      <c r="AN40" s="106">
        <v>8</v>
      </c>
      <c r="AO40" s="106">
        <v>5798.4</v>
      </c>
      <c r="AP40" s="106">
        <v>13</v>
      </c>
      <c r="AQ40" s="106">
        <v>9422.4</v>
      </c>
      <c r="AR40" s="106">
        <v>7</v>
      </c>
      <c r="AS40" s="106">
        <v>5073.5999999999995</v>
      </c>
      <c r="AT40" s="106">
        <v>5</v>
      </c>
      <c r="AU40" s="106">
        <v>3624</v>
      </c>
      <c r="AV40" s="106">
        <v>6</v>
      </c>
      <c r="AW40" s="106">
        <v>4348.7999999999993</v>
      </c>
      <c r="AX40" s="106">
        <v>7</v>
      </c>
      <c r="AY40" s="106">
        <v>5073.5999999999995</v>
      </c>
      <c r="AZ40" s="106">
        <v>2.7128234973680549</v>
      </c>
      <c r="BA40" s="106">
        <v>1966.254470892366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22.79402224944851</v>
      </c>
      <c r="BI40" s="106">
        <v>16521.107326400277</v>
      </c>
      <c r="BJ40" s="106">
        <v>74.536748012819757</v>
      </c>
      <c r="BK40" s="106">
        <v>54024.234959691756</v>
      </c>
      <c r="BL40" s="106">
        <v>81</v>
      </c>
      <c r="BM40" s="106">
        <v>58708.799999999996</v>
      </c>
      <c r="BN40" s="106">
        <v>63</v>
      </c>
      <c r="BO40" s="106">
        <v>45662.399999999994</v>
      </c>
      <c r="BP40" s="106">
        <v>28</v>
      </c>
      <c r="BQ40" s="106">
        <v>20294.399999999998</v>
      </c>
      <c r="BR40" s="106">
        <v>16</v>
      </c>
      <c r="BS40" s="106">
        <v>11596.8</v>
      </c>
      <c r="BT40" s="106">
        <v>15</v>
      </c>
      <c r="BU40" s="106">
        <v>10872</v>
      </c>
      <c r="BV40" s="106">
        <v>15</v>
      </c>
      <c r="BW40" s="106">
        <v>10872</v>
      </c>
      <c r="BX40" s="106">
        <v>2.5573386239857649</v>
      </c>
      <c r="BY40" s="106">
        <v>1853.5590346648823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22.624611640361884</v>
      </c>
      <c r="CG40" s="106">
        <v>16398.318516934294</v>
      </c>
      <c r="CH40" s="106">
        <v>38</v>
      </c>
      <c r="CI40" s="106">
        <v>27542.399999999998</v>
      </c>
      <c r="CJ40" s="106">
        <v>25</v>
      </c>
      <c r="CK40" s="106">
        <v>18120</v>
      </c>
      <c r="CL40" s="106">
        <v>24</v>
      </c>
      <c r="CM40" s="106">
        <v>17395.199999999997</v>
      </c>
      <c r="CN40" s="106">
        <v>12</v>
      </c>
      <c r="CO40" s="106">
        <v>8697.5999999999985</v>
      </c>
      <c r="CP40" s="106">
        <v>9</v>
      </c>
      <c r="CQ40" s="106">
        <v>6523.2</v>
      </c>
      <c r="CR40" s="106">
        <v>15</v>
      </c>
      <c r="CS40" s="106">
        <v>10872</v>
      </c>
      <c r="CT40" s="106">
        <v>15</v>
      </c>
      <c r="CU40" s="106">
        <v>10872</v>
      </c>
    </row>
    <row r="41" spans="2:99" x14ac:dyDescent="0.2">
      <c r="C41" s="105" t="s">
        <v>207</v>
      </c>
      <c r="D41" s="106">
        <v>48</v>
      </c>
      <c r="E41" s="106">
        <v>31680</v>
      </c>
      <c r="F41" s="106">
        <v>51.441101465210743</v>
      </c>
      <c r="G41" s="106">
        <v>33951.12696703909</v>
      </c>
      <c r="H41" s="106">
        <v>0</v>
      </c>
      <c r="I41" s="106">
        <v>0</v>
      </c>
      <c r="J41" s="106">
        <v>0</v>
      </c>
      <c r="K41" s="106">
        <v>0</v>
      </c>
      <c r="L41" s="106">
        <v>17.724429513895547</v>
      </c>
      <c r="M41" s="106">
        <v>11698.123479171061</v>
      </c>
      <c r="N41" s="106">
        <v>33</v>
      </c>
      <c r="O41" s="106">
        <v>21780</v>
      </c>
      <c r="P41" s="106">
        <v>48</v>
      </c>
      <c r="Q41" s="106">
        <v>31680</v>
      </c>
      <c r="R41" s="106">
        <v>42</v>
      </c>
      <c r="S41" s="106">
        <v>27720</v>
      </c>
      <c r="T41" s="106">
        <v>11</v>
      </c>
      <c r="U41" s="106">
        <v>7260</v>
      </c>
      <c r="V41" s="106">
        <v>8</v>
      </c>
      <c r="W41" s="106">
        <v>5280</v>
      </c>
      <c r="X41" s="106">
        <v>11</v>
      </c>
      <c r="Y41" s="106">
        <v>7260</v>
      </c>
      <c r="Z41" s="106">
        <v>7</v>
      </c>
      <c r="AA41" s="106">
        <v>4620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11</v>
      </c>
      <c r="AK41" s="106">
        <v>7260</v>
      </c>
      <c r="AL41" s="106">
        <v>8</v>
      </c>
      <c r="AM41" s="106">
        <v>5280</v>
      </c>
      <c r="AN41" s="106">
        <v>8</v>
      </c>
      <c r="AO41" s="106">
        <v>5280</v>
      </c>
      <c r="AP41" s="106">
        <v>13</v>
      </c>
      <c r="AQ41" s="106">
        <v>8580</v>
      </c>
      <c r="AR41" s="106">
        <v>6</v>
      </c>
      <c r="AS41" s="106">
        <v>3960</v>
      </c>
      <c r="AT41" s="106">
        <v>4</v>
      </c>
      <c r="AU41" s="106">
        <v>2640</v>
      </c>
      <c r="AV41" s="106">
        <v>7</v>
      </c>
      <c r="AW41" s="106">
        <v>4620</v>
      </c>
      <c r="AX41" s="106">
        <v>9</v>
      </c>
      <c r="AY41" s="106">
        <v>5940</v>
      </c>
      <c r="AZ41" s="106">
        <v>2.7128234973680549</v>
      </c>
      <c r="BA41" s="106">
        <v>1790.4635082629163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24.581788700385648</v>
      </c>
      <c r="BI41" s="106">
        <v>16223.980542254527</v>
      </c>
      <c r="BJ41" s="106">
        <v>67.521524670436719</v>
      </c>
      <c r="BK41" s="106">
        <v>44564.206282488238</v>
      </c>
      <c r="BL41" s="106">
        <v>90</v>
      </c>
      <c r="BM41" s="106">
        <v>59400</v>
      </c>
      <c r="BN41" s="106">
        <v>66</v>
      </c>
      <c r="BO41" s="106">
        <v>43560</v>
      </c>
      <c r="BP41" s="106">
        <v>28</v>
      </c>
      <c r="BQ41" s="106">
        <v>18480</v>
      </c>
      <c r="BR41" s="106">
        <v>18</v>
      </c>
      <c r="BS41" s="106">
        <v>11880</v>
      </c>
      <c r="BT41" s="106">
        <v>14</v>
      </c>
      <c r="BU41" s="106">
        <v>9240</v>
      </c>
      <c r="BV41" s="106">
        <v>15</v>
      </c>
      <c r="BW41" s="106">
        <v>9900</v>
      </c>
      <c r="BX41" s="106">
        <v>2.2376712959875444</v>
      </c>
      <c r="BY41" s="106">
        <v>1476.8630553517794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22.624611640361884</v>
      </c>
      <c r="CG41" s="106">
        <v>14932.243682638844</v>
      </c>
      <c r="CH41" s="106">
        <v>37</v>
      </c>
      <c r="CI41" s="106">
        <v>24420</v>
      </c>
      <c r="CJ41" s="106">
        <v>28</v>
      </c>
      <c r="CK41" s="106">
        <v>18480</v>
      </c>
      <c r="CL41" s="106">
        <v>23</v>
      </c>
      <c r="CM41" s="106">
        <v>15180</v>
      </c>
      <c r="CN41" s="106">
        <v>11</v>
      </c>
      <c r="CO41" s="106">
        <v>7260</v>
      </c>
      <c r="CP41" s="106">
        <v>11</v>
      </c>
      <c r="CQ41" s="106">
        <v>7260</v>
      </c>
      <c r="CR41" s="106">
        <v>13</v>
      </c>
      <c r="CS41" s="106">
        <v>8580</v>
      </c>
      <c r="CT41" s="106">
        <v>15</v>
      </c>
      <c r="CU41" s="106">
        <v>9900</v>
      </c>
    </row>
    <row r="42" spans="2:99" x14ac:dyDescent="0.2">
      <c r="C42" s="105" t="s">
        <v>208</v>
      </c>
      <c r="D42" s="106">
        <v>43</v>
      </c>
      <c r="E42" s="106">
        <v>36378</v>
      </c>
      <c r="F42" s="106">
        <v>49.808050625045325</v>
      </c>
      <c r="G42" s="106">
        <v>42137.610828788347</v>
      </c>
      <c r="H42" s="106">
        <v>0</v>
      </c>
      <c r="I42" s="106">
        <v>0</v>
      </c>
      <c r="J42" s="106">
        <v>0</v>
      </c>
      <c r="K42" s="106">
        <v>0</v>
      </c>
      <c r="L42" s="106">
        <v>17.245390878384857</v>
      </c>
      <c r="M42" s="106">
        <v>14589.600683113589</v>
      </c>
      <c r="N42" s="106">
        <v>31</v>
      </c>
      <c r="O42" s="106">
        <v>26226</v>
      </c>
      <c r="P42" s="106">
        <v>41</v>
      </c>
      <c r="Q42" s="106">
        <v>34686</v>
      </c>
      <c r="R42" s="106">
        <v>38</v>
      </c>
      <c r="S42" s="106">
        <v>32148</v>
      </c>
      <c r="T42" s="106">
        <v>9</v>
      </c>
      <c r="U42" s="106">
        <v>7614</v>
      </c>
      <c r="V42" s="106">
        <v>7</v>
      </c>
      <c r="W42" s="106">
        <v>5922</v>
      </c>
      <c r="X42" s="106">
        <v>10</v>
      </c>
      <c r="Y42" s="106">
        <v>8460</v>
      </c>
      <c r="Z42" s="106">
        <v>8</v>
      </c>
      <c r="AA42" s="106">
        <v>6768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12</v>
      </c>
      <c r="AK42" s="106">
        <v>10152</v>
      </c>
      <c r="AL42" s="106">
        <v>8</v>
      </c>
      <c r="AM42" s="106">
        <v>6768</v>
      </c>
      <c r="AN42" s="106">
        <v>7</v>
      </c>
      <c r="AO42" s="106">
        <v>5922</v>
      </c>
      <c r="AP42" s="106">
        <v>12</v>
      </c>
      <c r="AQ42" s="106">
        <v>10152</v>
      </c>
      <c r="AR42" s="106">
        <v>6</v>
      </c>
      <c r="AS42" s="106">
        <v>5076</v>
      </c>
      <c r="AT42" s="106">
        <v>5</v>
      </c>
      <c r="AU42" s="106">
        <v>4230</v>
      </c>
      <c r="AV42" s="106">
        <v>7</v>
      </c>
      <c r="AW42" s="106">
        <v>5922</v>
      </c>
      <c r="AX42" s="106">
        <v>8</v>
      </c>
      <c r="AY42" s="106">
        <v>6768</v>
      </c>
      <c r="AZ42" s="106">
        <v>3.0142483304089494</v>
      </c>
      <c r="BA42" s="106">
        <v>2550.0540875259712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23.687905474917081</v>
      </c>
      <c r="BI42" s="106">
        <v>20039.968031779848</v>
      </c>
      <c r="BJ42" s="106">
        <v>71.029136341628245</v>
      </c>
      <c r="BK42" s="106">
        <v>60090.649345017497</v>
      </c>
      <c r="BL42" s="106">
        <v>86</v>
      </c>
      <c r="BM42" s="106">
        <v>72756</v>
      </c>
      <c r="BN42" s="106">
        <v>65</v>
      </c>
      <c r="BO42" s="106">
        <v>54990</v>
      </c>
      <c r="BP42" s="106">
        <v>24</v>
      </c>
      <c r="BQ42" s="106">
        <v>20304</v>
      </c>
      <c r="BR42" s="106">
        <v>17</v>
      </c>
      <c r="BS42" s="106">
        <v>14382</v>
      </c>
      <c r="BT42" s="106">
        <v>13</v>
      </c>
      <c r="BU42" s="106">
        <v>10998</v>
      </c>
      <c r="BV42" s="106">
        <v>14</v>
      </c>
      <c r="BW42" s="106">
        <v>11844</v>
      </c>
      <c r="BX42" s="106">
        <v>2.5573386239857649</v>
      </c>
      <c r="BY42" s="106">
        <v>2163.508475891957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24.364966381928184</v>
      </c>
      <c r="CG42" s="106">
        <v>20612.761559111244</v>
      </c>
      <c r="CH42" s="106">
        <v>32</v>
      </c>
      <c r="CI42" s="106">
        <v>27072</v>
      </c>
      <c r="CJ42" s="106">
        <v>29</v>
      </c>
      <c r="CK42" s="106">
        <v>24534</v>
      </c>
      <c r="CL42" s="106">
        <v>22</v>
      </c>
      <c r="CM42" s="106">
        <v>18612</v>
      </c>
      <c r="CN42" s="106">
        <v>11</v>
      </c>
      <c r="CO42" s="106">
        <v>9306</v>
      </c>
      <c r="CP42" s="106">
        <v>10</v>
      </c>
      <c r="CQ42" s="106">
        <v>8460</v>
      </c>
      <c r="CR42" s="106">
        <v>15</v>
      </c>
      <c r="CS42" s="106">
        <v>12690</v>
      </c>
      <c r="CT42" s="106">
        <v>16</v>
      </c>
      <c r="CU42" s="106">
        <v>13536</v>
      </c>
    </row>
    <row r="43" spans="2:99" x14ac:dyDescent="0.2">
      <c r="C43" s="105" t="s">
        <v>209</v>
      </c>
      <c r="D43" s="106">
        <v>45</v>
      </c>
      <c r="E43" s="106">
        <v>46008</v>
      </c>
      <c r="F43" s="106">
        <v>48.991525204962613</v>
      </c>
      <c r="G43" s="106">
        <v>50088.935369553772</v>
      </c>
      <c r="H43" s="106">
        <v>0</v>
      </c>
      <c r="I43" s="106">
        <v>0</v>
      </c>
      <c r="J43" s="106">
        <v>0</v>
      </c>
      <c r="K43" s="106">
        <v>0</v>
      </c>
      <c r="L43" s="106">
        <v>15.808274971852786</v>
      </c>
      <c r="M43" s="106">
        <v>16162.380331222288</v>
      </c>
      <c r="N43" s="106">
        <v>31</v>
      </c>
      <c r="O43" s="106">
        <v>31694.399999999998</v>
      </c>
      <c r="P43" s="106">
        <v>48</v>
      </c>
      <c r="Q43" s="106">
        <v>49075.199999999997</v>
      </c>
      <c r="R43" s="106">
        <v>37</v>
      </c>
      <c r="S43" s="106">
        <v>37828.799999999996</v>
      </c>
      <c r="T43" s="106">
        <v>11</v>
      </c>
      <c r="U43" s="106">
        <v>11246.4</v>
      </c>
      <c r="V43" s="106">
        <v>6</v>
      </c>
      <c r="W43" s="106">
        <v>6134.4</v>
      </c>
      <c r="X43" s="106">
        <v>10</v>
      </c>
      <c r="Y43" s="106">
        <v>10224</v>
      </c>
      <c r="Z43" s="106">
        <v>8</v>
      </c>
      <c r="AA43" s="106">
        <v>8179.2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11</v>
      </c>
      <c r="AK43" s="106">
        <v>11246.4</v>
      </c>
      <c r="AL43" s="106">
        <v>8</v>
      </c>
      <c r="AM43" s="106">
        <v>8179.2</v>
      </c>
      <c r="AN43" s="106">
        <v>7</v>
      </c>
      <c r="AO43" s="106">
        <v>7156.8</v>
      </c>
      <c r="AP43" s="106">
        <v>11</v>
      </c>
      <c r="AQ43" s="106">
        <v>11246.4</v>
      </c>
      <c r="AR43" s="106">
        <v>7</v>
      </c>
      <c r="AS43" s="106">
        <v>7156.8</v>
      </c>
      <c r="AT43" s="106">
        <v>4</v>
      </c>
      <c r="AU43" s="106">
        <v>4089.6</v>
      </c>
      <c r="AV43" s="106">
        <v>6</v>
      </c>
      <c r="AW43" s="106">
        <v>6134.4</v>
      </c>
      <c r="AX43" s="106">
        <v>8</v>
      </c>
      <c r="AY43" s="106">
        <v>8179.2</v>
      </c>
      <c r="AZ43" s="106">
        <v>3.0142483304089494</v>
      </c>
      <c r="BA43" s="106">
        <v>3081.7674930101098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24.581788700385648</v>
      </c>
      <c r="BI43" s="106">
        <v>25132.420767274285</v>
      </c>
      <c r="BJ43" s="106">
        <v>64.013912999245207</v>
      </c>
      <c r="BK43" s="106">
        <v>65447.824650428302</v>
      </c>
      <c r="BL43" s="106">
        <v>77</v>
      </c>
      <c r="BM43" s="106">
        <v>78724.800000000003</v>
      </c>
      <c r="BN43" s="106">
        <v>61</v>
      </c>
      <c r="BO43" s="106">
        <v>62366.400000000001</v>
      </c>
      <c r="BP43" s="106">
        <v>26</v>
      </c>
      <c r="BQ43" s="106">
        <v>26582.399999999998</v>
      </c>
      <c r="BR43" s="106">
        <v>15</v>
      </c>
      <c r="BS43" s="106">
        <v>15336</v>
      </c>
      <c r="BT43" s="106">
        <v>15</v>
      </c>
      <c r="BU43" s="106">
        <v>15336</v>
      </c>
      <c r="BV43" s="106">
        <v>17</v>
      </c>
      <c r="BW43" s="106">
        <v>17380.8</v>
      </c>
      <c r="BX43" s="106">
        <v>2.5573386239857649</v>
      </c>
      <c r="BY43" s="106">
        <v>2614.6230091630459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21.754434269578734</v>
      </c>
      <c r="CG43" s="106">
        <v>22241.733597217299</v>
      </c>
      <c r="CH43" s="106">
        <v>33</v>
      </c>
      <c r="CI43" s="106">
        <v>33739.199999999997</v>
      </c>
      <c r="CJ43" s="106">
        <v>25</v>
      </c>
      <c r="CK43" s="106">
        <v>25560</v>
      </c>
      <c r="CL43" s="106">
        <v>22</v>
      </c>
      <c r="CM43" s="106">
        <v>22492.799999999999</v>
      </c>
      <c r="CN43" s="106">
        <v>10</v>
      </c>
      <c r="CO43" s="106">
        <v>10224</v>
      </c>
      <c r="CP43" s="106">
        <v>9</v>
      </c>
      <c r="CQ43" s="106">
        <v>9201.6</v>
      </c>
      <c r="CR43" s="106">
        <v>13</v>
      </c>
      <c r="CS43" s="106">
        <v>13291.199999999999</v>
      </c>
      <c r="CT43" s="106">
        <v>16</v>
      </c>
      <c r="CU43" s="106">
        <v>16358.4</v>
      </c>
    </row>
    <row r="44" spans="2:99" x14ac:dyDescent="0.2">
      <c r="C44" s="105" t="s">
        <v>210</v>
      </c>
      <c r="D44" s="106">
        <v>41</v>
      </c>
      <c r="E44" s="106">
        <v>41918.400000000001</v>
      </c>
      <c r="F44" s="106">
        <v>56.340253985707015</v>
      </c>
      <c r="G44" s="106">
        <v>57602.275674986849</v>
      </c>
      <c r="H44" s="106">
        <v>0</v>
      </c>
      <c r="I44" s="106">
        <v>0</v>
      </c>
      <c r="J44" s="106">
        <v>0</v>
      </c>
      <c r="K44" s="106">
        <v>0</v>
      </c>
      <c r="L44" s="106">
        <v>15.329236336342095</v>
      </c>
      <c r="M44" s="106">
        <v>15672.611230276158</v>
      </c>
      <c r="N44" s="106">
        <v>32</v>
      </c>
      <c r="O44" s="106">
        <v>32716.799999999999</v>
      </c>
      <c r="P44" s="106">
        <v>41</v>
      </c>
      <c r="Q44" s="106">
        <v>41918.400000000001</v>
      </c>
      <c r="R44" s="106">
        <v>40</v>
      </c>
      <c r="S44" s="106">
        <v>40896</v>
      </c>
      <c r="T44" s="106">
        <v>10</v>
      </c>
      <c r="U44" s="106">
        <v>10224</v>
      </c>
      <c r="V44" s="106">
        <v>7</v>
      </c>
      <c r="W44" s="106">
        <v>7156.8</v>
      </c>
      <c r="X44" s="106">
        <v>12</v>
      </c>
      <c r="Y44" s="106">
        <v>12268.8</v>
      </c>
      <c r="Z44" s="106">
        <v>7</v>
      </c>
      <c r="AA44" s="106">
        <v>7156.8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11</v>
      </c>
      <c r="AK44" s="106">
        <v>11246.4</v>
      </c>
      <c r="AL44" s="106">
        <v>7</v>
      </c>
      <c r="AM44" s="106">
        <v>7156.8</v>
      </c>
      <c r="AN44" s="106">
        <v>7</v>
      </c>
      <c r="AO44" s="106">
        <v>7156.8</v>
      </c>
      <c r="AP44" s="106">
        <v>12</v>
      </c>
      <c r="AQ44" s="106">
        <v>12268.8</v>
      </c>
      <c r="AR44" s="106">
        <v>7</v>
      </c>
      <c r="AS44" s="106">
        <v>7156.8</v>
      </c>
      <c r="AT44" s="106">
        <v>4</v>
      </c>
      <c r="AU44" s="106">
        <v>4089.6</v>
      </c>
      <c r="AV44" s="106">
        <v>6</v>
      </c>
      <c r="AW44" s="106">
        <v>6134.4</v>
      </c>
      <c r="AX44" s="106">
        <v>8</v>
      </c>
      <c r="AY44" s="106">
        <v>8179.2</v>
      </c>
      <c r="AZ44" s="106">
        <v>3.0142483304089494</v>
      </c>
      <c r="BA44" s="106">
        <v>3081.7674930101098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23.687905474917081</v>
      </c>
      <c r="BI44" s="106">
        <v>24218.514557555223</v>
      </c>
      <c r="BJ44" s="106">
        <v>64.890815917043085</v>
      </c>
      <c r="BK44" s="106">
        <v>66344.370193584851</v>
      </c>
      <c r="BL44" s="106">
        <v>86</v>
      </c>
      <c r="BM44" s="106">
        <v>87926.399999999994</v>
      </c>
      <c r="BN44" s="106">
        <v>66</v>
      </c>
      <c r="BO44" s="106">
        <v>67478.399999999994</v>
      </c>
      <c r="BP44" s="106">
        <v>28</v>
      </c>
      <c r="BQ44" s="106">
        <v>28627.200000000001</v>
      </c>
      <c r="BR44" s="106">
        <v>16</v>
      </c>
      <c r="BS44" s="106">
        <v>16358.4</v>
      </c>
      <c r="BT44" s="106">
        <v>13</v>
      </c>
      <c r="BU44" s="106">
        <v>13291.199999999999</v>
      </c>
      <c r="BV44" s="106">
        <v>15</v>
      </c>
      <c r="BW44" s="106">
        <v>15336</v>
      </c>
      <c r="BX44" s="106">
        <v>2.2376712959875444</v>
      </c>
      <c r="BY44" s="106">
        <v>2287.7951330176652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23.494789011145034</v>
      </c>
      <c r="CG44" s="106">
        <v>24021.072284994683</v>
      </c>
      <c r="CH44" s="106">
        <v>36</v>
      </c>
      <c r="CI44" s="106">
        <v>36806.400000000001</v>
      </c>
      <c r="CJ44" s="106">
        <v>27</v>
      </c>
      <c r="CK44" s="106">
        <v>27604.799999999999</v>
      </c>
      <c r="CL44" s="106">
        <v>22</v>
      </c>
      <c r="CM44" s="106">
        <v>22492.799999999999</v>
      </c>
      <c r="CN44" s="106">
        <v>11</v>
      </c>
      <c r="CO44" s="106">
        <v>11246.4</v>
      </c>
      <c r="CP44" s="106">
        <v>9</v>
      </c>
      <c r="CQ44" s="106">
        <v>9201.6</v>
      </c>
      <c r="CR44" s="106">
        <v>14</v>
      </c>
      <c r="CS44" s="106">
        <v>14313.6</v>
      </c>
      <c r="CT44" s="106">
        <v>16</v>
      </c>
      <c r="CU44" s="106">
        <v>16358.4</v>
      </c>
    </row>
    <row r="45" spans="2:99" x14ac:dyDescent="0.2">
      <c r="C45" s="105" t="s">
        <v>211</v>
      </c>
      <c r="D45" s="106">
        <v>39</v>
      </c>
      <c r="E45" s="106">
        <v>48718.8</v>
      </c>
      <c r="F45" s="106">
        <v>47.358474364797196</v>
      </c>
      <c r="G45" s="106">
        <v>59160.20617650466</v>
      </c>
      <c r="H45" s="106">
        <v>0</v>
      </c>
      <c r="I45" s="106">
        <v>0</v>
      </c>
      <c r="J45" s="106">
        <v>0</v>
      </c>
      <c r="K45" s="106">
        <v>0</v>
      </c>
      <c r="L45" s="106">
        <v>15.329236336342095</v>
      </c>
      <c r="M45" s="106">
        <v>19149.282031358547</v>
      </c>
      <c r="N45" s="106">
        <v>29</v>
      </c>
      <c r="O45" s="106">
        <v>36226.800000000003</v>
      </c>
      <c r="P45" s="106">
        <v>41</v>
      </c>
      <c r="Q45" s="106">
        <v>51217.200000000004</v>
      </c>
      <c r="R45" s="106">
        <v>42</v>
      </c>
      <c r="S45" s="106">
        <v>52466.400000000001</v>
      </c>
      <c r="T45" s="106">
        <v>10</v>
      </c>
      <c r="U45" s="106">
        <v>12492</v>
      </c>
      <c r="V45" s="106">
        <v>7</v>
      </c>
      <c r="W45" s="106">
        <v>8744.4</v>
      </c>
      <c r="X45" s="106">
        <v>11</v>
      </c>
      <c r="Y45" s="106">
        <v>13741.2</v>
      </c>
      <c r="Z45" s="106">
        <v>7</v>
      </c>
      <c r="AA45" s="106">
        <v>8744.4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12</v>
      </c>
      <c r="AK45" s="106">
        <v>14990.400000000001</v>
      </c>
      <c r="AL45" s="106">
        <v>7</v>
      </c>
      <c r="AM45" s="106">
        <v>8744.4</v>
      </c>
      <c r="AN45" s="106">
        <v>7</v>
      </c>
      <c r="AO45" s="106">
        <v>8744.4</v>
      </c>
      <c r="AP45" s="106">
        <v>12</v>
      </c>
      <c r="AQ45" s="106">
        <v>14990.400000000001</v>
      </c>
      <c r="AR45" s="106">
        <v>7</v>
      </c>
      <c r="AS45" s="106">
        <v>8744.4</v>
      </c>
      <c r="AT45" s="106">
        <v>4</v>
      </c>
      <c r="AU45" s="106">
        <v>4996.8</v>
      </c>
      <c r="AV45" s="106">
        <v>6</v>
      </c>
      <c r="AW45" s="106">
        <v>7495.2000000000007</v>
      </c>
      <c r="AX45" s="106">
        <v>7</v>
      </c>
      <c r="AY45" s="106">
        <v>8744.4</v>
      </c>
      <c r="AZ45" s="106">
        <v>3.0142483304089494</v>
      </c>
      <c r="BA45" s="106">
        <v>3765.3990143468595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24.581788700385648</v>
      </c>
      <c r="BI45" s="106">
        <v>30707.570444521753</v>
      </c>
      <c r="BJ45" s="106">
        <v>59.629398410255796</v>
      </c>
      <c r="BK45" s="106">
        <v>74489.044494091548</v>
      </c>
      <c r="BL45" s="106">
        <v>78</v>
      </c>
      <c r="BM45" s="106">
        <v>97437.6</v>
      </c>
      <c r="BN45" s="106">
        <v>58</v>
      </c>
      <c r="BO45" s="106">
        <v>72453.600000000006</v>
      </c>
      <c r="BP45" s="106">
        <v>25</v>
      </c>
      <c r="BQ45" s="106">
        <v>31230</v>
      </c>
      <c r="BR45" s="106">
        <v>16</v>
      </c>
      <c r="BS45" s="106">
        <v>19987.2</v>
      </c>
      <c r="BT45" s="106">
        <v>14</v>
      </c>
      <c r="BU45" s="106">
        <v>17488.8</v>
      </c>
      <c r="BV45" s="106">
        <v>15</v>
      </c>
      <c r="BW45" s="106">
        <v>18738</v>
      </c>
      <c r="BX45" s="106">
        <v>2.5573386239857649</v>
      </c>
      <c r="BY45" s="106">
        <v>3194.6274090830175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20.014079528012434</v>
      </c>
      <c r="CG45" s="106">
        <v>25001.588146393133</v>
      </c>
      <c r="CH45" s="106">
        <v>34</v>
      </c>
      <c r="CI45" s="106">
        <v>42472.800000000003</v>
      </c>
      <c r="CJ45" s="106">
        <v>24</v>
      </c>
      <c r="CK45" s="106">
        <v>29980.800000000003</v>
      </c>
      <c r="CL45" s="106">
        <v>21</v>
      </c>
      <c r="CM45" s="106">
        <v>26233.200000000001</v>
      </c>
      <c r="CN45" s="106">
        <v>10</v>
      </c>
      <c r="CO45" s="106">
        <v>12492</v>
      </c>
      <c r="CP45" s="106">
        <v>10</v>
      </c>
      <c r="CQ45" s="106">
        <v>12492</v>
      </c>
      <c r="CR45" s="106">
        <v>13</v>
      </c>
      <c r="CS45" s="106">
        <v>16239.6</v>
      </c>
      <c r="CT45" s="106">
        <v>15</v>
      </c>
      <c r="CU45" s="106">
        <v>18738</v>
      </c>
    </row>
    <row r="46" spans="2:99" x14ac:dyDescent="0.2">
      <c r="C46" s="105" t="s">
        <v>212</v>
      </c>
      <c r="D46" s="106">
        <v>43</v>
      </c>
      <c r="E46" s="106">
        <v>52116</v>
      </c>
      <c r="F46" s="106">
        <v>49.808050625045325</v>
      </c>
      <c r="G46" s="106">
        <v>60367.357357554938</v>
      </c>
      <c r="H46" s="106">
        <v>0</v>
      </c>
      <c r="I46" s="106">
        <v>0</v>
      </c>
      <c r="J46" s="106">
        <v>0</v>
      </c>
      <c r="K46" s="106">
        <v>0</v>
      </c>
      <c r="L46" s="106">
        <v>15.329236336342095</v>
      </c>
      <c r="M46" s="106">
        <v>18579.034439646621</v>
      </c>
      <c r="N46" s="106">
        <v>27</v>
      </c>
      <c r="O46" s="106">
        <v>32724</v>
      </c>
      <c r="P46" s="106">
        <v>44</v>
      </c>
      <c r="Q46" s="106">
        <v>53328</v>
      </c>
      <c r="R46" s="106">
        <v>43</v>
      </c>
      <c r="S46" s="106">
        <v>52116</v>
      </c>
      <c r="T46" s="106">
        <v>9</v>
      </c>
      <c r="U46" s="106">
        <v>10908</v>
      </c>
      <c r="V46" s="106">
        <v>6</v>
      </c>
      <c r="W46" s="106">
        <v>7272</v>
      </c>
      <c r="X46" s="106">
        <v>10</v>
      </c>
      <c r="Y46" s="106">
        <v>12120</v>
      </c>
      <c r="Z46" s="106">
        <v>7</v>
      </c>
      <c r="AA46" s="106">
        <v>8484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12</v>
      </c>
      <c r="AK46" s="106">
        <v>14544</v>
      </c>
      <c r="AL46" s="106">
        <v>7</v>
      </c>
      <c r="AM46" s="106">
        <v>8484</v>
      </c>
      <c r="AN46" s="106">
        <v>7</v>
      </c>
      <c r="AO46" s="106">
        <v>8484</v>
      </c>
      <c r="AP46" s="106">
        <v>11</v>
      </c>
      <c r="AQ46" s="106">
        <v>13332</v>
      </c>
      <c r="AR46" s="106">
        <v>6</v>
      </c>
      <c r="AS46" s="106">
        <v>7272</v>
      </c>
      <c r="AT46" s="106">
        <v>5</v>
      </c>
      <c r="AU46" s="106">
        <v>6060</v>
      </c>
      <c r="AV46" s="106">
        <v>6</v>
      </c>
      <c r="AW46" s="106">
        <v>7272</v>
      </c>
      <c r="AX46" s="106">
        <v>8</v>
      </c>
      <c r="AY46" s="106">
        <v>9696</v>
      </c>
      <c r="AZ46" s="106">
        <v>3.0142483304089494</v>
      </c>
      <c r="BA46" s="106">
        <v>3653.2689764556467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24.134847087651362</v>
      </c>
      <c r="BI46" s="106">
        <v>29251.434670233451</v>
      </c>
      <c r="BJ46" s="106">
        <v>60.506301328053674</v>
      </c>
      <c r="BK46" s="106">
        <v>73333.637209601045</v>
      </c>
      <c r="BL46" s="106">
        <v>74</v>
      </c>
      <c r="BM46" s="106">
        <v>89688</v>
      </c>
      <c r="BN46" s="106">
        <v>59</v>
      </c>
      <c r="BO46" s="106">
        <v>71508</v>
      </c>
      <c r="BP46" s="106">
        <v>24</v>
      </c>
      <c r="BQ46" s="106">
        <v>29088</v>
      </c>
      <c r="BR46" s="106">
        <v>16</v>
      </c>
      <c r="BS46" s="106">
        <v>19392</v>
      </c>
      <c r="BT46" s="106">
        <v>15</v>
      </c>
      <c r="BU46" s="106">
        <v>18180</v>
      </c>
      <c r="BV46" s="106">
        <v>15</v>
      </c>
      <c r="BW46" s="106">
        <v>18180</v>
      </c>
      <c r="BX46" s="106">
        <v>2.2376712959875444</v>
      </c>
      <c r="BY46" s="106">
        <v>2712.0576107369038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21.754434269578734</v>
      </c>
      <c r="CG46" s="106">
        <v>26366.374334729426</v>
      </c>
      <c r="CH46" s="106">
        <v>34</v>
      </c>
      <c r="CI46" s="106">
        <v>41208</v>
      </c>
      <c r="CJ46" s="106">
        <v>24</v>
      </c>
      <c r="CK46" s="106">
        <v>29088</v>
      </c>
      <c r="CL46" s="106">
        <v>20</v>
      </c>
      <c r="CM46" s="106">
        <v>24240</v>
      </c>
      <c r="CN46" s="106">
        <v>10</v>
      </c>
      <c r="CO46" s="106">
        <v>12120</v>
      </c>
      <c r="CP46" s="106">
        <v>9</v>
      </c>
      <c r="CQ46" s="106">
        <v>10908</v>
      </c>
      <c r="CR46" s="106">
        <v>14</v>
      </c>
      <c r="CS46" s="106">
        <v>16968</v>
      </c>
      <c r="CT46" s="106">
        <v>16</v>
      </c>
      <c r="CU46" s="106">
        <v>19392</v>
      </c>
    </row>
    <row r="47" spans="2:99" x14ac:dyDescent="0.2">
      <c r="C47" s="105" t="s">
        <v>213</v>
      </c>
      <c r="D47" s="106">
        <v>40</v>
      </c>
      <c r="E47" s="106">
        <v>61104</v>
      </c>
      <c r="F47" s="106">
        <v>49.808050625045325</v>
      </c>
      <c r="G47" s="106">
        <v>76086.778134819237</v>
      </c>
      <c r="H47" s="106">
        <v>0</v>
      </c>
      <c r="I47" s="106">
        <v>0</v>
      </c>
      <c r="J47" s="106">
        <v>0</v>
      </c>
      <c r="K47" s="106">
        <v>0</v>
      </c>
      <c r="L47" s="106">
        <v>14.850197700831403</v>
      </c>
      <c r="M47" s="106">
        <v>22685.162007790052</v>
      </c>
      <c r="N47" s="106">
        <v>30</v>
      </c>
      <c r="O47" s="106">
        <v>45828</v>
      </c>
      <c r="P47" s="106">
        <v>38</v>
      </c>
      <c r="Q47" s="106">
        <v>58048.799999999996</v>
      </c>
      <c r="R47" s="106">
        <v>36</v>
      </c>
      <c r="S47" s="106">
        <v>54993.599999999999</v>
      </c>
      <c r="T47" s="106">
        <v>10</v>
      </c>
      <c r="U47" s="106">
        <v>15276</v>
      </c>
      <c r="V47" s="106">
        <v>7</v>
      </c>
      <c r="W47" s="106">
        <v>10693.199999999999</v>
      </c>
      <c r="X47" s="106">
        <v>11</v>
      </c>
      <c r="Y47" s="106">
        <v>16803.599999999999</v>
      </c>
      <c r="Z47" s="106">
        <v>8</v>
      </c>
      <c r="AA47" s="106">
        <v>12220.8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12</v>
      </c>
      <c r="AK47" s="106">
        <v>18331.199999999997</v>
      </c>
      <c r="AL47" s="106">
        <v>8</v>
      </c>
      <c r="AM47" s="106">
        <v>12220.8</v>
      </c>
      <c r="AN47" s="106">
        <v>7</v>
      </c>
      <c r="AO47" s="106">
        <v>10693.199999999999</v>
      </c>
      <c r="AP47" s="106">
        <v>11</v>
      </c>
      <c r="AQ47" s="106">
        <v>16803.599999999999</v>
      </c>
      <c r="AR47" s="106">
        <v>6</v>
      </c>
      <c r="AS47" s="106">
        <v>9165.5999999999985</v>
      </c>
      <c r="AT47" s="106">
        <v>4</v>
      </c>
      <c r="AU47" s="106">
        <v>6110.4</v>
      </c>
      <c r="AV47" s="106">
        <v>7</v>
      </c>
      <c r="AW47" s="106">
        <v>10693.199999999999</v>
      </c>
      <c r="AX47" s="106">
        <v>7</v>
      </c>
      <c r="AY47" s="106">
        <v>10693.199999999999</v>
      </c>
      <c r="AZ47" s="106">
        <v>2.7128234973680549</v>
      </c>
      <c r="BA47" s="106">
        <v>4144.1091745794402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23.240963862182795</v>
      </c>
      <c r="BI47" s="106">
        <v>35502.896395870433</v>
      </c>
      <c r="BJ47" s="106">
        <v>68.398427588234597</v>
      </c>
      <c r="BK47" s="106">
        <v>104485.43798378717</v>
      </c>
      <c r="BL47" s="106">
        <v>79</v>
      </c>
      <c r="BM47" s="106">
        <v>120680.4</v>
      </c>
      <c r="BN47" s="106">
        <v>52</v>
      </c>
      <c r="BO47" s="106">
        <v>79435.199999999997</v>
      </c>
      <c r="BP47" s="106">
        <v>24</v>
      </c>
      <c r="BQ47" s="106">
        <v>36662.399999999994</v>
      </c>
      <c r="BR47" s="106">
        <v>15</v>
      </c>
      <c r="BS47" s="106">
        <v>22914</v>
      </c>
      <c r="BT47" s="106">
        <v>13</v>
      </c>
      <c r="BU47" s="106">
        <v>19858.8</v>
      </c>
      <c r="BV47" s="106">
        <v>13</v>
      </c>
      <c r="BW47" s="106">
        <v>19858.8</v>
      </c>
      <c r="BX47" s="106">
        <v>2.5573386239857649</v>
      </c>
      <c r="BY47" s="106">
        <v>3906.5904820006544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19.143902157229288</v>
      </c>
      <c r="CG47" s="106">
        <v>29244.22493538346</v>
      </c>
      <c r="CH47" s="106">
        <v>30</v>
      </c>
      <c r="CI47" s="106">
        <v>45828</v>
      </c>
      <c r="CJ47" s="106">
        <v>23</v>
      </c>
      <c r="CK47" s="106">
        <v>35134.799999999996</v>
      </c>
      <c r="CL47" s="106">
        <v>21</v>
      </c>
      <c r="CM47" s="106">
        <v>32079.599999999999</v>
      </c>
      <c r="CN47" s="106">
        <v>10</v>
      </c>
      <c r="CO47" s="106">
        <v>15276</v>
      </c>
      <c r="CP47" s="106">
        <v>9</v>
      </c>
      <c r="CQ47" s="106">
        <v>13748.4</v>
      </c>
      <c r="CR47" s="106">
        <v>13</v>
      </c>
      <c r="CS47" s="106">
        <v>19858.8</v>
      </c>
      <c r="CT47" s="106">
        <v>14</v>
      </c>
      <c r="CU47" s="106">
        <v>21386.399999999998</v>
      </c>
    </row>
    <row r="48" spans="2:99" x14ac:dyDescent="0.2">
      <c r="C48" s="105" t="s">
        <v>214</v>
      </c>
      <c r="D48" s="106">
        <v>46</v>
      </c>
      <c r="E48" s="106">
        <v>39909.599999999999</v>
      </c>
      <c r="F48" s="106">
        <v>53.890677725458879</v>
      </c>
      <c r="G48" s="106">
        <v>46755.551994608126</v>
      </c>
      <c r="H48" s="106">
        <v>0</v>
      </c>
      <c r="I48" s="106">
        <v>0</v>
      </c>
      <c r="J48" s="106">
        <v>0</v>
      </c>
      <c r="K48" s="106">
        <v>0</v>
      </c>
      <c r="L48" s="106">
        <v>15.329236336342095</v>
      </c>
      <c r="M48" s="106">
        <v>13299.645445410402</v>
      </c>
      <c r="N48" s="106">
        <v>33</v>
      </c>
      <c r="O48" s="106">
        <v>28630.799999999999</v>
      </c>
      <c r="P48" s="106">
        <v>49</v>
      </c>
      <c r="Q48" s="106">
        <v>42512.4</v>
      </c>
      <c r="R48" s="106">
        <v>40</v>
      </c>
      <c r="S48" s="106">
        <v>34704</v>
      </c>
      <c r="T48" s="106">
        <v>10</v>
      </c>
      <c r="U48" s="106">
        <v>8676</v>
      </c>
      <c r="V48" s="106">
        <v>7</v>
      </c>
      <c r="W48" s="106">
        <v>6073.2</v>
      </c>
      <c r="X48" s="106">
        <v>12</v>
      </c>
      <c r="Y48" s="106">
        <v>10411.200000000001</v>
      </c>
      <c r="Z48" s="106">
        <v>8</v>
      </c>
      <c r="AA48" s="106">
        <v>6940.8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12</v>
      </c>
      <c r="AK48" s="106">
        <v>10411.200000000001</v>
      </c>
      <c r="AL48" s="106">
        <v>8</v>
      </c>
      <c r="AM48" s="106">
        <v>6940.8</v>
      </c>
      <c r="AN48" s="106">
        <v>7</v>
      </c>
      <c r="AO48" s="106">
        <v>6073.2</v>
      </c>
      <c r="AP48" s="106">
        <v>12</v>
      </c>
      <c r="AQ48" s="106">
        <v>10411.200000000001</v>
      </c>
      <c r="AR48" s="106">
        <v>6</v>
      </c>
      <c r="AS48" s="106">
        <v>5205.6000000000004</v>
      </c>
      <c r="AT48" s="106">
        <v>5</v>
      </c>
      <c r="AU48" s="106">
        <v>4338</v>
      </c>
      <c r="AV48" s="106">
        <v>7</v>
      </c>
      <c r="AW48" s="106">
        <v>6073.2</v>
      </c>
      <c r="AX48" s="106">
        <v>9</v>
      </c>
      <c r="AY48" s="106">
        <v>7808.4000000000005</v>
      </c>
      <c r="AZ48" s="106">
        <v>3.0142483304089494</v>
      </c>
      <c r="BA48" s="106">
        <v>2615.1618514628044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22.79402224944851</v>
      </c>
      <c r="BI48" s="106">
        <v>19776.093703621529</v>
      </c>
      <c r="BJ48" s="106">
        <v>67.521524670436719</v>
      </c>
      <c r="BK48" s="106">
        <v>58581.674804070899</v>
      </c>
      <c r="BL48" s="106">
        <v>77</v>
      </c>
      <c r="BM48" s="106">
        <v>66805.2</v>
      </c>
      <c r="BN48" s="106">
        <v>70</v>
      </c>
      <c r="BO48" s="106">
        <v>60732</v>
      </c>
      <c r="BP48" s="106">
        <v>28</v>
      </c>
      <c r="BQ48" s="106">
        <v>24292.799999999999</v>
      </c>
      <c r="BR48" s="106">
        <v>16</v>
      </c>
      <c r="BS48" s="106">
        <v>13881.6</v>
      </c>
      <c r="BT48" s="106">
        <v>16</v>
      </c>
      <c r="BU48" s="106">
        <v>13881.6</v>
      </c>
      <c r="BV48" s="106">
        <v>14</v>
      </c>
      <c r="BW48" s="106">
        <v>12146.4</v>
      </c>
      <c r="BX48" s="106">
        <v>2.2376712959875444</v>
      </c>
      <c r="BY48" s="106">
        <v>1941.4036163987937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21.754434269578734</v>
      </c>
      <c r="CG48" s="106">
        <v>18874.14717228651</v>
      </c>
      <c r="CH48" s="106">
        <v>34</v>
      </c>
      <c r="CI48" s="106">
        <v>29498.400000000001</v>
      </c>
      <c r="CJ48" s="106">
        <v>28</v>
      </c>
      <c r="CK48" s="106">
        <v>24292.799999999999</v>
      </c>
      <c r="CL48" s="106">
        <v>24</v>
      </c>
      <c r="CM48" s="106">
        <v>20822.400000000001</v>
      </c>
      <c r="CN48" s="106">
        <v>12</v>
      </c>
      <c r="CO48" s="106">
        <v>10411.200000000001</v>
      </c>
      <c r="CP48" s="106">
        <v>10</v>
      </c>
      <c r="CQ48" s="106">
        <v>8676</v>
      </c>
      <c r="CR48" s="106">
        <v>15</v>
      </c>
      <c r="CS48" s="106">
        <v>13014</v>
      </c>
      <c r="CT48" s="106">
        <v>15</v>
      </c>
      <c r="CU48" s="106">
        <v>13014</v>
      </c>
    </row>
    <row r="49" spans="2:99" x14ac:dyDescent="0.2">
      <c r="B49" s="105" t="s">
        <v>129</v>
      </c>
      <c r="C49" s="105" t="s">
        <v>215</v>
      </c>
      <c r="D49" s="106">
        <v>19</v>
      </c>
      <c r="E49" s="106">
        <v>18718.8</v>
      </c>
      <c r="F49" s="106">
        <v>18</v>
      </c>
      <c r="G49" s="106">
        <v>17733.599999999999</v>
      </c>
      <c r="H49" s="106">
        <v>16</v>
      </c>
      <c r="I49" s="106">
        <v>15763.199999999999</v>
      </c>
      <c r="J49" s="106">
        <v>15</v>
      </c>
      <c r="K49" s="106">
        <v>14777.999999999998</v>
      </c>
      <c r="L49" s="106">
        <v>25</v>
      </c>
      <c r="M49" s="106">
        <v>24630</v>
      </c>
      <c r="N49" s="106">
        <v>22</v>
      </c>
      <c r="O49" s="106">
        <v>21674.399999999998</v>
      </c>
      <c r="P49" s="106">
        <v>27</v>
      </c>
      <c r="Q49" s="106">
        <v>26600.399999999998</v>
      </c>
      <c r="R49" s="106">
        <v>24</v>
      </c>
      <c r="S49" s="106">
        <v>23644.799999999999</v>
      </c>
      <c r="T49" s="106">
        <v>21</v>
      </c>
      <c r="U49" s="106">
        <v>20689.199999999997</v>
      </c>
      <c r="V49" s="106">
        <v>17</v>
      </c>
      <c r="W49" s="106">
        <v>16748.399999999998</v>
      </c>
      <c r="X49" s="106">
        <v>16</v>
      </c>
      <c r="Y49" s="106">
        <v>15763.199999999999</v>
      </c>
      <c r="Z49" s="106">
        <v>17</v>
      </c>
      <c r="AA49" s="106">
        <v>16748.399999999998</v>
      </c>
      <c r="AB49" s="106">
        <v>5</v>
      </c>
      <c r="AC49" s="106">
        <v>4926</v>
      </c>
      <c r="AD49" s="106">
        <v>4</v>
      </c>
      <c r="AE49" s="106">
        <v>3940.7999999999997</v>
      </c>
      <c r="AF49" s="106">
        <v>7</v>
      </c>
      <c r="AG49" s="106">
        <v>6896.4</v>
      </c>
      <c r="AH49" s="106">
        <v>4</v>
      </c>
      <c r="AI49" s="106">
        <v>3940.7999999999997</v>
      </c>
      <c r="AJ49" s="106">
        <v>6</v>
      </c>
      <c r="AK49" s="106">
        <v>5911.2</v>
      </c>
      <c r="AL49" s="106">
        <v>4</v>
      </c>
      <c r="AM49" s="106">
        <v>3940.7999999999997</v>
      </c>
      <c r="AN49" s="106">
        <v>4</v>
      </c>
      <c r="AO49" s="106">
        <v>3940.7999999999997</v>
      </c>
      <c r="AP49" s="106">
        <v>6</v>
      </c>
      <c r="AQ49" s="106">
        <v>5911.2</v>
      </c>
      <c r="AR49" s="106">
        <v>9</v>
      </c>
      <c r="AS49" s="106">
        <v>8866.7999999999993</v>
      </c>
      <c r="AT49" s="106">
        <v>8</v>
      </c>
      <c r="AU49" s="106">
        <v>7881.5999999999995</v>
      </c>
      <c r="AV49" s="106">
        <v>10</v>
      </c>
      <c r="AW49" s="106">
        <v>9852</v>
      </c>
      <c r="AX49" s="106">
        <v>7</v>
      </c>
      <c r="AY49" s="106">
        <v>6896.4</v>
      </c>
      <c r="AZ49" s="106">
        <v>42</v>
      </c>
      <c r="BA49" s="106">
        <v>41378.399999999994</v>
      </c>
      <c r="BB49" s="106">
        <v>42</v>
      </c>
      <c r="BC49" s="106">
        <v>41378.399999999994</v>
      </c>
      <c r="BD49" s="106">
        <v>51</v>
      </c>
      <c r="BE49" s="106">
        <v>50245.2</v>
      </c>
      <c r="BF49" s="106">
        <v>40</v>
      </c>
      <c r="BG49" s="106">
        <v>39408</v>
      </c>
      <c r="BH49" s="106">
        <v>5</v>
      </c>
      <c r="BI49" s="106">
        <v>4926</v>
      </c>
      <c r="BJ49" s="106">
        <v>7</v>
      </c>
      <c r="BK49" s="106">
        <v>6896.4</v>
      </c>
      <c r="BL49" s="106">
        <v>7</v>
      </c>
      <c r="BM49" s="106">
        <v>6896.4</v>
      </c>
      <c r="BN49" s="106">
        <v>6</v>
      </c>
      <c r="BO49" s="106">
        <v>5911.2</v>
      </c>
      <c r="BP49" s="106">
        <v>7</v>
      </c>
      <c r="BQ49" s="106">
        <v>6896.4</v>
      </c>
      <c r="BR49" s="106">
        <v>7</v>
      </c>
      <c r="BS49" s="106">
        <v>6896.4</v>
      </c>
      <c r="BT49" s="106">
        <v>6</v>
      </c>
      <c r="BU49" s="106">
        <v>5911.2</v>
      </c>
      <c r="BV49" s="106">
        <v>7</v>
      </c>
      <c r="BW49" s="106">
        <v>6896.4</v>
      </c>
      <c r="BX49" s="106">
        <v>6</v>
      </c>
      <c r="BY49" s="106">
        <v>5911.2</v>
      </c>
      <c r="BZ49" s="106">
        <v>6</v>
      </c>
      <c r="CA49" s="106">
        <v>5911.2</v>
      </c>
      <c r="CB49" s="106">
        <v>7</v>
      </c>
      <c r="CC49" s="106">
        <v>6896.4</v>
      </c>
      <c r="CD49" s="106">
        <v>9</v>
      </c>
      <c r="CE49" s="106">
        <v>8866.7999999999993</v>
      </c>
      <c r="CF49" s="106">
        <v>7</v>
      </c>
      <c r="CG49" s="106">
        <v>6896.4</v>
      </c>
      <c r="CH49" s="106">
        <v>11</v>
      </c>
      <c r="CI49" s="106">
        <v>10837.199999999999</v>
      </c>
      <c r="CJ49" s="106">
        <v>9</v>
      </c>
      <c r="CK49" s="106">
        <v>8866.7999999999993</v>
      </c>
      <c r="CL49" s="106">
        <v>9</v>
      </c>
      <c r="CM49" s="106">
        <v>8866.7999999999993</v>
      </c>
      <c r="CN49" s="106">
        <v>21</v>
      </c>
      <c r="CO49" s="106">
        <v>20689.199999999997</v>
      </c>
      <c r="CP49" s="106">
        <v>28</v>
      </c>
      <c r="CQ49" s="106">
        <v>27585.599999999999</v>
      </c>
      <c r="CR49" s="106">
        <v>19</v>
      </c>
      <c r="CS49" s="106">
        <v>18718.8</v>
      </c>
      <c r="CT49" s="106">
        <v>23</v>
      </c>
      <c r="CU49" s="106">
        <v>22659.599999999999</v>
      </c>
    </row>
    <row r="50" spans="2:99" x14ac:dyDescent="0.2">
      <c r="C50" s="105" t="s">
        <v>216</v>
      </c>
      <c r="D50" s="106">
        <v>19</v>
      </c>
      <c r="E50" s="106">
        <v>5358</v>
      </c>
      <c r="F50" s="106">
        <v>16.330508401654203</v>
      </c>
      <c r="G50" s="106">
        <v>4605.2033692664854</v>
      </c>
      <c r="H50" s="106">
        <v>0</v>
      </c>
      <c r="I50" s="106">
        <v>0</v>
      </c>
      <c r="J50" s="106">
        <v>0</v>
      </c>
      <c r="K50" s="106">
        <v>0</v>
      </c>
      <c r="L50" s="106">
        <v>11.975965887767263</v>
      </c>
      <c r="M50" s="106">
        <v>3377.222380350368</v>
      </c>
      <c r="N50" s="106">
        <v>23</v>
      </c>
      <c r="O50" s="106">
        <v>6486</v>
      </c>
      <c r="P50" s="106">
        <v>30</v>
      </c>
      <c r="Q50" s="106">
        <v>8460</v>
      </c>
      <c r="R50" s="106">
        <v>26</v>
      </c>
      <c r="S50" s="106">
        <v>7332</v>
      </c>
      <c r="T50" s="106">
        <v>23</v>
      </c>
      <c r="U50" s="106">
        <v>6486</v>
      </c>
      <c r="V50" s="106">
        <v>17</v>
      </c>
      <c r="W50" s="106">
        <v>4794</v>
      </c>
      <c r="X50" s="106">
        <v>16</v>
      </c>
      <c r="Y50" s="106">
        <v>4512</v>
      </c>
      <c r="Z50" s="106">
        <v>21</v>
      </c>
      <c r="AA50" s="106">
        <v>5922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8</v>
      </c>
      <c r="AK50" s="106">
        <v>2256</v>
      </c>
      <c r="AL50" s="106">
        <v>4</v>
      </c>
      <c r="AM50" s="106">
        <v>1128</v>
      </c>
      <c r="AN50" s="106">
        <v>4</v>
      </c>
      <c r="AO50" s="106">
        <v>1128</v>
      </c>
      <c r="AP50" s="106">
        <v>8</v>
      </c>
      <c r="AQ50" s="106">
        <v>2256</v>
      </c>
      <c r="AR50" s="106">
        <v>9</v>
      </c>
      <c r="AS50" s="106">
        <v>2538</v>
      </c>
      <c r="AT50" s="106">
        <v>8</v>
      </c>
      <c r="AU50" s="106">
        <v>2256</v>
      </c>
      <c r="AV50" s="106">
        <v>10</v>
      </c>
      <c r="AW50" s="106">
        <v>2820</v>
      </c>
      <c r="AX50" s="106">
        <v>6</v>
      </c>
      <c r="AY50" s="106">
        <v>1692</v>
      </c>
      <c r="AZ50" s="106">
        <v>14.468391985962958</v>
      </c>
      <c r="BA50" s="106">
        <v>4080.0865400415541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2.2347080636714227</v>
      </c>
      <c r="BI50" s="106">
        <v>630.18767395534121</v>
      </c>
      <c r="BJ50" s="106">
        <v>7.0152233423830346</v>
      </c>
      <c r="BK50" s="106">
        <v>1978.2929825520157</v>
      </c>
      <c r="BL50" s="106">
        <v>7</v>
      </c>
      <c r="BM50" s="106">
        <v>1974</v>
      </c>
      <c r="BN50" s="106">
        <v>7</v>
      </c>
      <c r="BO50" s="106">
        <v>1974</v>
      </c>
      <c r="BP50" s="106">
        <v>7</v>
      </c>
      <c r="BQ50" s="106">
        <v>1974</v>
      </c>
      <c r="BR50" s="106">
        <v>6</v>
      </c>
      <c r="BS50" s="106">
        <v>1692</v>
      </c>
      <c r="BT50" s="106">
        <v>6</v>
      </c>
      <c r="BU50" s="106">
        <v>1692</v>
      </c>
      <c r="BV50" s="106">
        <v>7</v>
      </c>
      <c r="BW50" s="106">
        <v>1974</v>
      </c>
      <c r="BX50" s="106">
        <v>1.9180039679893237</v>
      </c>
      <c r="BY50" s="106">
        <v>540.87711897298925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6.9614189662651942</v>
      </c>
      <c r="CG50" s="106">
        <v>1963.1201484867847</v>
      </c>
      <c r="CH50" s="106">
        <v>12</v>
      </c>
      <c r="CI50" s="106">
        <v>3384</v>
      </c>
      <c r="CJ50" s="106">
        <v>10</v>
      </c>
      <c r="CK50" s="106">
        <v>2820</v>
      </c>
      <c r="CL50" s="106">
        <v>9</v>
      </c>
      <c r="CM50" s="106">
        <v>2538</v>
      </c>
      <c r="CN50" s="106">
        <v>22</v>
      </c>
      <c r="CO50" s="106">
        <v>6204</v>
      </c>
      <c r="CP50" s="106">
        <v>31</v>
      </c>
      <c r="CQ50" s="106">
        <v>8742</v>
      </c>
      <c r="CR50" s="106">
        <v>22</v>
      </c>
      <c r="CS50" s="106">
        <v>6204</v>
      </c>
      <c r="CT50" s="106">
        <v>25</v>
      </c>
      <c r="CU50" s="106">
        <v>7050</v>
      </c>
    </row>
    <row r="51" spans="2:99" x14ac:dyDescent="0.2">
      <c r="C51" s="105" t="s">
        <v>217</v>
      </c>
      <c r="D51" s="106">
        <v>18</v>
      </c>
      <c r="E51" s="106">
        <v>15379.199999999999</v>
      </c>
      <c r="F51" s="106">
        <v>14.697457561488786</v>
      </c>
      <c r="G51" s="106">
        <v>12557.507740536019</v>
      </c>
      <c r="H51" s="106">
        <v>0</v>
      </c>
      <c r="I51" s="106">
        <v>0</v>
      </c>
      <c r="J51" s="106">
        <v>0</v>
      </c>
      <c r="K51" s="106">
        <v>0</v>
      </c>
      <c r="L51" s="106">
        <v>11.01788861674588</v>
      </c>
      <c r="M51" s="106">
        <v>9413.68403414768</v>
      </c>
      <c r="N51" s="106">
        <v>21</v>
      </c>
      <c r="O51" s="106">
        <v>17942.399999999998</v>
      </c>
      <c r="P51" s="106">
        <v>28</v>
      </c>
      <c r="Q51" s="106">
        <v>23923.200000000001</v>
      </c>
      <c r="R51" s="106">
        <v>22</v>
      </c>
      <c r="S51" s="106">
        <v>18796.8</v>
      </c>
      <c r="T51" s="106">
        <v>22</v>
      </c>
      <c r="U51" s="106">
        <v>18796.8</v>
      </c>
      <c r="V51" s="106">
        <v>17</v>
      </c>
      <c r="W51" s="106">
        <v>14524.8</v>
      </c>
      <c r="X51" s="106">
        <v>16</v>
      </c>
      <c r="Y51" s="106">
        <v>13670.4</v>
      </c>
      <c r="Z51" s="106">
        <v>20</v>
      </c>
      <c r="AA51" s="106">
        <v>17088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7</v>
      </c>
      <c r="AK51" s="106">
        <v>5980.8</v>
      </c>
      <c r="AL51" s="106">
        <v>4</v>
      </c>
      <c r="AM51" s="106">
        <v>3417.6</v>
      </c>
      <c r="AN51" s="106">
        <v>4</v>
      </c>
      <c r="AO51" s="106">
        <v>3417.6</v>
      </c>
      <c r="AP51" s="106">
        <v>7</v>
      </c>
      <c r="AQ51" s="106">
        <v>5980.8</v>
      </c>
      <c r="AR51" s="106">
        <v>9</v>
      </c>
      <c r="AS51" s="106">
        <v>7689.5999999999995</v>
      </c>
      <c r="AT51" s="106">
        <v>7</v>
      </c>
      <c r="AU51" s="106">
        <v>5980.8</v>
      </c>
      <c r="AV51" s="106">
        <v>9</v>
      </c>
      <c r="AW51" s="106">
        <v>7689.5999999999995</v>
      </c>
      <c r="AX51" s="106">
        <v>6</v>
      </c>
      <c r="AY51" s="106">
        <v>5126.3999999999996</v>
      </c>
      <c r="AZ51" s="106">
        <v>12.358418154676693</v>
      </c>
      <c r="BA51" s="106">
        <v>10559.032471355766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2.2347080636714227</v>
      </c>
      <c r="BI51" s="106">
        <v>1909.3345696008635</v>
      </c>
      <c r="BJ51" s="106">
        <v>6.1383204245851557</v>
      </c>
      <c r="BK51" s="106">
        <v>5244.5809707655571</v>
      </c>
      <c r="BL51" s="106">
        <v>7</v>
      </c>
      <c r="BM51" s="106">
        <v>5980.8</v>
      </c>
      <c r="BN51" s="106">
        <v>6</v>
      </c>
      <c r="BO51" s="106">
        <v>5126.3999999999996</v>
      </c>
      <c r="BP51" s="106">
        <v>7</v>
      </c>
      <c r="BQ51" s="106">
        <v>5980.8</v>
      </c>
      <c r="BR51" s="106">
        <v>8</v>
      </c>
      <c r="BS51" s="106">
        <v>6835.2</v>
      </c>
      <c r="BT51" s="106">
        <v>6</v>
      </c>
      <c r="BU51" s="106">
        <v>5126.3999999999996</v>
      </c>
      <c r="BV51" s="106">
        <v>6</v>
      </c>
      <c r="BW51" s="106">
        <v>5126.3999999999996</v>
      </c>
      <c r="BX51" s="106">
        <v>1.9180039679893237</v>
      </c>
      <c r="BY51" s="106">
        <v>1638.7425902500781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6.091241595482046</v>
      </c>
      <c r="CG51" s="106">
        <v>5204.3568191798604</v>
      </c>
      <c r="CH51" s="106">
        <v>12</v>
      </c>
      <c r="CI51" s="106">
        <v>10252.799999999999</v>
      </c>
      <c r="CJ51" s="106">
        <v>9</v>
      </c>
      <c r="CK51" s="106">
        <v>7689.5999999999995</v>
      </c>
      <c r="CL51" s="106">
        <v>8</v>
      </c>
      <c r="CM51" s="106">
        <v>6835.2</v>
      </c>
      <c r="CN51" s="106">
        <v>23</v>
      </c>
      <c r="CO51" s="106">
        <v>19651.2</v>
      </c>
      <c r="CP51" s="106">
        <v>28</v>
      </c>
      <c r="CQ51" s="106">
        <v>23923.200000000001</v>
      </c>
      <c r="CR51" s="106">
        <v>21</v>
      </c>
      <c r="CS51" s="106">
        <v>17942.399999999998</v>
      </c>
      <c r="CT51" s="106">
        <v>21</v>
      </c>
      <c r="CU51" s="106">
        <v>17942.399999999998</v>
      </c>
    </row>
    <row r="52" spans="2:99" x14ac:dyDescent="0.2">
      <c r="C52" s="105" t="s">
        <v>218</v>
      </c>
      <c r="D52" s="106">
        <v>19</v>
      </c>
      <c r="E52" s="106">
        <v>10260</v>
      </c>
      <c r="F52" s="106">
        <v>13.064406721323365</v>
      </c>
      <c r="G52" s="106">
        <v>7054.7796295146172</v>
      </c>
      <c r="H52" s="106">
        <v>0</v>
      </c>
      <c r="I52" s="106">
        <v>0</v>
      </c>
      <c r="J52" s="106">
        <v>0</v>
      </c>
      <c r="K52" s="106">
        <v>0</v>
      </c>
      <c r="L52" s="106">
        <v>11.496927252256571</v>
      </c>
      <c r="M52" s="106">
        <v>6208.3407162185486</v>
      </c>
      <c r="N52" s="106">
        <v>22</v>
      </c>
      <c r="O52" s="106">
        <v>11880</v>
      </c>
      <c r="P52" s="106">
        <v>32</v>
      </c>
      <c r="Q52" s="106">
        <v>17280</v>
      </c>
      <c r="R52" s="106">
        <v>25</v>
      </c>
      <c r="S52" s="106">
        <v>13500</v>
      </c>
      <c r="T52" s="106">
        <v>22</v>
      </c>
      <c r="U52" s="106">
        <v>11880</v>
      </c>
      <c r="V52" s="106">
        <v>18</v>
      </c>
      <c r="W52" s="106">
        <v>9720</v>
      </c>
      <c r="X52" s="106">
        <v>17</v>
      </c>
      <c r="Y52" s="106">
        <v>9180</v>
      </c>
      <c r="Z52" s="106">
        <v>18</v>
      </c>
      <c r="AA52" s="106">
        <v>9720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7</v>
      </c>
      <c r="AK52" s="106">
        <v>3780</v>
      </c>
      <c r="AL52" s="106">
        <v>4</v>
      </c>
      <c r="AM52" s="106">
        <v>2160</v>
      </c>
      <c r="AN52" s="106">
        <v>4</v>
      </c>
      <c r="AO52" s="106">
        <v>2160</v>
      </c>
      <c r="AP52" s="106">
        <v>8</v>
      </c>
      <c r="AQ52" s="106">
        <v>4320</v>
      </c>
      <c r="AR52" s="106">
        <v>9</v>
      </c>
      <c r="AS52" s="106">
        <v>4860</v>
      </c>
      <c r="AT52" s="106">
        <v>8</v>
      </c>
      <c r="AU52" s="106">
        <v>4320</v>
      </c>
      <c r="AV52" s="106">
        <v>9</v>
      </c>
      <c r="AW52" s="106">
        <v>4860</v>
      </c>
      <c r="AX52" s="106">
        <v>7</v>
      </c>
      <c r="AY52" s="106">
        <v>3780</v>
      </c>
      <c r="AZ52" s="106">
        <v>12.659842987717589</v>
      </c>
      <c r="BA52" s="106">
        <v>6836.3152133674976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2.2347080636714227</v>
      </c>
      <c r="BI52" s="106">
        <v>1206.7423543825682</v>
      </c>
      <c r="BJ52" s="106">
        <v>6.1383204245851557</v>
      </c>
      <c r="BK52" s="106">
        <v>3314.6930292759839</v>
      </c>
      <c r="BL52" s="106">
        <v>7</v>
      </c>
      <c r="BM52" s="106">
        <v>3780</v>
      </c>
      <c r="BN52" s="106">
        <v>7</v>
      </c>
      <c r="BO52" s="106">
        <v>3780</v>
      </c>
      <c r="BP52" s="106">
        <v>7</v>
      </c>
      <c r="BQ52" s="106">
        <v>3780</v>
      </c>
      <c r="BR52" s="106">
        <v>7</v>
      </c>
      <c r="BS52" s="106">
        <v>3780</v>
      </c>
      <c r="BT52" s="106">
        <v>6</v>
      </c>
      <c r="BU52" s="106">
        <v>3240</v>
      </c>
      <c r="BV52" s="106">
        <v>7</v>
      </c>
      <c r="BW52" s="106">
        <v>3780</v>
      </c>
      <c r="BX52" s="106">
        <v>1.9180039679893237</v>
      </c>
      <c r="BY52" s="106">
        <v>1035.7221427142349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6.091241595482046</v>
      </c>
      <c r="CG52" s="106">
        <v>3289.2704615603047</v>
      </c>
      <c r="CH52" s="106">
        <v>12</v>
      </c>
      <c r="CI52" s="106">
        <v>6480</v>
      </c>
      <c r="CJ52" s="106">
        <v>10</v>
      </c>
      <c r="CK52" s="106">
        <v>5400</v>
      </c>
      <c r="CL52" s="106">
        <v>8</v>
      </c>
      <c r="CM52" s="106">
        <v>4320</v>
      </c>
      <c r="CN52" s="106">
        <v>23</v>
      </c>
      <c r="CO52" s="106">
        <v>12420</v>
      </c>
      <c r="CP52" s="106">
        <v>32</v>
      </c>
      <c r="CQ52" s="106">
        <v>17280</v>
      </c>
      <c r="CR52" s="106">
        <v>22</v>
      </c>
      <c r="CS52" s="106">
        <v>11880</v>
      </c>
      <c r="CT52" s="106">
        <v>22</v>
      </c>
      <c r="CU52" s="106">
        <v>11880</v>
      </c>
    </row>
    <row r="53" spans="2:99" x14ac:dyDescent="0.2">
      <c r="C53" s="105" t="s">
        <v>219</v>
      </c>
      <c r="D53" s="106">
        <v>21</v>
      </c>
      <c r="E53" s="106">
        <v>8542.8000000000011</v>
      </c>
      <c r="F53" s="106">
        <v>14.697457561488786</v>
      </c>
      <c r="G53" s="106">
        <v>5978.925736013638</v>
      </c>
      <c r="H53" s="106">
        <v>0</v>
      </c>
      <c r="I53" s="106">
        <v>0</v>
      </c>
      <c r="J53" s="106">
        <v>0</v>
      </c>
      <c r="K53" s="106">
        <v>0</v>
      </c>
      <c r="L53" s="106">
        <v>13.413081794299334</v>
      </c>
      <c r="M53" s="106">
        <v>5456.4416739209692</v>
      </c>
      <c r="N53" s="106">
        <v>23</v>
      </c>
      <c r="O53" s="106">
        <v>9356.4</v>
      </c>
      <c r="P53" s="106">
        <v>33</v>
      </c>
      <c r="Q53" s="106">
        <v>13424.4</v>
      </c>
      <c r="R53" s="106">
        <v>24</v>
      </c>
      <c r="S53" s="106">
        <v>9763.2000000000007</v>
      </c>
      <c r="T53" s="106">
        <v>25</v>
      </c>
      <c r="U53" s="106">
        <v>10170</v>
      </c>
      <c r="V53" s="106">
        <v>15</v>
      </c>
      <c r="W53" s="106">
        <v>6102</v>
      </c>
      <c r="X53" s="106">
        <v>17</v>
      </c>
      <c r="Y53" s="106">
        <v>6915.6</v>
      </c>
      <c r="Z53" s="106">
        <v>20</v>
      </c>
      <c r="AA53" s="106">
        <v>8136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7</v>
      </c>
      <c r="AK53" s="106">
        <v>2847.6</v>
      </c>
      <c r="AL53" s="106">
        <v>4</v>
      </c>
      <c r="AM53" s="106">
        <v>1627.2</v>
      </c>
      <c r="AN53" s="106">
        <v>4</v>
      </c>
      <c r="AO53" s="106">
        <v>1627.2</v>
      </c>
      <c r="AP53" s="106">
        <v>8</v>
      </c>
      <c r="AQ53" s="106">
        <v>3254.4</v>
      </c>
      <c r="AR53" s="106">
        <v>10</v>
      </c>
      <c r="AS53" s="106">
        <v>4068</v>
      </c>
      <c r="AT53" s="106">
        <v>8</v>
      </c>
      <c r="AU53" s="106">
        <v>3254.4</v>
      </c>
      <c r="AV53" s="106">
        <v>10</v>
      </c>
      <c r="AW53" s="106">
        <v>4068</v>
      </c>
      <c r="AX53" s="106">
        <v>6</v>
      </c>
      <c r="AY53" s="106">
        <v>2440.8000000000002</v>
      </c>
      <c r="AZ53" s="106">
        <v>13.865542319881168</v>
      </c>
      <c r="BA53" s="106">
        <v>5640.5026157276598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2.2347080636714227</v>
      </c>
      <c r="BI53" s="106">
        <v>909.07924030153481</v>
      </c>
      <c r="BJ53" s="106">
        <v>6.1383204245851557</v>
      </c>
      <c r="BK53" s="106">
        <v>2497.0687487212413</v>
      </c>
      <c r="BL53" s="106">
        <v>7</v>
      </c>
      <c r="BM53" s="106">
        <v>2847.6</v>
      </c>
      <c r="BN53" s="106">
        <v>7</v>
      </c>
      <c r="BO53" s="106">
        <v>2847.6</v>
      </c>
      <c r="BP53" s="106">
        <v>6</v>
      </c>
      <c r="BQ53" s="106">
        <v>2440.8000000000002</v>
      </c>
      <c r="BR53" s="106">
        <v>6</v>
      </c>
      <c r="BS53" s="106">
        <v>2440.8000000000002</v>
      </c>
      <c r="BT53" s="106">
        <v>7</v>
      </c>
      <c r="BU53" s="106">
        <v>2847.6</v>
      </c>
      <c r="BV53" s="106">
        <v>7</v>
      </c>
      <c r="BW53" s="106">
        <v>2847.6</v>
      </c>
      <c r="BX53" s="106">
        <v>1.9180039679893237</v>
      </c>
      <c r="BY53" s="106">
        <v>780.24401417805689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6.9614189662651942</v>
      </c>
      <c r="CG53" s="106">
        <v>2831.9052354766809</v>
      </c>
      <c r="CH53" s="106">
        <v>12</v>
      </c>
      <c r="CI53" s="106">
        <v>4881.6000000000004</v>
      </c>
      <c r="CJ53" s="106">
        <v>10</v>
      </c>
      <c r="CK53" s="106">
        <v>4068</v>
      </c>
      <c r="CL53" s="106">
        <v>9</v>
      </c>
      <c r="CM53" s="106">
        <v>3661.2000000000003</v>
      </c>
      <c r="CN53" s="106">
        <v>23</v>
      </c>
      <c r="CO53" s="106">
        <v>9356.4</v>
      </c>
      <c r="CP53" s="106">
        <v>32</v>
      </c>
      <c r="CQ53" s="106">
        <v>13017.6</v>
      </c>
      <c r="CR53" s="106">
        <v>22</v>
      </c>
      <c r="CS53" s="106">
        <v>8949.6</v>
      </c>
      <c r="CT53" s="106">
        <v>25</v>
      </c>
      <c r="CU53" s="106">
        <v>10170</v>
      </c>
    </row>
    <row r="54" spans="2:99" x14ac:dyDescent="0.2">
      <c r="C54" s="105" t="s">
        <v>220</v>
      </c>
      <c r="D54" s="106">
        <v>20</v>
      </c>
      <c r="E54" s="106">
        <v>6696</v>
      </c>
      <c r="F54" s="106">
        <v>15.513982981571495</v>
      </c>
      <c r="G54" s="106">
        <v>5194.0815022301367</v>
      </c>
      <c r="H54" s="106">
        <v>0</v>
      </c>
      <c r="I54" s="106">
        <v>0</v>
      </c>
      <c r="J54" s="106">
        <v>0</v>
      </c>
      <c r="K54" s="106">
        <v>0</v>
      </c>
      <c r="L54" s="106">
        <v>12.934043158788644</v>
      </c>
      <c r="M54" s="106">
        <v>4330.3176495624384</v>
      </c>
      <c r="N54" s="106">
        <v>24</v>
      </c>
      <c r="O54" s="106">
        <v>8035.2000000000007</v>
      </c>
      <c r="P54" s="106">
        <v>32</v>
      </c>
      <c r="Q54" s="106">
        <v>10713.6</v>
      </c>
      <c r="R54" s="106">
        <v>25</v>
      </c>
      <c r="S54" s="106">
        <v>8370</v>
      </c>
      <c r="T54" s="106">
        <v>21</v>
      </c>
      <c r="U54" s="106">
        <v>7030.8</v>
      </c>
      <c r="V54" s="106">
        <v>17</v>
      </c>
      <c r="W54" s="106">
        <v>5691.6</v>
      </c>
      <c r="X54" s="106">
        <v>15</v>
      </c>
      <c r="Y54" s="106">
        <v>5022</v>
      </c>
      <c r="Z54" s="106">
        <v>19</v>
      </c>
      <c r="AA54" s="106">
        <v>6361.2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6</v>
      </c>
      <c r="AK54" s="106">
        <v>2008.8000000000002</v>
      </c>
      <c r="AL54" s="106">
        <v>4</v>
      </c>
      <c r="AM54" s="106">
        <v>1339.2</v>
      </c>
      <c r="AN54" s="106">
        <v>4</v>
      </c>
      <c r="AO54" s="106">
        <v>1339.2</v>
      </c>
      <c r="AP54" s="106">
        <v>7</v>
      </c>
      <c r="AQ54" s="106">
        <v>2343.6</v>
      </c>
      <c r="AR54" s="106">
        <v>10</v>
      </c>
      <c r="AS54" s="106">
        <v>3348</v>
      </c>
      <c r="AT54" s="106">
        <v>9</v>
      </c>
      <c r="AU54" s="106">
        <v>3013.2000000000003</v>
      </c>
      <c r="AV54" s="106">
        <v>11</v>
      </c>
      <c r="AW54" s="106">
        <v>3682.8</v>
      </c>
      <c r="AX54" s="106">
        <v>7</v>
      </c>
      <c r="AY54" s="106">
        <v>2343.6</v>
      </c>
      <c r="AZ54" s="106">
        <v>13.865542319881168</v>
      </c>
      <c r="BA54" s="106">
        <v>4642.1835686962149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2.6816496764057072</v>
      </c>
      <c r="BI54" s="106">
        <v>897.81631166063084</v>
      </c>
      <c r="BJ54" s="106">
        <v>6.1383204245851557</v>
      </c>
      <c r="BK54" s="106">
        <v>2055.1096781511101</v>
      </c>
      <c r="BL54" s="106">
        <v>7</v>
      </c>
      <c r="BM54" s="106">
        <v>2343.6</v>
      </c>
      <c r="BN54" s="106">
        <v>6</v>
      </c>
      <c r="BO54" s="106">
        <v>2008.8000000000002</v>
      </c>
      <c r="BP54" s="106">
        <v>8</v>
      </c>
      <c r="BQ54" s="106">
        <v>2678.4</v>
      </c>
      <c r="BR54" s="106">
        <v>6</v>
      </c>
      <c r="BS54" s="106">
        <v>2008.8000000000002</v>
      </c>
      <c r="BT54" s="106">
        <v>7</v>
      </c>
      <c r="BU54" s="106">
        <v>2343.6</v>
      </c>
      <c r="BV54" s="106">
        <v>7</v>
      </c>
      <c r="BW54" s="106">
        <v>2343.6</v>
      </c>
      <c r="BX54" s="106">
        <v>2.2376712959875444</v>
      </c>
      <c r="BY54" s="106">
        <v>749.17234989662995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6.9614189662651942</v>
      </c>
      <c r="CG54" s="106">
        <v>2330.6830699055872</v>
      </c>
      <c r="CH54" s="106">
        <v>12</v>
      </c>
      <c r="CI54" s="106">
        <v>4017.6000000000004</v>
      </c>
      <c r="CJ54" s="106">
        <v>9</v>
      </c>
      <c r="CK54" s="106">
        <v>3013.2000000000003</v>
      </c>
      <c r="CL54" s="106">
        <v>9</v>
      </c>
      <c r="CM54" s="106">
        <v>3013.2000000000003</v>
      </c>
      <c r="CN54" s="106">
        <v>24</v>
      </c>
      <c r="CO54" s="106">
        <v>8035.2000000000007</v>
      </c>
      <c r="CP54" s="106">
        <v>29</v>
      </c>
      <c r="CQ54" s="106">
        <v>9709.2000000000007</v>
      </c>
      <c r="CR54" s="106">
        <v>23</v>
      </c>
      <c r="CS54" s="106">
        <v>7700.4000000000005</v>
      </c>
      <c r="CT54" s="106">
        <v>23</v>
      </c>
      <c r="CU54" s="106">
        <v>7700.4000000000005</v>
      </c>
    </row>
    <row r="55" spans="2:99" x14ac:dyDescent="0.2">
      <c r="C55" s="105" t="s">
        <v>221</v>
      </c>
      <c r="D55" s="106">
        <v>18</v>
      </c>
      <c r="E55" s="106">
        <v>11944.800000000001</v>
      </c>
      <c r="F55" s="106">
        <v>13.880932141406074</v>
      </c>
      <c r="G55" s="106">
        <v>9211.3865690370712</v>
      </c>
      <c r="H55" s="106">
        <v>0</v>
      </c>
      <c r="I55" s="106">
        <v>0</v>
      </c>
      <c r="J55" s="106">
        <v>0</v>
      </c>
      <c r="K55" s="106">
        <v>0</v>
      </c>
      <c r="L55" s="106">
        <v>11.496927252256571</v>
      </c>
      <c r="M55" s="106">
        <v>7629.3609245974603</v>
      </c>
      <c r="N55" s="106">
        <v>23</v>
      </c>
      <c r="O55" s="106">
        <v>15262.800000000001</v>
      </c>
      <c r="P55" s="106">
        <v>31</v>
      </c>
      <c r="Q55" s="106">
        <v>20571.600000000002</v>
      </c>
      <c r="R55" s="106">
        <v>22</v>
      </c>
      <c r="S55" s="106">
        <v>14599.2</v>
      </c>
      <c r="T55" s="106">
        <v>20</v>
      </c>
      <c r="U55" s="106">
        <v>13272</v>
      </c>
      <c r="V55" s="106">
        <v>18</v>
      </c>
      <c r="W55" s="106">
        <v>11944.800000000001</v>
      </c>
      <c r="X55" s="106">
        <v>17</v>
      </c>
      <c r="Y55" s="106">
        <v>11281.2</v>
      </c>
      <c r="Z55" s="106">
        <v>20</v>
      </c>
      <c r="AA55" s="106">
        <v>13272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7</v>
      </c>
      <c r="AK55" s="106">
        <v>4645.2</v>
      </c>
      <c r="AL55" s="106">
        <v>4</v>
      </c>
      <c r="AM55" s="106">
        <v>2654.4</v>
      </c>
      <c r="AN55" s="106">
        <v>5</v>
      </c>
      <c r="AO55" s="106">
        <v>3318</v>
      </c>
      <c r="AP55" s="106">
        <v>7</v>
      </c>
      <c r="AQ55" s="106">
        <v>4645.2</v>
      </c>
      <c r="AR55" s="106">
        <v>10</v>
      </c>
      <c r="AS55" s="106">
        <v>6636</v>
      </c>
      <c r="AT55" s="106">
        <v>8</v>
      </c>
      <c r="AU55" s="106">
        <v>5308.8</v>
      </c>
      <c r="AV55" s="106">
        <v>10</v>
      </c>
      <c r="AW55" s="106">
        <v>6636</v>
      </c>
      <c r="AX55" s="106">
        <v>6</v>
      </c>
      <c r="AY55" s="106">
        <v>3981.6000000000004</v>
      </c>
      <c r="AZ55" s="106">
        <v>13.262692653799379</v>
      </c>
      <c r="BA55" s="106">
        <v>8801.1228450612671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2.6816496764057072</v>
      </c>
      <c r="BI55" s="106">
        <v>1779.5427252628274</v>
      </c>
      <c r="BJ55" s="106">
        <v>6.1383204245851557</v>
      </c>
      <c r="BK55" s="106">
        <v>4073.3894337547094</v>
      </c>
      <c r="BL55" s="106">
        <v>7</v>
      </c>
      <c r="BM55" s="106">
        <v>4645.2</v>
      </c>
      <c r="BN55" s="106">
        <v>6</v>
      </c>
      <c r="BO55" s="106">
        <v>3981.6000000000004</v>
      </c>
      <c r="BP55" s="106">
        <v>6</v>
      </c>
      <c r="BQ55" s="106">
        <v>3981.6000000000004</v>
      </c>
      <c r="BR55" s="106">
        <v>6</v>
      </c>
      <c r="BS55" s="106">
        <v>3981.6000000000004</v>
      </c>
      <c r="BT55" s="106">
        <v>6</v>
      </c>
      <c r="BU55" s="106">
        <v>3981.6000000000004</v>
      </c>
      <c r="BV55" s="106">
        <v>7</v>
      </c>
      <c r="BW55" s="106">
        <v>4645.2</v>
      </c>
      <c r="BX55" s="106">
        <v>1.9180039679893237</v>
      </c>
      <c r="BY55" s="106">
        <v>1272.7874331577152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6.091241595482046</v>
      </c>
      <c r="CG55" s="106">
        <v>4042.1479227618861</v>
      </c>
      <c r="CH55" s="106">
        <v>11</v>
      </c>
      <c r="CI55" s="106">
        <v>7299.6</v>
      </c>
      <c r="CJ55" s="106">
        <v>9</v>
      </c>
      <c r="CK55" s="106">
        <v>5972.4000000000005</v>
      </c>
      <c r="CL55" s="106">
        <v>8</v>
      </c>
      <c r="CM55" s="106">
        <v>5308.8</v>
      </c>
      <c r="CN55" s="106">
        <v>21</v>
      </c>
      <c r="CO55" s="106">
        <v>13935.6</v>
      </c>
      <c r="CP55" s="106">
        <v>30</v>
      </c>
      <c r="CQ55" s="106">
        <v>19908</v>
      </c>
      <c r="CR55" s="106">
        <v>21</v>
      </c>
      <c r="CS55" s="106">
        <v>13935.6</v>
      </c>
      <c r="CT55" s="106">
        <v>22</v>
      </c>
      <c r="CU55" s="106">
        <v>14599.2</v>
      </c>
    </row>
    <row r="56" spans="2:99" x14ac:dyDescent="0.2">
      <c r="C56" s="105" t="s">
        <v>222</v>
      </c>
      <c r="D56" s="106">
        <v>18</v>
      </c>
      <c r="E56" s="106">
        <v>20714.399999999998</v>
      </c>
      <c r="F56" s="106">
        <v>16</v>
      </c>
      <c r="G56" s="106">
        <v>18412.8</v>
      </c>
      <c r="H56" s="106">
        <v>17</v>
      </c>
      <c r="I56" s="106">
        <v>19563.599999999999</v>
      </c>
      <c r="J56" s="106">
        <v>14</v>
      </c>
      <c r="K56" s="106">
        <v>16111.199999999999</v>
      </c>
      <c r="L56" s="106">
        <v>26</v>
      </c>
      <c r="M56" s="106">
        <v>29920.799999999999</v>
      </c>
      <c r="N56" s="106">
        <v>22</v>
      </c>
      <c r="O56" s="106">
        <v>25317.599999999999</v>
      </c>
      <c r="P56" s="106">
        <v>30</v>
      </c>
      <c r="Q56" s="106">
        <v>34524</v>
      </c>
      <c r="R56" s="106">
        <v>22</v>
      </c>
      <c r="S56" s="106">
        <v>25317.599999999999</v>
      </c>
      <c r="T56" s="106">
        <v>22</v>
      </c>
      <c r="U56" s="106">
        <v>25317.599999999999</v>
      </c>
      <c r="V56" s="106">
        <v>17</v>
      </c>
      <c r="W56" s="106">
        <v>19563.599999999999</v>
      </c>
      <c r="X56" s="106">
        <v>15</v>
      </c>
      <c r="Y56" s="106">
        <v>17262</v>
      </c>
      <c r="Z56" s="106">
        <v>17</v>
      </c>
      <c r="AA56" s="106">
        <v>19563.599999999999</v>
      </c>
      <c r="AB56" s="106">
        <v>5</v>
      </c>
      <c r="AC56" s="106">
        <v>5754</v>
      </c>
      <c r="AD56" s="106">
        <v>3</v>
      </c>
      <c r="AE56" s="106">
        <v>3452.3999999999996</v>
      </c>
      <c r="AF56" s="106">
        <v>7</v>
      </c>
      <c r="AG56" s="106">
        <v>8055.5999999999995</v>
      </c>
      <c r="AH56" s="106">
        <v>4</v>
      </c>
      <c r="AI56" s="106">
        <v>4603.2</v>
      </c>
      <c r="AJ56" s="106">
        <v>7</v>
      </c>
      <c r="AK56" s="106">
        <v>8055.5999999999995</v>
      </c>
      <c r="AL56" s="106">
        <v>4</v>
      </c>
      <c r="AM56" s="106">
        <v>4603.2</v>
      </c>
      <c r="AN56" s="106">
        <v>4</v>
      </c>
      <c r="AO56" s="106">
        <v>4603.2</v>
      </c>
      <c r="AP56" s="106">
        <v>7</v>
      </c>
      <c r="AQ56" s="106">
        <v>8055.5999999999995</v>
      </c>
      <c r="AR56" s="106">
        <v>8</v>
      </c>
      <c r="AS56" s="106">
        <v>9206.4</v>
      </c>
      <c r="AT56" s="106">
        <v>7</v>
      </c>
      <c r="AU56" s="106">
        <v>8055.5999999999995</v>
      </c>
      <c r="AV56" s="106">
        <v>9</v>
      </c>
      <c r="AW56" s="106">
        <v>10357.199999999999</v>
      </c>
      <c r="AX56" s="106">
        <v>7</v>
      </c>
      <c r="AY56" s="106">
        <v>8055.5999999999995</v>
      </c>
      <c r="AZ56" s="106">
        <v>39</v>
      </c>
      <c r="BA56" s="106">
        <v>44881.2</v>
      </c>
      <c r="BB56" s="106">
        <v>43</v>
      </c>
      <c r="BC56" s="106">
        <v>49484.4</v>
      </c>
      <c r="BD56" s="106">
        <v>44</v>
      </c>
      <c r="BE56" s="106">
        <v>50635.199999999997</v>
      </c>
      <c r="BF56" s="106">
        <v>41</v>
      </c>
      <c r="BG56" s="106">
        <v>47182.799999999996</v>
      </c>
      <c r="BH56" s="106">
        <v>5</v>
      </c>
      <c r="BI56" s="106">
        <v>5754</v>
      </c>
      <c r="BJ56" s="106">
        <v>6</v>
      </c>
      <c r="BK56" s="106">
        <v>6904.7999999999993</v>
      </c>
      <c r="BL56" s="106">
        <v>7</v>
      </c>
      <c r="BM56" s="106">
        <v>8055.5999999999995</v>
      </c>
      <c r="BN56" s="106">
        <v>6</v>
      </c>
      <c r="BO56" s="106">
        <v>6904.7999999999993</v>
      </c>
      <c r="BP56" s="106">
        <v>7</v>
      </c>
      <c r="BQ56" s="106">
        <v>8055.5999999999995</v>
      </c>
      <c r="BR56" s="106">
        <v>7</v>
      </c>
      <c r="BS56" s="106">
        <v>8055.5999999999995</v>
      </c>
      <c r="BT56" s="106">
        <v>6</v>
      </c>
      <c r="BU56" s="106">
        <v>6904.7999999999993</v>
      </c>
      <c r="BV56" s="106">
        <v>7</v>
      </c>
      <c r="BW56" s="106">
        <v>8055.5999999999995</v>
      </c>
      <c r="BX56" s="106">
        <v>6</v>
      </c>
      <c r="BY56" s="106">
        <v>6904.7999999999993</v>
      </c>
      <c r="BZ56" s="106">
        <v>6</v>
      </c>
      <c r="CA56" s="106">
        <v>6904.7999999999993</v>
      </c>
      <c r="CB56" s="106">
        <v>6</v>
      </c>
      <c r="CC56" s="106">
        <v>6904.7999999999993</v>
      </c>
      <c r="CD56" s="106">
        <v>9</v>
      </c>
      <c r="CE56" s="106">
        <v>10357.199999999999</v>
      </c>
      <c r="CF56" s="106">
        <v>7</v>
      </c>
      <c r="CG56" s="106">
        <v>8055.5999999999995</v>
      </c>
      <c r="CH56" s="106">
        <v>11</v>
      </c>
      <c r="CI56" s="106">
        <v>12658.8</v>
      </c>
      <c r="CJ56" s="106">
        <v>9</v>
      </c>
      <c r="CK56" s="106">
        <v>10357.199999999999</v>
      </c>
      <c r="CL56" s="106">
        <v>8</v>
      </c>
      <c r="CM56" s="106">
        <v>9206.4</v>
      </c>
      <c r="CN56" s="106">
        <v>22</v>
      </c>
      <c r="CO56" s="106">
        <v>25317.599999999999</v>
      </c>
      <c r="CP56" s="106">
        <v>30</v>
      </c>
      <c r="CQ56" s="106">
        <v>34524</v>
      </c>
      <c r="CR56" s="106">
        <v>19</v>
      </c>
      <c r="CS56" s="106">
        <v>21865.200000000001</v>
      </c>
      <c r="CT56" s="106">
        <v>21</v>
      </c>
      <c r="CU56" s="106">
        <v>24166.799999999999</v>
      </c>
    </row>
    <row r="57" spans="2:99" x14ac:dyDescent="0.2">
      <c r="C57" s="105" t="s">
        <v>223</v>
      </c>
      <c r="D57" s="106">
        <v>17</v>
      </c>
      <c r="E57" s="106">
        <v>23990.400000000001</v>
      </c>
      <c r="F57" s="106">
        <v>11.431355881157945</v>
      </c>
      <c r="G57" s="106">
        <v>16131.929419490092</v>
      </c>
      <c r="H57" s="106">
        <v>0</v>
      </c>
      <c r="I57" s="106">
        <v>0</v>
      </c>
      <c r="J57" s="106">
        <v>0</v>
      </c>
      <c r="K57" s="106">
        <v>0</v>
      </c>
      <c r="L57" s="106">
        <v>10.538849981235192</v>
      </c>
      <c r="M57" s="106">
        <v>14872.425093519103</v>
      </c>
      <c r="N57" s="106">
        <v>20</v>
      </c>
      <c r="O57" s="106">
        <v>28224</v>
      </c>
      <c r="P57" s="106">
        <v>29</v>
      </c>
      <c r="Q57" s="106">
        <v>40924.800000000003</v>
      </c>
      <c r="R57" s="106">
        <v>20</v>
      </c>
      <c r="S57" s="106">
        <v>28224</v>
      </c>
      <c r="T57" s="106">
        <v>21</v>
      </c>
      <c r="U57" s="106">
        <v>29635.200000000001</v>
      </c>
      <c r="V57" s="106">
        <v>16</v>
      </c>
      <c r="W57" s="106">
        <v>22579.200000000001</v>
      </c>
      <c r="X57" s="106">
        <v>14</v>
      </c>
      <c r="Y57" s="106">
        <v>19756.8</v>
      </c>
      <c r="Z57" s="106">
        <v>17</v>
      </c>
      <c r="AA57" s="106">
        <v>23990.400000000001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7</v>
      </c>
      <c r="AK57" s="106">
        <v>9878.4</v>
      </c>
      <c r="AL57" s="106">
        <v>4</v>
      </c>
      <c r="AM57" s="106">
        <v>5644.8</v>
      </c>
      <c r="AN57" s="106">
        <v>4</v>
      </c>
      <c r="AO57" s="106">
        <v>5644.8</v>
      </c>
      <c r="AP57" s="106">
        <v>7</v>
      </c>
      <c r="AQ57" s="106">
        <v>9878.4</v>
      </c>
      <c r="AR57" s="106">
        <v>9</v>
      </c>
      <c r="AS57" s="106">
        <v>12700.800000000001</v>
      </c>
      <c r="AT57" s="106">
        <v>7</v>
      </c>
      <c r="AU57" s="106">
        <v>9878.4</v>
      </c>
      <c r="AV57" s="106">
        <v>10</v>
      </c>
      <c r="AW57" s="106">
        <v>14112</v>
      </c>
      <c r="AX57" s="106">
        <v>6</v>
      </c>
      <c r="AY57" s="106">
        <v>8467.2000000000007</v>
      </c>
      <c r="AZ57" s="106">
        <v>10.85129398947222</v>
      </c>
      <c r="BA57" s="106">
        <v>15313.346077943197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2.2347080636714227</v>
      </c>
      <c r="BI57" s="106">
        <v>3153.620019453112</v>
      </c>
      <c r="BJ57" s="106">
        <v>6.1383204245851557</v>
      </c>
      <c r="BK57" s="106">
        <v>8662.3977831745724</v>
      </c>
      <c r="BL57" s="106">
        <v>7</v>
      </c>
      <c r="BM57" s="106">
        <v>9878.4</v>
      </c>
      <c r="BN57" s="106">
        <v>5</v>
      </c>
      <c r="BO57" s="106">
        <v>7056</v>
      </c>
      <c r="BP57" s="106">
        <v>7</v>
      </c>
      <c r="BQ57" s="106">
        <v>9878.4</v>
      </c>
      <c r="BR57" s="106">
        <v>7</v>
      </c>
      <c r="BS57" s="106">
        <v>9878.4</v>
      </c>
      <c r="BT57" s="106">
        <v>6</v>
      </c>
      <c r="BU57" s="106">
        <v>8467.2000000000007</v>
      </c>
      <c r="BV57" s="106">
        <v>6</v>
      </c>
      <c r="BW57" s="106">
        <v>8467.2000000000007</v>
      </c>
      <c r="BX57" s="106">
        <v>1.9180039679893237</v>
      </c>
      <c r="BY57" s="106">
        <v>2706.6871996265336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6.091241595482046</v>
      </c>
      <c r="CG57" s="106">
        <v>8595.9601395442642</v>
      </c>
      <c r="CH57" s="106">
        <v>10</v>
      </c>
      <c r="CI57" s="106">
        <v>14112</v>
      </c>
      <c r="CJ57" s="106">
        <v>10</v>
      </c>
      <c r="CK57" s="106">
        <v>14112</v>
      </c>
      <c r="CL57" s="106">
        <v>8</v>
      </c>
      <c r="CM57" s="106">
        <v>11289.6</v>
      </c>
      <c r="CN57" s="106">
        <v>21</v>
      </c>
      <c r="CO57" s="106">
        <v>29635.200000000001</v>
      </c>
      <c r="CP57" s="106">
        <v>26</v>
      </c>
      <c r="CQ57" s="106">
        <v>36691.200000000004</v>
      </c>
      <c r="CR57" s="106">
        <v>20</v>
      </c>
      <c r="CS57" s="106">
        <v>28224</v>
      </c>
      <c r="CT57" s="106">
        <v>23</v>
      </c>
      <c r="CU57" s="106">
        <v>32457.600000000002</v>
      </c>
    </row>
    <row r="58" spans="2:99" x14ac:dyDescent="0.2">
      <c r="C58" s="105" t="s">
        <v>224</v>
      </c>
      <c r="D58" s="106">
        <v>20</v>
      </c>
      <c r="E58" s="106">
        <v>23544</v>
      </c>
      <c r="F58" s="106">
        <v>16</v>
      </c>
      <c r="G58" s="106">
        <v>18835.2</v>
      </c>
      <c r="H58" s="106">
        <v>16</v>
      </c>
      <c r="I58" s="106">
        <v>18835.2</v>
      </c>
      <c r="J58" s="106">
        <v>13</v>
      </c>
      <c r="K58" s="106">
        <v>15303.6</v>
      </c>
      <c r="L58" s="106">
        <v>25</v>
      </c>
      <c r="M58" s="106">
        <v>29430</v>
      </c>
      <c r="N58" s="106">
        <v>20</v>
      </c>
      <c r="O58" s="106">
        <v>23544</v>
      </c>
      <c r="P58" s="106">
        <v>27</v>
      </c>
      <c r="Q58" s="106">
        <v>31784.400000000001</v>
      </c>
      <c r="R58" s="106">
        <v>24</v>
      </c>
      <c r="S58" s="106">
        <v>28252.800000000003</v>
      </c>
      <c r="T58" s="106">
        <v>19</v>
      </c>
      <c r="U58" s="106">
        <v>22366.799999999999</v>
      </c>
      <c r="V58" s="106">
        <v>17</v>
      </c>
      <c r="W58" s="106">
        <v>20012.400000000001</v>
      </c>
      <c r="X58" s="106">
        <v>15</v>
      </c>
      <c r="Y58" s="106">
        <v>17658</v>
      </c>
      <c r="Z58" s="106">
        <v>18</v>
      </c>
      <c r="AA58" s="106">
        <v>21189.600000000002</v>
      </c>
      <c r="AB58" s="106">
        <v>5</v>
      </c>
      <c r="AC58" s="106">
        <v>5886</v>
      </c>
      <c r="AD58" s="106">
        <v>4</v>
      </c>
      <c r="AE58" s="106">
        <v>4708.8</v>
      </c>
      <c r="AF58" s="106">
        <v>7</v>
      </c>
      <c r="AG58" s="106">
        <v>8240.4</v>
      </c>
      <c r="AH58" s="106">
        <v>3</v>
      </c>
      <c r="AI58" s="106">
        <v>3531.6000000000004</v>
      </c>
      <c r="AJ58" s="106">
        <v>6</v>
      </c>
      <c r="AK58" s="106">
        <v>7063.2000000000007</v>
      </c>
      <c r="AL58" s="106">
        <v>3</v>
      </c>
      <c r="AM58" s="106">
        <v>3531.6000000000004</v>
      </c>
      <c r="AN58" s="106">
        <v>4</v>
      </c>
      <c r="AO58" s="106">
        <v>4708.8</v>
      </c>
      <c r="AP58" s="106">
        <v>7</v>
      </c>
      <c r="AQ58" s="106">
        <v>8240.4</v>
      </c>
      <c r="AR58" s="106">
        <v>9</v>
      </c>
      <c r="AS58" s="106">
        <v>10594.800000000001</v>
      </c>
      <c r="AT58" s="106">
        <v>7</v>
      </c>
      <c r="AU58" s="106">
        <v>8240.4</v>
      </c>
      <c r="AV58" s="106">
        <v>9</v>
      </c>
      <c r="AW58" s="106">
        <v>10594.800000000001</v>
      </c>
      <c r="AX58" s="106">
        <v>6</v>
      </c>
      <c r="AY58" s="106">
        <v>7063.2000000000007</v>
      </c>
      <c r="AZ58" s="106">
        <v>36</v>
      </c>
      <c r="BA58" s="106">
        <v>42379.200000000004</v>
      </c>
      <c r="BB58" s="106">
        <v>48</v>
      </c>
      <c r="BC58" s="106">
        <v>56505.600000000006</v>
      </c>
      <c r="BD58" s="106">
        <v>51</v>
      </c>
      <c r="BE58" s="106">
        <v>60037.200000000004</v>
      </c>
      <c r="BF58" s="106">
        <v>39</v>
      </c>
      <c r="BG58" s="106">
        <v>45910.8</v>
      </c>
      <c r="BH58" s="106">
        <v>5</v>
      </c>
      <c r="BI58" s="106">
        <v>5886</v>
      </c>
      <c r="BJ58" s="106">
        <v>7</v>
      </c>
      <c r="BK58" s="106">
        <v>8240.4</v>
      </c>
      <c r="BL58" s="106">
        <v>6</v>
      </c>
      <c r="BM58" s="106">
        <v>7063.2000000000007</v>
      </c>
      <c r="BN58" s="106">
        <v>7</v>
      </c>
      <c r="BO58" s="106">
        <v>8240.4</v>
      </c>
      <c r="BP58" s="106">
        <v>7</v>
      </c>
      <c r="BQ58" s="106">
        <v>8240.4</v>
      </c>
      <c r="BR58" s="106">
        <v>7</v>
      </c>
      <c r="BS58" s="106">
        <v>8240.4</v>
      </c>
      <c r="BT58" s="106">
        <v>6</v>
      </c>
      <c r="BU58" s="106">
        <v>7063.2000000000007</v>
      </c>
      <c r="BV58" s="106">
        <v>6</v>
      </c>
      <c r="BW58" s="106">
        <v>7063.2000000000007</v>
      </c>
      <c r="BX58" s="106">
        <v>6</v>
      </c>
      <c r="BY58" s="106">
        <v>7063.2000000000007</v>
      </c>
      <c r="BZ58" s="106">
        <v>5</v>
      </c>
      <c r="CA58" s="106">
        <v>5886</v>
      </c>
      <c r="CB58" s="106">
        <v>7</v>
      </c>
      <c r="CC58" s="106">
        <v>8240.4</v>
      </c>
      <c r="CD58" s="106">
        <v>10</v>
      </c>
      <c r="CE58" s="106">
        <v>11772</v>
      </c>
      <c r="CF58" s="106">
        <v>6</v>
      </c>
      <c r="CG58" s="106">
        <v>7063.2000000000007</v>
      </c>
      <c r="CH58" s="106">
        <v>11</v>
      </c>
      <c r="CI58" s="106">
        <v>12949.2</v>
      </c>
      <c r="CJ58" s="106">
        <v>9</v>
      </c>
      <c r="CK58" s="106">
        <v>10594.800000000001</v>
      </c>
      <c r="CL58" s="106">
        <v>8</v>
      </c>
      <c r="CM58" s="106">
        <v>9417.6</v>
      </c>
      <c r="CN58" s="106">
        <v>20</v>
      </c>
      <c r="CO58" s="106">
        <v>23544</v>
      </c>
      <c r="CP58" s="106">
        <v>26</v>
      </c>
      <c r="CQ58" s="106">
        <v>30607.200000000001</v>
      </c>
      <c r="CR58" s="106">
        <v>19</v>
      </c>
      <c r="CS58" s="106">
        <v>22366.799999999999</v>
      </c>
      <c r="CT58" s="106">
        <v>20</v>
      </c>
      <c r="CU58" s="106">
        <v>23544</v>
      </c>
    </row>
    <row r="59" spans="2:99" x14ac:dyDescent="0.2">
      <c r="C59" s="105" t="s">
        <v>225</v>
      </c>
      <c r="D59" s="106">
        <v>20</v>
      </c>
      <c r="E59" s="106">
        <v>6071.9999999999991</v>
      </c>
      <c r="F59" s="106">
        <v>13.880932141406074</v>
      </c>
      <c r="G59" s="106">
        <v>4214.250998130884</v>
      </c>
      <c r="H59" s="106">
        <v>0</v>
      </c>
      <c r="I59" s="106">
        <v>0</v>
      </c>
      <c r="J59" s="106">
        <v>0</v>
      </c>
      <c r="K59" s="106">
        <v>0</v>
      </c>
      <c r="L59" s="106">
        <v>13.413081794299334</v>
      </c>
      <c r="M59" s="106">
        <v>4072.2116327492772</v>
      </c>
      <c r="N59" s="106">
        <v>24</v>
      </c>
      <c r="O59" s="106">
        <v>7286.4</v>
      </c>
      <c r="P59" s="106">
        <v>30</v>
      </c>
      <c r="Q59" s="106">
        <v>9107.9999999999982</v>
      </c>
      <c r="R59" s="106">
        <v>26</v>
      </c>
      <c r="S59" s="106">
        <v>7893.5999999999995</v>
      </c>
      <c r="T59" s="106">
        <v>23</v>
      </c>
      <c r="U59" s="106">
        <v>6982.7999999999993</v>
      </c>
      <c r="V59" s="106">
        <v>19</v>
      </c>
      <c r="W59" s="106">
        <v>5768.4</v>
      </c>
      <c r="X59" s="106">
        <v>16</v>
      </c>
      <c r="Y59" s="106">
        <v>4857.5999999999995</v>
      </c>
      <c r="Z59" s="106">
        <v>20</v>
      </c>
      <c r="AA59" s="106">
        <v>6071.9999999999991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8</v>
      </c>
      <c r="AK59" s="106">
        <v>2428.7999999999997</v>
      </c>
      <c r="AL59" s="106">
        <v>4</v>
      </c>
      <c r="AM59" s="106">
        <v>1214.3999999999999</v>
      </c>
      <c r="AN59" s="106">
        <v>4</v>
      </c>
      <c r="AO59" s="106">
        <v>1214.3999999999999</v>
      </c>
      <c r="AP59" s="106">
        <v>7</v>
      </c>
      <c r="AQ59" s="106">
        <v>2125.1999999999998</v>
      </c>
      <c r="AR59" s="106">
        <v>10</v>
      </c>
      <c r="AS59" s="106">
        <v>3035.9999999999995</v>
      </c>
      <c r="AT59" s="106">
        <v>8</v>
      </c>
      <c r="AU59" s="106">
        <v>2428.7999999999997</v>
      </c>
      <c r="AV59" s="106">
        <v>10</v>
      </c>
      <c r="AW59" s="106">
        <v>3035.9999999999995</v>
      </c>
      <c r="AX59" s="106">
        <v>7</v>
      </c>
      <c r="AY59" s="106">
        <v>2125.1999999999998</v>
      </c>
      <c r="AZ59" s="106">
        <v>12.659842987717589</v>
      </c>
      <c r="BA59" s="106">
        <v>3843.5283310710597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2.2347080636714227</v>
      </c>
      <c r="BI59" s="106">
        <v>678.45736813064389</v>
      </c>
      <c r="BJ59" s="106">
        <v>6.1383204245851557</v>
      </c>
      <c r="BK59" s="106">
        <v>1863.594080904053</v>
      </c>
      <c r="BL59" s="106">
        <v>7</v>
      </c>
      <c r="BM59" s="106">
        <v>2125.1999999999998</v>
      </c>
      <c r="BN59" s="106">
        <v>6</v>
      </c>
      <c r="BO59" s="106">
        <v>1821.6</v>
      </c>
      <c r="BP59" s="106">
        <v>8</v>
      </c>
      <c r="BQ59" s="106">
        <v>2428.7999999999997</v>
      </c>
      <c r="BR59" s="106">
        <v>6</v>
      </c>
      <c r="BS59" s="106">
        <v>1821.6</v>
      </c>
      <c r="BT59" s="106">
        <v>7</v>
      </c>
      <c r="BU59" s="106">
        <v>2125.1999999999998</v>
      </c>
      <c r="BV59" s="106">
        <v>8</v>
      </c>
      <c r="BW59" s="106">
        <v>2428.7999999999997</v>
      </c>
      <c r="BX59" s="106">
        <v>1.9180039679893237</v>
      </c>
      <c r="BY59" s="106">
        <v>582.30600468155865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6.091241595482046</v>
      </c>
      <c r="CG59" s="106">
        <v>1849.3009483883491</v>
      </c>
      <c r="CH59" s="106">
        <v>11</v>
      </c>
      <c r="CI59" s="106">
        <v>3339.5999999999995</v>
      </c>
      <c r="CJ59" s="106">
        <v>9</v>
      </c>
      <c r="CK59" s="106">
        <v>2732.3999999999996</v>
      </c>
      <c r="CL59" s="106">
        <v>8</v>
      </c>
      <c r="CM59" s="106">
        <v>2428.7999999999997</v>
      </c>
      <c r="CN59" s="106">
        <v>21</v>
      </c>
      <c r="CO59" s="106">
        <v>6375.5999999999995</v>
      </c>
      <c r="CP59" s="106">
        <v>34</v>
      </c>
      <c r="CQ59" s="106">
        <v>10322.4</v>
      </c>
      <c r="CR59" s="106">
        <v>23</v>
      </c>
      <c r="CS59" s="106">
        <v>6982.7999999999993</v>
      </c>
      <c r="CT59" s="106">
        <v>27</v>
      </c>
      <c r="CU59" s="106">
        <v>8197.1999999999989</v>
      </c>
    </row>
    <row r="60" spans="2:99" x14ac:dyDescent="0.2">
      <c r="C60" s="105" t="s">
        <v>226</v>
      </c>
      <c r="D60" s="106">
        <v>20</v>
      </c>
      <c r="E60" s="106">
        <v>13032</v>
      </c>
      <c r="F60" s="106">
        <v>14.697457561488786</v>
      </c>
      <c r="G60" s="106">
        <v>9576.8633470660934</v>
      </c>
      <c r="H60" s="106">
        <v>0</v>
      </c>
      <c r="I60" s="106">
        <v>0</v>
      </c>
      <c r="J60" s="106">
        <v>0</v>
      </c>
      <c r="K60" s="106">
        <v>0</v>
      </c>
      <c r="L60" s="106">
        <v>11.496927252256571</v>
      </c>
      <c r="M60" s="106">
        <v>7491.397797570382</v>
      </c>
      <c r="N60" s="106">
        <v>20</v>
      </c>
      <c r="O60" s="106">
        <v>13032</v>
      </c>
      <c r="P60" s="106">
        <v>29</v>
      </c>
      <c r="Q60" s="106">
        <v>18896.400000000001</v>
      </c>
      <c r="R60" s="106">
        <v>25</v>
      </c>
      <c r="S60" s="106">
        <v>16290</v>
      </c>
      <c r="T60" s="106">
        <v>22</v>
      </c>
      <c r="U60" s="106">
        <v>14335.2</v>
      </c>
      <c r="V60" s="106">
        <v>15</v>
      </c>
      <c r="W60" s="106">
        <v>9774</v>
      </c>
      <c r="X60" s="106">
        <v>15</v>
      </c>
      <c r="Y60" s="106">
        <v>9774</v>
      </c>
      <c r="Z60" s="106">
        <v>19</v>
      </c>
      <c r="AA60" s="106">
        <v>12380.4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6</v>
      </c>
      <c r="AK60" s="106">
        <v>3909.6000000000004</v>
      </c>
      <c r="AL60" s="106">
        <v>4</v>
      </c>
      <c r="AM60" s="106">
        <v>2606.4</v>
      </c>
      <c r="AN60" s="106">
        <v>4</v>
      </c>
      <c r="AO60" s="106">
        <v>2606.4</v>
      </c>
      <c r="AP60" s="106">
        <v>7</v>
      </c>
      <c r="AQ60" s="106">
        <v>4561.2</v>
      </c>
      <c r="AR60" s="106">
        <v>9</v>
      </c>
      <c r="AS60" s="106">
        <v>5864.4000000000005</v>
      </c>
      <c r="AT60" s="106">
        <v>8</v>
      </c>
      <c r="AU60" s="106">
        <v>5212.8</v>
      </c>
      <c r="AV60" s="106">
        <v>9</v>
      </c>
      <c r="AW60" s="106">
        <v>5864.4000000000005</v>
      </c>
      <c r="AX60" s="106">
        <v>7</v>
      </c>
      <c r="AY60" s="106">
        <v>4561.2</v>
      </c>
      <c r="AZ60" s="106">
        <v>12.056993321635797</v>
      </c>
      <c r="BA60" s="106">
        <v>7856.3368483778859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2.2347080636714227</v>
      </c>
      <c r="BI60" s="106">
        <v>1456.135774288299</v>
      </c>
      <c r="BJ60" s="106">
        <v>7.0152233423830346</v>
      </c>
      <c r="BK60" s="106">
        <v>4571.1195298967859</v>
      </c>
      <c r="BL60" s="106">
        <v>7</v>
      </c>
      <c r="BM60" s="106">
        <v>4561.2</v>
      </c>
      <c r="BN60" s="106">
        <v>7</v>
      </c>
      <c r="BO60" s="106">
        <v>4561.2</v>
      </c>
      <c r="BP60" s="106">
        <v>7</v>
      </c>
      <c r="BQ60" s="106">
        <v>4561.2</v>
      </c>
      <c r="BR60" s="106">
        <v>7</v>
      </c>
      <c r="BS60" s="106">
        <v>4561.2</v>
      </c>
      <c r="BT60" s="106">
        <v>7</v>
      </c>
      <c r="BU60" s="106">
        <v>4561.2</v>
      </c>
      <c r="BV60" s="106">
        <v>7</v>
      </c>
      <c r="BW60" s="106">
        <v>4561.2</v>
      </c>
      <c r="BX60" s="106">
        <v>2.2376712959875444</v>
      </c>
      <c r="BY60" s="106">
        <v>1458.066616465484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6.091241595482046</v>
      </c>
      <c r="CG60" s="106">
        <v>3969.0530236161012</v>
      </c>
      <c r="CH60" s="106">
        <v>11</v>
      </c>
      <c r="CI60" s="106">
        <v>7167.6</v>
      </c>
      <c r="CJ60" s="106">
        <v>10</v>
      </c>
      <c r="CK60" s="106">
        <v>6516</v>
      </c>
      <c r="CL60" s="106">
        <v>8</v>
      </c>
      <c r="CM60" s="106">
        <v>5212.8</v>
      </c>
      <c r="CN60" s="106">
        <v>21</v>
      </c>
      <c r="CO60" s="106">
        <v>13683.6</v>
      </c>
      <c r="CP60" s="106">
        <v>30</v>
      </c>
      <c r="CQ60" s="106">
        <v>19548</v>
      </c>
      <c r="CR60" s="106">
        <v>22</v>
      </c>
      <c r="CS60" s="106">
        <v>14335.2</v>
      </c>
      <c r="CT60" s="106">
        <v>22</v>
      </c>
      <c r="CU60" s="106">
        <v>14335.2</v>
      </c>
    </row>
    <row r="61" spans="2:99" x14ac:dyDescent="0.2">
      <c r="C61" s="105" t="s">
        <v>227</v>
      </c>
      <c r="D61" s="106">
        <v>19</v>
      </c>
      <c r="E61" s="106">
        <v>18080.399999999998</v>
      </c>
      <c r="F61" s="106">
        <v>14.697457561488786</v>
      </c>
      <c r="G61" s="106">
        <v>13986.100615512727</v>
      </c>
      <c r="H61" s="106">
        <v>0</v>
      </c>
      <c r="I61" s="106">
        <v>0</v>
      </c>
      <c r="J61" s="106">
        <v>0</v>
      </c>
      <c r="K61" s="106">
        <v>0</v>
      </c>
      <c r="L61" s="106">
        <v>11.01788861674588</v>
      </c>
      <c r="M61" s="106">
        <v>10484.622807695379</v>
      </c>
      <c r="N61" s="106">
        <v>23</v>
      </c>
      <c r="O61" s="106">
        <v>21886.799999999999</v>
      </c>
      <c r="P61" s="106">
        <v>32</v>
      </c>
      <c r="Q61" s="106">
        <v>30451.199999999997</v>
      </c>
      <c r="R61" s="106">
        <v>21</v>
      </c>
      <c r="S61" s="106">
        <v>19983.599999999999</v>
      </c>
      <c r="T61" s="106">
        <v>21</v>
      </c>
      <c r="U61" s="106">
        <v>19983.599999999999</v>
      </c>
      <c r="V61" s="106">
        <v>15</v>
      </c>
      <c r="W61" s="106">
        <v>14273.999999999998</v>
      </c>
      <c r="X61" s="106">
        <v>15</v>
      </c>
      <c r="Y61" s="106">
        <v>14273.999999999998</v>
      </c>
      <c r="Z61" s="106">
        <v>20</v>
      </c>
      <c r="AA61" s="106">
        <v>19032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6</v>
      </c>
      <c r="AK61" s="106">
        <v>5709.5999999999995</v>
      </c>
      <c r="AL61" s="106">
        <v>4</v>
      </c>
      <c r="AM61" s="106">
        <v>3806.3999999999996</v>
      </c>
      <c r="AN61" s="106">
        <v>4</v>
      </c>
      <c r="AO61" s="106">
        <v>3806.3999999999996</v>
      </c>
      <c r="AP61" s="106">
        <v>7</v>
      </c>
      <c r="AQ61" s="106">
        <v>6661.1999999999989</v>
      </c>
      <c r="AR61" s="106">
        <v>9</v>
      </c>
      <c r="AS61" s="106">
        <v>8564.4</v>
      </c>
      <c r="AT61" s="106">
        <v>7</v>
      </c>
      <c r="AU61" s="106">
        <v>6661.1999999999989</v>
      </c>
      <c r="AV61" s="106">
        <v>10</v>
      </c>
      <c r="AW61" s="106">
        <v>9516</v>
      </c>
      <c r="AX61" s="106">
        <v>7</v>
      </c>
      <c r="AY61" s="106">
        <v>6661.1999999999989</v>
      </c>
      <c r="AZ61" s="106">
        <v>11.454143655554009</v>
      </c>
      <c r="BA61" s="106">
        <v>10899.763102625195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1.787766450937138</v>
      </c>
      <c r="BI61" s="106">
        <v>1701.2385547117804</v>
      </c>
      <c r="BJ61" s="106">
        <v>6.1383204245851557</v>
      </c>
      <c r="BK61" s="106">
        <v>5841.2257160352337</v>
      </c>
      <c r="BL61" s="106">
        <v>7</v>
      </c>
      <c r="BM61" s="106">
        <v>6661.1999999999989</v>
      </c>
      <c r="BN61" s="106">
        <v>7</v>
      </c>
      <c r="BO61" s="106">
        <v>6661.1999999999989</v>
      </c>
      <c r="BP61" s="106">
        <v>7</v>
      </c>
      <c r="BQ61" s="106">
        <v>6661.1999999999989</v>
      </c>
      <c r="BR61" s="106">
        <v>7</v>
      </c>
      <c r="BS61" s="106">
        <v>6661.1999999999989</v>
      </c>
      <c r="BT61" s="106">
        <v>6</v>
      </c>
      <c r="BU61" s="106">
        <v>5709.5999999999995</v>
      </c>
      <c r="BV61" s="106">
        <v>7</v>
      </c>
      <c r="BW61" s="106">
        <v>6661.1999999999989</v>
      </c>
      <c r="BX61" s="106">
        <v>1.9180039679893237</v>
      </c>
      <c r="BY61" s="106">
        <v>1825.1725759386402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5.2210642246988961</v>
      </c>
      <c r="CG61" s="106">
        <v>4968.3647162234693</v>
      </c>
      <c r="CH61" s="106">
        <v>10</v>
      </c>
      <c r="CI61" s="106">
        <v>9516</v>
      </c>
      <c r="CJ61" s="106">
        <v>9</v>
      </c>
      <c r="CK61" s="106">
        <v>8564.4</v>
      </c>
      <c r="CL61" s="106">
        <v>8</v>
      </c>
      <c r="CM61" s="106">
        <v>7612.7999999999993</v>
      </c>
      <c r="CN61" s="106">
        <v>21</v>
      </c>
      <c r="CO61" s="106">
        <v>19983.599999999999</v>
      </c>
      <c r="CP61" s="106">
        <v>32</v>
      </c>
      <c r="CQ61" s="106">
        <v>30451.199999999997</v>
      </c>
      <c r="CR61" s="106">
        <v>20</v>
      </c>
      <c r="CS61" s="106">
        <v>19032</v>
      </c>
      <c r="CT61" s="106">
        <v>24</v>
      </c>
      <c r="CU61" s="106">
        <v>22838.399999999998</v>
      </c>
    </row>
    <row r="62" spans="2:99" x14ac:dyDescent="0.2">
      <c r="C62" s="105" t="s">
        <v>228</v>
      </c>
      <c r="D62" s="106">
        <v>16</v>
      </c>
      <c r="E62" s="106">
        <v>27283.200000000001</v>
      </c>
      <c r="F62" s="106">
        <v>11.431355881157945</v>
      </c>
      <c r="G62" s="106">
        <v>19492.748048550529</v>
      </c>
      <c r="H62" s="106">
        <v>0</v>
      </c>
      <c r="I62" s="106">
        <v>0</v>
      </c>
      <c r="J62" s="106">
        <v>0</v>
      </c>
      <c r="K62" s="106">
        <v>0</v>
      </c>
      <c r="L62" s="106">
        <v>10.059811345724501</v>
      </c>
      <c r="M62" s="106">
        <v>17153.990306729422</v>
      </c>
      <c r="N62" s="106">
        <v>20</v>
      </c>
      <c r="O62" s="106">
        <v>34104</v>
      </c>
      <c r="P62" s="106">
        <v>24</v>
      </c>
      <c r="Q62" s="106">
        <v>40924.800000000003</v>
      </c>
      <c r="R62" s="106">
        <v>22</v>
      </c>
      <c r="S62" s="106">
        <v>37514.400000000001</v>
      </c>
      <c r="T62" s="106">
        <v>19</v>
      </c>
      <c r="U62" s="106">
        <v>32398.799999999999</v>
      </c>
      <c r="V62" s="106">
        <v>16</v>
      </c>
      <c r="W62" s="106">
        <v>27283.200000000001</v>
      </c>
      <c r="X62" s="106">
        <v>14</v>
      </c>
      <c r="Y62" s="106">
        <v>23872.799999999999</v>
      </c>
      <c r="Z62" s="106">
        <v>16</v>
      </c>
      <c r="AA62" s="106">
        <v>27283.200000000001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6</v>
      </c>
      <c r="AK62" s="106">
        <v>10231.200000000001</v>
      </c>
      <c r="AL62" s="106">
        <v>4</v>
      </c>
      <c r="AM62" s="106">
        <v>6820.8</v>
      </c>
      <c r="AN62" s="106">
        <v>4</v>
      </c>
      <c r="AO62" s="106">
        <v>6820.8</v>
      </c>
      <c r="AP62" s="106">
        <v>7</v>
      </c>
      <c r="AQ62" s="106">
        <v>11936.4</v>
      </c>
      <c r="AR62" s="106">
        <v>8</v>
      </c>
      <c r="AS62" s="106">
        <v>13641.6</v>
      </c>
      <c r="AT62" s="106">
        <v>7</v>
      </c>
      <c r="AU62" s="106">
        <v>11936.4</v>
      </c>
      <c r="AV62" s="106">
        <v>10</v>
      </c>
      <c r="AW62" s="106">
        <v>17052</v>
      </c>
      <c r="AX62" s="106">
        <v>6</v>
      </c>
      <c r="AY62" s="106">
        <v>10231.200000000001</v>
      </c>
      <c r="AZ62" s="106">
        <v>9.9470194903495326</v>
      </c>
      <c r="BA62" s="106">
        <v>16961.657634944022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1.787766450937138</v>
      </c>
      <c r="BI62" s="106">
        <v>3048.4993521380079</v>
      </c>
      <c r="BJ62" s="106">
        <v>5.2614175067872759</v>
      </c>
      <c r="BK62" s="106">
        <v>8971.7691325736632</v>
      </c>
      <c r="BL62" s="106">
        <v>6</v>
      </c>
      <c r="BM62" s="106">
        <v>10231.200000000001</v>
      </c>
      <c r="BN62" s="106">
        <v>6</v>
      </c>
      <c r="BO62" s="106">
        <v>10231.200000000001</v>
      </c>
      <c r="BP62" s="106">
        <v>6</v>
      </c>
      <c r="BQ62" s="106">
        <v>10231.200000000001</v>
      </c>
      <c r="BR62" s="106">
        <v>6</v>
      </c>
      <c r="BS62" s="106">
        <v>10231.200000000001</v>
      </c>
      <c r="BT62" s="106">
        <v>6</v>
      </c>
      <c r="BU62" s="106">
        <v>10231.200000000001</v>
      </c>
      <c r="BV62" s="106">
        <v>7</v>
      </c>
      <c r="BW62" s="106">
        <v>11936.4</v>
      </c>
      <c r="BX62" s="106">
        <v>1.9180039679893237</v>
      </c>
      <c r="BY62" s="106">
        <v>3270.5803662153949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6.091241595482046</v>
      </c>
      <c r="CG62" s="106">
        <v>10386.785168615985</v>
      </c>
      <c r="CH62" s="106">
        <v>11</v>
      </c>
      <c r="CI62" s="106">
        <v>18757.2</v>
      </c>
      <c r="CJ62" s="106">
        <v>9</v>
      </c>
      <c r="CK62" s="106">
        <v>15346.800000000001</v>
      </c>
      <c r="CL62" s="106">
        <v>8</v>
      </c>
      <c r="CM62" s="106">
        <v>13641.6</v>
      </c>
      <c r="CN62" s="106">
        <v>18</v>
      </c>
      <c r="CO62" s="106">
        <v>30693.600000000002</v>
      </c>
      <c r="CP62" s="106">
        <v>29</v>
      </c>
      <c r="CQ62" s="106">
        <v>49450.8</v>
      </c>
      <c r="CR62" s="106">
        <v>20</v>
      </c>
      <c r="CS62" s="106">
        <v>34104</v>
      </c>
      <c r="CT62" s="106">
        <v>21</v>
      </c>
      <c r="CU62" s="106">
        <v>35809.200000000004</v>
      </c>
    </row>
    <row r="63" spans="2:99" x14ac:dyDescent="0.2">
      <c r="C63" s="105" t="s">
        <v>229</v>
      </c>
      <c r="D63" s="106">
        <v>19</v>
      </c>
      <c r="E63" s="106">
        <v>15116.4</v>
      </c>
      <c r="F63" s="106">
        <v>13.880932141406074</v>
      </c>
      <c r="G63" s="106">
        <v>11043.669611702673</v>
      </c>
      <c r="H63" s="106">
        <v>0</v>
      </c>
      <c r="I63" s="106">
        <v>0</v>
      </c>
      <c r="J63" s="106">
        <v>0</v>
      </c>
      <c r="K63" s="106">
        <v>0</v>
      </c>
      <c r="L63" s="106">
        <v>11.496927252256571</v>
      </c>
      <c r="M63" s="106">
        <v>9146.9553218953279</v>
      </c>
      <c r="N63" s="106">
        <v>23</v>
      </c>
      <c r="O63" s="106">
        <v>18298.8</v>
      </c>
      <c r="P63" s="106">
        <v>27</v>
      </c>
      <c r="Q63" s="106">
        <v>21481.200000000001</v>
      </c>
      <c r="R63" s="106">
        <v>22</v>
      </c>
      <c r="S63" s="106">
        <v>17503.2</v>
      </c>
      <c r="T63" s="106">
        <v>22</v>
      </c>
      <c r="U63" s="106">
        <v>17503.2</v>
      </c>
      <c r="V63" s="106">
        <v>18</v>
      </c>
      <c r="W63" s="106">
        <v>14320.800000000001</v>
      </c>
      <c r="X63" s="106">
        <v>14</v>
      </c>
      <c r="Y63" s="106">
        <v>11138.4</v>
      </c>
      <c r="Z63" s="106">
        <v>17</v>
      </c>
      <c r="AA63" s="106">
        <v>13525.2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7</v>
      </c>
      <c r="AK63" s="106">
        <v>5569.2</v>
      </c>
      <c r="AL63" s="106">
        <v>4</v>
      </c>
      <c r="AM63" s="106">
        <v>3182.4</v>
      </c>
      <c r="AN63" s="106">
        <v>4</v>
      </c>
      <c r="AO63" s="106">
        <v>3182.4</v>
      </c>
      <c r="AP63" s="106">
        <v>8</v>
      </c>
      <c r="AQ63" s="106">
        <v>6364.8</v>
      </c>
      <c r="AR63" s="106">
        <v>9</v>
      </c>
      <c r="AS63" s="106">
        <v>7160.4000000000005</v>
      </c>
      <c r="AT63" s="106">
        <v>8</v>
      </c>
      <c r="AU63" s="106">
        <v>6364.8</v>
      </c>
      <c r="AV63" s="106">
        <v>9</v>
      </c>
      <c r="AW63" s="106">
        <v>7160.4000000000005</v>
      </c>
      <c r="AX63" s="106">
        <v>6</v>
      </c>
      <c r="AY63" s="106">
        <v>4773.6000000000004</v>
      </c>
      <c r="AZ63" s="106">
        <v>12.358418154676693</v>
      </c>
      <c r="BA63" s="106">
        <v>9832.3574838607765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2.2347080636714227</v>
      </c>
      <c r="BI63" s="106">
        <v>1777.9337354569839</v>
      </c>
      <c r="BJ63" s="106">
        <v>6.1383204245851557</v>
      </c>
      <c r="BK63" s="106">
        <v>4883.64772979995</v>
      </c>
      <c r="BL63" s="106">
        <v>7</v>
      </c>
      <c r="BM63" s="106">
        <v>5569.2</v>
      </c>
      <c r="BN63" s="106">
        <v>7</v>
      </c>
      <c r="BO63" s="106">
        <v>5569.2</v>
      </c>
      <c r="BP63" s="106">
        <v>6</v>
      </c>
      <c r="BQ63" s="106">
        <v>4773.6000000000004</v>
      </c>
      <c r="BR63" s="106">
        <v>6</v>
      </c>
      <c r="BS63" s="106">
        <v>4773.6000000000004</v>
      </c>
      <c r="BT63" s="106">
        <v>6</v>
      </c>
      <c r="BU63" s="106">
        <v>4773.6000000000004</v>
      </c>
      <c r="BV63" s="106">
        <v>6</v>
      </c>
      <c r="BW63" s="106">
        <v>4773.6000000000004</v>
      </c>
      <c r="BX63" s="106">
        <v>1.9180039679893237</v>
      </c>
      <c r="BY63" s="106">
        <v>1525.963956932306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6.091241595482046</v>
      </c>
      <c r="CG63" s="106">
        <v>4846.1918133655163</v>
      </c>
      <c r="CH63" s="106">
        <v>12</v>
      </c>
      <c r="CI63" s="106">
        <v>9547.2000000000007</v>
      </c>
      <c r="CJ63" s="106">
        <v>10</v>
      </c>
      <c r="CK63" s="106">
        <v>7956</v>
      </c>
      <c r="CL63" s="106">
        <v>8</v>
      </c>
      <c r="CM63" s="106">
        <v>6364.8</v>
      </c>
      <c r="CN63" s="106">
        <v>21</v>
      </c>
      <c r="CO63" s="106">
        <v>16707.600000000002</v>
      </c>
      <c r="CP63" s="106">
        <v>29</v>
      </c>
      <c r="CQ63" s="106">
        <v>23072.400000000001</v>
      </c>
      <c r="CR63" s="106">
        <v>22</v>
      </c>
      <c r="CS63" s="106">
        <v>17503.2</v>
      </c>
      <c r="CT63" s="106">
        <v>24</v>
      </c>
      <c r="CU63" s="106">
        <v>19094.400000000001</v>
      </c>
    </row>
    <row r="64" spans="2:99" x14ac:dyDescent="0.2">
      <c r="C64" s="105" t="s">
        <v>230</v>
      </c>
      <c r="D64" s="106">
        <v>20</v>
      </c>
      <c r="E64" s="106">
        <v>20183.999999999996</v>
      </c>
      <c r="F64" s="106">
        <v>13.064406721323365</v>
      </c>
      <c r="G64" s="106">
        <v>13184.599263159538</v>
      </c>
      <c r="H64" s="106">
        <v>0</v>
      </c>
      <c r="I64" s="106">
        <v>0</v>
      </c>
      <c r="J64" s="106">
        <v>0</v>
      </c>
      <c r="K64" s="106">
        <v>0</v>
      </c>
      <c r="L64" s="106">
        <v>11.975965887767263</v>
      </c>
      <c r="M64" s="106">
        <v>12086.144773934719</v>
      </c>
      <c r="N64" s="106">
        <v>22</v>
      </c>
      <c r="O64" s="106">
        <v>22202.399999999994</v>
      </c>
      <c r="P64" s="106">
        <v>28</v>
      </c>
      <c r="Q64" s="106">
        <v>28257.599999999995</v>
      </c>
      <c r="R64" s="106">
        <v>20</v>
      </c>
      <c r="S64" s="106">
        <v>20183.999999999996</v>
      </c>
      <c r="T64" s="106">
        <v>22</v>
      </c>
      <c r="U64" s="106">
        <v>22202.399999999994</v>
      </c>
      <c r="V64" s="106">
        <v>15</v>
      </c>
      <c r="W64" s="106">
        <v>15137.999999999996</v>
      </c>
      <c r="X64" s="106">
        <v>14</v>
      </c>
      <c r="Y64" s="106">
        <v>14128.799999999997</v>
      </c>
      <c r="Z64" s="106">
        <v>17</v>
      </c>
      <c r="AA64" s="106">
        <v>17156.399999999998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7</v>
      </c>
      <c r="AK64" s="106">
        <v>7064.3999999999987</v>
      </c>
      <c r="AL64" s="106">
        <v>4</v>
      </c>
      <c r="AM64" s="106">
        <v>4036.7999999999993</v>
      </c>
      <c r="AN64" s="106">
        <v>4</v>
      </c>
      <c r="AO64" s="106">
        <v>4036.7999999999993</v>
      </c>
      <c r="AP64" s="106">
        <v>7</v>
      </c>
      <c r="AQ64" s="106">
        <v>7064.3999999999987</v>
      </c>
      <c r="AR64" s="106">
        <v>10</v>
      </c>
      <c r="AS64" s="106">
        <v>10091.999999999998</v>
      </c>
      <c r="AT64" s="106">
        <v>7</v>
      </c>
      <c r="AU64" s="106">
        <v>7064.3999999999987</v>
      </c>
      <c r="AV64" s="106">
        <v>9</v>
      </c>
      <c r="AW64" s="106">
        <v>9082.7999999999993</v>
      </c>
      <c r="AX64" s="106">
        <v>6</v>
      </c>
      <c r="AY64" s="106">
        <v>6055.1999999999989</v>
      </c>
      <c r="AZ64" s="106">
        <v>12.659842987717589</v>
      </c>
      <c r="BA64" s="106">
        <v>12776.313543204589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2.2347080636714227</v>
      </c>
      <c r="BI64" s="106">
        <v>2255.2673778571993</v>
      </c>
      <c r="BJ64" s="106">
        <v>6.1383204245851557</v>
      </c>
      <c r="BK64" s="106">
        <v>6194.7929724913383</v>
      </c>
      <c r="BL64" s="106">
        <v>7</v>
      </c>
      <c r="BM64" s="106">
        <v>7064.3999999999987</v>
      </c>
      <c r="BN64" s="106">
        <v>6</v>
      </c>
      <c r="BO64" s="106">
        <v>6055.1999999999989</v>
      </c>
      <c r="BP64" s="106">
        <v>7</v>
      </c>
      <c r="BQ64" s="106">
        <v>7064.3999999999987</v>
      </c>
      <c r="BR64" s="106">
        <v>7</v>
      </c>
      <c r="BS64" s="106">
        <v>7064.3999999999987</v>
      </c>
      <c r="BT64" s="106">
        <v>6</v>
      </c>
      <c r="BU64" s="106">
        <v>6055.1999999999989</v>
      </c>
      <c r="BV64" s="106">
        <v>6</v>
      </c>
      <c r="BW64" s="106">
        <v>6055.1999999999989</v>
      </c>
      <c r="BX64" s="106">
        <v>2.2376712959875444</v>
      </c>
      <c r="BY64" s="106">
        <v>2258.2578719106295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6.091241595482046</v>
      </c>
      <c r="CG64" s="106">
        <v>6147.28101816048</v>
      </c>
      <c r="CH64" s="106">
        <v>11</v>
      </c>
      <c r="CI64" s="106">
        <v>11101.199999999997</v>
      </c>
      <c r="CJ64" s="106">
        <v>9</v>
      </c>
      <c r="CK64" s="106">
        <v>9082.7999999999993</v>
      </c>
      <c r="CL64" s="106">
        <v>8</v>
      </c>
      <c r="CM64" s="106">
        <v>8073.5999999999985</v>
      </c>
      <c r="CN64" s="106">
        <v>21</v>
      </c>
      <c r="CO64" s="106">
        <v>21193.199999999997</v>
      </c>
      <c r="CP64" s="106">
        <v>32</v>
      </c>
      <c r="CQ64" s="106">
        <v>32294.399999999994</v>
      </c>
      <c r="CR64" s="106">
        <v>21</v>
      </c>
      <c r="CS64" s="106">
        <v>21193.199999999997</v>
      </c>
      <c r="CT64" s="106">
        <v>21</v>
      </c>
      <c r="CU64" s="106">
        <v>21193.199999999997</v>
      </c>
    </row>
    <row r="65" spans="2:99" x14ac:dyDescent="0.2">
      <c r="C65" s="105" t="s">
        <v>231</v>
      </c>
      <c r="D65" s="106">
        <v>18</v>
      </c>
      <c r="E65" s="106">
        <v>18468</v>
      </c>
      <c r="F65" s="106">
        <v>12.247881301240653</v>
      </c>
      <c r="G65" s="106">
        <v>12566.32621507291</v>
      </c>
      <c r="H65" s="106">
        <v>0</v>
      </c>
      <c r="I65" s="106">
        <v>0</v>
      </c>
      <c r="J65" s="106">
        <v>0</v>
      </c>
      <c r="K65" s="106">
        <v>0</v>
      </c>
      <c r="L65" s="106">
        <v>11.496927252256571</v>
      </c>
      <c r="M65" s="106">
        <v>11795.847360815242</v>
      </c>
      <c r="N65" s="106">
        <v>20</v>
      </c>
      <c r="O65" s="106">
        <v>20520</v>
      </c>
      <c r="P65" s="106">
        <v>32</v>
      </c>
      <c r="Q65" s="106">
        <v>32832</v>
      </c>
      <c r="R65" s="106">
        <v>23</v>
      </c>
      <c r="S65" s="106">
        <v>23598</v>
      </c>
      <c r="T65" s="106">
        <v>21</v>
      </c>
      <c r="U65" s="106">
        <v>21546</v>
      </c>
      <c r="V65" s="106">
        <v>17</v>
      </c>
      <c r="W65" s="106">
        <v>17442</v>
      </c>
      <c r="X65" s="106">
        <v>15</v>
      </c>
      <c r="Y65" s="106">
        <v>15390</v>
      </c>
      <c r="Z65" s="106">
        <v>18</v>
      </c>
      <c r="AA65" s="106">
        <v>18468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7</v>
      </c>
      <c r="AK65" s="106">
        <v>7182</v>
      </c>
      <c r="AL65" s="106">
        <v>4</v>
      </c>
      <c r="AM65" s="106">
        <v>4104</v>
      </c>
      <c r="AN65" s="106">
        <v>4</v>
      </c>
      <c r="AO65" s="106">
        <v>4104</v>
      </c>
      <c r="AP65" s="106">
        <v>6</v>
      </c>
      <c r="AQ65" s="106">
        <v>6156</v>
      </c>
      <c r="AR65" s="106">
        <v>9</v>
      </c>
      <c r="AS65" s="106">
        <v>9234</v>
      </c>
      <c r="AT65" s="106">
        <v>7</v>
      </c>
      <c r="AU65" s="106">
        <v>7182</v>
      </c>
      <c r="AV65" s="106">
        <v>9</v>
      </c>
      <c r="AW65" s="106">
        <v>9234</v>
      </c>
      <c r="AX65" s="106">
        <v>6</v>
      </c>
      <c r="AY65" s="106">
        <v>6156</v>
      </c>
      <c r="AZ65" s="106">
        <v>12.659842987717589</v>
      </c>
      <c r="BA65" s="106">
        <v>12988.998905398246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2.2347080636714227</v>
      </c>
      <c r="BI65" s="106">
        <v>2292.8104733268797</v>
      </c>
      <c r="BJ65" s="106">
        <v>5.2614175067872759</v>
      </c>
      <c r="BK65" s="106">
        <v>5398.2143619637454</v>
      </c>
      <c r="BL65" s="106">
        <v>8</v>
      </c>
      <c r="BM65" s="106">
        <v>8208</v>
      </c>
      <c r="BN65" s="106">
        <v>6</v>
      </c>
      <c r="BO65" s="106">
        <v>6156</v>
      </c>
      <c r="BP65" s="106">
        <v>7</v>
      </c>
      <c r="BQ65" s="106">
        <v>7182</v>
      </c>
      <c r="BR65" s="106">
        <v>7</v>
      </c>
      <c r="BS65" s="106">
        <v>7182</v>
      </c>
      <c r="BT65" s="106">
        <v>6</v>
      </c>
      <c r="BU65" s="106">
        <v>6156</v>
      </c>
      <c r="BV65" s="106">
        <v>7</v>
      </c>
      <c r="BW65" s="106">
        <v>7182</v>
      </c>
      <c r="BX65" s="106">
        <v>1.9180039679893237</v>
      </c>
      <c r="BY65" s="106">
        <v>1967.8720711570461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5.2210642246988961</v>
      </c>
      <c r="CG65" s="106">
        <v>5356.811894541067</v>
      </c>
      <c r="CH65" s="106">
        <v>11</v>
      </c>
      <c r="CI65" s="106">
        <v>11286</v>
      </c>
      <c r="CJ65" s="106">
        <v>10</v>
      </c>
      <c r="CK65" s="106">
        <v>10260</v>
      </c>
      <c r="CL65" s="106">
        <v>8</v>
      </c>
      <c r="CM65" s="106">
        <v>8208</v>
      </c>
      <c r="CN65" s="106">
        <v>19</v>
      </c>
      <c r="CO65" s="106">
        <v>19494</v>
      </c>
      <c r="CP65" s="106">
        <v>30</v>
      </c>
      <c r="CQ65" s="106">
        <v>30780</v>
      </c>
      <c r="CR65" s="106">
        <v>20</v>
      </c>
      <c r="CS65" s="106">
        <v>20520</v>
      </c>
      <c r="CT65" s="106">
        <v>21</v>
      </c>
      <c r="CU65" s="106">
        <v>21546</v>
      </c>
    </row>
    <row r="66" spans="2:99" x14ac:dyDescent="0.2">
      <c r="C66" s="105" t="s">
        <v>232</v>
      </c>
      <c r="D66" s="106">
        <v>18</v>
      </c>
      <c r="E66" s="106">
        <v>21427.199999999997</v>
      </c>
      <c r="F66" s="106">
        <v>13.064406721323365</v>
      </c>
      <c r="G66" s="106">
        <v>15551.869761063332</v>
      </c>
      <c r="H66" s="106">
        <v>0</v>
      </c>
      <c r="I66" s="106">
        <v>0</v>
      </c>
      <c r="J66" s="106">
        <v>0</v>
      </c>
      <c r="K66" s="106">
        <v>0</v>
      </c>
      <c r="L66" s="106">
        <v>11.01788861674588</v>
      </c>
      <c r="M66" s="106">
        <v>13115.694609374294</v>
      </c>
      <c r="N66" s="106">
        <v>22</v>
      </c>
      <c r="O66" s="106">
        <v>26188.799999999996</v>
      </c>
      <c r="P66" s="106">
        <v>31</v>
      </c>
      <c r="Q66" s="106">
        <v>36902.399999999994</v>
      </c>
      <c r="R66" s="106">
        <v>24</v>
      </c>
      <c r="S66" s="106">
        <v>28569.599999999999</v>
      </c>
      <c r="T66" s="106">
        <v>22</v>
      </c>
      <c r="U66" s="106">
        <v>26188.799999999996</v>
      </c>
      <c r="V66" s="106">
        <v>15</v>
      </c>
      <c r="W66" s="106">
        <v>17855.999999999996</v>
      </c>
      <c r="X66" s="106">
        <v>14</v>
      </c>
      <c r="Y66" s="106">
        <v>16665.599999999999</v>
      </c>
      <c r="Z66" s="106">
        <v>17</v>
      </c>
      <c r="AA66" s="106">
        <v>20236.8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7</v>
      </c>
      <c r="AK66" s="106">
        <v>8332.7999999999993</v>
      </c>
      <c r="AL66" s="106">
        <v>4</v>
      </c>
      <c r="AM66" s="106">
        <v>4761.5999999999995</v>
      </c>
      <c r="AN66" s="106">
        <v>4</v>
      </c>
      <c r="AO66" s="106">
        <v>4761.5999999999995</v>
      </c>
      <c r="AP66" s="106">
        <v>7</v>
      </c>
      <c r="AQ66" s="106">
        <v>8332.7999999999993</v>
      </c>
      <c r="AR66" s="106">
        <v>10</v>
      </c>
      <c r="AS66" s="106">
        <v>11903.999999999998</v>
      </c>
      <c r="AT66" s="106">
        <v>7</v>
      </c>
      <c r="AU66" s="106">
        <v>8332.7999999999993</v>
      </c>
      <c r="AV66" s="106">
        <v>10</v>
      </c>
      <c r="AW66" s="106">
        <v>11903.999999999998</v>
      </c>
      <c r="AX66" s="106">
        <v>6</v>
      </c>
      <c r="AY66" s="106">
        <v>7142.4</v>
      </c>
      <c r="AZ66" s="106">
        <v>11.454143655554009</v>
      </c>
      <c r="BA66" s="106">
        <v>13635.012607571491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2.2347080636714227</v>
      </c>
      <c r="BI66" s="106">
        <v>2660.1964789944614</v>
      </c>
      <c r="BJ66" s="106">
        <v>6.1383204245851557</v>
      </c>
      <c r="BK66" s="106">
        <v>7307.0566334261684</v>
      </c>
      <c r="BL66" s="106">
        <v>7</v>
      </c>
      <c r="BM66" s="106">
        <v>8332.7999999999993</v>
      </c>
      <c r="BN66" s="106">
        <v>6</v>
      </c>
      <c r="BO66" s="106">
        <v>7142.4</v>
      </c>
      <c r="BP66" s="106">
        <v>6</v>
      </c>
      <c r="BQ66" s="106">
        <v>7142.4</v>
      </c>
      <c r="BR66" s="106">
        <v>6</v>
      </c>
      <c r="BS66" s="106">
        <v>7142.4</v>
      </c>
      <c r="BT66" s="106">
        <v>7</v>
      </c>
      <c r="BU66" s="106">
        <v>8332.7999999999993</v>
      </c>
      <c r="BV66" s="106">
        <v>6</v>
      </c>
      <c r="BW66" s="106">
        <v>7142.4</v>
      </c>
      <c r="BX66" s="106">
        <v>1.9180039679893237</v>
      </c>
      <c r="BY66" s="106">
        <v>2283.1919234944908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5.2210642246988961</v>
      </c>
      <c r="CG66" s="106">
        <v>6215.1548530815653</v>
      </c>
      <c r="CH66" s="106">
        <v>12</v>
      </c>
      <c r="CI66" s="106">
        <v>14284.8</v>
      </c>
      <c r="CJ66" s="106">
        <v>9</v>
      </c>
      <c r="CK66" s="106">
        <v>10713.599999999999</v>
      </c>
      <c r="CL66" s="106">
        <v>8</v>
      </c>
      <c r="CM66" s="106">
        <v>9523.1999999999989</v>
      </c>
      <c r="CN66" s="106">
        <v>23</v>
      </c>
      <c r="CO66" s="106">
        <v>27379.199999999997</v>
      </c>
      <c r="CP66" s="106">
        <v>28</v>
      </c>
      <c r="CQ66" s="106">
        <v>33331.199999999997</v>
      </c>
      <c r="CR66" s="106">
        <v>21</v>
      </c>
      <c r="CS66" s="106">
        <v>24998.399999999998</v>
      </c>
      <c r="CT66" s="106">
        <v>20</v>
      </c>
      <c r="CU66" s="106">
        <v>23807.999999999996</v>
      </c>
    </row>
    <row r="67" spans="2:99" x14ac:dyDescent="0.2">
      <c r="C67" s="105" t="s">
        <v>233</v>
      </c>
      <c r="D67" s="106">
        <v>18</v>
      </c>
      <c r="E67" s="106">
        <v>20217.600000000002</v>
      </c>
      <c r="F67" s="106">
        <v>13.880932141406074</v>
      </c>
      <c r="G67" s="106">
        <v>15591.062981227304</v>
      </c>
      <c r="H67" s="106">
        <v>0</v>
      </c>
      <c r="I67" s="106">
        <v>0</v>
      </c>
      <c r="J67" s="106">
        <v>0</v>
      </c>
      <c r="K67" s="106">
        <v>0</v>
      </c>
      <c r="L67" s="106">
        <v>10.538849981235192</v>
      </c>
      <c r="M67" s="106">
        <v>11837.236298923368</v>
      </c>
      <c r="N67" s="106">
        <v>21</v>
      </c>
      <c r="O67" s="106">
        <v>23587.200000000001</v>
      </c>
      <c r="P67" s="106">
        <v>30</v>
      </c>
      <c r="Q67" s="106">
        <v>33696</v>
      </c>
      <c r="R67" s="106">
        <v>23</v>
      </c>
      <c r="S67" s="106">
        <v>25833.600000000002</v>
      </c>
      <c r="T67" s="106">
        <v>19</v>
      </c>
      <c r="U67" s="106">
        <v>21340.799999999999</v>
      </c>
      <c r="V67" s="106">
        <v>14</v>
      </c>
      <c r="W67" s="106">
        <v>15724.800000000001</v>
      </c>
      <c r="X67" s="106">
        <v>14</v>
      </c>
      <c r="Y67" s="106">
        <v>15724.800000000001</v>
      </c>
      <c r="Z67" s="106">
        <v>18</v>
      </c>
      <c r="AA67" s="106">
        <v>20217.600000000002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6</v>
      </c>
      <c r="AK67" s="106">
        <v>6739.2000000000007</v>
      </c>
      <c r="AL67" s="106">
        <v>4</v>
      </c>
      <c r="AM67" s="106">
        <v>4492.8</v>
      </c>
      <c r="AN67" s="106">
        <v>4</v>
      </c>
      <c r="AO67" s="106">
        <v>4492.8</v>
      </c>
      <c r="AP67" s="106">
        <v>8</v>
      </c>
      <c r="AQ67" s="106">
        <v>8985.6</v>
      </c>
      <c r="AR67" s="106">
        <v>10</v>
      </c>
      <c r="AS67" s="106">
        <v>11232</v>
      </c>
      <c r="AT67" s="106">
        <v>8</v>
      </c>
      <c r="AU67" s="106">
        <v>8985.6</v>
      </c>
      <c r="AV67" s="106">
        <v>9</v>
      </c>
      <c r="AW67" s="106">
        <v>10108.800000000001</v>
      </c>
      <c r="AX67" s="106">
        <v>7</v>
      </c>
      <c r="AY67" s="106">
        <v>7862.4000000000005</v>
      </c>
      <c r="AZ67" s="106">
        <v>11.755568488594903</v>
      </c>
      <c r="BA67" s="106">
        <v>13203.854526389796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2.2347080636714227</v>
      </c>
      <c r="BI67" s="106">
        <v>2510.0240971157423</v>
      </c>
      <c r="BJ67" s="106">
        <v>7.0152233423830346</v>
      </c>
      <c r="BK67" s="106">
        <v>7879.4988581646248</v>
      </c>
      <c r="BL67" s="106">
        <v>7</v>
      </c>
      <c r="BM67" s="106">
        <v>7862.4000000000005</v>
      </c>
      <c r="BN67" s="106">
        <v>7</v>
      </c>
      <c r="BO67" s="106">
        <v>7862.4000000000005</v>
      </c>
      <c r="BP67" s="106">
        <v>7</v>
      </c>
      <c r="BQ67" s="106">
        <v>7862.4000000000005</v>
      </c>
      <c r="BR67" s="106">
        <v>6</v>
      </c>
      <c r="BS67" s="106">
        <v>6739.2000000000007</v>
      </c>
      <c r="BT67" s="106">
        <v>6</v>
      </c>
      <c r="BU67" s="106">
        <v>6739.2000000000007</v>
      </c>
      <c r="BV67" s="106">
        <v>6</v>
      </c>
      <c r="BW67" s="106">
        <v>6739.2000000000007</v>
      </c>
      <c r="BX67" s="106">
        <v>1.9180039679893237</v>
      </c>
      <c r="BY67" s="106">
        <v>2154.3020568456086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6.091241595482046</v>
      </c>
      <c r="CG67" s="106">
        <v>6841.682560045434</v>
      </c>
      <c r="CH67" s="106">
        <v>10</v>
      </c>
      <c r="CI67" s="106">
        <v>11232</v>
      </c>
      <c r="CJ67" s="106">
        <v>9</v>
      </c>
      <c r="CK67" s="106">
        <v>10108.800000000001</v>
      </c>
      <c r="CL67" s="106">
        <v>8</v>
      </c>
      <c r="CM67" s="106">
        <v>8985.6</v>
      </c>
      <c r="CN67" s="106">
        <v>22</v>
      </c>
      <c r="CO67" s="106">
        <v>24710.400000000001</v>
      </c>
      <c r="CP67" s="106">
        <v>30</v>
      </c>
      <c r="CQ67" s="106">
        <v>33696</v>
      </c>
      <c r="CR67" s="106">
        <v>22</v>
      </c>
      <c r="CS67" s="106">
        <v>24710.400000000001</v>
      </c>
      <c r="CT67" s="106">
        <v>21</v>
      </c>
      <c r="CU67" s="106">
        <v>23587.200000000001</v>
      </c>
    </row>
    <row r="68" spans="2:99" x14ac:dyDescent="0.2">
      <c r="C68" s="105" t="s">
        <v>234</v>
      </c>
      <c r="D68" s="106">
        <v>20</v>
      </c>
      <c r="E68" s="106">
        <v>20664</v>
      </c>
      <c r="F68" s="106">
        <v>13.880932141406074</v>
      </c>
      <c r="G68" s="106">
        <v>14341.779088500756</v>
      </c>
      <c r="H68" s="106">
        <v>0</v>
      </c>
      <c r="I68" s="106">
        <v>0</v>
      </c>
      <c r="J68" s="106">
        <v>0</v>
      </c>
      <c r="K68" s="106">
        <v>0</v>
      </c>
      <c r="L68" s="106">
        <v>10.538849981235192</v>
      </c>
      <c r="M68" s="106">
        <v>10888.7398006122</v>
      </c>
      <c r="N68" s="106">
        <v>20</v>
      </c>
      <c r="O68" s="106">
        <v>20664</v>
      </c>
      <c r="P68" s="106">
        <v>30</v>
      </c>
      <c r="Q68" s="106">
        <v>30996</v>
      </c>
      <c r="R68" s="106">
        <v>23</v>
      </c>
      <c r="S68" s="106">
        <v>23763.600000000002</v>
      </c>
      <c r="T68" s="106">
        <v>23</v>
      </c>
      <c r="U68" s="106">
        <v>23763.600000000002</v>
      </c>
      <c r="V68" s="106">
        <v>16</v>
      </c>
      <c r="W68" s="106">
        <v>16531.2</v>
      </c>
      <c r="X68" s="106">
        <v>15</v>
      </c>
      <c r="Y68" s="106">
        <v>15498</v>
      </c>
      <c r="Z68" s="106">
        <v>19</v>
      </c>
      <c r="AA68" s="106">
        <v>19630.8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6</v>
      </c>
      <c r="AK68" s="106">
        <v>6199.2000000000007</v>
      </c>
      <c r="AL68" s="106">
        <v>4</v>
      </c>
      <c r="AM68" s="106">
        <v>4132.8</v>
      </c>
      <c r="AN68" s="106">
        <v>4</v>
      </c>
      <c r="AO68" s="106">
        <v>4132.8</v>
      </c>
      <c r="AP68" s="106">
        <v>7</v>
      </c>
      <c r="AQ68" s="106">
        <v>7232.4000000000005</v>
      </c>
      <c r="AR68" s="106">
        <v>9</v>
      </c>
      <c r="AS68" s="106">
        <v>9298.8000000000011</v>
      </c>
      <c r="AT68" s="106">
        <v>7</v>
      </c>
      <c r="AU68" s="106">
        <v>7232.4000000000005</v>
      </c>
      <c r="AV68" s="106">
        <v>10</v>
      </c>
      <c r="AW68" s="106">
        <v>10332</v>
      </c>
      <c r="AX68" s="106">
        <v>7</v>
      </c>
      <c r="AY68" s="106">
        <v>7232.4000000000005</v>
      </c>
      <c r="AZ68" s="106">
        <v>12.056993321635797</v>
      </c>
      <c r="BA68" s="106">
        <v>12457.285499914107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1.787766450937138</v>
      </c>
      <c r="BI68" s="106">
        <v>1847.1202971082512</v>
      </c>
      <c r="BJ68" s="106">
        <v>6.1383204245851557</v>
      </c>
      <c r="BK68" s="106">
        <v>6342.112662681383</v>
      </c>
      <c r="BL68" s="106">
        <v>7</v>
      </c>
      <c r="BM68" s="106">
        <v>7232.4000000000005</v>
      </c>
      <c r="BN68" s="106">
        <v>7</v>
      </c>
      <c r="BO68" s="106">
        <v>7232.4000000000005</v>
      </c>
      <c r="BP68" s="106">
        <v>7</v>
      </c>
      <c r="BQ68" s="106">
        <v>7232.4000000000005</v>
      </c>
      <c r="BR68" s="106">
        <v>7</v>
      </c>
      <c r="BS68" s="106">
        <v>7232.4000000000005</v>
      </c>
      <c r="BT68" s="106">
        <v>6</v>
      </c>
      <c r="BU68" s="106">
        <v>6199.2000000000007</v>
      </c>
      <c r="BV68" s="106">
        <v>7</v>
      </c>
      <c r="BW68" s="106">
        <v>7232.4000000000005</v>
      </c>
      <c r="BX68" s="106">
        <v>2.2376712959875444</v>
      </c>
      <c r="BY68" s="106">
        <v>2311.9619830143311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6.091241595482046</v>
      </c>
      <c r="CG68" s="106">
        <v>6293.4708164520498</v>
      </c>
      <c r="CH68" s="106">
        <v>12</v>
      </c>
      <c r="CI68" s="106">
        <v>12398.400000000001</v>
      </c>
      <c r="CJ68" s="106">
        <v>9</v>
      </c>
      <c r="CK68" s="106">
        <v>9298.8000000000011</v>
      </c>
      <c r="CL68" s="106">
        <v>8</v>
      </c>
      <c r="CM68" s="106">
        <v>8265.6</v>
      </c>
      <c r="CN68" s="106">
        <v>21</v>
      </c>
      <c r="CO68" s="106">
        <v>21697.200000000001</v>
      </c>
      <c r="CP68" s="106">
        <v>27</v>
      </c>
      <c r="CQ68" s="106">
        <v>27896.400000000001</v>
      </c>
      <c r="CR68" s="106">
        <v>19</v>
      </c>
      <c r="CS68" s="106">
        <v>19630.8</v>
      </c>
      <c r="CT68" s="106">
        <v>23</v>
      </c>
      <c r="CU68" s="106">
        <v>23763.600000000002</v>
      </c>
    </row>
    <row r="69" spans="2:99" x14ac:dyDescent="0.2">
      <c r="C69" s="105" t="s">
        <v>235</v>
      </c>
      <c r="D69" s="106">
        <v>19</v>
      </c>
      <c r="E69" s="106">
        <v>14409.6</v>
      </c>
      <c r="F69" s="106">
        <v>14.697457561488786</v>
      </c>
      <c r="G69" s="106">
        <v>11146.551814633094</v>
      </c>
      <c r="H69" s="106">
        <v>0</v>
      </c>
      <c r="I69" s="106">
        <v>0</v>
      </c>
      <c r="J69" s="106">
        <v>0</v>
      </c>
      <c r="K69" s="106">
        <v>0</v>
      </c>
      <c r="L69" s="106">
        <v>11.01788861674588</v>
      </c>
      <c r="M69" s="106">
        <v>8355.9667269400761</v>
      </c>
      <c r="N69" s="106">
        <v>23</v>
      </c>
      <c r="O69" s="106">
        <v>17443.2</v>
      </c>
      <c r="P69" s="106">
        <v>28</v>
      </c>
      <c r="Q69" s="106">
        <v>21235.200000000001</v>
      </c>
      <c r="R69" s="106">
        <v>24</v>
      </c>
      <c r="S69" s="106">
        <v>18201.599999999999</v>
      </c>
      <c r="T69" s="106">
        <v>22</v>
      </c>
      <c r="U69" s="106">
        <v>16684.8</v>
      </c>
      <c r="V69" s="106">
        <v>17</v>
      </c>
      <c r="W69" s="106">
        <v>12892.8</v>
      </c>
      <c r="X69" s="106">
        <v>17</v>
      </c>
      <c r="Y69" s="106">
        <v>12892.8</v>
      </c>
      <c r="Z69" s="106">
        <v>19</v>
      </c>
      <c r="AA69" s="106">
        <v>14409.6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7</v>
      </c>
      <c r="AK69" s="106">
        <v>5308.8</v>
      </c>
      <c r="AL69" s="106">
        <v>4</v>
      </c>
      <c r="AM69" s="106">
        <v>3033.6</v>
      </c>
      <c r="AN69" s="106">
        <v>4</v>
      </c>
      <c r="AO69" s="106">
        <v>3033.6</v>
      </c>
      <c r="AP69" s="106">
        <v>7</v>
      </c>
      <c r="AQ69" s="106">
        <v>5308.8</v>
      </c>
      <c r="AR69" s="106">
        <v>9</v>
      </c>
      <c r="AS69" s="106">
        <v>6825.5999999999995</v>
      </c>
      <c r="AT69" s="106">
        <v>8</v>
      </c>
      <c r="AU69" s="106">
        <v>6067.2</v>
      </c>
      <c r="AV69" s="106">
        <v>10</v>
      </c>
      <c r="AW69" s="106">
        <v>7584</v>
      </c>
      <c r="AX69" s="106">
        <v>7</v>
      </c>
      <c r="AY69" s="106">
        <v>5308.8</v>
      </c>
      <c r="AZ69" s="106">
        <v>11.755568488594903</v>
      </c>
      <c r="BA69" s="106">
        <v>8915.4231417503743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2.2347080636714227</v>
      </c>
      <c r="BI69" s="106">
        <v>1694.802595488407</v>
      </c>
      <c r="BJ69" s="106">
        <v>5.2614175067872759</v>
      </c>
      <c r="BK69" s="106">
        <v>3990.2590371474698</v>
      </c>
      <c r="BL69" s="106">
        <v>8</v>
      </c>
      <c r="BM69" s="106">
        <v>6067.2</v>
      </c>
      <c r="BN69" s="106">
        <v>6</v>
      </c>
      <c r="BO69" s="106">
        <v>4550.3999999999996</v>
      </c>
      <c r="BP69" s="106">
        <v>7</v>
      </c>
      <c r="BQ69" s="106">
        <v>5308.8</v>
      </c>
      <c r="BR69" s="106">
        <v>7</v>
      </c>
      <c r="BS69" s="106">
        <v>5308.8</v>
      </c>
      <c r="BT69" s="106">
        <v>6</v>
      </c>
      <c r="BU69" s="106">
        <v>4550.3999999999996</v>
      </c>
      <c r="BV69" s="106">
        <v>7</v>
      </c>
      <c r="BW69" s="106">
        <v>5308.8</v>
      </c>
      <c r="BX69" s="106">
        <v>2.2376712959875444</v>
      </c>
      <c r="BY69" s="106">
        <v>1697.0499108769536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6.091241595482046</v>
      </c>
      <c r="CG69" s="106">
        <v>4619.597626013584</v>
      </c>
      <c r="CH69" s="106">
        <v>11</v>
      </c>
      <c r="CI69" s="106">
        <v>8342.4</v>
      </c>
      <c r="CJ69" s="106">
        <v>9</v>
      </c>
      <c r="CK69" s="106">
        <v>6825.5999999999995</v>
      </c>
      <c r="CL69" s="106">
        <v>9</v>
      </c>
      <c r="CM69" s="106">
        <v>6825.5999999999995</v>
      </c>
      <c r="CN69" s="106">
        <v>24</v>
      </c>
      <c r="CO69" s="106">
        <v>18201.599999999999</v>
      </c>
      <c r="CP69" s="106">
        <v>32</v>
      </c>
      <c r="CQ69" s="106">
        <v>24268.799999999999</v>
      </c>
      <c r="CR69" s="106">
        <v>22</v>
      </c>
      <c r="CS69" s="106">
        <v>16684.8</v>
      </c>
      <c r="CT69" s="106">
        <v>21</v>
      </c>
      <c r="CU69" s="106">
        <v>15926.4</v>
      </c>
    </row>
    <row r="70" spans="2:99" x14ac:dyDescent="0.2">
      <c r="C70" s="105" t="s">
        <v>236</v>
      </c>
      <c r="D70" s="106">
        <v>20</v>
      </c>
      <c r="E70" s="106">
        <v>10703.999999999998</v>
      </c>
      <c r="F70" s="106">
        <v>14.697457561488786</v>
      </c>
      <c r="G70" s="106">
        <v>7866.0792869087973</v>
      </c>
      <c r="H70" s="106">
        <v>0</v>
      </c>
      <c r="I70" s="106">
        <v>0</v>
      </c>
      <c r="J70" s="106">
        <v>0</v>
      </c>
      <c r="K70" s="106">
        <v>0</v>
      </c>
      <c r="L70" s="106">
        <v>11.01788861674588</v>
      </c>
      <c r="M70" s="106">
        <v>5896.7739876823944</v>
      </c>
      <c r="N70" s="106">
        <v>24</v>
      </c>
      <c r="O70" s="106">
        <v>12844.8</v>
      </c>
      <c r="P70" s="106">
        <v>30</v>
      </c>
      <c r="Q70" s="106">
        <v>16055.999999999998</v>
      </c>
      <c r="R70" s="106">
        <v>22</v>
      </c>
      <c r="S70" s="106">
        <v>11774.399999999998</v>
      </c>
      <c r="T70" s="106">
        <v>23</v>
      </c>
      <c r="U70" s="106">
        <v>12309.599999999999</v>
      </c>
      <c r="V70" s="106">
        <v>15</v>
      </c>
      <c r="W70" s="106">
        <v>8027.9999999999991</v>
      </c>
      <c r="X70" s="106">
        <v>17</v>
      </c>
      <c r="Y70" s="106">
        <v>9098.4</v>
      </c>
      <c r="Z70" s="106">
        <v>18</v>
      </c>
      <c r="AA70" s="106">
        <v>9633.5999999999985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7</v>
      </c>
      <c r="AK70" s="106">
        <v>3746.3999999999996</v>
      </c>
      <c r="AL70" s="106">
        <v>4</v>
      </c>
      <c r="AM70" s="106">
        <v>2140.7999999999997</v>
      </c>
      <c r="AN70" s="106">
        <v>4</v>
      </c>
      <c r="AO70" s="106">
        <v>2140.7999999999997</v>
      </c>
      <c r="AP70" s="106">
        <v>7</v>
      </c>
      <c r="AQ70" s="106">
        <v>3746.3999999999996</v>
      </c>
      <c r="AR70" s="106">
        <v>10</v>
      </c>
      <c r="AS70" s="106">
        <v>5351.9999999999991</v>
      </c>
      <c r="AT70" s="106">
        <v>8</v>
      </c>
      <c r="AU70" s="106">
        <v>4281.5999999999995</v>
      </c>
      <c r="AV70" s="106">
        <v>11</v>
      </c>
      <c r="AW70" s="106">
        <v>5887.1999999999989</v>
      </c>
      <c r="AX70" s="106">
        <v>7</v>
      </c>
      <c r="AY70" s="106">
        <v>3746.3999999999996</v>
      </c>
      <c r="AZ70" s="106">
        <v>11.755568488594903</v>
      </c>
      <c r="BA70" s="106">
        <v>6291.5802550959916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2.2347080636714227</v>
      </c>
      <c r="BI70" s="106">
        <v>1196.0157556769452</v>
      </c>
      <c r="BJ70" s="106">
        <v>6.1383204245851557</v>
      </c>
      <c r="BK70" s="106">
        <v>3285.2290912379749</v>
      </c>
      <c r="BL70" s="106">
        <v>7</v>
      </c>
      <c r="BM70" s="106">
        <v>3746.3999999999996</v>
      </c>
      <c r="BN70" s="106">
        <v>7</v>
      </c>
      <c r="BO70" s="106">
        <v>3746.3999999999996</v>
      </c>
      <c r="BP70" s="106">
        <v>7</v>
      </c>
      <c r="BQ70" s="106">
        <v>3746.3999999999996</v>
      </c>
      <c r="BR70" s="106">
        <v>8</v>
      </c>
      <c r="BS70" s="106">
        <v>4281.5999999999995</v>
      </c>
      <c r="BT70" s="106">
        <v>6</v>
      </c>
      <c r="BU70" s="106">
        <v>3211.2</v>
      </c>
      <c r="BV70" s="106">
        <v>7</v>
      </c>
      <c r="BW70" s="106">
        <v>3746.3999999999996</v>
      </c>
      <c r="BX70" s="106">
        <v>1.9180039679893237</v>
      </c>
      <c r="BY70" s="106">
        <v>1026.5157236678858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6.091241595482046</v>
      </c>
      <c r="CG70" s="106">
        <v>3260.0325019019906</v>
      </c>
      <c r="CH70" s="106">
        <v>12</v>
      </c>
      <c r="CI70" s="106">
        <v>6422.4</v>
      </c>
      <c r="CJ70" s="106">
        <v>9</v>
      </c>
      <c r="CK70" s="106">
        <v>4816.7999999999993</v>
      </c>
      <c r="CL70" s="106">
        <v>8</v>
      </c>
      <c r="CM70" s="106">
        <v>4281.5999999999995</v>
      </c>
      <c r="CN70" s="106">
        <v>23</v>
      </c>
      <c r="CO70" s="106">
        <v>12309.599999999999</v>
      </c>
      <c r="CP70" s="106">
        <v>33</v>
      </c>
      <c r="CQ70" s="106">
        <v>17661.599999999999</v>
      </c>
      <c r="CR70" s="106">
        <v>20</v>
      </c>
      <c r="CS70" s="106">
        <v>10703.999999999998</v>
      </c>
      <c r="CT70" s="106">
        <v>22</v>
      </c>
      <c r="CU70" s="106">
        <v>11774.399999999998</v>
      </c>
    </row>
    <row r="71" spans="2:99" x14ac:dyDescent="0.2">
      <c r="B71" s="105" t="s">
        <v>130</v>
      </c>
      <c r="C71" s="105" t="s">
        <v>237</v>
      </c>
      <c r="D71" s="106">
        <v>9</v>
      </c>
      <c r="E71" s="106">
        <v>5076</v>
      </c>
      <c r="F71" s="106">
        <v>7</v>
      </c>
      <c r="G71" s="106">
        <v>3948</v>
      </c>
      <c r="H71" s="106">
        <v>9</v>
      </c>
      <c r="I71" s="106">
        <v>5076</v>
      </c>
      <c r="J71" s="106">
        <v>8</v>
      </c>
      <c r="K71" s="106">
        <v>4512</v>
      </c>
      <c r="L71" s="106">
        <v>3</v>
      </c>
      <c r="M71" s="106">
        <v>1692</v>
      </c>
      <c r="N71" s="106">
        <v>3</v>
      </c>
      <c r="O71" s="106">
        <v>1692</v>
      </c>
      <c r="P71" s="106">
        <v>4</v>
      </c>
      <c r="Q71" s="106">
        <v>2256</v>
      </c>
      <c r="R71" s="106">
        <v>5</v>
      </c>
      <c r="S71" s="106">
        <v>2820</v>
      </c>
      <c r="T71" s="106">
        <v>32</v>
      </c>
      <c r="U71" s="106">
        <v>18048</v>
      </c>
      <c r="V71" s="106">
        <v>26</v>
      </c>
      <c r="W71" s="106">
        <v>14664</v>
      </c>
      <c r="X71" s="106">
        <v>23</v>
      </c>
      <c r="Y71" s="106">
        <v>12972</v>
      </c>
      <c r="Z71" s="106">
        <v>22</v>
      </c>
      <c r="AA71" s="106">
        <v>12408</v>
      </c>
      <c r="AB71" s="106">
        <v>14</v>
      </c>
      <c r="AC71" s="106">
        <v>7896</v>
      </c>
      <c r="AD71" s="106">
        <v>20</v>
      </c>
      <c r="AE71" s="106">
        <v>11280</v>
      </c>
      <c r="AF71" s="106">
        <v>16</v>
      </c>
      <c r="AG71" s="106">
        <v>9024</v>
      </c>
      <c r="AH71" s="106">
        <v>15</v>
      </c>
      <c r="AI71" s="106">
        <v>8460</v>
      </c>
      <c r="AJ71" s="106">
        <v>10</v>
      </c>
      <c r="AK71" s="106">
        <v>5640</v>
      </c>
      <c r="AL71" s="106">
        <v>16</v>
      </c>
      <c r="AM71" s="106">
        <v>9024</v>
      </c>
      <c r="AN71" s="106">
        <v>12</v>
      </c>
      <c r="AO71" s="106">
        <v>6768</v>
      </c>
      <c r="AP71" s="106">
        <v>10</v>
      </c>
      <c r="AQ71" s="106">
        <v>5640</v>
      </c>
      <c r="AR71" s="106">
        <v>19</v>
      </c>
      <c r="AS71" s="106">
        <v>10716</v>
      </c>
      <c r="AT71" s="106">
        <v>15</v>
      </c>
      <c r="AU71" s="106">
        <v>8460</v>
      </c>
      <c r="AV71" s="106">
        <v>19</v>
      </c>
      <c r="AW71" s="106">
        <v>10716</v>
      </c>
      <c r="AX71" s="106">
        <v>14</v>
      </c>
      <c r="AY71" s="106">
        <v>7896</v>
      </c>
      <c r="AZ71" s="106">
        <v>4</v>
      </c>
      <c r="BA71" s="106">
        <v>2256</v>
      </c>
      <c r="BB71" s="106">
        <v>4</v>
      </c>
      <c r="BC71" s="106">
        <v>2256</v>
      </c>
      <c r="BD71" s="106">
        <v>6</v>
      </c>
      <c r="BE71" s="106">
        <v>3384</v>
      </c>
      <c r="BF71" s="106">
        <v>6</v>
      </c>
      <c r="BG71" s="106">
        <v>3384</v>
      </c>
      <c r="BH71" s="106">
        <v>17</v>
      </c>
      <c r="BI71" s="106">
        <v>9588</v>
      </c>
      <c r="BJ71" s="106">
        <v>18</v>
      </c>
      <c r="BK71" s="106">
        <v>10152</v>
      </c>
      <c r="BL71" s="106">
        <v>14</v>
      </c>
      <c r="BM71" s="106">
        <v>7896</v>
      </c>
      <c r="BN71" s="106">
        <v>15</v>
      </c>
      <c r="BO71" s="106">
        <v>8460</v>
      </c>
      <c r="BP71" s="106">
        <v>8</v>
      </c>
      <c r="BQ71" s="106">
        <v>4512</v>
      </c>
      <c r="BR71" s="106">
        <v>4</v>
      </c>
      <c r="BS71" s="106">
        <v>2256</v>
      </c>
      <c r="BT71" s="106">
        <v>6</v>
      </c>
      <c r="BU71" s="106">
        <v>3384</v>
      </c>
      <c r="BV71" s="106">
        <v>5</v>
      </c>
      <c r="BW71" s="106">
        <v>2820</v>
      </c>
      <c r="BX71" s="106">
        <v>5</v>
      </c>
      <c r="BY71" s="106">
        <v>2820</v>
      </c>
      <c r="BZ71" s="106">
        <v>8</v>
      </c>
      <c r="CA71" s="106">
        <v>4512</v>
      </c>
      <c r="CB71" s="106">
        <v>5</v>
      </c>
      <c r="CC71" s="106">
        <v>2820</v>
      </c>
      <c r="CD71" s="106">
        <v>8</v>
      </c>
      <c r="CE71" s="106">
        <v>4512</v>
      </c>
      <c r="CF71" s="106">
        <v>12</v>
      </c>
      <c r="CG71" s="106">
        <v>6768</v>
      </c>
      <c r="CH71" s="106">
        <v>12</v>
      </c>
      <c r="CI71" s="106">
        <v>6768</v>
      </c>
      <c r="CJ71" s="106">
        <v>14</v>
      </c>
      <c r="CK71" s="106">
        <v>7896</v>
      </c>
      <c r="CL71" s="106">
        <v>19</v>
      </c>
      <c r="CM71" s="106">
        <v>10716</v>
      </c>
      <c r="CN71" s="106">
        <v>5</v>
      </c>
      <c r="CO71" s="106">
        <v>2820</v>
      </c>
      <c r="CP71" s="106">
        <v>4</v>
      </c>
      <c r="CQ71" s="106">
        <v>2256</v>
      </c>
      <c r="CR71" s="106">
        <v>5</v>
      </c>
      <c r="CS71" s="106">
        <v>2820</v>
      </c>
      <c r="CT71" s="106">
        <v>5</v>
      </c>
      <c r="CU71" s="106">
        <v>2820</v>
      </c>
    </row>
    <row r="72" spans="2:99" x14ac:dyDescent="0.2">
      <c r="C72" s="105" t="s">
        <v>238</v>
      </c>
      <c r="D72" s="106">
        <v>9</v>
      </c>
      <c r="E72" s="106">
        <v>669.59999999999991</v>
      </c>
      <c r="F72" s="106">
        <v>7</v>
      </c>
      <c r="G72" s="106">
        <v>520.79999999999995</v>
      </c>
      <c r="H72" s="106">
        <v>8</v>
      </c>
      <c r="I72" s="106">
        <v>595.19999999999993</v>
      </c>
      <c r="J72" s="106">
        <v>9</v>
      </c>
      <c r="K72" s="106">
        <v>669.59999999999991</v>
      </c>
      <c r="L72" s="106">
        <v>3</v>
      </c>
      <c r="M72" s="106">
        <v>223.2</v>
      </c>
      <c r="N72" s="106">
        <v>4</v>
      </c>
      <c r="O72" s="106">
        <v>297.59999999999997</v>
      </c>
      <c r="P72" s="106">
        <v>5</v>
      </c>
      <c r="Q72" s="106">
        <v>371.99999999999994</v>
      </c>
      <c r="R72" s="106">
        <v>5</v>
      </c>
      <c r="S72" s="106">
        <v>371.99999999999994</v>
      </c>
      <c r="T72" s="106">
        <v>29</v>
      </c>
      <c r="U72" s="106">
        <v>2157.6</v>
      </c>
      <c r="V72" s="106">
        <v>29</v>
      </c>
      <c r="W72" s="106">
        <v>2157.6</v>
      </c>
      <c r="X72" s="106">
        <v>23</v>
      </c>
      <c r="Y72" s="106">
        <v>1711.1999999999998</v>
      </c>
      <c r="Z72" s="106">
        <v>25</v>
      </c>
      <c r="AA72" s="106">
        <v>1859.9999999999998</v>
      </c>
      <c r="AB72" s="106">
        <v>14</v>
      </c>
      <c r="AC72" s="106">
        <v>1041.5999999999999</v>
      </c>
      <c r="AD72" s="106">
        <v>21</v>
      </c>
      <c r="AE72" s="106">
        <v>1562.3999999999999</v>
      </c>
      <c r="AF72" s="106">
        <v>19</v>
      </c>
      <c r="AG72" s="106">
        <v>1413.6</v>
      </c>
      <c r="AH72" s="106">
        <v>17</v>
      </c>
      <c r="AI72" s="106">
        <v>1264.8</v>
      </c>
      <c r="AJ72" s="106">
        <v>11</v>
      </c>
      <c r="AK72" s="106">
        <v>818.39999999999986</v>
      </c>
      <c r="AL72" s="106">
        <v>18</v>
      </c>
      <c r="AM72" s="106">
        <v>1339.1999999999998</v>
      </c>
      <c r="AN72" s="106">
        <v>12</v>
      </c>
      <c r="AO72" s="106">
        <v>892.8</v>
      </c>
      <c r="AP72" s="106">
        <v>10</v>
      </c>
      <c r="AQ72" s="106">
        <v>743.99999999999989</v>
      </c>
      <c r="AR72" s="106">
        <v>20</v>
      </c>
      <c r="AS72" s="106">
        <v>1487.9999999999998</v>
      </c>
      <c r="AT72" s="106">
        <v>16</v>
      </c>
      <c r="AU72" s="106">
        <v>1190.3999999999999</v>
      </c>
      <c r="AV72" s="106">
        <v>20</v>
      </c>
      <c r="AW72" s="106">
        <v>1487.9999999999998</v>
      </c>
      <c r="AX72" s="106">
        <v>15</v>
      </c>
      <c r="AY72" s="106">
        <v>1115.9999999999998</v>
      </c>
      <c r="AZ72" s="106">
        <v>5</v>
      </c>
      <c r="BA72" s="106">
        <v>371.99999999999994</v>
      </c>
      <c r="BB72" s="106">
        <v>4</v>
      </c>
      <c r="BC72" s="106">
        <v>297.59999999999997</v>
      </c>
      <c r="BD72" s="106">
        <v>6</v>
      </c>
      <c r="BE72" s="106">
        <v>446.4</v>
      </c>
      <c r="BF72" s="106">
        <v>6</v>
      </c>
      <c r="BG72" s="106">
        <v>446.4</v>
      </c>
      <c r="BH72" s="106">
        <v>17</v>
      </c>
      <c r="BI72" s="106">
        <v>1264.8</v>
      </c>
      <c r="BJ72" s="106">
        <v>20</v>
      </c>
      <c r="BK72" s="106">
        <v>1487.9999999999998</v>
      </c>
      <c r="BL72" s="106">
        <v>17</v>
      </c>
      <c r="BM72" s="106">
        <v>1264.8</v>
      </c>
      <c r="BN72" s="106">
        <v>16</v>
      </c>
      <c r="BO72" s="106">
        <v>1190.3999999999999</v>
      </c>
      <c r="BP72" s="106">
        <v>8</v>
      </c>
      <c r="BQ72" s="106">
        <v>595.19999999999993</v>
      </c>
      <c r="BR72" s="106">
        <v>5</v>
      </c>
      <c r="BS72" s="106">
        <v>371.99999999999994</v>
      </c>
      <c r="BT72" s="106">
        <v>7</v>
      </c>
      <c r="BU72" s="106">
        <v>520.79999999999995</v>
      </c>
      <c r="BV72" s="106">
        <v>6</v>
      </c>
      <c r="BW72" s="106">
        <v>446.4</v>
      </c>
      <c r="BX72" s="106">
        <v>5</v>
      </c>
      <c r="BY72" s="106">
        <v>371.99999999999994</v>
      </c>
      <c r="BZ72" s="106">
        <v>8</v>
      </c>
      <c r="CA72" s="106">
        <v>595.19999999999993</v>
      </c>
      <c r="CB72" s="106">
        <v>6</v>
      </c>
      <c r="CC72" s="106">
        <v>446.4</v>
      </c>
      <c r="CD72" s="106">
        <v>8</v>
      </c>
      <c r="CE72" s="106">
        <v>595.19999999999993</v>
      </c>
      <c r="CF72" s="106">
        <v>13</v>
      </c>
      <c r="CG72" s="106">
        <v>967.19999999999993</v>
      </c>
      <c r="CH72" s="106">
        <v>11</v>
      </c>
      <c r="CI72" s="106">
        <v>818.39999999999986</v>
      </c>
      <c r="CJ72" s="106">
        <v>15</v>
      </c>
      <c r="CK72" s="106">
        <v>1115.9999999999998</v>
      </c>
      <c r="CL72" s="106">
        <v>23</v>
      </c>
      <c r="CM72" s="106">
        <v>1711.1999999999998</v>
      </c>
      <c r="CN72" s="106">
        <v>5</v>
      </c>
      <c r="CO72" s="106">
        <v>371.99999999999994</v>
      </c>
      <c r="CP72" s="106">
        <v>4</v>
      </c>
      <c r="CQ72" s="106">
        <v>297.59999999999997</v>
      </c>
      <c r="CR72" s="106">
        <v>5</v>
      </c>
      <c r="CS72" s="106">
        <v>371.99999999999994</v>
      </c>
      <c r="CT72" s="106">
        <v>5</v>
      </c>
      <c r="CU72" s="106">
        <v>371.99999999999994</v>
      </c>
    </row>
    <row r="73" spans="2:99" x14ac:dyDescent="0.2">
      <c r="C73" s="105" t="s">
        <v>239</v>
      </c>
      <c r="D73" s="106">
        <v>9</v>
      </c>
      <c r="E73" s="106">
        <v>5032.7999999999993</v>
      </c>
      <c r="F73" s="106">
        <v>7</v>
      </c>
      <c r="G73" s="106">
        <v>3914.3999999999996</v>
      </c>
      <c r="H73" s="106">
        <v>9</v>
      </c>
      <c r="I73" s="106">
        <v>5032.7999999999993</v>
      </c>
      <c r="J73" s="106">
        <v>8</v>
      </c>
      <c r="K73" s="106">
        <v>4473.5999999999995</v>
      </c>
      <c r="L73" s="106">
        <v>3</v>
      </c>
      <c r="M73" s="106">
        <v>1677.6</v>
      </c>
      <c r="N73" s="106">
        <v>3</v>
      </c>
      <c r="O73" s="106">
        <v>1677.6</v>
      </c>
      <c r="P73" s="106">
        <v>4</v>
      </c>
      <c r="Q73" s="106">
        <v>2236.7999999999997</v>
      </c>
      <c r="R73" s="106">
        <v>5</v>
      </c>
      <c r="S73" s="106">
        <v>2795.9999999999995</v>
      </c>
      <c r="T73" s="106">
        <v>32</v>
      </c>
      <c r="U73" s="106">
        <v>17894.399999999998</v>
      </c>
      <c r="V73" s="106">
        <v>23</v>
      </c>
      <c r="W73" s="106">
        <v>12861.599999999999</v>
      </c>
      <c r="X73" s="106">
        <v>19</v>
      </c>
      <c r="Y73" s="106">
        <v>10624.8</v>
      </c>
      <c r="Z73" s="106">
        <v>22</v>
      </c>
      <c r="AA73" s="106">
        <v>12302.399999999998</v>
      </c>
      <c r="AB73" s="106">
        <v>13</v>
      </c>
      <c r="AC73" s="106">
        <v>7269.5999999999995</v>
      </c>
      <c r="AD73" s="106">
        <v>17</v>
      </c>
      <c r="AE73" s="106">
        <v>9506.4</v>
      </c>
      <c r="AF73" s="106">
        <v>17</v>
      </c>
      <c r="AG73" s="106">
        <v>9506.4</v>
      </c>
      <c r="AH73" s="106">
        <v>17</v>
      </c>
      <c r="AI73" s="106">
        <v>9506.4</v>
      </c>
      <c r="AJ73" s="106">
        <v>10</v>
      </c>
      <c r="AK73" s="106">
        <v>5591.9999999999991</v>
      </c>
      <c r="AL73" s="106">
        <v>18</v>
      </c>
      <c r="AM73" s="106">
        <v>10065.599999999999</v>
      </c>
      <c r="AN73" s="106">
        <v>12</v>
      </c>
      <c r="AO73" s="106">
        <v>6710.4</v>
      </c>
      <c r="AP73" s="106">
        <v>10</v>
      </c>
      <c r="AQ73" s="106">
        <v>5591.9999999999991</v>
      </c>
      <c r="AR73" s="106">
        <v>22</v>
      </c>
      <c r="AS73" s="106">
        <v>12302.399999999998</v>
      </c>
      <c r="AT73" s="106">
        <v>15</v>
      </c>
      <c r="AU73" s="106">
        <v>8387.9999999999982</v>
      </c>
      <c r="AV73" s="106">
        <v>19</v>
      </c>
      <c r="AW73" s="106">
        <v>10624.8</v>
      </c>
      <c r="AX73" s="106">
        <v>14</v>
      </c>
      <c r="AY73" s="106">
        <v>7828.7999999999993</v>
      </c>
      <c r="AZ73" s="106">
        <v>5</v>
      </c>
      <c r="BA73" s="106">
        <v>2795.9999999999995</v>
      </c>
      <c r="BB73" s="106">
        <v>4</v>
      </c>
      <c r="BC73" s="106">
        <v>2236.7999999999997</v>
      </c>
      <c r="BD73" s="106">
        <v>6</v>
      </c>
      <c r="BE73" s="106">
        <v>3355.2</v>
      </c>
      <c r="BF73" s="106">
        <v>6</v>
      </c>
      <c r="BG73" s="106">
        <v>3355.2</v>
      </c>
      <c r="BH73" s="106">
        <v>16</v>
      </c>
      <c r="BI73" s="106">
        <v>8947.1999999999989</v>
      </c>
      <c r="BJ73" s="106">
        <v>20</v>
      </c>
      <c r="BK73" s="106">
        <v>11183.999999999998</v>
      </c>
      <c r="BL73" s="106">
        <v>16</v>
      </c>
      <c r="BM73" s="106">
        <v>8947.1999999999989</v>
      </c>
      <c r="BN73" s="106">
        <v>17</v>
      </c>
      <c r="BO73" s="106">
        <v>9506.4</v>
      </c>
      <c r="BP73" s="106">
        <v>7</v>
      </c>
      <c r="BQ73" s="106">
        <v>3914.3999999999996</v>
      </c>
      <c r="BR73" s="106">
        <v>5</v>
      </c>
      <c r="BS73" s="106">
        <v>2795.9999999999995</v>
      </c>
      <c r="BT73" s="106">
        <v>6</v>
      </c>
      <c r="BU73" s="106">
        <v>3355.2</v>
      </c>
      <c r="BV73" s="106">
        <v>6</v>
      </c>
      <c r="BW73" s="106">
        <v>3355.2</v>
      </c>
      <c r="BX73" s="106">
        <v>5</v>
      </c>
      <c r="BY73" s="106">
        <v>2795.9999999999995</v>
      </c>
      <c r="BZ73" s="106">
        <v>7</v>
      </c>
      <c r="CA73" s="106">
        <v>3914.3999999999996</v>
      </c>
      <c r="CB73" s="106">
        <v>6</v>
      </c>
      <c r="CC73" s="106">
        <v>3355.2</v>
      </c>
      <c r="CD73" s="106">
        <v>7</v>
      </c>
      <c r="CE73" s="106">
        <v>3914.3999999999996</v>
      </c>
      <c r="CF73" s="106">
        <v>13</v>
      </c>
      <c r="CG73" s="106">
        <v>7269.5999999999995</v>
      </c>
      <c r="CH73" s="106">
        <v>10</v>
      </c>
      <c r="CI73" s="106">
        <v>5591.9999999999991</v>
      </c>
      <c r="CJ73" s="106">
        <v>15</v>
      </c>
      <c r="CK73" s="106">
        <v>8387.9999999999982</v>
      </c>
      <c r="CL73" s="106">
        <v>19</v>
      </c>
      <c r="CM73" s="106">
        <v>10624.8</v>
      </c>
      <c r="CN73" s="106">
        <v>4</v>
      </c>
      <c r="CO73" s="106">
        <v>2236.7999999999997</v>
      </c>
      <c r="CP73" s="106">
        <v>5</v>
      </c>
      <c r="CQ73" s="106">
        <v>2795.9999999999995</v>
      </c>
      <c r="CR73" s="106">
        <v>5</v>
      </c>
      <c r="CS73" s="106">
        <v>2795.9999999999995</v>
      </c>
      <c r="CT73" s="106">
        <v>4</v>
      </c>
      <c r="CU73" s="106">
        <v>2236.7999999999997</v>
      </c>
    </row>
    <row r="74" spans="2:99" x14ac:dyDescent="0.2">
      <c r="C74" s="105" t="s">
        <v>240</v>
      </c>
      <c r="D74" s="106">
        <v>8</v>
      </c>
      <c r="E74" s="106">
        <v>3225.6</v>
      </c>
      <c r="F74" s="106">
        <v>7</v>
      </c>
      <c r="G74" s="106">
        <v>2822.4</v>
      </c>
      <c r="H74" s="106">
        <v>9</v>
      </c>
      <c r="I74" s="106">
        <v>3628.7999999999997</v>
      </c>
      <c r="J74" s="106">
        <v>8</v>
      </c>
      <c r="K74" s="106">
        <v>3225.6</v>
      </c>
      <c r="L74" s="106">
        <v>3</v>
      </c>
      <c r="M74" s="106">
        <v>1209.5999999999999</v>
      </c>
      <c r="N74" s="106">
        <v>3</v>
      </c>
      <c r="O74" s="106">
        <v>1209.5999999999999</v>
      </c>
      <c r="P74" s="106">
        <v>4</v>
      </c>
      <c r="Q74" s="106">
        <v>1612.8</v>
      </c>
      <c r="R74" s="106">
        <v>5</v>
      </c>
      <c r="S74" s="106">
        <v>2016</v>
      </c>
      <c r="T74" s="106">
        <v>28</v>
      </c>
      <c r="U74" s="106">
        <v>11289.6</v>
      </c>
      <c r="V74" s="106">
        <v>27</v>
      </c>
      <c r="W74" s="106">
        <v>10886.4</v>
      </c>
      <c r="X74" s="106">
        <v>23</v>
      </c>
      <c r="Y74" s="106">
        <v>9273.6</v>
      </c>
      <c r="Z74" s="106">
        <v>27</v>
      </c>
      <c r="AA74" s="106">
        <v>10886.4</v>
      </c>
      <c r="AB74" s="106">
        <v>13</v>
      </c>
      <c r="AC74" s="106">
        <v>5241.5999999999995</v>
      </c>
      <c r="AD74" s="106">
        <v>20</v>
      </c>
      <c r="AE74" s="106">
        <v>8064</v>
      </c>
      <c r="AF74" s="106">
        <v>16</v>
      </c>
      <c r="AG74" s="106">
        <v>6451.2</v>
      </c>
      <c r="AH74" s="106">
        <v>16</v>
      </c>
      <c r="AI74" s="106">
        <v>6451.2</v>
      </c>
      <c r="AJ74" s="106">
        <v>10</v>
      </c>
      <c r="AK74" s="106">
        <v>4032</v>
      </c>
      <c r="AL74" s="106">
        <v>17</v>
      </c>
      <c r="AM74" s="106">
        <v>6854.4</v>
      </c>
      <c r="AN74" s="106">
        <v>11</v>
      </c>
      <c r="AO74" s="106">
        <v>4435.2</v>
      </c>
      <c r="AP74" s="106">
        <v>11</v>
      </c>
      <c r="AQ74" s="106">
        <v>4435.2</v>
      </c>
      <c r="AR74" s="106">
        <v>19</v>
      </c>
      <c r="AS74" s="106">
        <v>7660.8</v>
      </c>
      <c r="AT74" s="106">
        <v>13</v>
      </c>
      <c r="AU74" s="106">
        <v>5241.5999999999995</v>
      </c>
      <c r="AV74" s="106">
        <v>20</v>
      </c>
      <c r="AW74" s="106">
        <v>8064</v>
      </c>
      <c r="AX74" s="106">
        <v>13</v>
      </c>
      <c r="AY74" s="106">
        <v>5241.5999999999995</v>
      </c>
      <c r="AZ74" s="106">
        <v>5</v>
      </c>
      <c r="BA74" s="106">
        <v>2016</v>
      </c>
      <c r="BB74" s="106">
        <v>4</v>
      </c>
      <c r="BC74" s="106">
        <v>1612.8</v>
      </c>
      <c r="BD74" s="106">
        <v>6</v>
      </c>
      <c r="BE74" s="106">
        <v>2419.1999999999998</v>
      </c>
      <c r="BF74" s="106">
        <v>6</v>
      </c>
      <c r="BG74" s="106">
        <v>2419.1999999999998</v>
      </c>
      <c r="BH74" s="106">
        <v>18</v>
      </c>
      <c r="BI74" s="106">
        <v>7257.5999999999995</v>
      </c>
      <c r="BJ74" s="106">
        <v>19</v>
      </c>
      <c r="BK74" s="106">
        <v>7660.8</v>
      </c>
      <c r="BL74" s="106">
        <v>16</v>
      </c>
      <c r="BM74" s="106">
        <v>6451.2</v>
      </c>
      <c r="BN74" s="106">
        <v>15</v>
      </c>
      <c r="BO74" s="106">
        <v>6048</v>
      </c>
      <c r="BP74" s="106">
        <v>8</v>
      </c>
      <c r="BQ74" s="106">
        <v>3225.6</v>
      </c>
      <c r="BR74" s="106">
        <v>4</v>
      </c>
      <c r="BS74" s="106">
        <v>1612.8</v>
      </c>
      <c r="BT74" s="106">
        <v>5</v>
      </c>
      <c r="BU74" s="106">
        <v>2016</v>
      </c>
      <c r="BV74" s="106">
        <v>5</v>
      </c>
      <c r="BW74" s="106">
        <v>2016</v>
      </c>
      <c r="BX74" s="106">
        <v>5</v>
      </c>
      <c r="BY74" s="106">
        <v>2016</v>
      </c>
      <c r="BZ74" s="106">
        <v>7</v>
      </c>
      <c r="CA74" s="106">
        <v>2822.4</v>
      </c>
      <c r="CB74" s="106">
        <v>6</v>
      </c>
      <c r="CC74" s="106">
        <v>2419.1999999999998</v>
      </c>
      <c r="CD74" s="106">
        <v>9</v>
      </c>
      <c r="CE74" s="106">
        <v>3628.7999999999997</v>
      </c>
      <c r="CF74" s="106">
        <v>14</v>
      </c>
      <c r="CG74" s="106">
        <v>5644.8</v>
      </c>
      <c r="CH74" s="106">
        <v>11</v>
      </c>
      <c r="CI74" s="106">
        <v>4435.2</v>
      </c>
      <c r="CJ74" s="106">
        <v>16</v>
      </c>
      <c r="CK74" s="106">
        <v>6451.2</v>
      </c>
      <c r="CL74" s="106">
        <v>22</v>
      </c>
      <c r="CM74" s="106">
        <v>8870.4</v>
      </c>
      <c r="CN74" s="106">
        <v>5</v>
      </c>
      <c r="CO74" s="106">
        <v>2016</v>
      </c>
      <c r="CP74" s="106">
        <v>4</v>
      </c>
      <c r="CQ74" s="106">
        <v>1612.8</v>
      </c>
      <c r="CR74" s="106">
        <v>5</v>
      </c>
      <c r="CS74" s="106">
        <v>2016</v>
      </c>
      <c r="CT74" s="106">
        <v>5</v>
      </c>
      <c r="CU74" s="106">
        <v>2016</v>
      </c>
    </row>
    <row r="75" spans="2:99" x14ac:dyDescent="0.2">
      <c r="C75" s="105" t="s">
        <v>241</v>
      </c>
      <c r="D75" s="106">
        <v>8</v>
      </c>
      <c r="E75" s="106">
        <v>5145.5999999999995</v>
      </c>
      <c r="F75" s="106">
        <v>7</v>
      </c>
      <c r="G75" s="106">
        <v>4502.3999999999996</v>
      </c>
      <c r="H75" s="106">
        <v>8</v>
      </c>
      <c r="I75" s="106">
        <v>5145.5999999999995</v>
      </c>
      <c r="J75" s="106">
        <v>7</v>
      </c>
      <c r="K75" s="106">
        <v>4502.3999999999996</v>
      </c>
      <c r="L75" s="106">
        <v>3</v>
      </c>
      <c r="M75" s="106">
        <v>1929.6</v>
      </c>
      <c r="N75" s="106">
        <v>3</v>
      </c>
      <c r="O75" s="106">
        <v>1929.6</v>
      </c>
      <c r="P75" s="106">
        <v>4</v>
      </c>
      <c r="Q75" s="106">
        <v>2572.7999999999997</v>
      </c>
      <c r="R75" s="106">
        <v>5</v>
      </c>
      <c r="S75" s="106">
        <v>3215.9999999999995</v>
      </c>
      <c r="T75" s="106">
        <v>32</v>
      </c>
      <c r="U75" s="106">
        <v>20582.399999999998</v>
      </c>
      <c r="V75" s="106">
        <v>24</v>
      </c>
      <c r="W75" s="106">
        <v>15436.8</v>
      </c>
      <c r="X75" s="106">
        <v>21</v>
      </c>
      <c r="Y75" s="106">
        <v>13507.199999999999</v>
      </c>
      <c r="Z75" s="106">
        <v>25</v>
      </c>
      <c r="AA75" s="106">
        <v>16079.999999999998</v>
      </c>
      <c r="AB75" s="106">
        <v>14</v>
      </c>
      <c r="AC75" s="106">
        <v>9004.7999999999993</v>
      </c>
      <c r="AD75" s="106">
        <v>18</v>
      </c>
      <c r="AE75" s="106">
        <v>11577.599999999999</v>
      </c>
      <c r="AF75" s="106">
        <v>16</v>
      </c>
      <c r="AG75" s="106">
        <v>10291.199999999999</v>
      </c>
      <c r="AH75" s="106">
        <v>16</v>
      </c>
      <c r="AI75" s="106">
        <v>10291.199999999999</v>
      </c>
      <c r="AJ75" s="106">
        <v>9</v>
      </c>
      <c r="AK75" s="106">
        <v>5788.7999999999993</v>
      </c>
      <c r="AL75" s="106">
        <v>15</v>
      </c>
      <c r="AM75" s="106">
        <v>9647.9999999999982</v>
      </c>
      <c r="AN75" s="106">
        <v>10</v>
      </c>
      <c r="AO75" s="106">
        <v>6431.9999999999991</v>
      </c>
      <c r="AP75" s="106">
        <v>11</v>
      </c>
      <c r="AQ75" s="106">
        <v>7075.1999999999989</v>
      </c>
      <c r="AR75" s="106">
        <v>20</v>
      </c>
      <c r="AS75" s="106">
        <v>12863.999999999998</v>
      </c>
      <c r="AT75" s="106">
        <v>15</v>
      </c>
      <c r="AU75" s="106">
        <v>9647.9999999999982</v>
      </c>
      <c r="AV75" s="106">
        <v>17</v>
      </c>
      <c r="AW75" s="106">
        <v>10934.4</v>
      </c>
      <c r="AX75" s="106">
        <v>13</v>
      </c>
      <c r="AY75" s="106">
        <v>8361.5999999999985</v>
      </c>
      <c r="AZ75" s="106">
        <v>5</v>
      </c>
      <c r="BA75" s="106">
        <v>3215.9999999999995</v>
      </c>
      <c r="BB75" s="106">
        <v>4</v>
      </c>
      <c r="BC75" s="106">
        <v>2572.7999999999997</v>
      </c>
      <c r="BD75" s="106">
        <v>6</v>
      </c>
      <c r="BE75" s="106">
        <v>3859.2</v>
      </c>
      <c r="BF75" s="106">
        <v>6</v>
      </c>
      <c r="BG75" s="106">
        <v>3859.2</v>
      </c>
      <c r="BH75" s="106">
        <v>16</v>
      </c>
      <c r="BI75" s="106">
        <v>10291.199999999999</v>
      </c>
      <c r="BJ75" s="106">
        <v>18</v>
      </c>
      <c r="BK75" s="106">
        <v>11577.599999999999</v>
      </c>
      <c r="BL75" s="106">
        <v>14</v>
      </c>
      <c r="BM75" s="106">
        <v>9004.7999999999993</v>
      </c>
      <c r="BN75" s="106">
        <v>15</v>
      </c>
      <c r="BO75" s="106">
        <v>9647.9999999999982</v>
      </c>
      <c r="BP75" s="106">
        <v>7</v>
      </c>
      <c r="BQ75" s="106">
        <v>4502.3999999999996</v>
      </c>
      <c r="BR75" s="106">
        <v>5</v>
      </c>
      <c r="BS75" s="106">
        <v>3215.9999999999995</v>
      </c>
      <c r="BT75" s="106">
        <v>5</v>
      </c>
      <c r="BU75" s="106">
        <v>3215.9999999999995</v>
      </c>
      <c r="BV75" s="106">
        <v>6</v>
      </c>
      <c r="BW75" s="106">
        <v>3859.2</v>
      </c>
      <c r="BX75" s="106">
        <v>4</v>
      </c>
      <c r="BY75" s="106">
        <v>2572.7999999999997</v>
      </c>
      <c r="BZ75" s="106">
        <v>7</v>
      </c>
      <c r="CA75" s="106">
        <v>4502.3999999999996</v>
      </c>
      <c r="CB75" s="106">
        <v>6</v>
      </c>
      <c r="CC75" s="106">
        <v>3859.2</v>
      </c>
      <c r="CD75" s="106">
        <v>8</v>
      </c>
      <c r="CE75" s="106">
        <v>5145.5999999999995</v>
      </c>
      <c r="CF75" s="106">
        <v>14</v>
      </c>
      <c r="CG75" s="106">
        <v>9004.7999999999993</v>
      </c>
      <c r="CH75" s="106">
        <v>12</v>
      </c>
      <c r="CI75" s="106">
        <v>7718.4</v>
      </c>
      <c r="CJ75" s="106">
        <v>16</v>
      </c>
      <c r="CK75" s="106">
        <v>10291.199999999999</v>
      </c>
      <c r="CL75" s="106">
        <v>22</v>
      </c>
      <c r="CM75" s="106">
        <v>14150.399999999998</v>
      </c>
      <c r="CN75" s="106">
        <v>4</v>
      </c>
      <c r="CO75" s="106">
        <v>2572.7999999999997</v>
      </c>
      <c r="CP75" s="106">
        <v>4</v>
      </c>
      <c r="CQ75" s="106">
        <v>2572.7999999999997</v>
      </c>
      <c r="CR75" s="106">
        <v>5</v>
      </c>
      <c r="CS75" s="106">
        <v>3215.9999999999995</v>
      </c>
      <c r="CT75" s="106">
        <v>5</v>
      </c>
      <c r="CU75" s="106">
        <v>3215.9999999999995</v>
      </c>
    </row>
    <row r="76" spans="2:99" x14ac:dyDescent="0.2">
      <c r="C76" s="105" t="s">
        <v>242</v>
      </c>
      <c r="D76" s="106">
        <v>9</v>
      </c>
      <c r="E76" s="106">
        <v>7009.2</v>
      </c>
      <c r="F76" s="106">
        <v>7</v>
      </c>
      <c r="G76" s="106">
        <v>5451.5999999999995</v>
      </c>
      <c r="H76" s="106">
        <v>8</v>
      </c>
      <c r="I76" s="106">
        <v>6230.4</v>
      </c>
      <c r="J76" s="106">
        <v>8</v>
      </c>
      <c r="K76" s="106">
        <v>6230.4</v>
      </c>
      <c r="L76" s="106">
        <v>3</v>
      </c>
      <c r="M76" s="106">
        <v>2336.3999999999996</v>
      </c>
      <c r="N76" s="106">
        <v>3</v>
      </c>
      <c r="O76" s="106">
        <v>2336.3999999999996</v>
      </c>
      <c r="P76" s="106">
        <v>4</v>
      </c>
      <c r="Q76" s="106">
        <v>3115.2</v>
      </c>
      <c r="R76" s="106">
        <v>5</v>
      </c>
      <c r="S76" s="106">
        <v>3894</v>
      </c>
      <c r="T76" s="106">
        <v>29</v>
      </c>
      <c r="U76" s="106">
        <v>22585.199999999997</v>
      </c>
      <c r="V76" s="106">
        <v>25</v>
      </c>
      <c r="W76" s="106">
        <v>19470</v>
      </c>
      <c r="X76" s="106">
        <v>22</v>
      </c>
      <c r="Y76" s="106">
        <v>17133.599999999999</v>
      </c>
      <c r="Z76" s="106">
        <v>25</v>
      </c>
      <c r="AA76" s="106">
        <v>19470</v>
      </c>
      <c r="AB76" s="106">
        <v>13</v>
      </c>
      <c r="AC76" s="106">
        <v>10124.4</v>
      </c>
      <c r="AD76" s="106">
        <v>17</v>
      </c>
      <c r="AE76" s="106">
        <v>13239.599999999999</v>
      </c>
      <c r="AF76" s="106">
        <v>17</v>
      </c>
      <c r="AG76" s="106">
        <v>13239.599999999999</v>
      </c>
      <c r="AH76" s="106">
        <v>16</v>
      </c>
      <c r="AI76" s="106">
        <v>12460.8</v>
      </c>
      <c r="AJ76" s="106">
        <v>9</v>
      </c>
      <c r="AK76" s="106">
        <v>7009.2</v>
      </c>
      <c r="AL76" s="106">
        <v>17</v>
      </c>
      <c r="AM76" s="106">
        <v>13239.599999999999</v>
      </c>
      <c r="AN76" s="106">
        <v>10</v>
      </c>
      <c r="AO76" s="106">
        <v>7788</v>
      </c>
      <c r="AP76" s="106">
        <v>9</v>
      </c>
      <c r="AQ76" s="106">
        <v>7009.2</v>
      </c>
      <c r="AR76" s="106">
        <v>20</v>
      </c>
      <c r="AS76" s="106">
        <v>15576</v>
      </c>
      <c r="AT76" s="106">
        <v>14</v>
      </c>
      <c r="AU76" s="106">
        <v>10903.199999999999</v>
      </c>
      <c r="AV76" s="106">
        <v>18</v>
      </c>
      <c r="AW76" s="106">
        <v>14018.4</v>
      </c>
      <c r="AX76" s="106">
        <v>13</v>
      </c>
      <c r="AY76" s="106">
        <v>10124.4</v>
      </c>
      <c r="AZ76" s="106">
        <v>5</v>
      </c>
      <c r="BA76" s="106">
        <v>3894</v>
      </c>
      <c r="BB76" s="106">
        <v>5</v>
      </c>
      <c r="BC76" s="106">
        <v>3894</v>
      </c>
      <c r="BD76" s="106">
        <v>6</v>
      </c>
      <c r="BE76" s="106">
        <v>4672.7999999999993</v>
      </c>
      <c r="BF76" s="106">
        <v>6</v>
      </c>
      <c r="BG76" s="106">
        <v>4672.7999999999993</v>
      </c>
      <c r="BH76" s="106">
        <v>18</v>
      </c>
      <c r="BI76" s="106">
        <v>14018.4</v>
      </c>
      <c r="BJ76" s="106">
        <v>18</v>
      </c>
      <c r="BK76" s="106">
        <v>14018.4</v>
      </c>
      <c r="BL76" s="106">
        <v>16</v>
      </c>
      <c r="BM76" s="106">
        <v>12460.8</v>
      </c>
      <c r="BN76" s="106">
        <v>16</v>
      </c>
      <c r="BO76" s="106">
        <v>12460.8</v>
      </c>
      <c r="BP76" s="106">
        <v>8</v>
      </c>
      <c r="BQ76" s="106">
        <v>6230.4</v>
      </c>
      <c r="BR76" s="106">
        <v>5</v>
      </c>
      <c r="BS76" s="106">
        <v>3894</v>
      </c>
      <c r="BT76" s="106">
        <v>5</v>
      </c>
      <c r="BU76" s="106">
        <v>3894</v>
      </c>
      <c r="BV76" s="106">
        <v>6</v>
      </c>
      <c r="BW76" s="106">
        <v>4672.7999999999993</v>
      </c>
      <c r="BX76" s="106">
        <v>4</v>
      </c>
      <c r="BY76" s="106">
        <v>3115.2</v>
      </c>
      <c r="BZ76" s="106">
        <v>8</v>
      </c>
      <c r="CA76" s="106">
        <v>6230.4</v>
      </c>
      <c r="CB76" s="106">
        <v>5</v>
      </c>
      <c r="CC76" s="106">
        <v>3894</v>
      </c>
      <c r="CD76" s="106">
        <v>8</v>
      </c>
      <c r="CE76" s="106">
        <v>6230.4</v>
      </c>
      <c r="CF76" s="106">
        <v>12</v>
      </c>
      <c r="CG76" s="106">
        <v>9345.5999999999985</v>
      </c>
      <c r="CH76" s="106">
        <v>11</v>
      </c>
      <c r="CI76" s="106">
        <v>8566.7999999999993</v>
      </c>
      <c r="CJ76" s="106">
        <v>15</v>
      </c>
      <c r="CK76" s="106">
        <v>11682</v>
      </c>
      <c r="CL76" s="106">
        <v>20</v>
      </c>
      <c r="CM76" s="106">
        <v>15576</v>
      </c>
      <c r="CN76" s="106">
        <v>4</v>
      </c>
      <c r="CO76" s="106">
        <v>3115.2</v>
      </c>
      <c r="CP76" s="106">
        <v>4</v>
      </c>
      <c r="CQ76" s="106">
        <v>3115.2</v>
      </c>
      <c r="CR76" s="106">
        <v>4</v>
      </c>
      <c r="CS76" s="106">
        <v>3115.2</v>
      </c>
      <c r="CT76" s="106">
        <v>5</v>
      </c>
      <c r="CU76" s="106">
        <v>3894</v>
      </c>
    </row>
    <row r="77" spans="2:99" x14ac:dyDescent="0.2">
      <c r="C77" s="105" t="s">
        <v>243</v>
      </c>
      <c r="D77" s="106">
        <v>9</v>
      </c>
      <c r="E77" s="106">
        <v>2505.6</v>
      </c>
      <c r="F77" s="106">
        <v>7</v>
      </c>
      <c r="G77" s="106">
        <v>1948.7999999999997</v>
      </c>
      <c r="H77" s="106">
        <v>8</v>
      </c>
      <c r="I77" s="106">
        <v>2227.1999999999998</v>
      </c>
      <c r="J77" s="106">
        <v>8</v>
      </c>
      <c r="K77" s="106">
        <v>2227.1999999999998</v>
      </c>
      <c r="L77" s="106">
        <v>3</v>
      </c>
      <c r="M77" s="106">
        <v>835.19999999999993</v>
      </c>
      <c r="N77" s="106">
        <v>3</v>
      </c>
      <c r="O77" s="106">
        <v>835.19999999999993</v>
      </c>
      <c r="P77" s="106">
        <v>4</v>
      </c>
      <c r="Q77" s="106">
        <v>1113.5999999999999</v>
      </c>
      <c r="R77" s="106">
        <v>5</v>
      </c>
      <c r="S77" s="106">
        <v>1392</v>
      </c>
      <c r="T77" s="106">
        <v>30</v>
      </c>
      <c r="U77" s="106">
        <v>8352</v>
      </c>
      <c r="V77" s="106">
        <v>26</v>
      </c>
      <c r="W77" s="106">
        <v>7238.4</v>
      </c>
      <c r="X77" s="106">
        <v>22</v>
      </c>
      <c r="Y77" s="106">
        <v>6124.7999999999993</v>
      </c>
      <c r="Z77" s="106">
        <v>23</v>
      </c>
      <c r="AA77" s="106">
        <v>6403.2</v>
      </c>
      <c r="AB77" s="106">
        <v>15</v>
      </c>
      <c r="AC77" s="106">
        <v>4176</v>
      </c>
      <c r="AD77" s="106">
        <v>19</v>
      </c>
      <c r="AE77" s="106">
        <v>5289.5999999999995</v>
      </c>
      <c r="AF77" s="106">
        <v>17</v>
      </c>
      <c r="AG77" s="106">
        <v>4732.7999999999993</v>
      </c>
      <c r="AH77" s="106">
        <v>17</v>
      </c>
      <c r="AI77" s="106">
        <v>4732.7999999999993</v>
      </c>
      <c r="AJ77" s="106">
        <v>10</v>
      </c>
      <c r="AK77" s="106">
        <v>2784</v>
      </c>
      <c r="AL77" s="106">
        <v>16</v>
      </c>
      <c r="AM77" s="106">
        <v>4454.3999999999996</v>
      </c>
      <c r="AN77" s="106">
        <v>12</v>
      </c>
      <c r="AO77" s="106">
        <v>3340.7999999999997</v>
      </c>
      <c r="AP77" s="106">
        <v>11</v>
      </c>
      <c r="AQ77" s="106">
        <v>3062.3999999999996</v>
      </c>
      <c r="AR77" s="106">
        <v>22</v>
      </c>
      <c r="AS77" s="106">
        <v>6124.7999999999993</v>
      </c>
      <c r="AT77" s="106">
        <v>15</v>
      </c>
      <c r="AU77" s="106">
        <v>4176</v>
      </c>
      <c r="AV77" s="106">
        <v>19</v>
      </c>
      <c r="AW77" s="106">
        <v>5289.5999999999995</v>
      </c>
      <c r="AX77" s="106">
        <v>13</v>
      </c>
      <c r="AY77" s="106">
        <v>3619.2</v>
      </c>
      <c r="AZ77" s="106">
        <v>5</v>
      </c>
      <c r="BA77" s="106">
        <v>1392</v>
      </c>
      <c r="BB77" s="106">
        <v>4</v>
      </c>
      <c r="BC77" s="106">
        <v>1113.5999999999999</v>
      </c>
      <c r="BD77" s="106">
        <v>6</v>
      </c>
      <c r="BE77" s="106">
        <v>1670.3999999999999</v>
      </c>
      <c r="BF77" s="106">
        <v>7</v>
      </c>
      <c r="BG77" s="106">
        <v>1948.7999999999997</v>
      </c>
      <c r="BH77" s="106">
        <v>16</v>
      </c>
      <c r="BI77" s="106">
        <v>4454.3999999999996</v>
      </c>
      <c r="BJ77" s="106">
        <v>18</v>
      </c>
      <c r="BK77" s="106">
        <v>5011.2</v>
      </c>
      <c r="BL77" s="106">
        <v>16</v>
      </c>
      <c r="BM77" s="106">
        <v>4454.3999999999996</v>
      </c>
      <c r="BN77" s="106">
        <v>15</v>
      </c>
      <c r="BO77" s="106">
        <v>4176</v>
      </c>
      <c r="BP77" s="106">
        <v>8</v>
      </c>
      <c r="BQ77" s="106">
        <v>2227.1999999999998</v>
      </c>
      <c r="BR77" s="106">
        <v>5</v>
      </c>
      <c r="BS77" s="106">
        <v>1392</v>
      </c>
      <c r="BT77" s="106">
        <v>6</v>
      </c>
      <c r="BU77" s="106">
        <v>1670.3999999999999</v>
      </c>
      <c r="BV77" s="106">
        <v>6</v>
      </c>
      <c r="BW77" s="106">
        <v>1670.3999999999999</v>
      </c>
      <c r="BX77" s="106">
        <v>4</v>
      </c>
      <c r="BY77" s="106">
        <v>1113.5999999999999</v>
      </c>
      <c r="BZ77" s="106">
        <v>7</v>
      </c>
      <c r="CA77" s="106">
        <v>1948.7999999999997</v>
      </c>
      <c r="CB77" s="106">
        <v>6</v>
      </c>
      <c r="CC77" s="106">
        <v>1670.3999999999999</v>
      </c>
      <c r="CD77" s="106">
        <v>7</v>
      </c>
      <c r="CE77" s="106">
        <v>1948.7999999999997</v>
      </c>
      <c r="CF77" s="106">
        <v>14</v>
      </c>
      <c r="CG77" s="106">
        <v>3897.5999999999995</v>
      </c>
      <c r="CH77" s="106">
        <v>13</v>
      </c>
      <c r="CI77" s="106">
        <v>3619.2</v>
      </c>
      <c r="CJ77" s="106">
        <v>16</v>
      </c>
      <c r="CK77" s="106">
        <v>4454.3999999999996</v>
      </c>
      <c r="CL77" s="106">
        <v>22</v>
      </c>
      <c r="CM77" s="106">
        <v>6124.7999999999993</v>
      </c>
      <c r="CN77" s="106">
        <v>5</v>
      </c>
      <c r="CO77" s="106">
        <v>1392</v>
      </c>
      <c r="CP77" s="106">
        <v>4</v>
      </c>
      <c r="CQ77" s="106">
        <v>1113.5999999999999</v>
      </c>
      <c r="CR77" s="106">
        <v>5</v>
      </c>
      <c r="CS77" s="106">
        <v>1392</v>
      </c>
      <c r="CT77" s="106">
        <v>5</v>
      </c>
      <c r="CU77" s="106">
        <v>1392</v>
      </c>
    </row>
    <row r="78" spans="2:99" x14ac:dyDescent="0.2">
      <c r="C78" s="105" t="s">
        <v>244</v>
      </c>
      <c r="D78" s="106">
        <v>9</v>
      </c>
      <c r="E78" s="106">
        <v>4968</v>
      </c>
      <c r="F78" s="106">
        <v>7</v>
      </c>
      <c r="G78" s="106">
        <v>3864</v>
      </c>
      <c r="H78" s="106">
        <v>8</v>
      </c>
      <c r="I78" s="106">
        <v>4416</v>
      </c>
      <c r="J78" s="106">
        <v>8</v>
      </c>
      <c r="K78" s="106">
        <v>4416</v>
      </c>
      <c r="L78" s="106">
        <v>3</v>
      </c>
      <c r="M78" s="106">
        <v>1656</v>
      </c>
      <c r="N78" s="106">
        <v>3</v>
      </c>
      <c r="O78" s="106">
        <v>1656</v>
      </c>
      <c r="P78" s="106">
        <v>4</v>
      </c>
      <c r="Q78" s="106">
        <v>2208</v>
      </c>
      <c r="R78" s="106">
        <v>5</v>
      </c>
      <c r="S78" s="106">
        <v>2760</v>
      </c>
      <c r="T78" s="106">
        <v>32</v>
      </c>
      <c r="U78" s="106">
        <v>17664</v>
      </c>
      <c r="V78" s="106">
        <v>26</v>
      </c>
      <c r="W78" s="106">
        <v>14352</v>
      </c>
      <c r="X78" s="106">
        <v>22</v>
      </c>
      <c r="Y78" s="106">
        <v>12144</v>
      </c>
      <c r="Z78" s="106">
        <v>24</v>
      </c>
      <c r="AA78" s="106">
        <v>13248</v>
      </c>
      <c r="AB78" s="106">
        <v>15</v>
      </c>
      <c r="AC78" s="106">
        <v>8280</v>
      </c>
      <c r="AD78" s="106">
        <v>18</v>
      </c>
      <c r="AE78" s="106">
        <v>9936</v>
      </c>
      <c r="AF78" s="106">
        <v>19</v>
      </c>
      <c r="AG78" s="106">
        <v>10488</v>
      </c>
      <c r="AH78" s="106">
        <v>16</v>
      </c>
      <c r="AI78" s="106">
        <v>8832</v>
      </c>
      <c r="AJ78" s="106">
        <v>9</v>
      </c>
      <c r="AK78" s="106">
        <v>4968</v>
      </c>
      <c r="AL78" s="106">
        <v>17</v>
      </c>
      <c r="AM78" s="106">
        <v>9384</v>
      </c>
      <c r="AN78" s="106">
        <v>12</v>
      </c>
      <c r="AO78" s="106">
        <v>6624</v>
      </c>
      <c r="AP78" s="106">
        <v>11</v>
      </c>
      <c r="AQ78" s="106">
        <v>6072</v>
      </c>
      <c r="AR78" s="106">
        <v>19</v>
      </c>
      <c r="AS78" s="106">
        <v>10488</v>
      </c>
      <c r="AT78" s="106">
        <v>15</v>
      </c>
      <c r="AU78" s="106">
        <v>8280</v>
      </c>
      <c r="AV78" s="106">
        <v>17</v>
      </c>
      <c r="AW78" s="106">
        <v>9384</v>
      </c>
      <c r="AX78" s="106">
        <v>15</v>
      </c>
      <c r="AY78" s="106">
        <v>8280</v>
      </c>
      <c r="AZ78" s="106">
        <v>5</v>
      </c>
      <c r="BA78" s="106">
        <v>2760</v>
      </c>
      <c r="BB78" s="106">
        <v>5</v>
      </c>
      <c r="BC78" s="106">
        <v>2760</v>
      </c>
      <c r="BD78" s="106">
        <v>6</v>
      </c>
      <c r="BE78" s="106">
        <v>3312</v>
      </c>
      <c r="BF78" s="106">
        <v>6</v>
      </c>
      <c r="BG78" s="106">
        <v>3312</v>
      </c>
      <c r="BH78" s="106">
        <v>15</v>
      </c>
      <c r="BI78" s="106">
        <v>8280</v>
      </c>
      <c r="BJ78" s="106">
        <v>20</v>
      </c>
      <c r="BK78" s="106">
        <v>11040</v>
      </c>
      <c r="BL78" s="106">
        <v>15</v>
      </c>
      <c r="BM78" s="106">
        <v>8280</v>
      </c>
      <c r="BN78" s="106">
        <v>16</v>
      </c>
      <c r="BO78" s="106">
        <v>8832</v>
      </c>
      <c r="BP78" s="106">
        <v>7</v>
      </c>
      <c r="BQ78" s="106">
        <v>3864</v>
      </c>
      <c r="BR78" s="106">
        <v>4</v>
      </c>
      <c r="BS78" s="106">
        <v>2208</v>
      </c>
      <c r="BT78" s="106">
        <v>6</v>
      </c>
      <c r="BU78" s="106">
        <v>3312</v>
      </c>
      <c r="BV78" s="106">
        <v>6</v>
      </c>
      <c r="BW78" s="106">
        <v>3312</v>
      </c>
      <c r="BX78" s="106">
        <v>4</v>
      </c>
      <c r="BY78" s="106">
        <v>2208</v>
      </c>
      <c r="BZ78" s="106">
        <v>7</v>
      </c>
      <c r="CA78" s="106">
        <v>3864</v>
      </c>
      <c r="CB78" s="106">
        <v>6</v>
      </c>
      <c r="CC78" s="106">
        <v>3312</v>
      </c>
      <c r="CD78" s="106">
        <v>8</v>
      </c>
      <c r="CE78" s="106">
        <v>4416</v>
      </c>
      <c r="CF78" s="106">
        <v>12</v>
      </c>
      <c r="CG78" s="106">
        <v>6624</v>
      </c>
      <c r="CH78" s="106">
        <v>12</v>
      </c>
      <c r="CI78" s="106">
        <v>6624</v>
      </c>
      <c r="CJ78" s="106">
        <v>14</v>
      </c>
      <c r="CK78" s="106">
        <v>7728</v>
      </c>
      <c r="CL78" s="106">
        <v>22</v>
      </c>
      <c r="CM78" s="106">
        <v>12144</v>
      </c>
      <c r="CN78" s="106">
        <v>5</v>
      </c>
      <c r="CO78" s="106">
        <v>2760</v>
      </c>
      <c r="CP78" s="106">
        <v>4</v>
      </c>
      <c r="CQ78" s="106">
        <v>2208</v>
      </c>
      <c r="CR78" s="106">
        <v>5</v>
      </c>
      <c r="CS78" s="106">
        <v>2760</v>
      </c>
      <c r="CT78" s="106">
        <v>5</v>
      </c>
      <c r="CU78" s="106">
        <v>2760</v>
      </c>
    </row>
    <row r="79" spans="2:99" x14ac:dyDescent="0.2">
      <c r="C79" s="105" t="s">
        <v>245</v>
      </c>
      <c r="D79" s="106">
        <v>8</v>
      </c>
      <c r="E79" s="106">
        <v>6057.5999999999995</v>
      </c>
      <c r="F79" s="106">
        <v>7</v>
      </c>
      <c r="G79" s="106">
        <v>5300.4</v>
      </c>
      <c r="H79" s="106">
        <v>9</v>
      </c>
      <c r="I79" s="106">
        <v>6814.7999999999993</v>
      </c>
      <c r="J79" s="106">
        <v>8</v>
      </c>
      <c r="K79" s="106">
        <v>6057.5999999999995</v>
      </c>
      <c r="L79" s="106">
        <v>3</v>
      </c>
      <c r="M79" s="106">
        <v>2271.6</v>
      </c>
      <c r="N79" s="106">
        <v>3</v>
      </c>
      <c r="O79" s="106">
        <v>2271.6</v>
      </c>
      <c r="P79" s="106">
        <v>4</v>
      </c>
      <c r="Q79" s="106">
        <v>3028.7999999999997</v>
      </c>
      <c r="R79" s="106">
        <v>5</v>
      </c>
      <c r="S79" s="106">
        <v>3785.9999999999995</v>
      </c>
      <c r="T79" s="106">
        <v>30</v>
      </c>
      <c r="U79" s="106">
        <v>22715.999999999996</v>
      </c>
      <c r="V79" s="106">
        <v>26</v>
      </c>
      <c r="W79" s="106">
        <v>19687.199999999997</v>
      </c>
      <c r="X79" s="106">
        <v>21</v>
      </c>
      <c r="Y79" s="106">
        <v>15901.199999999999</v>
      </c>
      <c r="Z79" s="106">
        <v>24</v>
      </c>
      <c r="AA79" s="106">
        <v>18172.8</v>
      </c>
      <c r="AB79" s="106">
        <v>13</v>
      </c>
      <c r="AC79" s="106">
        <v>9843.5999999999985</v>
      </c>
      <c r="AD79" s="106">
        <v>16</v>
      </c>
      <c r="AE79" s="106">
        <v>12115.199999999999</v>
      </c>
      <c r="AF79" s="106">
        <v>17</v>
      </c>
      <c r="AG79" s="106">
        <v>12872.4</v>
      </c>
      <c r="AH79" s="106">
        <v>14</v>
      </c>
      <c r="AI79" s="106">
        <v>10600.8</v>
      </c>
      <c r="AJ79" s="106">
        <v>9</v>
      </c>
      <c r="AK79" s="106">
        <v>6814.7999999999993</v>
      </c>
      <c r="AL79" s="106">
        <v>16</v>
      </c>
      <c r="AM79" s="106">
        <v>12115.199999999999</v>
      </c>
      <c r="AN79" s="106">
        <v>12</v>
      </c>
      <c r="AO79" s="106">
        <v>9086.4</v>
      </c>
      <c r="AP79" s="106">
        <v>11</v>
      </c>
      <c r="AQ79" s="106">
        <v>8329.1999999999989</v>
      </c>
      <c r="AR79" s="106">
        <v>20</v>
      </c>
      <c r="AS79" s="106">
        <v>15143.999999999998</v>
      </c>
      <c r="AT79" s="106">
        <v>14</v>
      </c>
      <c r="AU79" s="106">
        <v>10600.8</v>
      </c>
      <c r="AV79" s="106">
        <v>18</v>
      </c>
      <c r="AW79" s="106">
        <v>13629.599999999999</v>
      </c>
      <c r="AX79" s="106">
        <v>12</v>
      </c>
      <c r="AY79" s="106">
        <v>9086.4</v>
      </c>
      <c r="AZ79" s="106">
        <v>5</v>
      </c>
      <c r="BA79" s="106">
        <v>3785.9999999999995</v>
      </c>
      <c r="BB79" s="106">
        <v>4</v>
      </c>
      <c r="BC79" s="106">
        <v>3028.7999999999997</v>
      </c>
      <c r="BD79" s="106">
        <v>6</v>
      </c>
      <c r="BE79" s="106">
        <v>4543.2</v>
      </c>
      <c r="BF79" s="106">
        <v>6</v>
      </c>
      <c r="BG79" s="106">
        <v>4543.2</v>
      </c>
      <c r="BH79" s="106">
        <v>17</v>
      </c>
      <c r="BI79" s="106">
        <v>12872.4</v>
      </c>
      <c r="BJ79" s="106">
        <v>17</v>
      </c>
      <c r="BK79" s="106">
        <v>12872.4</v>
      </c>
      <c r="BL79" s="106">
        <v>17</v>
      </c>
      <c r="BM79" s="106">
        <v>12872.4</v>
      </c>
      <c r="BN79" s="106">
        <v>16</v>
      </c>
      <c r="BO79" s="106">
        <v>12115.199999999999</v>
      </c>
      <c r="BP79" s="106">
        <v>7</v>
      </c>
      <c r="BQ79" s="106">
        <v>5300.4</v>
      </c>
      <c r="BR79" s="106">
        <v>4</v>
      </c>
      <c r="BS79" s="106">
        <v>3028.7999999999997</v>
      </c>
      <c r="BT79" s="106">
        <v>5</v>
      </c>
      <c r="BU79" s="106">
        <v>3785.9999999999995</v>
      </c>
      <c r="BV79" s="106">
        <v>5</v>
      </c>
      <c r="BW79" s="106">
        <v>3785.9999999999995</v>
      </c>
      <c r="BX79" s="106">
        <v>4</v>
      </c>
      <c r="BY79" s="106">
        <v>3028.7999999999997</v>
      </c>
      <c r="BZ79" s="106">
        <v>7</v>
      </c>
      <c r="CA79" s="106">
        <v>5300.4</v>
      </c>
      <c r="CB79" s="106">
        <v>6</v>
      </c>
      <c r="CC79" s="106">
        <v>4543.2</v>
      </c>
      <c r="CD79" s="106">
        <v>8</v>
      </c>
      <c r="CE79" s="106">
        <v>6057.5999999999995</v>
      </c>
      <c r="CF79" s="106">
        <v>14</v>
      </c>
      <c r="CG79" s="106">
        <v>10600.8</v>
      </c>
      <c r="CH79" s="106">
        <v>12</v>
      </c>
      <c r="CI79" s="106">
        <v>9086.4</v>
      </c>
      <c r="CJ79" s="106">
        <v>14</v>
      </c>
      <c r="CK79" s="106">
        <v>10600.8</v>
      </c>
      <c r="CL79" s="106">
        <v>19</v>
      </c>
      <c r="CM79" s="106">
        <v>14386.8</v>
      </c>
      <c r="CN79" s="106">
        <v>4</v>
      </c>
      <c r="CO79" s="106">
        <v>3028.7999999999997</v>
      </c>
      <c r="CP79" s="106">
        <v>4</v>
      </c>
      <c r="CQ79" s="106">
        <v>3028.7999999999997</v>
      </c>
      <c r="CR79" s="106">
        <v>5</v>
      </c>
      <c r="CS79" s="106">
        <v>3785.9999999999995</v>
      </c>
      <c r="CT79" s="106">
        <v>5</v>
      </c>
      <c r="CU79" s="106">
        <v>3785.9999999999995</v>
      </c>
    </row>
    <row r="80" spans="2:99" x14ac:dyDescent="0.2">
      <c r="C80" s="105" t="s">
        <v>246</v>
      </c>
      <c r="D80" s="106">
        <v>8</v>
      </c>
      <c r="E80" s="106">
        <v>6441.5999999999995</v>
      </c>
      <c r="F80" s="106">
        <v>7</v>
      </c>
      <c r="G80" s="106">
        <v>5636.4</v>
      </c>
      <c r="H80" s="106">
        <v>9</v>
      </c>
      <c r="I80" s="106">
        <v>7246.7999999999993</v>
      </c>
      <c r="J80" s="106">
        <v>8</v>
      </c>
      <c r="K80" s="106">
        <v>6441.5999999999995</v>
      </c>
      <c r="L80" s="106">
        <v>3</v>
      </c>
      <c r="M80" s="106">
        <v>2415.6</v>
      </c>
      <c r="N80" s="106">
        <v>3</v>
      </c>
      <c r="O80" s="106">
        <v>2415.6</v>
      </c>
      <c r="P80" s="106">
        <v>4</v>
      </c>
      <c r="Q80" s="106">
        <v>3220.7999999999997</v>
      </c>
      <c r="R80" s="106">
        <v>5</v>
      </c>
      <c r="S80" s="106">
        <v>4025.9999999999995</v>
      </c>
      <c r="T80" s="106">
        <v>31</v>
      </c>
      <c r="U80" s="106">
        <v>24961.199999999997</v>
      </c>
      <c r="V80" s="106">
        <v>23</v>
      </c>
      <c r="W80" s="106">
        <v>18519.599999999999</v>
      </c>
      <c r="X80" s="106">
        <v>21</v>
      </c>
      <c r="Y80" s="106">
        <v>16909.199999999997</v>
      </c>
      <c r="Z80" s="106">
        <v>21</v>
      </c>
      <c r="AA80" s="106">
        <v>16909.199999999997</v>
      </c>
      <c r="AB80" s="106">
        <v>15</v>
      </c>
      <c r="AC80" s="106">
        <v>12077.999999999998</v>
      </c>
      <c r="AD80" s="106">
        <v>17</v>
      </c>
      <c r="AE80" s="106">
        <v>13688.4</v>
      </c>
      <c r="AF80" s="106">
        <v>18</v>
      </c>
      <c r="AG80" s="106">
        <v>14493.599999999999</v>
      </c>
      <c r="AH80" s="106">
        <v>14</v>
      </c>
      <c r="AI80" s="106">
        <v>11272.8</v>
      </c>
      <c r="AJ80" s="106">
        <v>10</v>
      </c>
      <c r="AK80" s="106">
        <v>8051.9999999999991</v>
      </c>
      <c r="AL80" s="106">
        <v>15</v>
      </c>
      <c r="AM80" s="106">
        <v>12077.999999999998</v>
      </c>
      <c r="AN80" s="106">
        <v>12</v>
      </c>
      <c r="AO80" s="106">
        <v>9662.4</v>
      </c>
      <c r="AP80" s="106">
        <v>11</v>
      </c>
      <c r="AQ80" s="106">
        <v>8857.1999999999989</v>
      </c>
      <c r="AR80" s="106">
        <v>21</v>
      </c>
      <c r="AS80" s="106">
        <v>16909.199999999997</v>
      </c>
      <c r="AT80" s="106">
        <v>15</v>
      </c>
      <c r="AU80" s="106">
        <v>12077.999999999998</v>
      </c>
      <c r="AV80" s="106">
        <v>18</v>
      </c>
      <c r="AW80" s="106">
        <v>14493.599999999999</v>
      </c>
      <c r="AX80" s="106">
        <v>14</v>
      </c>
      <c r="AY80" s="106">
        <v>11272.8</v>
      </c>
      <c r="AZ80" s="106">
        <v>5</v>
      </c>
      <c r="BA80" s="106">
        <v>4025.9999999999995</v>
      </c>
      <c r="BB80" s="106">
        <v>5</v>
      </c>
      <c r="BC80" s="106">
        <v>4025.9999999999995</v>
      </c>
      <c r="BD80" s="106">
        <v>5</v>
      </c>
      <c r="BE80" s="106">
        <v>4025.9999999999995</v>
      </c>
      <c r="BF80" s="106">
        <v>6</v>
      </c>
      <c r="BG80" s="106">
        <v>4831.2</v>
      </c>
      <c r="BH80" s="106">
        <v>16</v>
      </c>
      <c r="BI80" s="106">
        <v>12883.199999999999</v>
      </c>
      <c r="BJ80" s="106">
        <v>17</v>
      </c>
      <c r="BK80" s="106">
        <v>13688.4</v>
      </c>
      <c r="BL80" s="106">
        <v>16</v>
      </c>
      <c r="BM80" s="106">
        <v>12883.199999999999</v>
      </c>
      <c r="BN80" s="106">
        <v>16</v>
      </c>
      <c r="BO80" s="106">
        <v>12883.199999999999</v>
      </c>
      <c r="BP80" s="106">
        <v>8</v>
      </c>
      <c r="BQ80" s="106">
        <v>6441.5999999999995</v>
      </c>
      <c r="BR80" s="106">
        <v>5</v>
      </c>
      <c r="BS80" s="106">
        <v>4025.9999999999995</v>
      </c>
      <c r="BT80" s="106">
        <v>6</v>
      </c>
      <c r="BU80" s="106">
        <v>4831.2</v>
      </c>
      <c r="BV80" s="106">
        <v>5</v>
      </c>
      <c r="BW80" s="106">
        <v>4025.9999999999995</v>
      </c>
      <c r="BX80" s="106">
        <v>4</v>
      </c>
      <c r="BY80" s="106">
        <v>3220.7999999999997</v>
      </c>
      <c r="BZ80" s="106">
        <v>7</v>
      </c>
      <c r="CA80" s="106">
        <v>5636.4</v>
      </c>
      <c r="CB80" s="106">
        <v>6</v>
      </c>
      <c r="CC80" s="106">
        <v>4831.2</v>
      </c>
      <c r="CD80" s="106">
        <v>8</v>
      </c>
      <c r="CE80" s="106">
        <v>6441.5999999999995</v>
      </c>
      <c r="CF80" s="106">
        <v>13</v>
      </c>
      <c r="CG80" s="106">
        <v>10467.599999999999</v>
      </c>
      <c r="CH80" s="106">
        <v>11</v>
      </c>
      <c r="CI80" s="106">
        <v>8857.1999999999989</v>
      </c>
      <c r="CJ80" s="106">
        <v>13</v>
      </c>
      <c r="CK80" s="106">
        <v>10467.599999999999</v>
      </c>
      <c r="CL80" s="106">
        <v>21</v>
      </c>
      <c r="CM80" s="106">
        <v>16909.199999999997</v>
      </c>
      <c r="CN80" s="106">
        <v>5</v>
      </c>
      <c r="CO80" s="106">
        <v>4025.9999999999995</v>
      </c>
      <c r="CP80" s="106">
        <v>4</v>
      </c>
      <c r="CQ80" s="106">
        <v>3220.7999999999997</v>
      </c>
      <c r="CR80" s="106">
        <v>5</v>
      </c>
      <c r="CS80" s="106">
        <v>4025.9999999999995</v>
      </c>
      <c r="CT80" s="106">
        <v>4</v>
      </c>
      <c r="CU80" s="106">
        <v>3220.7999999999997</v>
      </c>
    </row>
    <row r="81" spans="2:99" x14ac:dyDescent="0.2">
      <c r="C81" s="105" t="s">
        <v>247</v>
      </c>
      <c r="D81" s="106">
        <v>9</v>
      </c>
      <c r="E81" s="106">
        <v>6782.4000000000005</v>
      </c>
      <c r="F81" s="106">
        <v>6</v>
      </c>
      <c r="G81" s="106">
        <v>4521.6000000000004</v>
      </c>
      <c r="H81" s="106">
        <v>8</v>
      </c>
      <c r="I81" s="106">
        <v>6028.8</v>
      </c>
      <c r="J81" s="106">
        <v>8</v>
      </c>
      <c r="K81" s="106">
        <v>6028.8</v>
      </c>
      <c r="L81" s="106">
        <v>3</v>
      </c>
      <c r="M81" s="106">
        <v>2260.8000000000002</v>
      </c>
      <c r="N81" s="106">
        <v>3</v>
      </c>
      <c r="O81" s="106">
        <v>2260.8000000000002</v>
      </c>
      <c r="P81" s="106">
        <v>4</v>
      </c>
      <c r="Q81" s="106">
        <v>3014.4</v>
      </c>
      <c r="R81" s="106">
        <v>5</v>
      </c>
      <c r="S81" s="106">
        <v>3768</v>
      </c>
      <c r="T81" s="106">
        <v>31</v>
      </c>
      <c r="U81" s="106">
        <v>23361.600000000002</v>
      </c>
      <c r="V81" s="106">
        <v>25</v>
      </c>
      <c r="W81" s="106">
        <v>18840</v>
      </c>
      <c r="X81" s="106">
        <v>22</v>
      </c>
      <c r="Y81" s="106">
        <v>16579.2</v>
      </c>
      <c r="Z81" s="106">
        <v>22</v>
      </c>
      <c r="AA81" s="106">
        <v>16579.2</v>
      </c>
      <c r="AB81" s="106">
        <v>14</v>
      </c>
      <c r="AC81" s="106">
        <v>10550.4</v>
      </c>
      <c r="AD81" s="106">
        <v>18</v>
      </c>
      <c r="AE81" s="106">
        <v>13564.800000000001</v>
      </c>
      <c r="AF81" s="106">
        <v>17</v>
      </c>
      <c r="AG81" s="106">
        <v>12811.2</v>
      </c>
      <c r="AH81" s="106">
        <v>14</v>
      </c>
      <c r="AI81" s="106">
        <v>10550.4</v>
      </c>
      <c r="AJ81" s="106">
        <v>10</v>
      </c>
      <c r="AK81" s="106">
        <v>7536</v>
      </c>
      <c r="AL81" s="106">
        <v>17</v>
      </c>
      <c r="AM81" s="106">
        <v>12811.2</v>
      </c>
      <c r="AN81" s="106">
        <v>11</v>
      </c>
      <c r="AO81" s="106">
        <v>8289.6</v>
      </c>
      <c r="AP81" s="106">
        <v>9</v>
      </c>
      <c r="AQ81" s="106">
        <v>6782.4000000000005</v>
      </c>
      <c r="AR81" s="106">
        <v>22</v>
      </c>
      <c r="AS81" s="106">
        <v>16579.2</v>
      </c>
      <c r="AT81" s="106">
        <v>13</v>
      </c>
      <c r="AU81" s="106">
        <v>9796.8000000000011</v>
      </c>
      <c r="AV81" s="106">
        <v>18</v>
      </c>
      <c r="AW81" s="106">
        <v>13564.800000000001</v>
      </c>
      <c r="AX81" s="106">
        <v>14</v>
      </c>
      <c r="AY81" s="106">
        <v>10550.4</v>
      </c>
      <c r="AZ81" s="106">
        <v>5</v>
      </c>
      <c r="BA81" s="106">
        <v>3768</v>
      </c>
      <c r="BB81" s="106">
        <v>4</v>
      </c>
      <c r="BC81" s="106">
        <v>3014.4</v>
      </c>
      <c r="BD81" s="106">
        <v>6</v>
      </c>
      <c r="BE81" s="106">
        <v>4521.6000000000004</v>
      </c>
      <c r="BF81" s="106">
        <v>6</v>
      </c>
      <c r="BG81" s="106">
        <v>4521.6000000000004</v>
      </c>
      <c r="BH81" s="106">
        <v>17</v>
      </c>
      <c r="BI81" s="106">
        <v>12811.2</v>
      </c>
      <c r="BJ81" s="106">
        <v>19</v>
      </c>
      <c r="BK81" s="106">
        <v>14318.4</v>
      </c>
      <c r="BL81" s="106">
        <v>15</v>
      </c>
      <c r="BM81" s="106">
        <v>11304</v>
      </c>
      <c r="BN81" s="106">
        <v>15</v>
      </c>
      <c r="BO81" s="106">
        <v>11304</v>
      </c>
      <c r="BP81" s="106">
        <v>8</v>
      </c>
      <c r="BQ81" s="106">
        <v>6028.8</v>
      </c>
      <c r="BR81" s="106">
        <v>5</v>
      </c>
      <c r="BS81" s="106">
        <v>3768</v>
      </c>
      <c r="BT81" s="106">
        <v>6</v>
      </c>
      <c r="BU81" s="106">
        <v>4521.6000000000004</v>
      </c>
      <c r="BV81" s="106">
        <v>6</v>
      </c>
      <c r="BW81" s="106">
        <v>4521.6000000000004</v>
      </c>
      <c r="BX81" s="106">
        <v>4</v>
      </c>
      <c r="BY81" s="106">
        <v>3014.4</v>
      </c>
      <c r="BZ81" s="106">
        <v>8</v>
      </c>
      <c r="CA81" s="106">
        <v>6028.8</v>
      </c>
      <c r="CB81" s="106">
        <v>6</v>
      </c>
      <c r="CC81" s="106">
        <v>4521.6000000000004</v>
      </c>
      <c r="CD81" s="106">
        <v>8</v>
      </c>
      <c r="CE81" s="106">
        <v>6028.8</v>
      </c>
      <c r="CF81" s="106">
        <v>12</v>
      </c>
      <c r="CG81" s="106">
        <v>9043.2000000000007</v>
      </c>
      <c r="CH81" s="106">
        <v>10</v>
      </c>
      <c r="CI81" s="106">
        <v>7536</v>
      </c>
      <c r="CJ81" s="106">
        <v>16</v>
      </c>
      <c r="CK81" s="106">
        <v>12057.6</v>
      </c>
      <c r="CL81" s="106">
        <v>20</v>
      </c>
      <c r="CM81" s="106">
        <v>15072</v>
      </c>
      <c r="CN81" s="106">
        <v>5</v>
      </c>
      <c r="CO81" s="106">
        <v>3768</v>
      </c>
      <c r="CP81" s="106">
        <v>4</v>
      </c>
      <c r="CQ81" s="106">
        <v>3014.4</v>
      </c>
      <c r="CR81" s="106">
        <v>5</v>
      </c>
      <c r="CS81" s="106">
        <v>3768</v>
      </c>
      <c r="CT81" s="106">
        <v>5</v>
      </c>
      <c r="CU81" s="106">
        <v>3768</v>
      </c>
    </row>
    <row r="82" spans="2:99" x14ac:dyDescent="0.2">
      <c r="C82" s="105" t="s">
        <v>248</v>
      </c>
      <c r="D82" s="106">
        <v>8</v>
      </c>
      <c r="E82" s="106">
        <v>4070.3999999999992</v>
      </c>
      <c r="F82" s="106">
        <v>7</v>
      </c>
      <c r="G82" s="106">
        <v>3561.5999999999995</v>
      </c>
      <c r="H82" s="106">
        <v>8</v>
      </c>
      <c r="I82" s="106">
        <v>4070.3999999999992</v>
      </c>
      <c r="J82" s="106">
        <v>9</v>
      </c>
      <c r="K82" s="106">
        <v>4579.1999999999989</v>
      </c>
      <c r="L82" s="106">
        <v>3</v>
      </c>
      <c r="M82" s="106">
        <v>1526.3999999999996</v>
      </c>
      <c r="N82" s="106">
        <v>3</v>
      </c>
      <c r="O82" s="106">
        <v>1526.3999999999996</v>
      </c>
      <c r="P82" s="106">
        <v>4</v>
      </c>
      <c r="Q82" s="106">
        <v>2035.1999999999996</v>
      </c>
      <c r="R82" s="106">
        <v>5</v>
      </c>
      <c r="S82" s="106">
        <v>2543.9999999999995</v>
      </c>
      <c r="T82" s="106">
        <v>33</v>
      </c>
      <c r="U82" s="106">
        <v>16790.399999999998</v>
      </c>
      <c r="V82" s="106">
        <v>27</v>
      </c>
      <c r="W82" s="106">
        <v>13737.599999999997</v>
      </c>
      <c r="X82" s="106">
        <v>24</v>
      </c>
      <c r="Y82" s="106">
        <v>12211.199999999997</v>
      </c>
      <c r="Z82" s="106">
        <v>23</v>
      </c>
      <c r="AA82" s="106">
        <v>11702.399999999998</v>
      </c>
      <c r="AB82" s="106">
        <v>15</v>
      </c>
      <c r="AC82" s="106">
        <v>7631.9999999999982</v>
      </c>
      <c r="AD82" s="106">
        <v>17</v>
      </c>
      <c r="AE82" s="106">
        <v>8649.5999999999985</v>
      </c>
      <c r="AF82" s="106">
        <v>17</v>
      </c>
      <c r="AG82" s="106">
        <v>8649.5999999999985</v>
      </c>
      <c r="AH82" s="106">
        <v>16</v>
      </c>
      <c r="AI82" s="106">
        <v>8140.7999999999984</v>
      </c>
      <c r="AJ82" s="106">
        <v>10</v>
      </c>
      <c r="AK82" s="106">
        <v>5087.9999999999991</v>
      </c>
      <c r="AL82" s="106">
        <v>18</v>
      </c>
      <c r="AM82" s="106">
        <v>9158.3999999999978</v>
      </c>
      <c r="AN82" s="106">
        <v>12</v>
      </c>
      <c r="AO82" s="106">
        <v>6105.5999999999985</v>
      </c>
      <c r="AP82" s="106">
        <v>11</v>
      </c>
      <c r="AQ82" s="106">
        <v>5596.7999999999993</v>
      </c>
      <c r="AR82" s="106">
        <v>22</v>
      </c>
      <c r="AS82" s="106">
        <v>11193.599999999999</v>
      </c>
      <c r="AT82" s="106">
        <v>14</v>
      </c>
      <c r="AU82" s="106">
        <v>7123.1999999999989</v>
      </c>
      <c r="AV82" s="106">
        <v>19</v>
      </c>
      <c r="AW82" s="106">
        <v>9667.1999999999989</v>
      </c>
      <c r="AX82" s="106">
        <v>13</v>
      </c>
      <c r="AY82" s="106">
        <v>6614.3999999999987</v>
      </c>
      <c r="AZ82" s="106">
        <v>4</v>
      </c>
      <c r="BA82" s="106">
        <v>2035.1999999999996</v>
      </c>
      <c r="BB82" s="106">
        <v>4</v>
      </c>
      <c r="BC82" s="106">
        <v>2035.1999999999996</v>
      </c>
      <c r="BD82" s="106">
        <v>6</v>
      </c>
      <c r="BE82" s="106">
        <v>3052.7999999999993</v>
      </c>
      <c r="BF82" s="106">
        <v>5</v>
      </c>
      <c r="BG82" s="106">
        <v>2543.9999999999995</v>
      </c>
      <c r="BH82" s="106">
        <v>16</v>
      </c>
      <c r="BI82" s="106">
        <v>8140.7999999999984</v>
      </c>
      <c r="BJ82" s="106">
        <v>18</v>
      </c>
      <c r="BK82" s="106">
        <v>9158.3999999999978</v>
      </c>
      <c r="BL82" s="106">
        <v>15</v>
      </c>
      <c r="BM82" s="106">
        <v>7631.9999999999982</v>
      </c>
      <c r="BN82" s="106">
        <v>16</v>
      </c>
      <c r="BO82" s="106">
        <v>8140.7999999999984</v>
      </c>
      <c r="BP82" s="106">
        <v>8</v>
      </c>
      <c r="BQ82" s="106">
        <v>4070.3999999999992</v>
      </c>
      <c r="BR82" s="106">
        <v>4</v>
      </c>
      <c r="BS82" s="106">
        <v>2035.1999999999996</v>
      </c>
      <c r="BT82" s="106">
        <v>6</v>
      </c>
      <c r="BU82" s="106">
        <v>3052.7999999999993</v>
      </c>
      <c r="BV82" s="106">
        <v>7</v>
      </c>
      <c r="BW82" s="106">
        <v>3561.5999999999995</v>
      </c>
      <c r="BX82" s="106">
        <v>5</v>
      </c>
      <c r="BY82" s="106">
        <v>2543.9999999999995</v>
      </c>
      <c r="BZ82" s="106">
        <v>7</v>
      </c>
      <c r="CA82" s="106">
        <v>3561.5999999999995</v>
      </c>
      <c r="CB82" s="106">
        <v>5</v>
      </c>
      <c r="CC82" s="106">
        <v>2543.9999999999995</v>
      </c>
      <c r="CD82" s="106">
        <v>8</v>
      </c>
      <c r="CE82" s="106">
        <v>4070.3999999999992</v>
      </c>
      <c r="CF82" s="106">
        <v>13</v>
      </c>
      <c r="CG82" s="106">
        <v>6614.3999999999987</v>
      </c>
      <c r="CH82" s="106">
        <v>12</v>
      </c>
      <c r="CI82" s="106">
        <v>6105.5999999999985</v>
      </c>
      <c r="CJ82" s="106">
        <v>14</v>
      </c>
      <c r="CK82" s="106">
        <v>7123.1999999999989</v>
      </c>
      <c r="CL82" s="106">
        <v>21</v>
      </c>
      <c r="CM82" s="106">
        <v>10684.799999999997</v>
      </c>
      <c r="CN82" s="106">
        <v>4</v>
      </c>
      <c r="CO82" s="106">
        <v>2035.1999999999996</v>
      </c>
      <c r="CP82" s="106">
        <v>4</v>
      </c>
      <c r="CQ82" s="106">
        <v>2035.1999999999996</v>
      </c>
      <c r="CR82" s="106">
        <v>5</v>
      </c>
      <c r="CS82" s="106">
        <v>2543.9999999999995</v>
      </c>
      <c r="CT82" s="106">
        <v>4</v>
      </c>
      <c r="CU82" s="106">
        <v>2035.1999999999996</v>
      </c>
    </row>
    <row r="83" spans="2:99" x14ac:dyDescent="0.2">
      <c r="C83" s="105" t="s">
        <v>249</v>
      </c>
      <c r="D83" s="106">
        <v>8</v>
      </c>
      <c r="E83" s="106">
        <v>6883.2</v>
      </c>
      <c r="F83" s="106">
        <v>7</v>
      </c>
      <c r="G83" s="106">
        <v>6022.8</v>
      </c>
      <c r="H83" s="106">
        <v>8</v>
      </c>
      <c r="I83" s="106">
        <v>6883.2</v>
      </c>
      <c r="J83" s="106">
        <v>8</v>
      </c>
      <c r="K83" s="106">
        <v>6883.2</v>
      </c>
      <c r="L83" s="106">
        <v>3</v>
      </c>
      <c r="M83" s="106">
        <v>2581.1999999999998</v>
      </c>
      <c r="N83" s="106">
        <v>3</v>
      </c>
      <c r="O83" s="106">
        <v>2581.1999999999998</v>
      </c>
      <c r="P83" s="106">
        <v>4</v>
      </c>
      <c r="Q83" s="106">
        <v>3441.6</v>
      </c>
      <c r="R83" s="106">
        <v>5</v>
      </c>
      <c r="S83" s="106">
        <v>4302</v>
      </c>
      <c r="T83" s="106">
        <v>27</v>
      </c>
      <c r="U83" s="106">
        <v>23230.799999999999</v>
      </c>
      <c r="V83" s="106">
        <v>22</v>
      </c>
      <c r="W83" s="106">
        <v>18928.8</v>
      </c>
      <c r="X83" s="106">
        <v>21</v>
      </c>
      <c r="Y83" s="106">
        <v>18068.399999999998</v>
      </c>
      <c r="Z83" s="106">
        <v>24</v>
      </c>
      <c r="AA83" s="106">
        <v>20649.599999999999</v>
      </c>
      <c r="AB83" s="106">
        <v>13</v>
      </c>
      <c r="AC83" s="106">
        <v>11185.199999999999</v>
      </c>
      <c r="AD83" s="106">
        <v>16</v>
      </c>
      <c r="AE83" s="106">
        <v>13766.4</v>
      </c>
      <c r="AF83" s="106">
        <v>15</v>
      </c>
      <c r="AG83" s="106">
        <v>12906</v>
      </c>
      <c r="AH83" s="106">
        <v>14</v>
      </c>
      <c r="AI83" s="106">
        <v>12045.6</v>
      </c>
      <c r="AJ83" s="106">
        <v>9</v>
      </c>
      <c r="AK83" s="106">
        <v>7743.5999999999995</v>
      </c>
      <c r="AL83" s="106">
        <v>16</v>
      </c>
      <c r="AM83" s="106">
        <v>13766.4</v>
      </c>
      <c r="AN83" s="106">
        <v>10</v>
      </c>
      <c r="AO83" s="106">
        <v>8604</v>
      </c>
      <c r="AP83" s="106">
        <v>10</v>
      </c>
      <c r="AQ83" s="106">
        <v>8604</v>
      </c>
      <c r="AR83" s="106">
        <v>20</v>
      </c>
      <c r="AS83" s="106">
        <v>17208</v>
      </c>
      <c r="AT83" s="106">
        <v>13</v>
      </c>
      <c r="AU83" s="106">
        <v>11185.199999999999</v>
      </c>
      <c r="AV83" s="106">
        <v>17</v>
      </c>
      <c r="AW83" s="106">
        <v>14626.8</v>
      </c>
      <c r="AX83" s="106">
        <v>12</v>
      </c>
      <c r="AY83" s="106">
        <v>10324.799999999999</v>
      </c>
      <c r="AZ83" s="106">
        <v>4</v>
      </c>
      <c r="BA83" s="106">
        <v>3441.6</v>
      </c>
      <c r="BB83" s="106">
        <v>4</v>
      </c>
      <c r="BC83" s="106">
        <v>3441.6</v>
      </c>
      <c r="BD83" s="106">
        <v>6</v>
      </c>
      <c r="BE83" s="106">
        <v>5162.3999999999996</v>
      </c>
      <c r="BF83" s="106">
        <v>6</v>
      </c>
      <c r="BG83" s="106">
        <v>5162.3999999999996</v>
      </c>
      <c r="BH83" s="106">
        <v>18</v>
      </c>
      <c r="BI83" s="106">
        <v>15487.199999999999</v>
      </c>
      <c r="BJ83" s="106">
        <v>18</v>
      </c>
      <c r="BK83" s="106">
        <v>15487.199999999999</v>
      </c>
      <c r="BL83" s="106">
        <v>16</v>
      </c>
      <c r="BM83" s="106">
        <v>13766.4</v>
      </c>
      <c r="BN83" s="106">
        <v>16</v>
      </c>
      <c r="BO83" s="106">
        <v>13766.4</v>
      </c>
      <c r="BP83" s="106">
        <v>8</v>
      </c>
      <c r="BQ83" s="106">
        <v>6883.2</v>
      </c>
      <c r="BR83" s="106">
        <v>5</v>
      </c>
      <c r="BS83" s="106">
        <v>4302</v>
      </c>
      <c r="BT83" s="106">
        <v>5</v>
      </c>
      <c r="BU83" s="106">
        <v>4302</v>
      </c>
      <c r="BV83" s="106">
        <v>6</v>
      </c>
      <c r="BW83" s="106">
        <v>5162.3999999999996</v>
      </c>
      <c r="BX83" s="106">
        <v>4</v>
      </c>
      <c r="BY83" s="106">
        <v>3441.6</v>
      </c>
      <c r="BZ83" s="106">
        <v>6</v>
      </c>
      <c r="CA83" s="106">
        <v>5162.3999999999996</v>
      </c>
      <c r="CB83" s="106">
        <v>6</v>
      </c>
      <c r="CC83" s="106">
        <v>5162.3999999999996</v>
      </c>
      <c r="CD83" s="106">
        <v>7</v>
      </c>
      <c r="CE83" s="106">
        <v>6022.8</v>
      </c>
      <c r="CF83" s="106">
        <v>11</v>
      </c>
      <c r="CG83" s="106">
        <v>9464.4</v>
      </c>
      <c r="CH83" s="106">
        <v>11</v>
      </c>
      <c r="CI83" s="106">
        <v>9464.4</v>
      </c>
      <c r="CJ83" s="106">
        <v>14</v>
      </c>
      <c r="CK83" s="106">
        <v>12045.6</v>
      </c>
      <c r="CL83" s="106">
        <v>21</v>
      </c>
      <c r="CM83" s="106">
        <v>18068.399999999998</v>
      </c>
      <c r="CN83" s="106">
        <v>5</v>
      </c>
      <c r="CO83" s="106">
        <v>4302</v>
      </c>
      <c r="CP83" s="106">
        <v>4</v>
      </c>
      <c r="CQ83" s="106">
        <v>3441.6</v>
      </c>
      <c r="CR83" s="106">
        <v>5</v>
      </c>
      <c r="CS83" s="106">
        <v>4302</v>
      </c>
      <c r="CT83" s="106">
        <v>5</v>
      </c>
      <c r="CU83" s="106">
        <v>4302</v>
      </c>
    </row>
    <row r="84" spans="2:99" x14ac:dyDescent="0.2">
      <c r="C84" s="105" t="s">
        <v>250</v>
      </c>
      <c r="D84" s="106">
        <v>9</v>
      </c>
      <c r="E84" s="106">
        <v>7030.7999999999993</v>
      </c>
      <c r="F84" s="106">
        <v>7</v>
      </c>
      <c r="G84" s="106">
        <v>5468.4</v>
      </c>
      <c r="H84" s="106">
        <v>8</v>
      </c>
      <c r="I84" s="106">
        <v>6249.5999999999995</v>
      </c>
      <c r="J84" s="106">
        <v>8</v>
      </c>
      <c r="K84" s="106">
        <v>6249.5999999999995</v>
      </c>
      <c r="L84" s="106">
        <v>3</v>
      </c>
      <c r="M84" s="106">
        <v>2343.6</v>
      </c>
      <c r="N84" s="106">
        <v>3</v>
      </c>
      <c r="O84" s="106">
        <v>2343.6</v>
      </c>
      <c r="P84" s="106">
        <v>4</v>
      </c>
      <c r="Q84" s="106">
        <v>3124.7999999999997</v>
      </c>
      <c r="R84" s="106">
        <v>5</v>
      </c>
      <c r="S84" s="106">
        <v>3905.9999999999995</v>
      </c>
      <c r="T84" s="106">
        <v>29</v>
      </c>
      <c r="U84" s="106">
        <v>22654.799999999999</v>
      </c>
      <c r="V84" s="106">
        <v>23</v>
      </c>
      <c r="W84" s="106">
        <v>17967.599999999999</v>
      </c>
      <c r="X84" s="106">
        <v>21</v>
      </c>
      <c r="Y84" s="106">
        <v>16405.199999999997</v>
      </c>
      <c r="Z84" s="106">
        <v>23</v>
      </c>
      <c r="AA84" s="106">
        <v>17967.599999999999</v>
      </c>
      <c r="AB84" s="106">
        <v>13</v>
      </c>
      <c r="AC84" s="106">
        <v>10155.599999999999</v>
      </c>
      <c r="AD84" s="106">
        <v>18</v>
      </c>
      <c r="AE84" s="106">
        <v>14061.599999999999</v>
      </c>
      <c r="AF84" s="106">
        <v>17</v>
      </c>
      <c r="AG84" s="106">
        <v>13280.4</v>
      </c>
      <c r="AH84" s="106">
        <v>16</v>
      </c>
      <c r="AI84" s="106">
        <v>12499.199999999999</v>
      </c>
      <c r="AJ84" s="106">
        <v>9</v>
      </c>
      <c r="AK84" s="106">
        <v>7030.7999999999993</v>
      </c>
      <c r="AL84" s="106">
        <v>16</v>
      </c>
      <c r="AM84" s="106">
        <v>12499.199999999999</v>
      </c>
      <c r="AN84" s="106">
        <v>11</v>
      </c>
      <c r="AO84" s="106">
        <v>8593.1999999999989</v>
      </c>
      <c r="AP84" s="106">
        <v>10</v>
      </c>
      <c r="AQ84" s="106">
        <v>7811.9999999999991</v>
      </c>
      <c r="AR84" s="106">
        <v>18</v>
      </c>
      <c r="AS84" s="106">
        <v>14061.599999999999</v>
      </c>
      <c r="AT84" s="106">
        <v>14</v>
      </c>
      <c r="AU84" s="106">
        <v>10936.8</v>
      </c>
      <c r="AV84" s="106">
        <v>16</v>
      </c>
      <c r="AW84" s="106">
        <v>12499.199999999999</v>
      </c>
      <c r="AX84" s="106">
        <v>14</v>
      </c>
      <c r="AY84" s="106">
        <v>10936.8</v>
      </c>
      <c r="AZ84" s="106">
        <v>5</v>
      </c>
      <c r="BA84" s="106">
        <v>3905.9999999999995</v>
      </c>
      <c r="BB84" s="106">
        <v>4</v>
      </c>
      <c r="BC84" s="106">
        <v>3124.7999999999997</v>
      </c>
      <c r="BD84" s="106">
        <v>6</v>
      </c>
      <c r="BE84" s="106">
        <v>4687.2</v>
      </c>
      <c r="BF84" s="106">
        <v>6</v>
      </c>
      <c r="BG84" s="106">
        <v>4687.2</v>
      </c>
      <c r="BH84" s="106">
        <v>17</v>
      </c>
      <c r="BI84" s="106">
        <v>13280.4</v>
      </c>
      <c r="BJ84" s="106">
        <v>19</v>
      </c>
      <c r="BK84" s="106">
        <v>14842.8</v>
      </c>
      <c r="BL84" s="106">
        <v>15</v>
      </c>
      <c r="BM84" s="106">
        <v>11717.999999999998</v>
      </c>
      <c r="BN84" s="106">
        <v>15</v>
      </c>
      <c r="BO84" s="106">
        <v>11717.999999999998</v>
      </c>
      <c r="BP84" s="106">
        <v>7</v>
      </c>
      <c r="BQ84" s="106">
        <v>5468.4</v>
      </c>
      <c r="BR84" s="106">
        <v>4</v>
      </c>
      <c r="BS84" s="106">
        <v>3124.7999999999997</v>
      </c>
      <c r="BT84" s="106">
        <v>5</v>
      </c>
      <c r="BU84" s="106">
        <v>3905.9999999999995</v>
      </c>
      <c r="BV84" s="106">
        <v>6</v>
      </c>
      <c r="BW84" s="106">
        <v>4687.2</v>
      </c>
      <c r="BX84" s="106">
        <v>4</v>
      </c>
      <c r="BY84" s="106">
        <v>3124.7999999999997</v>
      </c>
      <c r="BZ84" s="106">
        <v>7</v>
      </c>
      <c r="CA84" s="106">
        <v>5468.4</v>
      </c>
      <c r="CB84" s="106">
        <v>6</v>
      </c>
      <c r="CC84" s="106">
        <v>4687.2</v>
      </c>
      <c r="CD84" s="106">
        <v>8</v>
      </c>
      <c r="CE84" s="106">
        <v>6249.5999999999995</v>
      </c>
      <c r="CF84" s="106">
        <v>14</v>
      </c>
      <c r="CG84" s="106">
        <v>10936.8</v>
      </c>
      <c r="CH84" s="106">
        <v>10</v>
      </c>
      <c r="CI84" s="106">
        <v>7811.9999999999991</v>
      </c>
      <c r="CJ84" s="106">
        <v>16</v>
      </c>
      <c r="CK84" s="106">
        <v>12499.199999999999</v>
      </c>
      <c r="CL84" s="106">
        <v>20</v>
      </c>
      <c r="CM84" s="106">
        <v>15623.999999999998</v>
      </c>
      <c r="CN84" s="106">
        <v>4</v>
      </c>
      <c r="CO84" s="106">
        <v>3124.7999999999997</v>
      </c>
      <c r="CP84" s="106">
        <v>4</v>
      </c>
      <c r="CQ84" s="106">
        <v>3124.7999999999997</v>
      </c>
      <c r="CR84" s="106">
        <v>5</v>
      </c>
      <c r="CS84" s="106">
        <v>3905.9999999999995</v>
      </c>
      <c r="CT84" s="106">
        <v>5</v>
      </c>
      <c r="CU84" s="106">
        <v>3905.9999999999995</v>
      </c>
    </row>
    <row r="85" spans="2:99" x14ac:dyDescent="0.2">
      <c r="C85" s="105" t="s">
        <v>251</v>
      </c>
      <c r="D85" s="106">
        <v>8</v>
      </c>
      <c r="E85" s="106">
        <v>1200</v>
      </c>
      <c r="F85" s="106">
        <v>7</v>
      </c>
      <c r="G85" s="106">
        <v>1050</v>
      </c>
      <c r="H85" s="106">
        <v>9</v>
      </c>
      <c r="I85" s="106">
        <v>1350</v>
      </c>
      <c r="J85" s="106">
        <v>8</v>
      </c>
      <c r="K85" s="106">
        <v>1200</v>
      </c>
      <c r="L85" s="106">
        <v>3</v>
      </c>
      <c r="M85" s="106">
        <v>450</v>
      </c>
      <c r="N85" s="106">
        <v>3</v>
      </c>
      <c r="O85" s="106">
        <v>450</v>
      </c>
      <c r="P85" s="106">
        <v>4</v>
      </c>
      <c r="Q85" s="106">
        <v>600</v>
      </c>
      <c r="R85" s="106">
        <v>5</v>
      </c>
      <c r="S85" s="106">
        <v>750</v>
      </c>
      <c r="T85" s="106">
        <v>32</v>
      </c>
      <c r="U85" s="106">
        <v>4800</v>
      </c>
      <c r="V85" s="106">
        <v>24</v>
      </c>
      <c r="W85" s="106">
        <v>3600</v>
      </c>
      <c r="X85" s="106">
        <v>24</v>
      </c>
      <c r="Y85" s="106">
        <v>3600</v>
      </c>
      <c r="Z85" s="106">
        <v>27</v>
      </c>
      <c r="AA85" s="106">
        <v>4050</v>
      </c>
      <c r="AB85" s="106">
        <v>15</v>
      </c>
      <c r="AC85" s="106">
        <v>2250</v>
      </c>
      <c r="AD85" s="106">
        <v>20</v>
      </c>
      <c r="AE85" s="106">
        <v>3000</v>
      </c>
      <c r="AF85" s="106">
        <v>17</v>
      </c>
      <c r="AG85" s="106">
        <v>2550</v>
      </c>
      <c r="AH85" s="106">
        <v>15</v>
      </c>
      <c r="AI85" s="106">
        <v>2250</v>
      </c>
      <c r="AJ85" s="106">
        <v>10</v>
      </c>
      <c r="AK85" s="106">
        <v>1500</v>
      </c>
      <c r="AL85" s="106">
        <v>16</v>
      </c>
      <c r="AM85" s="106">
        <v>2400</v>
      </c>
      <c r="AN85" s="106">
        <v>11</v>
      </c>
      <c r="AO85" s="106">
        <v>1650</v>
      </c>
      <c r="AP85" s="106">
        <v>11</v>
      </c>
      <c r="AQ85" s="106">
        <v>1650</v>
      </c>
      <c r="AR85" s="106">
        <v>20</v>
      </c>
      <c r="AS85" s="106">
        <v>3000</v>
      </c>
      <c r="AT85" s="106">
        <v>14</v>
      </c>
      <c r="AU85" s="106">
        <v>2100</v>
      </c>
      <c r="AV85" s="106">
        <v>20</v>
      </c>
      <c r="AW85" s="106">
        <v>3000</v>
      </c>
      <c r="AX85" s="106">
        <v>15</v>
      </c>
      <c r="AY85" s="106">
        <v>2250</v>
      </c>
      <c r="AZ85" s="106">
        <v>5</v>
      </c>
      <c r="BA85" s="106">
        <v>750</v>
      </c>
      <c r="BB85" s="106">
        <v>4</v>
      </c>
      <c r="BC85" s="106">
        <v>600</v>
      </c>
      <c r="BD85" s="106">
        <v>7</v>
      </c>
      <c r="BE85" s="106">
        <v>1050</v>
      </c>
      <c r="BF85" s="106">
        <v>6</v>
      </c>
      <c r="BG85" s="106">
        <v>900</v>
      </c>
      <c r="BH85" s="106">
        <v>17</v>
      </c>
      <c r="BI85" s="106">
        <v>2550</v>
      </c>
      <c r="BJ85" s="106">
        <v>21</v>
      </c>
      <c r="BK85" s="106">
        <v>3150</v>
      </c>
      <c r="BL85" s="106">
        <v>16</v>
      </c>
      <c r="BM85" s="106">
        <v>2400</v>
      </c>
      <c r="BN85" s="106">
        <v>17</v>
      </c>
      <c r="BO85" s="106">
        <v>2550</v>
      </c>
      <c r="BP85" s="106">
        <v>8</v>
      </c>
      <c r="BQ85" s="106">
        <v>1200</v>
      </c>
      <c r="BR85" s="106">
        <v>5</v>
      </c>
      <c r="BS85" s="106">
        <v>750</v>
      </c>
      <c r="BT85" s="106">
        <v>5</v>
      </c>
      <c r="BU85" s="106">
        <v>750</v>
      </c>
      <c r="BV85" s="106">
        <v>6</v>
      </c>
      <c r="BW85" s="106">
        <v>900</v>
      </c>
      <c r="BX85" s="106">
        <v>4</v>
      </c>
      <c r="BY85" s="106">
        <v>600</v>
      </c>
      <c r="BZ85" s="106">
        <v>7</v>
      </c>
      <c r="CA85" s="106">
        <v>1050</v>
      </c>
      <c r="CB85" s="106">
        <v>6</v>
      </c>
      <c r="CC85" s="106">
        <v>900</v>
      </c>
      <c r="CD85" s="106">
        <v>7</v>
      </c>
      <c r="CE85" s="106">
        <v>1050</v>
      </c>
      <c r="CF85" s="106">
        <v>13</v>
      </c>
      <c r="CG85" s="106">
        <v>1950</v>
      </c>
      <c r="CH85" s="106">
        <v>12</v>
      </c>
      <c r="CI85" s="106">
        <v>1800</v>
      </c>
      <c r="CJ85" s="106">
        <v>15</v>
      </c>
      <c r="CK85" s="106">
        <v>2250</v>
      </c>
      <c r="CL85" s="106">
        <v>19</v>
      </c>
      <c r="CM85" s="106">
        <v>2850</v>
      </c>
      <c r="CN85" s="106">
        <v>5</v>
      </c>
      <c r="CO85" s="106">
        <v>750</v>
      </c>
      <c r="CP85" s="106">
        <v>4</v>
      </c>
      <c r="CQ85" s="106">
        <v>600</v>
      </c>
      <c r="CR85" s="106">
        <v>5</v>
      </c>
      <c r="CS85" s="106">
        <v>750</v>
      </c>
      <c r="CT85" s="106">
        <v>5</v>
      </c>
      <c r="CU85" s="106">
        <v>750</v>
      </c>
    </row>
    <row r="86" spans="2:99" x14ac:dyDescent="0.2">
      <c r="C86" s="105" t="s">
        <v>252</v>
      </c>
      <c r="D86" s="106">
        <v>9</v>
      </c>
      <c r="E86" s="106">
        <v>4860</v>
      </c>
      <c r="F86" s="106">
        <v>7</v>
      </c>
      <c r="G86" s="106">
        <v>3780</v>
      </c>
      <c r="H86" s="106">
        <v>8</v>
      </c>
      <c r="I86" s="106">
        <v>4320</v>
      </c>
      <c r="J86" s="106">
        <v>8</v>
      </c>
      <c r="K86" s="106">
        <v>4320</v>
      </c>
      <c r="L86" s="106">
        <v>3</v>
      </c>
      <c r="M86" s="106">
        <v>1620</v>
      </c>
      <c r="N86" s="106">
        <v>3</v>
      </c>
      <c r="O86" s="106">
        <v>1620</v>
      </c>
      <c r="P86" s="106">
        <v>4</v>
      </c>
      <c r="Q86" s="106">
        <v>2160</v>
      </c>
      <c r="R86" s="106">
        <v>5</v>
      </c>
      <c r="S86" s="106">
        <v>2700</v>
      </c>
      <c r="T86" s="106">
        <v>30</v>
      </c>
      <c r="U86" s="106">
        <v>16200</v>
      </c>
      <c r="V86" s="106">
        <v>23</v>
      </c>
      <c r="W86" s="106">
        <v>12420</v>
      </c>
      <c r="X86" s="106">
        <v>21</v>
      </c>
      <c r="Y86" s="106">
        <v>11340</v>
      </c>
      <c r="Z86" s="106">
        <v>25</v>
      </c>
      <c r="AA86" s="106">
        <v>13500</v>
      </c>
      <c r="AB86" s="106">
        <v>15</v>
      </c>
      <c r="AC86" s="106">
        <v>8100</v>
      </c>
      <c r="AD86" s="106">
        <v>18</v>
      </c>
      <c r="AE86" s="106">
        <v>9720</v>
      </c>
      <c r="AF86" s="106">
        <v>16</v>
      </c>
      <c r="AG86" s="106">
        <v>8640</v>
      </c>
      <c r="AH86" s="106">
        <v>15</v>
      </c>
      <c r="AI86" s="106">
        <v>8100</v>
      </c>
      <c r="AJ86" s="106">
        <v>10</v>
      </c>
      <c r="AK86" s="106">
        <v>5400</v>
      </c>
      <c r="AL86" s="106">
        <v>16</v>
      </c>
      <c r="AM86" s="106">
        <v>8640</v>
      </c>
      <c r="AN86" s="106">
        <v>12</v>
      </c>
      <c r="AO86" s="106">
        <v>6480</v>
      </c>
      <c r="AP86" s="106">
        <v>11</v>
      </c>
      <c r="AQ86" s="106">
        <v>5940</v>
      </c>
      <c r="AR86" s="106">
        <v>20</v>
      </c>
      <c r="AS86" s="106">
        <v>10800</v>
      </c>
      <c r="AT86" s="106">
        <v>15</v>
      </c>
      <c r="AU86" s="106">
        <v>8100</v>
      </c>
      <c r="AV86" s="106">
        <v>18</v>
      </c>
      <c r="AW86" s="106">
        <v>9720</v>
      </c>
      <c r="AX86" s="106">
        <v>13</v>
      </c>
      <c r="AY86" s="106">
        <v>7020</v>
      </c>
      <c r="AZ86" s="106">
        <v>5</v>
      </c>
      <c r="BA86" s="106">
        <v>2700</v>
      </c>
      <c r="BB86" s="106">
        <v>4</v>
      </c>
      <c r="BC86" s="106">
        <v>2160</v>
      </c>
      <c r="BD86" s="106">
        <v>6</v>
      </c>
      <c r="BE86" s="106">
        <v>3240</v>
      </c>
      <c r="BF86" s="106">
        <v>6</v>
      </c>
      <c r="BG86" s="106">
        <v>3240</v>
      </c>
      <c r="BH86" s="106">
        <v>18</v>
      </c>
      <c r="BI86" s="106">
        <v>9720</v>
      </c>
      <c r="BJ86" s="106">
        <v>19</v>
      </c>
      <c r="BK86" s="106">
        <v>10260</v>
      </c>
      <c r="BL86" s="106">
        <v>14</v>
      </c>
      <c r="BM86" s="106">
        <v>7560</v>
      </c>
      <c r="BN86" s="106">
        <v>15</v>
      </c>
      <c r="BO86" s="106">
        <v>8100</v>
      </c>
      <c r="BP86" s="106">
        <v>7</v>
      </c>
      <c r="BQ86" s="106">
        <v>3780</v>
      </c>
      <c r="BR86" s="106">
        <v>4</v>
      </c>
      <c r="BS86" s="106">
        <v>2160</v>
      </c>
      <c r="BT86" s="106">
        <v>5</v>
      </c>
      <c r="BU86" s="106">
        <v>2700</v>
      </c>
      <c r="BV86" s="106">
        <v>7</v>
      </c>
      <c r="BW86" s="106">
        <v>3780</v>
      </c>
      <c r="BX86" s="106">
        <v>4</v>
      </c>
      <c r="BY86" s="106">
        <v>2160</v>
      </c>
      <c r="BZ86" s="106">
        <v>8</v>
      </c>
      <c r="CA86" s="106">
        <v>4320</v>
      </c>
      <c r="CB86" s="106">
        <v>6</v>
      </c>
      <c r="CC86" s="106">
        <v>3240</v>
      </c>
      <c r="CD86" s="106">
        <v>8</v>
      </c>
      <c r="CE86" s="106">
        <v>4320</v>
      </c>
      <c r="CF86" s="106">
        <v>14</v>
      </c>
      <c r="CG86" s="106">
        <v>7560</v>
      </c>
      <c r="CH86" s="106">
        <v>12</v>
      </c>
      <c r="CI86" s="106">
        <v>6480</v>
      </c>
      <c r="CJ86" s="106">
        <v>15</v>
      </c>
      <c r="CK86" s="106">
        <v>8100</v>
      </c>
      <c r="CL86" s="106">
        <v>21</v>
      </c>
      <c r="CM86" s="106">
        <v>11340</v>
      </c>
      <c r="CN86" s="106">
        <v>5</v>
      </c>
      <c r="CO86" s="106">
        <v>2700</v>
      </c>
      <c r="CP86" s="106">
        <v>4</v>
      </c>
      <c r="CQ86" s="106">
        <v>2160</v>
      </c>
      <c r="CR86" s="106">
        <v>5</v>
      </c>
      <c r="CS86" s="106">
        <v>2700</v>
      </c>
      <c r="CT86" s="106">
        <v>5</v>
      </c>
      <c r="CU86" s="106">
        <v>2700</v>
      </c>
    </row>
    <row r="87" spans="2:99" x14ac:dyDescent="0.2">
      <c r="B87" s="105" t="s">
        <v>131</v>
      </c>
      <c r="C87" s="105" t="s">
        <v>253</v>
      </c>
      <c r="D87" s="106">
        <v>5</v>
      </c>
      <c r="E87" s="106">
        <v>9774</v>
      </c>
      <c r="F87" s="106">
        <v>5</v>
      </c>
      <c r="G87" s="106">
        <v>9774</v>
      </c>
      <c r="H87" s="106">
        <v>3</v>
      </c>
      <c r="I87" s="106">
        <v>5864.4</v>
      </c>
      <c r="J87" s="106">
        <v>4</v>
      </c>
      <c r="K87" s="106">
        <v>7819.2</v>
      </c>
      <c r="L87" s="106">
        <v>20</v>
      </c>
      <c r="M87" s="106">
        <v>39096</v>
      </c>
      <c r="N87" s="106">
        <v>13</v>
      </c>
      <c r="O87" s="106">
        <v>25412.399999999998</v>
      </c>
      <c r="P87" s="106">
        <v>18</v>
      </c>
      <c r="Q87" s="106">
        <v>35186.400000000001</v>
      </c>
      <c r="R87" s="106">
        <v>19</v>
      </c>
      <c r="S87" s="106">
        <v>37141.199999999997</v>
      </c>
      <c r="T87" s="106">
        <v>39</v>
      </c>
      <c r="U87" s="106">
        <v>76237.2</v>
      </c>
      <c r="V87" s="106">
        <v>44</v>
      </c>
      <c r="W87" s="106">
        <v>86011.199999999997</v>
      </c>
      <c r="X87" s="106">
        <v>33</v>
      </c>
      <c r="Y87" s="106">
        <v>64508.4</v>
      </c>
      <c r="Z87" s="106">
        <v>34</v>
      </c>
      <c r="AA87" s="106">
        <v>66463.199999999997</v>
      </c>
      <c r="AB87" s="106">
        <v>7</v>
      </c>
      <c r="AC87" s="106">
        <v>13683.6</v>
      </c>
      <c r="AD87" s="106">
        <v>9</v>
      </c>
      <c r="AE87" s="106">
        <v>17593.2</v>
      </c>
      <c r="AF87" s="106">
        <v>10</v>
      </c>
      <c r="AG87" s="106">
        <v>19548</v>
      </c>
      <c r="AH87" s="106">
        <v>7</v>
      </c>
      <c r="AI87" s="106">
        <v>13683.6</v>
      </c>
      <c r="AJ87" s="106">
        <v>14</v>
      </c>
      <c r="AK87" s="106">
        <v>27367.200000000001</v>
      </c>
      <c r="AL87" s="106">
        <v>12</v>
      </c>
      <c r="AM87" s="106">
        <v>23457.599999999999</v>
      </c>
      <c r="AN87" s="106">
        <v>16</v>
      </c>
      <c r="AO87" s="106">
        <v>31276.799999999999</v>
      </c>
      <c r="AP87" s="106">
        <v>16</v>
      </c>
      <c r="AQ87" s="106">
        <v>31276.799999999999</v>
      </c>
      <c r="AR87" s="106">
        <v>6</v>
      </c>
      <c r="AS87" s="106">
        <v>11728.8</v>
      </c>
      <c r="AT87" s="106">
        <v>7</v>
      </c>
      <c r="AU87" s="106">
        <v>13683.6</v>
      </c>
      <c r="AV87" s="106">
        <v>5</v>
      </c>
      <c r="AW87" s="106">
        <v>9774</v>
      </c>
      <c r="AX87" s="106">
        <v>7</v>
      </c>
      <c r="AY87" s="106">
        <v>13683.6</v>
      </c>
      <c r="AZ87" s="106">
        <v>6</v>
      </c>
      <c r="BA87" s="106">
        <v>11728.8</v>
      </c>
      <c r="BB87" s="106">
        <v>9</v>
      </c>
      <c r="BC87" s="106">
        <v>17593.2</v>
      </c>
      <c r="BD87" s="106">
        <v>10</v>
      </c>
      <c r="BE87" s="106">
        <v>19548</v>
      </c>
      <c r="BF87" s="106">
        <v>6</v>
      </c>
      <c r="BG87" s="106">
        <v>11728.8</v>
      </c>
      <c r="BH87" s="106">
        <v>15</v>
      </c>
      <c r="BI87" s="106">
        <v>29322</v>
      </c>
      <c r="BJ87" s="106">
        <v>13</v>
      </c>
      <c r="BK87" s="106">
        <v>25412.399999999998</v>
      </c>
      <c r="BL87" s="106">
        <v>16</v>
      </c>
      <c r="BM87" s="106">
        <v>31276.799999999999</v>
      </c>
      <c r="BN87" s="106">
        <v>24</v>
      </c>
      <c r="BO87" s="106">
        <v>46915.199999999997</v>
      </c>
      <c r="BP87" s="106">
        <v>44</v>
      </c>
      <c r="BQ87" s="106">
        <v>86011.199999999997</v>
      </c>
      <c r="BR87" s="106">
        <v>53</v>
      </c>
      <c r="BS87" s="106">
        <v>103604.4</v>
      </c>
      <c r="BT87" s="106">
        <v>37</v>
      </c>
      <c r="BU87" s="106">
        <v>72327.599999999991</v>
      </c>
      <c r="BV87" s="106">
        <v>35</v>
      </c>
      <c r="BW87" s="106">
        <v>68418</v>
      </c>
      <c r="BX87" s="106">
        <v>34</v>
      </c>
      <c r="BY87" s="106">
        <v>66463.199999999997</v>
      </c>
      <c r="BZ87" s="106">
        <v>19</v>
      </c>
      <c r="CA87" s="106">
        <v>37141.199999999997</v>
      </c>
      <c r="CB87" s="106">
        <v>31</v>
      </c>
      <c r="CC87" s="106">
        <v>60598.799999999996</v>
      </c>
      <c r="CD87" s="106">
        <v>21</v>
      </c>
      <c r="CE87" s="106">
        <v>41050.799999999996</v>
      </c>
      <c r="CF87" s="106">
        <v>13</v>
      </c>
      <c r="CG87" s="106">
        <v>25412.399999999998</v>
      </c>
      <c r="CH87" s="106">
        <v>12</v>
      </c>
      <c r="CI87" s="106">
        <v>23457.599999999999</v>
      </c>
      <c r="CJ87" s="106">
        <v>13</v>
      </c>
      <c r="CK87" s="106">
        <v>25412.399999999998</v>
      </c>
      <c r="CL87" s="106">
        <v>10</v>
      </c>
      <c r="CM87" s="106">
        <v>19548</v>
      </c>
      <c r="CN87" s="106">
        <v>4</v>
      </c>
      <c r="CO87" s="106">
        <v>7819.2</v>
      </c>
      <c r="CP87" s="106">
        <v>8</v>
      </c>
      <c r="CQ87" s="106">
        <v>15638.4</v>
      </c>
      <c r="CR87" s="106">
        <v>5</v>
      </c>
      <c r="CS87" s="106">
        <v>9774</v>
      </c>
      <c r="CT87" s="106">
        <v>5</v>
      </c>
      <c r="CU87" s="106">
        <v>9774</v>
      </c>
    </row>
    <row r="88" spans="2:99" x14ac:dyDescent="0.2">
      <c r="C88" s="105" t="s">
        <v>254</v>
      </c>
      <c r="D88" s="106">
        <v>6</v>
      </c>
      <c r="E88" s="106">
        <v>11354.4</v>
      </c>
      <c r="F88" s="106">
        <v>5</v>
      </c>
      <c r="G88" s="106">
        <v>9462</v>
      </c>
      <c r="H88" s="106">
        <v>4</v>
      </c>
      <c r="I88" s="106">
        <v>7569.5999999999995</v>
      </c>
      <c r="J88" s="106">
        <v>4</v>
      </c>
      <c r="K88" s="106">
        <v>7569.5999999999995</v>
      </c>
      <c r="L88" s="106">
        <v>18</v>
      </c>
      <c r="M88" s="106">
        <v>34063.199999999997</v>
      </c>
      <c r="N88" s="106">
        <v>15</v>
      </c>
      <c r="O88" s="106">
        <v>28385.999999999996</v>
      </c>
      <c r="P88" s="106">
        <v>17</v>
      </c>
      <c r="Q88" s="106">
        <v>32170.799999999999</v>
      </c>
      <c r="R88" s="106">
        <v>19</v>
      </c>
      <c r="S88" s="106">
        <v>35955.599999999999</v>
      </c>
      <c r="T88" s="106">
        <v>36</v>
      </c>
      <c r="U88" s="106">
        <v>68126.399999999994</v>
      </c>
      <c r="V88" s="106">
        <v>37</v>
      </c>
      <c r="W88" s="106">
        <v>70018.799999999988</v>
      </c>
      <c r="X88" s="106">
        <v>36</v>
      </c>
      <c r="Y88" s="106">
        <v>68126.399999999994</v>
      </c>
      <c r="Z88" s="106">
        <v>38</v>
      </c>
      <c r="AA88" s="106">
        <v>71911.199999999997</v>
      </c>
      <c r="AB88" s="106">
        <v>7</v>
      </c>
      <c r="AC88" s="106">
        <v>13246.8</v>
      </c>
      <c r="AD88" s="106">
        <v>9</v>
      </c>
      <c r="AE88" s="106">
        <v>17031.599999999999</v>
      </c>
      <c r="AF88" s="106">
        <v>11</v>
      </c>
      <c r="AG88" s="106">
        <v>20816.399999999998</v>
      </c>
      <c r="AH88" s="106">
        <v>7</v>
      </c>
      <c r="AI88" s="106">
        <v>13246.8</v>
      </c>
      <c r="AJ88" s="106">
        <v>14</v>
      </c>
      <c r="AK88" s="106">
        <v>26493.599999999999</v>
      </c>
      <c r="AL88" s="106">
        <v>11</v>
      </c>
      <c r="AM88" s="106">
        <v>20816.399999999998</v>
      </c>
      <c r="AN88" s="106">
        <v>16</v>
      </c>
      <c r="AO88" s="106">
        <v>30278.399999999998</v>
      </c>
      <c r="AP88" s="106">
        <v>16</v>
      </c>
      <c r="AQ88" s="106">
        <v>30278.399999999998</v>
      </c>
      <c r="AR88" s="106">
        <v>7</v>
      </c>
      <c r="AS88" s="106">
        <v>13246.8</v>
      </c>
      <c r="AT88" s="106">
        <v>6</v>
      </c>
      <c r="AU88" s="106">
        <v>11354.4</v>
      </c>
      <c r="AV88" s="106">
        <v>6</v>
      </c>
      <c r="AW88" s="106">
        <v>11354.4</v>
      </c>
      <c r="AX88" s="106">
        <v>7</v>
      </c>
      <c r="AY88" s="106">
        <v>13246.8</v>
      </c>
      <c r="AZ88" s="106">
        <v>6</v>
      </c>
      <c r="BA88" s="106">
        <v>11354.4</v>
      </c>
      <c r="BB88" s="106">
        <v>9</v>
      </c>
      <c r="BC88" s="106">
        <v>17031.599999999999</v>
      </c>
      <c r="BD88" s="106">
        <v>11</v>
      </c>
      <c r="BE88" s="106">
        <v>20816.399999999998</v>
      </c>
      <c r="BF88" s="106">
        <v>6</v>
      </c>
      <c r="BG88" s="106">
        <v>11354.4</v>
      </c>
      <c r="BH88" s="106">
        <v>15</v>
      </c>
      <c r="BI88" s="106">
        <v>28385.999999999996</v>
      </c>
      <c r="BJ88" s="106">
        <v>13</v>
      </c>
      <c r="BK88" s="106">
        <v>24601.199999999997</v>
      </c>
      <c r="BL88" s="106">
        <v>17</v>
      </c>
      <c r="BM88" s="106">
        <v>32170.799999999999</v>
      </c>
      <c r="BN88" s="106">
        <v>22</v>
      </c>
      <c r="BO88" s="106">
        <v>41632.799999999996</v>
      </c>
      <c r="BP88" s="106">
        <v>52</v>
      </c>
      <c r="BQ88" s="106">
        <v>98404.799999999988</v>
      </c>
      <c r="BR88" s="106">
        <v>48</v>
      </c>
      <c r="BS88" s="106">
        <v>90835.199999999997</v>
      </c>
      <c r="BT88" s="106">
        <v>37</v>
      </c>
      <c r="BU88" s="106">
        <v>70018.799999999988</v>
      </c>
      <c r="BV88" s="106">
        <v>30</v>
      </c>
      <c r="BW88" s="106">
        <v>56771.999999999993</v>
      </c>
      <c r="BX88" s="106">
        <v>32</v>
      </c>
      <c r="BY88" s="106">
        <v>60556.799999999996</v>
      </c>
      <c r="BZ88" s="106">
        <v>20</v>
      </c>
      <c r="CA88" s="106">
        <v>37848</v>
      </c>
      <c r="CB88" s="106">
        <v>31</v>
      </c>
      <c r="CC88" s="106">
        <v>58664.399999999994</v>
      </c>
      <c r="CD88" s="106">
        <v>21</v>
      </c>
      <c r="CE88" s="106">
        <v>39740.399999999994</v>
      </c>
      <c r="CF88" s="106">
        <v>16</v>
      </c>
      <c r="CG88" s="106">
        <v>30278.399999999998</v>
      </c>
      <c r="CH88" s="106">
        <v>11</v>
      </c>
      <c r="CI88" s="106">
        <v>20816.399999999998</v>
      </c>
      <c r="CJ88" s="106">
        <v>13</v>
      </c>
      <c r="CK88" s="106">
        <v>24601.199999999997</v>
      </c>
      <c r="CL88" s="106">
        <v>10</v>
      </c>
      <c r="CM88" s="106">
        <v>18924</v>
      </c>
      <c r="CN88" s="106">
        <v>4</v>
      </c>
      <c r="CO88" s="106">
        <v>7569.5999999999995</v>
      </c>
      <c r="CP88" s="106">
        <v>8</v>
      </c>
      <c r="CQ88" s="106">
        <v>15139.199999999999</v>
      </c>
      <c r="CR88" s="106">
        <v>5</v>
      </c>
      <c r="CS88" s="106">
        <v>9462</v>
      </c>
      <c r="CT88" s="106">
        <v>5</v>
      </c>
      <c r="CU88" s="106">
        <v>9462</v>
      </c>
    </row>
    <row r="89" spans="2:99" x14ac:dyDescent="0.2">
      <c r="C89" s="105" t="s">
        <v>255</v>
      </c>
      <c r="D89" s="106">
        <v>5</v>
      </c>
      <c r="E89" s="106">
        <v>11988</v>
      </c>
      <c r="F89" s="106">
        <v>5</v>
      </c>
      <c r="G89" s="106">
        <v>11988</v>
      </c>
      <c r="H89" s="106">
        <v>3</v>
      </c>
      <c r="I89" s="106">
        <v>7192.7999999999993</v>
      </c>
      <c r="J89" s="106">
        <v>3</v>
      </c>
      <c r="K89" s="106">
        <v>7192.7999999999993</v>
      </c>
      <c r="L89" s="106">
        <v>18</v>
      </c>
      <c r="M89" s="106">
        <v>43156.799999999996</v>
      </c>
      <c r="N89" s="106">
        <v>12</v>
      </c>
      <c r="O89" s="106">
        <v>28771.199999999997</v>
      </c>
      <c r="P89" s="106">
        <v>16</v>
      </c>
      <c r="Q89" s="106">
        <v>38361.599999999999</v>
      </c>
      <c r="R89" s="106">
        <v>16</v>
      </c>
      <c r="S89" s="106">
        <v>38361.599999999999</v>
      </c>
      <c r="T89" s="106">
        <v>32</v>
      </c>
      <c r="U89" s="106">
        <v>76723.199999999997</v>
      </c>
      <c r="V89" s="106">
        <v>38</v>
      </c>
      <c r="W89" s="106">
        <v>91108.800000000003</v>
      </c>
      <c r="X89" s="106">
        <v>30</v>
      </c>
      <c r="Y89" s="106">
        <v>71928</v>
      </c>
      <c r="Z89" s="106">
        <v>33</v>
      </c>
      <c r="AA89" s="106">
        <v>79120.800000000003</v>
      </c>
      <c r="AB89" s="106">
        <v>6</v>
      </c>
      <c r="AC89" s="106">
        <v>14385.599999999999</v>
      </c>
      <c r="AD89" s="106">
        <v>9</v>
      </c>
      <c r="AE89" s="106">
        <v>21578.399999999998</v>
      </c>
      <c r="AF89" s="106">
        <v>10</v>
      </c>
      <c r="AG89" s="106">
        <v>23976</v>
      </c>
      <c r="AH89" s="106">
        <v>6</v>
      </c>
      <c r="AI89" s="106">
        <v>14385.599999999999</v>
      </c>
      <c r="AJ89" s="106">
        <v>14</v>
      </c>
      <c r="AK89" s="106">
        <v>33566.400000000001</v>
      </c>
      <c r="AL89" s="106">
        <v>10</v>
      </c>
      <c r="AM89" s="106">
        <v>23976</v>
      </c>
      <c r="AN89" s="106">
        <v>15</v>
      </c>
      <c r="AO89" s="106">
        <v>35964</v>
      </c>
      <c r="AP89" s="106">
        <v>15</v>
      </c>
      <c r="AQ89" s="106">
        <v>35964</v>
      </c>
      <c r="AR89" s="106">
        <v>6</v>
      </c>
      <c r="AS89" s="106">
        <v>14385.599999999999</v>
      </c>
      <c r="AT89" s="106">
        <v>7</v>
      </c>
      <c r="AU89" s="106">
        <v>16783.2</v>
      </c>
      <c r="AV89" s="106">
        <v>5</v>
      </c>
      <c r="AW89" s="106">
        <v>11988</v>
      </c>
      <c r="AX89" s="106">
        <v>8</v>
      </c>
      <c r="AY89" s="106">
        <v>19180.8</v>
      </c>
      <c r="AZ89" s="106">
        <v>6</v>
      </c>
      <c r="BA89" s="106">
        <v>14385.599999999999</v>
      </c>
      <c r="BB89" s="106">
        <v>8</v>
      </c>
      <c r="BC89" s="106">
        <v>19180.8</v>
      </c>
      <c r="BD89" s="106">
        <v>9</v>
      </c>
      <c r="BE89" s="106">
        <v>21578.399999999998</v>
      </c>
      <c r="BF89" s="106">
        <v>6</v>
      </c>
      <c r="BG89" s="106">
        <v>14385.599999999999</v>
      </c>
      <c r="BH89" s="106">
        <v>14</v>
      </c>
      <c r="BI89" s="106">
        <v>33566.400000000001</v>
      </c>
      <c r="BJ89" s="106">
        <v>13</v>
      </c>
      <c r="BK89" s="106">
        <v>31168.799999999999</v>
      </c>
      <c r="BL89" s="106">
        <v>17</v>
      </c>
      <c r="BM89" s="106">
        <v>40759.199999999997</v>
      </c>
      <c r="BN89" s="106">
        <v>22</v>
      </c>
      <c r="BO89" s="106">
        <v>52747.199999999997</v>
      </c>
      <c r="BP89" s="106">
        <v>41</v>
      </c>
      <c r="BQ89" s="106">
        <v>98301.599999999991</v>
      </c>
      <c r="BR89" s="106">
        <v>47</v>
      </c>
      <c r="BS89" s="106">
        <v>112687.2</v>
      </c>
      <c r="BT89" s="106">
        <v>31</v>
      </c>
      <c r="BU89" s="106">
        <v>74325.599999999991</v>
      </c>
      <c r="BV89" s="106">
        <v>29</v>
      </c>
      <c r="BW89" s="106">
        <v>69530.399999999994</v>
      </c>
      <c r="BX89" s="106">
        <v>36</v>
      </c>
      <c r="BY89" s="106">
        <v>86313.599999999991</v>
      </c>
      <c r="BZ89" s="106">
        <v>18</v>
      </c>
      <c r="CA89" s="106">
        <v>43156.799999999996</v>
      </c>
      <c r="CB89" s="106">
        <v>26</v>
      </c>
      <c r="CC89" s="106">
        <v>62337.599999999999</v>
      </c>
      <c r="CD89" s="106">
        <v>19</v>
      </c>
      <c r="CE89" s="106">
        <v>45554.400000000001</v>
      </c>
      <c r="CF89" s="106">
        <v>13</v>
      </c>
      <c r="CG89" s="106">
        <v>31168.799999999999</v>
      </c>
      <c r="CH89" s="106">
        <v>11</v>
      </c>
      <c r="CI89" s="106">
        <v>26373.599999999999</v>
      </c>
      <c r="CJ89" s="106">
        <v>12</v>
      </c>
      <c r="CK89" s="106">
        <v>28771.199999999997</v>
      </c>
      <c r="CL89" s="106">
        <v>9</v>
      </c>
      <c r="CM89" s="106">
        <v>21578.399999999998</v>
      </c>
      <c r="CN89" s="106">
        <v>4</v>
      </c>
      <c r="CO89" s="106">
        <v>9590.4</v>
      </c>
      <c r="CP89" s="106">
        <v>7</v>
      </c>
      <c r="CQ89" s="106">
        <v>16783.2</v>
      </c>
      <c r="CR89" s="106">
        <v>5</v>
      </c>
      <c r="CS89" s="106">
        <v>11988</v>
      </c>
      <c r="CT89" s="106">
        <v>5</v>
      </c>
      <c r="CU89" s="106">
        <v>11988</v>
      </c>
    </row>
    <row r="90" spans="2:99" x14ac:dyDescent="0.2">
      <c r="C90" s="105" t="s">
        <v>256</v>
      </c>
      <c r="D90" s="106">
        <v>5</v>
      </c>
      <c r="E90" s="106">
        <v>10986</v>
      </c>
      <c r="F90" s="106">
        <v>5</v>
      </c>
      <c r="G90" s="106">
        <v>10986</v>
      </c>
      <c r="H90" s="106">
        <v>3</v>
      </c>
      <c r="I90" s="106">
        <v>6591.5999999999995</v>
      </c>
      <c r="J90" s="106">
        <v>4</v>
      </c>
      <c r="K90" s="106">
        <v>8788.7999999999993</v>
      </c>
      <c r="L90" s="106">
        <v>20</v>
      </c>
      <c r="M90" s="106">
        <v>43944</v>
      </c>
      <c r="N90" s="106">
        <v>13</v>
      </c>
      <c r="O90" s="106">
        <v>28563.599999999999</v>
      </c>
      <c r="P90" s="106">
        <v>16</v>
      </c>
      <c r="Q90" s="106">
        <v>35155.199999999997</v>
      </c>
      <c r="R90" s="106">
        <v>16</v>
      </c>
      <c r="S90" s="106">
        <v>35155.199999999997</v>
      </c>
      <c r="T90" s="106">
        <v>36</v>
      </c>
      <c r="U90" s="106">
        <v>79099.199999999997</v>
      </c>
      <c r="V90" s="106">
        <v>39</v>
      </c>
      <c r="W90" s="106">
        <v>85690.799999999988</v>
      </c>
      <c r="X90" s="106">
        <v>34</v>
      </c>
      <c r="Y90" s="106">
        <v>74704.799999999988</v>
      </c>
      <c r="Z90" s="106">
        <v>36</v>
      </c>
      <c r="AA90" s="106">
        <v>79099.199999999997</v>
      </c>
      <c r="AB90" s="106">
        <v>6</v>
      </c>
      <c r="AC90" s="106">
        <v>13183.199999999999</v>
      </c>
      <c r="AD90" s="106">
        <v>10</v>
      </c>
      <c r="AE90" s="106">
        <v>21972</v>
      </c>
      <c r="AF90" s="106">
        <v>11</v>
      </c>
      <c r="AG90" s="106">
        <v>24169.199999999997</v>
      </c>
      <c r="AH90" s="106">
        <v>6</v>
      </c>
      <c r="AI90" s="106">
        <v>13183.199999999999</v>
      </c>
      <c r="AJ90" s="106">
        <v>15</v>
      </c>
      <c r="AK90" s="106">
        <v>32958</v>
      </c>
      <c r="AL90" s="106">
        <v>12</v>
      </c>
      <c r="AM90" s="106">
        <v>26366.399999999998</v>
      </c>
      <c r="AN90" s="106">
        <v>15</v>
      </c>
      <c r="AO90" s="106">
        <v>32958</v>
      </c>
      <c r="AP90" s="106">
        <v>16</v>
      </c>
      <c r="AQ90" s="106">
        <v>35155.199999999997</v>
      </c>
      <c r="AR90" s="106">
        <v>6</v>
      </c>
      <c r="AS90" s="106">
        <v>13183.199999999999</v>
      </c>
      <c r="AT90" s="106">
        <v>7</v>
      </c>
      <c r="AU90" s="106">
        <v>15380.399999999998</v>
      </c>
      <c r="AV90" s="106">
        <v>6</v>
      </c>
      <c r="AW90" s="106">
        <v>13183.199999999999</v>
      </c>
      <c r="AX90" s="106">
        <v>8</v>
      </c>
      <c r="AY90" s="106">
        <v>17577.599999999999</v>
      </c>
      <c r="AZ90" s="106">
        <v>6</v>
      </c>
      <c r="BA90" s="106">
        <v>13183.199999999999</v>
      </c>
      <c r="BB90" s="106">
        <v>9</v>
      </c>
      <c r="BC90" s="106">
        <v>19774.8</v>
      </c>
      <c r="BD90" s="106">
        <v>11</v>
      </c>
      <c r="BE90" s="106">
        <v>24169.199999999997</v>
      </c>
      <c r="BF90" s="106">
        <v>6</v>
      </c>
      <c r="BG90" s="106">
        <v>13183.199999999999</v>
      </c>
      <c r="BH90" s="106">
        <v>14</v>
      </c>
      <c r="BI90" s="106">
        <v>30760.799999999996</v>
      </c>
      <c r="BJ90" s="106">
        <v>12</v>
      </c>
      <c r="BK90" s="106">
        <v>26366.399999999998</v>
      </c>
      <c r="BL90" s="106">
        <v>15</v>
      </c>
      <c r="BM90" s="106">
        <v>32958</v>
      </c>
      <c r="BN90" s="106">
        <v>23</v>
      </c>
      <c r="BO90" s="106">
        <v>50535.6</v>
      </c>
      <c r="BP90" s="106">
        <v>48</v>
      </c>
      <c r="BQ90" s="106">
        <v>105465.59999999999</v>
      </c>
      <c r="BR90" s="106">
        <v>51</v>
      </c>
      <c r="BS90" s="106">
        <v>112057.2</v>
      </c>
      <c r="BT90" s="106">
        <v>37</v>
      </c>
      <c r="BU90" s="106">
        <v>81296.399999999994</v>
      </c>
      <c r="BV90" s="106">
        <v>31</v>
      </c>
      <c r="BW90" s="106">
        <v>68113.2</v>
      </c>
      <c r="BX90" s="106">
        <v>30</v>
      </c>
      <c r="BY90" s="106">
        <v>65916</v>
      </c>
      <c r="BZ90" s="106">
        <v>18</v>
      </c>
      <c r="CA90" s="106">
        <v>39549.599999999999</v>
      </c>
      <c r="CB90" s="106">
        <v>30</v>
      </c>
      <c r="CC90" s="106">
        <v>65916</v>
      </c>
      <c r="CD90" s="106">
        <v>21</v>
      </c>
      <c r="CE90" s="106">
        <v>46141.2</v>
      </c>
      <c r="CF90" s="106">
        <v>13</v>
      </c>
      <c r="CG90" s="106">
        <v>28563.599999999999</v>
      </c>
      <c r="CH90" s="106">
        <v>11</v>
      </c>
      <c r="CI90" s="106">
        <v>24169.199999999997</v>
      </c>
      <c r="CJ90" s="106">
        <v>12</v>
      </c>
      <c r="CK90" s="106">
        <v>26366.399999999998</v>
      </c>
      <c r="CL90" s="106">
        <v>9</v>
      </c>
      <c r="CM90" s="106">
        <v>19774.8</v>
      </c>
      <c r="CN90" s="106">
        <v>4</v>
      </c>
      <c r="CO90" s="106">
        <v>8788.7999999999993</v>
      </c>
      <c r="CP90" s="106">
        <v>8</v>
      </c>
      <c r="CQ90" s="106">
        <v>17577.599999999999</v>
      </c>
      <c r="CR90" s="106">
        <v>5</v>
      </c>
      <c r="CS90" s="106">
        <v>10986</v>
      </c>
      <c r="CT90" s="106">
        <v>6</v>
      </c>
      <c r="CU90" s="106">
        <v>13183.199999999999</v>
      </c>
    </row>
    <row r="91" spans="2:99" x14ac:dyDescent="0.2">
      <c r="C91" s="105" t="s">
        <v>257</v>
      </c>
      <c r="D91" s="106">
        <v>5</v>
      </c>
      <c r="E91" s="106">
        <v>11483.999999999998</v>
      </c>
      <c r="F91" s="106">
        <v>5</v>
      </c>
      <c r="G91" s="106">
        <v>11483.999999999998</v>
      </c>
      <c r="H91" s="106">
        <v>4</v>
      </c>
      <c r="I91" s="106">
        <v>9187.1999999999989</v>
      </c>
      <c r="J91" s="106">
        <v>4</v>
      </c>
      <c r="K91" s="106">
        <v>9187.1999999999989</v>
      </c>
      <c r="L91" s="106">
        <v>21</v>
      </c>
      <c r="M91" s="106">
        <v>48232.799999999996</v>
      </c>
      <c r="N91" s="106">
        <v>14</v>
      </c>
      <c r="O91" s="106">
        <v>32155.199999999997</v>
      </c>
      <c r="P91" s="106">
        <v>17</v>
      </c>
      <c r="Q91" s="106">
        <v>39045.599999999999</v>
      </c>
      <c r="R91" s="106">
        <v>18</v>
      </c>
      <c r="S91" s="106">
        <v>41342.399999999994</v>
      </c>
      <c r="T91" s="106">
        <v>34</v>
      </c>
      <c r="U91" s="106">
        <v>78091.199999999997</v>
      </c>
      <c r="V91" s="106">
        <v>36</v>
      </c>
      <c r="W91" s="106">
        <v>82684.799999999988</v>
      </c>
      <c r="X91" s="106">
        <v>35</v>
      </c>
      <c r="Y91" s="106">
        <v>80387.999999999985</v>
      </c>
      <c r="Z91" s="106">
        <v>38</v>
      </c>
      <c r="AA91" s="106">
        <v>87278.399999999994</v>
      </c>
      <c r="AB91" s="106">
        <v>6</v>
      </c>
      <c r="AC91" s="106">
        <v>13780.8</v>
      </c>
      <c r="AD91" s="106">
        <v>9</v>
      </c>
      <c r="AE91" s="106">
        <v>20671.199999999997</v>
      </c>
      <c r="AF91" s="106">
        <v>9</v>
      </c>
      <c r="AG91" s="106">
        <v>20671.199999999997</v>
      </c>
      <c r="AH91" s="106">
        <v>6</v>
      </c>
      <c r="AI91" s="106">
        <v>13780.8</v>
      </c>
      <c r="AJ91" s="106">
        <v>15</v>
      </c>
      <c r="AK91" s="106">
        <v>34451.999999999993</v>
      </c>
      <c r="AL91" s="106">
        <v>10</v>
      </c>
      <c r="AM91" s="106">
        <v>22967.999999999996</v>
      </c>
      <c r="AN91" s="106">
        <v>16</v>
      </c>
      <c r="AO91" s="106">
        <v>36748.799999999996</v>
      </c>
      <c r="AP91" s="106">
        <v>16</v>
      </c>
      <c r="AQ91" s="106">
        <v>36748.799999999996</v>
      </c>
      <c r="AR91" s="106">
        <v>7</v>
      </c>
      <c r="AS91" s="106">
        <v>16077.599999999999</v>
      </c>
      <c r="AT91" s="106">
        <v>6</v>
      </c>
      <c r="AU91" s="106">
        <v>13780.8</v>
      </c>
      <c r="AV91" s="106">
        <v>5</v>
      </c>
      <c r="AW91" s="106">
        <v>11483.999999999998</v>
      </c>
      <c r="AX91" s="106">
        <v>7</v>
      </c>
      <c r="AY91" s="106">
        <v>16077.599999999999</v>
      </c>
      <c r="AZ91" s="106">
        <v>6</v>
      </c>
      <c r="BA91" s="106">
        <v>13780.8</v>
      </c>
      <c r="BB91" s="106">
        <v>9</v>
      </c>
      <c r="BC91" s="106">
        <v>20671.199999999997</v>
      </c>
      <c r="BD91" s="106">
        <v>11</v>
      </c>
      <c r="BE91" s="106">
        <v>25264.799999999996</v>
      </c>
      <c r="BF91" s="106">
        <v>6</v>
      </c>
      <c r="BG91" s="106">
        <v>13780.8</v>
      </c>
      <c r="BH91" s="106">
        <v>15</v>
      </c>
      <c r="BI91" s="106">
        <v>34451.999999999993</v>
      </c>
      <c r="BJ91" s="106">
        <v>13</v>
      </c>
      <c r="BK91" s="106">
        <v>29858.399999999998</v>
      </c>
      <c r="BL91" s="106">
        <v>15</v>
      </c>
      <c r="BM91" s="106">
        <v>34451.999999999993</v>
      </c>
      <c r="BN91" s="106">
        <v>21</v>
      </c>
      <c r="BO91" s="106">
        <v>48232.799999999996</v>
      </c>
      <c r="BP91" s="106">
        <v>45</v>
      </c>
      <c r="BQ91" s="106">
        <v>103355.99999999999</v>
      </c>
      <c r="BR91" s="106">
        <v>45</v>
      </c>
      <c r="BS91" s="106">
        <v>103355.99999999999</v>
      </c>
      <c r="BT91" s="106">
        <v>30</v>
      </c>
      <c r="BU91" s="106">
        <v>68903.999999999985</v>
      </c>
      <c r="BV91" s="106">
        <v>33</v>
      </c>
      <c r="BW91" s="106">
        <v>75794.399999999994</v>
      </c>
      <c r="BX91" s="106">
        <v>34</v>
      </c>
      <c r="BY91" s="106">
        <v>78091.199999999997</v>
      </c>
      <c r="BZ91" s="106">
        <v>18</v>
      </c>
      <c r="CA91" s="106">
        <v>41342.399999999994</v>
      </c>
      <c r="CB91" s="106">
        <v>28</v>
      </c>
      <c r="CC91" s="106">
        <v>64310.399999999994</v>
      </c>
      <c r="CD91" s="106">
        <v>18</v>
      </c>
      <c r="CE91" s="106">
        <v>41342.399999999994</v>
      </c>
      <c r="CF91" s="106">
        <v>13</v>
      </c>
      <c r="CG91" s="106">
        <v>29858.399999999998</v>
      </c>
      <c r="CH91" s="106">
        <v>12</v>
      </c>
      <c r="CI91" s="106">
        <v>27561.599999999999</v>
      </c>
      <c r="CJ91" s="106">
        <v>11</v>
      </c>
      <c r="CK91" s="106">
        <v>25264.799999999996</v>
      </c>
      <c r="CL91" s="106">
        <v>9</v>
      </c>
      <c r="CM91" s="106">
        <v>20671.199999999997</v>
      </c>
      <c r="CN91" s="106">
        <v>4</v>
      </c>
      <c r="CO91" s="106">
        <v>9187.1999999999989</v>
      </c>
      <c r="CP91" s="106">
        <v>8</v>
      </c>
      <c r="CQ91" s="106">
        <v>18374.399999999998</v>
      </c>
      <c r="CR91" s="106">
        <v>5</v>
      </c>
      <c r="CS91" s="106">
        <v>11483.999999999998</v>
      </c>
      <c r="CT91" s="106">
        <v>5</v>
      </c>
      <c r="CU91" s="106">
        <v>11483.999999999998</v>
      </c>
    </row>
    <row r="92" spans="2:99" x14ac:dyDescent="0.2">
      <c r="C92" s="105" t="s">
        <v>258</v>
      </c>
      <c r="D92" s="106">
        <v>5</v>
      </c>
      <c r="E92" s="106">
        <v>7104</v>
      </c>
      <c r="F92" s="106">
        <v>5</v>
      </c>
      <c r="G92" s="106">
        <v>7104</v>
      </c>
      <c r="H92" s="106">
        <v>4</v>
      </c>
      <c r="I92" s="106">
        <v>5683.2</v>
      </c>
      <c r="J92" s="106">
        <v>4</v>
      </c>
      <c r="K92" s="106">
        <v>5683.2</v>
      </c>
      <c r="L92" s="106">
        <v>22</v>
      </c>
      <c r="M92" s="106">
        <v>31257.599999999999</v>
      </c>
      <c r="N92" s="106">
        <v>15</v>
      </c>
      <c r="O92" s="106">
        <v>21312</v>
      </c>
      <c r="P92" s="106">
        <v>18</v>
      </c>
      <c r="Q92" s="106">
        <v>25574.399999999998</v>
      </c>
      <c r="R92" s="106">
        <v>21</v>
      </c>
      <c r="S92" s="106">
        <v>29836.799999999999</v>
      </c>
      <c r="T92" s="106">
        <v>43</v>
      </c>
      <c r="U92" s="106">
        <v>61094.400000000001</v>
      </c>
      <c r="V92" s="106">
        <v>41</v>
      </c>
      <c r="W92" s="106">
        <v>58252.799999999996</v>
      </c>
      <c r="X92" s="106">
        <v>34</v>
      </c>
      <c r="Y92" s="106">
        <v>48307.199999999997</v>
      </c>
      <c r="Z92" s="106">
        <v>41</v>
      </c>
      <c r="AA92" s="106">
        <v>58252.799999999996</v>
      </c>
      <c r="AB92" s="106">
        <v>8</v>
      </c>
      <c r="AC92" s="106">
        <v>11366.4</v>
      </c>
      <c r="AD92" s="106">
        <v>10</v>
      </c>
      <c r="AE92" s="106">
        <v>14208</v>
      </c>
      <c r="AF92" s="106">
        <v>11</v>
      </c>
      <c r="AG92" s="106">
        <v>15628.8</v>
      </c>
      <c r="AH92" s="106">
        <v>7</v>
      </c>
      <c r="AI92" s="106">
        <v>9945.6</v>
      </c>
      <c r="AJ92" s="106">
        <v>15</v>
      </c>
      <c r="AK92" s="106">
        <v>21312</v>
      </c>
      <c r="AL92" s="106">
        <v>13</v>
      </c>
      <c r="AM92" s="106">
        <v>18470.399999999998</v>
      </c>
      <c r="AN92" s="106">
        <v>17</v>
      </c>
      <c r="AO92" s="106">
        <v>24153.599999999999</v>
      </c>
      <c r="AP92" s="106">
        <v>17</v>
      </c>
      <c r="AQ92" s="106">
        <v>24153.599999999999</v>
      </c>
      <c r="AR92" s="106">
        <v>7</v>
      </c>
      <c r="AS92" s="106">
        <v>9945.6</v>
      </c>
      <c r="AT92" s="106">
        <v>7</v>
      </c>
      <c r="AU92" s="106">
        <v>9945.6</v>
      </c>
      <c r="AV92" s="106">
        <v>5</v>
      </c>
      <c r="AW92" s="106">
        <v>7104</v>
      </c>
      <c r="AX92" s="106">
        <v>7</v>
      </c>
      <c r="AY92" s="106">
        <v>9945.6</v>
      </c>
      <c r="AZ92" s="106">
        <v>7</v>
      </c>
      <c r="BA92" s="106">
        <v>9945.6</v>
      </c>
      <c r="BB92" s="106">
        <v>9</v>
      </c>
      <c r="BC92" s="106">
        <v>12787.199999999999</v>
      </c>
      <c r="BD92" s="106">
        <v>11</v>
      </c>
      <c r="BE92" s="106">
        <v>15628.8</v>
      </c>
      <c r="BF92" s="106">
        <v>6</v>
      </c>
      <c r="BG92" s="106">
        <v>8524.7999999999993</v>
      </c>
      <c r="BH92" s="106">
        <v>17</v>
      </c>
      <c r="BI92" s="106">
        <v>24153.599999999999</v>
      </c>
      <c r="BJ92" s="106">
        <v>12</v>
      </c>
      <c r="BK92" s="106">
        <v>17049.599999999999</v>
      </c>
      <c r="BL92" s="106">
        <v>16</v>
      </c>
      <c r="BM92" s="106">
        <v>22732.799999999999</v>
      </c>
      <c r="BN92" s="106">
        <v>25</v>
      </c>
      <c r="BO92" s="106">
        <v>35520</v>
      </c>
      <c r="BP92" s="106">
        <v>57</v>
      </c>
      <c r="BQ92" s="106">
        <v>80985.599999999991</v>
      </c>
      <c r="BR92" s="106">
        <v>55</v>
      </c>
      <c r="BS92" s="106">
        <v>78144</v>
      </c>
      <c r="BT92" s="106">
        <v>35</v>
      </c>
      <c r="BU92" s="106">
        <v>49728</v>
      </c>
      <c r="BV92" s="106">
        <v>35</v>
      </c>
      <c r="BW92" s="106">
        <v>49728</v>
      </c>
      <c r="BX92" s="106">
        <v>41</v>
      </c>
      <c r="BY92" s="106">
        <v>58252.799999999996</v>
      </c>
      <c r="BZ92" s="106">
        <v>23</v>
      </c>
      <c r="CA92" s="106">
        <v>32678.399999999998</v>
      </c>
      <c r="CB92" s="106">
        <v>34</v>
      </c>
      <c r="CC92" s="106">
        <v>48307.199999999997</v>
      </c>
      <c r="CD92" s="106">
        <v>20</v>
      </c>
      <c r="CE92" s="106">
        <v>28416</v>
      </c>
      <c r="CF92" s="106">
        <v>16</v>
      </c>
      <c r="CG92" s="106">
        <v>22732.799999999999</v>
      </c>
      <c r="CH92" s="106">
        <v>12</v>
      </c>
      <c r="CI92" s="106">
        <v>17049.599999999999</v>
      </c>
      <c r="CJ92" s="106">
        <v>13</v>
      </c>
      <c r="CK92" s="106">
        <v>18470.399999999998</v>
      </c>
      <c r="CL92" s="106">
        <v>10</v>
      </c>
      <c r="CM92" s="106">
        <v>14208</v>
      </c>
      <c r="CN92" s="106">
        <v>4</v>
      </c>
      <c r="CO92" s="106">
        <v>5683.2</v>
      </c>
      <c r="CP92" s="106">
        <v>8</v>
      </c>
      <c r="CQ92" s="106">
        <v>11366.4</v>
      </c>
      <c r="CR92" s="106">
        <v>5</v>
      </c>
      <c r="CS92" s="106">
        <v>7104</v>
      </c>
      <c r="CT92" s="106">
        <v>6</v>
      </c>
      <c r="CU92" s="106">
        <v>8524.7999999999993</v>
      </c>
    </row>
    <row r="93" spans="2:99" x14ac:dyDescent="0.2">
      <c r="C93" s="105" t="s">
        <v>259</v>
      </c>
      <c r="D93" s="106">
        <v>6</v>
      </c>
      <c r="E93" s="106">
        <v>10634.4</v>
      </c>
      <c r="F93" s="106">
        <v>5</v>
      </c>
      <c r="G93" s="106">
        <v>8862</v>
      </c>
      <c r="H93" s="106">
        <v>4</v>
      </c>
      <c r="I93" s="106">
        <v>7089.5999999999995</v>
      </c>
      <c r="J93" s="106">
        <v>4</v>
      </c>
      <c r="K93" s="106">
        <v>7089.5999999999995</v>
      </c>
      <c r="L93" s="106">
        <v>21</v>
      </c>
      <c r="M93" s="106">
        <v>37220.399999999994</v>
      </c>
      <c r="N93" s="106">
        <v>15</v>
      </c>
      <c r="O93" s="106">
        <v>26585.999999999996</v>
      </c>
      <c r="P93" s="106">
        <v>17</v>
      </c>
      <c r="Q93" s="106">
        <v>30130.799999999999</v>
      </c>
      <c r="R93" s="106">
        <v>20</v>
      </c>
      <c r="S93" s="106">
        <v>35448</v>
      </c>
      <c r="T93" s="106">
        <v>42</v>
      </c>
      <c r="U93" s="106">
        <v>74440.799999999988</v>
      </c>
      <c r="V93" s="106">
        <v>41</v>
      </c>
      <c r="W93" s="106">
        <v>72668.399999999994</v>
      </c>
      <c r="X93" s="106">
        <v>35</v>
      </c>
      <c r="Y93" s="106">
        <v>62033.999999999993</v>
      </c>
      <c r="Z93" s="106">
        <v>41</v>
      </c>
      <c r="AA93" s="106">
        <v>72668.399999999994</v>
      </c>
      <c r="AB93" s="106">
        <v>7</v>
      </c>
      <c r="AC93" s="106">
        <v>12406.8</v>
      </c>
      <c r="AD93" s="106">
        <v>10</v>
      </c>
      <c r="AE93" s="106">
        <v>17724</v>
      </c>
      <c r="AF93" s="106">
        <v>10</v>
      </c>
      <c r="AG93" s="106">
        <v>17724</v>
      </c>
      <c r="AH93" s="106">
        <v>6</v>
      </c>
      <c r="AI93" s="106">
        <v>10634.4</v>
      </c>
      <c r="AJ93" s="106">
        <v>15</v>
      </c>
      <c r="AK93" s="106">
        <v>26585.999999999996</v>
      </c>
      <c r="AL93" s="106">
        <v>11</v>
      </c>
      <c r="AM93" s="106">
        <v>19496.399999999998</v>
      </c>
      <c r="AN93" s="106">
        <v>16</v>
      </c>
      <c r="AO93" s="106">
        <v>28358.399999999998</v>
      </c>
      <c r="AP93" s="106">
        <v>15</v>
      </c>
      <c r="AQ93" s="106">
        <v>26585.999999999996</v>
      </c>
      <c r="AR93" s="106">
        <v>7</v>
      </c>
      <c r="AS93" s="106">
        <v>12406.8</v>
      </c>
      <c r="AT93" s="106">
        <v>7</v>
      </c>
      <c r="AU93" s="106">
        <v>12406.8</v>
      </c>
      <c r="AV93" s="106">
        <v>6</v>
      </c>
      <c r="AW93" s="106">
        <v>10634.4</v>
      </c>
      <c r="AX93" s="106">
        <v>7</v>
      </c>
      <c r="AY93" s="106">
        <v>12406.8</v>
      </c>
      <c r="AZ93" s="106">
        <v>7</v>
      </c>
      <c r="BA93" s="106">
        <v>12406.8</v>
      </c>
      <c r="BB93" s="106">
        <v>9</v>
      </c>
      <c r="BC93" s="106">
        <v>15951.599999999999</v>
      </c>
      <c r="BD93" s="106">
        <v>10</v>
      </c>
      <c r="BE93" s="106">
        <v>17724</v>
      </c>
      <c r="BF93" s="106">
        <v>7</v>
      </c>
      <c r="BG93" s="106">
        <v>12406.8</v>
      </c>
      <c r="BH93" s="106">
        <v>17</v>
      </c>
      <c r="BI93" s="106">
        <v>30130.799999999999</v>
      </c>
      <c r="BJ93" s="106">
        <v>14</v>
      </c>
      <c r="BK93" s="106">
        <v>24813.599999999999</v>
      </c>
      <c r="BL93" s="106">
        <v>17</v>
      </c>
      <c r="BM93" s="106">
        <v>30130.799999999999</v>
      </c>
      <c r="BN93" s="106">
        <v>20</v>
      </c>
      <c r="BO93" s="106">
        <v>35448</v>
      </c>
      <c r="BP93" s="106">
        <v>45</v>
      </c>
      <c r="BQ93" s="106">
        <v>79758</v>
      </c>
      <c r="BR93" s="106">
        <v>50</v>
      </c>
      <c r="BS93" s="106">
        <v>88620</v>
      </c>
      <c r="BT93" s="106">
        <v>33</v>
      </c>
      <c r="BU93" s="106">
        <v>58489.2</v>
      </c>
      <c r="BV93" s="106">
        <v>34</v>
      </c>
      <c r="BW93" s="106">
        <v>60261.599999999999</v>
      </c>
      <c r="BX93" s="106">
        <v>34</v>
      </c>
      <c r="BY93" s="106">
        <v>60261.599999999999</v>
      </c>
      <c r="BZ93" s="106">
        <v>20</v>
      </c>
      <c r="CA93" s="106">
        <v>35448</v>
      </c>
      <c r="CB93" s="106">
        <v>29</v>
      </c>
      <c r="CC93" s="106">
        <v>51399.6</v>
      </c>
      <c r="CD93" s="106">
        <v>19</v>
      </c>
      <c r="CE93" s="106">
        <v>33675.599999999999</v>
      </c>
      <c r="CF93" s="106">
        <v>13</v>
      </c>
      <c r="CG93" s="106">
        <v>23041.199999999997</v>
      </c>
      <c r="CH93" s="106">
        <v>11</v>
      </c>
      <c r="CI93" s="106">
        <v>19496.399999999998</v>
      </c>
      <c r="CJ93" s="106">
        <v>14</v>
      </c>
      <c r="CK93" s="106">
        <v>24813.599999999999</v>
      </c>
      <c r="CL93" s="106">
        <v>9</v>
      </c>
      <c r="CM93" s="106">
        <v>15951.599999999999</v>
      </c>
      <c r="CN93" s="106">
        <v>4</v>
      </c>
      <c r="CO93" s="106">
        <v>7089.5999999999995</v>
      </c>
      <c r="CP93" s="106">
        <v>8</v>
      </c>
      <c r="CQ93" s="106">
        <v>14179.199999999999</v>
      </c>
      <c r="CR93" s="106">
        <v>5</v>
      </c>
      <c r="CS93" s="106">
        <v>8862</v>
      </c>
      <c r="CT93" s="106">
        <v>5</v>
      </c>
      <c r="CU93" s="106">
        <v>8862</v>
      </c>
    </row>
    <row r="94" spans="2:99" x14ac:dyDescent="0.2">
      <c r="C94" s="105" t="s">
        <v>260</v>
      </c>
      <c r="D94" s="106">
        <v>6</v>
      </c>
      <c r="E94" s="106">
        <v>14371.199999999999</v>
      </c>
      <c r="F94" s="106">
        <v>5</v>
      </c>
      <c r="G94" s="106">
        <v>11976</v>
      </c>
      <c r="H94" s="106">
        <v>4</v>
      </c>
      <c r="I94" s="106">
        <v>9580.7999999999993</v>
      </c>
      <c r="J94" s="106">
        <v>3</v>
      </c>
      <c r="K94" s="106">
        <v>7185.5999999999995</v>
      </c>
      <c r="L94" s="106">
        <v>19</v>
      </c>
      <c r="M94" s="106">
        <v>45508.799999999996</v>
      </c>
      <c r="N94" s="106">
        <v>13</v>
      </c>
      <c r="O94" s="106">
        <v>31137.599999999999</v>
      </c>
      <c r="P94" s="106">
        <v>17</v>
      </c>
      <c r="Q94" s="106">
        <v>40718.399999999994</v>
      </c>
      <c r="R94" s="106">
        <v>17</v>
      </c>
      <c r="S94" s="106">
        <v>40718.399999999994</v>
      </c>
      <c r="T94" s="106">
        <v>34</v>
      </c>
      <c r="U94" s="106">
        <v>81436.799999999988</v>
      </c>
      <c r="V94" s="106">
        <v>37</v>
      </c>
      <c r="W94" s="106">
        <v>88622.399999999994</v>
      </c>
      <c r="X94" s="106">
        <v>36</v>
      </c>
      <c r="Y94" s="106">
        <v>86227.199999999997</v>
      </c>
      <c r="Z94" s="106">
        <v>35</v>
      </c>
      <c r="AA94" s="106">
        <v>83832</v>
      </c>
      <c r="AB94" s="106">
        <v>7</v>
      </c>
      <c r="AC94" s="106">
        <v>16766.399999999998</v>
      </c>
      <c r="AD94" s="106">
        <v>9</v>
      </c>
      <c r="AE94" s="106">
        <v>21556.799999999999</v>
      </c>
      <c r="AF94" s="106">
        <v>10</v>
      </c>
      <c r="AG94" s="106">
        <v>23952</v>
      </c>
      <c r="AH94" s="106">
        <v>7</v>
      </c>
      <c r="AI94" s="106">
        <v>16766.399999999998</v>
      </c>
      <c r="AJ94" s="106">
        <v>15</v>
      </c>
      <c r="AK94" s="106">
        <v>35928</v>
      </c>
      <c r="AL94" s="106">
        <v>12</v>
      </c>
      <c r="AM94" s="106">
        <v>28742.399999999998</v>
      </c>
      <c r="AN94" s="106">
        <v>15</v>
      </c>
      <c r="AO94" s="106">
        <v>35928</v>
      </c>
      <c r="AP94" s="106">
        <v>13</v>
      </c>
      <c r="AQ94" s="106">
        <v>31137.599999999999</v>
      </c>
      <c r="AR94" s="106">
        <v>7</v>
      </c>
      <c r="AS94" s="106">
        <v>16766.399999999998</v>
      </c>
      <c r="AT94" s="106">
        <v>6</v>
      </c>
      <c r="AU94" s="106">
        <v>14371.199999999999</v>
      </c>
      <c r="AV94" s="106">
        <v>5</v>
      </c>
      <c r="AW94" s="106">
        <v>11976</v>
      </c>
      <c r="AX94" s="106">
        <v>7</v>
      </c>
      <c r="AY94" s="106">
        <v>16766.399999999998</v>
      </c>
      <c r="AZ94" s="106">
        <v>6</v>
      </c>
      <c r="BA94" s="106">
        <v>14371.199999999999</v>
      </c>
      <c r="BB94" s="106">
        <v>9</v>
      </c>
      <c r="BC94" s="106">
        <v>21556.799999999999</v>
      </c>
      <c r="BD94" s="106">
        <v>10</v>
      </c>
      <c r="BE94" s="106">
        <v>23952</v>
      </c>
      <c r="BF94" s="106">
        <v>7</v>
      </c>
      <c r="BG94" s="106">
        <v>16766.399999999998</v>
      </c>
      <c r="BH94" s="106">
        <v>13</v>
      </c>
      <c r="BI94" s="106">
        <v>31137.599999999999</v>
      </c>
      <c r="BJ94" s="106">
        <v>13</v>
      </c>
      <c r="BK94" s="106">
        <v>31137.599999999999</v>
      </c>
      <c r="BL94" s="106">
        <v>16</v>
      </c>
      <c r="BM94" s="106">
        <v>38323.199999999997</v>
      </c>
      <c r="BN94" s="106">
        <v>21</v>
      </c>
      <c r="BO94" s="106">
        <v>50299.199999999997</v>
      </c>
      <c r="BP94" s="106">
        <v>46</v>
      </c>
      <c r="BQ94" s="106">
        <v>110179.2</v>
      </c>
      <c r="BR94" s="106">
        <v>47</v>
      </c>
      <c r="BS94" s="106">
        <v>112574.39999999999</v>
      </c>
      <c r="BT94" s="106">
        <v>34</v>
      </c>
      <c r="BU94" s="106">
        <v>81436.799999999988</v>
      </c>
      <c r="BV94" s="106">
        <v>30</v>
      </c>
      <c r="BW94" s="106">
        <v>71856</v>
      </c>
      <c r="BX94" s="106">
        <v>34</v>
      </c>
      <c r="BY94" s="106">
        <v>81436.799999999988</v>
      </c>
      <c r="BZ94" s="106">
        <v>19</v>
      </c>
      <c r="CA94" s="106">
        <v>45508.799999999996</v>
      </c>
      <c r="CB94" s="106">
        <v>25</v>
      </c>
      <c r="CC94" s="106">
        <v>59879.999999999993</v>
      </c>
      <c r="CD94" s="106">
        <v>18</v>
      </c>
      <c r="CE94" s="106">
        <v>43113.599999999999</v>
      </c>
      <c r="CF94" s="106">
        <v>13</v>
      </c>
      <c r="CG94" s="106">
        <v>31137.599999999999</v>
      </c>
      <c r="CH94" s="106">
        <v>11</v>
      </c>
      <c r="CI94" s="106">
        <v>26347.199999999997</v>
      </c>
      <c r="CJ94" s="106">
        <v>11</v>
      </c>
      <c r="CK94" s="106">
        <v>26347.199999999997</v>
      </c>
      <c r="CL94" s="106">
        <v>8</v>
      </c>
      <c r="CM94" s="106">
        <v>19161.599999999999</v>
      </c>
      <c r="CN94" s="106">
        <v>4</v>
      </c>
      <c r="CO94" s="106">
        <v>9580.7999999999993</v>
      </c>
      <c r="CP94" s="106">
        <v>7</v>
      </c>
      <c r="CQ94" s="106">
        <v>16766.399999999998</v>
      </c>
      <c r="CR94" s="106">
        <v>5</v>
      </c>
      <c r="CS94" s="106">
        <v>11976</v>
      </c>
      <c r="CT94" s="106">
        <v>5</v>
      </c>
      <c r="CU94" s="106">
        <v>11976</v>
      </c>
    </row>
    <row r="95" spans="2:99" x14ac:dyDescent="0.2">
      <c r="B95" s="105" t="s">
        <v>132</v>
      </c>
      <c r="C95" s="105" t="s">
        <v>261</v>
      </c>
      <c r="D95" s="106">
        <v>9</v>
      </c>
      <c r="E95" s="106">
        <v>15595.199999999999</v>
      </c>
      <c r="F95" s="106">
        <v>6</v>
      </c>
      <c r="G95" s="106">
        <v>10396.799999999999</v>
      </c>
      <c r="H95" s="106">
        <v>10</v>
      </c>
      <c r="I95" s="106">
        <v>17328</v>
      </c>
      <c r="J95" s="106">
        <v>8</v>
      </c>
      <c r="K95" s="106">
        <v>13862.4</v>
      </c>
      <c r="L95" s="106">
        <v>14</v>
      </c>
      <c r="M95" s="106">
        <v>24259.200000000001</v>
      </c>
      <c r="N95" s="106">
        <v>13</v>
      </c>
      <c r="O95" s="106">
        <v>22526.399999999998</v>
      </c>
      <c r="P95" s="106">
        <v>10</v>
      </c>
      <c r="Q95" s="106">
        <v>17328</v>
      </c>
      <c r="R95" s="106">
        <v>9</v>
      </c>
      <c r="S95" s="106">
        <v>15595.199999999999</v>
      </c>
      <c r="T95" s="106">
        <v>13</v>
      </c>
      <c r="U95" s="106">
        <v>22526.399999999998</v>
      </c>
      <c r="V95" s="106">
        <v>12</v>
      </c>
      <c r="W95" s="106">
        <v>20793.599999999999</v>
      </c>
      <c r="X95" s="106">
        <v>11</v>
      </c>
      <c r="Y95" s="106">
        <v>19060.8</v>
      </c>
      <c r="Z95" s="106">
        <v>12</v>
      </c>
      <c r="AA95" s="106">
        <v>20793.599999999999</v>
      </c>
      <c r="AB95" s="106">
        <v>35</v>
      </c>
      <c r="AC95" s="106">
        <v>60648</v>
      </c>
      <c r="AD95" s="106">
        <v>54</v>
      </c>
      <c r="AE95" s="106">
        <v>93571.199999999997</v>
      </c>
      <c r="AF95" s="106">
        <v>50</v>
      </c>
      <c r="AG95" s="106">
        <v>86640</v>
      </c>
      <c r="AH95" s="106">
        <v>66</v>
      </c>
      <c r="AI95" s="106">
        <v>114364.8</v>
      </c>
      <c r="AJ95" s="106">
        <v>6</v>
      </c>
      <c r="AK95" s="106">
        <v>10396.799999999999</v>
      </c>
      <c r="AL95" s="106">
        <v>7</v>
      </c>
      <c r="AM95" s="106">
        <v>12129.6</v>
      </c>
      <c r="AN95" s="106">
        <v>8</v>
      </c>
      <c r="AO95" s="106">
        <v>13862.4</v>
      </c>
      <c r="AP95" s="106">
        <v>5</v>
      </c>
      <c r="AQ95" s="106">
        <v>8664</v>
      </c>
      <c r="AR95" s="106">
        <v>51</v>
      </c>
      <c r="AS95" s="106">
        <v>88372.800000000003</v>
      </c>
      <c r="AT95" s="106">
        <v>48</v>
      </c>
      <c r="AU95" s="106">
        <v>83174.399999999994</v>
      </c>
      <c r="AV95" s="106">
        <v>52</v>
      </c>
      <c r="AW95" s="106">
        <v>90105.599999999991</v>
      </c>
      <c r="AX95" s="106">
        <v>41</v>
      </c>
      <c r="AY95" s="106">
        <v>71044.800000000003</v>
      </c>
      <c r="AZ95" s="106">
        <v>29</v>
      </c>
      <c r="BA95" s="106">
        <v>50251.199999999997</v>
      </c>
      <c r="BB95" s="106">
        <v>28</v>
      </c>
      <c r="BC95" s="106">
        <v>48518.400000000001</v>
      </c>
      <c r="BD95" s="106">
        <v>33</v>
      </c>
      <c r="BE95" s="106">
        <v>57182.400000000001</v>
      </c>
      <c r="BF95" s="106">
        <v>24</v>
      </c>
      <c r="BG95" s="106">
        <v>41587.199999999997</v>
      </c>
      <c r="BH95" s="106">
        <v>25</v>
      </c>
      <c r="BI95" s="106">
        <v>43320</v>
      </c>
      <c r="BJ95" s="106">
        <v>36</v>
      </c>
      <c r="BK95" s="106">
        <v>62380.799999999996</v>
      </c>
      <c r="BL95" s="106">
        <v>45</v>
      </c>
      <c r="BM95" s="106">
        <v>77976</v>
      </c>
      <c r="BN95" s="106">
        <v>40</v>
      </c>
      <c r="BO95" s="106">
        <v>69312</v>
      </c>
      <c r="BP95" s="106">
        <v>22</v>
      </c>
      <c r="BQ95" s="106">
        <v>38121.599999999999</v>
      </c>
      <c r="BR95" s="106">
        <v>16</v>
      </c>
      <c r="BS95" s="106">
        <v>27724.799999999999</v>
      </c>
      <c r="BT95" s="106">
        <v>23</v>
      </c>
      <c r="BU95" s="106">
        <v>39854.400000000001</v>
      </c>
      <c r="BV95" s="106">
        <v>18</v>
      </c>
      <c r="BW95" s="106">
        <v>31190.399999999998</v>
      </c>
      <c r="BX95" s="106">
        <v>33</v>
      </c>
      <c r="BY95" s="106">
        <v>57182.400000000001</v>
      </c>
      <c r="BZ95" s="106">
        <v>26</v>
      </c>
      <c r="CA95" s="106">
        <v>45052.799999999996</v>
      </c>
      <c r="CB95" s="106">
        <v>28</v>
      </c>
      <c r="CC95" s="106">
        <v>48518.400000000001</v>
      </c>
      <c r="CD95" s="106">
        <v>19</v>
      </c>
      <c r="CE95" s="106">
        <v>32923.199999999997</v>
      </c>
      <c r="CF95" s="106">
        <v>18</v>
      </c>
      <c r="CG95" s="106">
        <v>31190.399999999998</v>
      </c>
      <c r="CH95" s="106">
        <v>25</v>
      </c>
      <c r="CI95" s="106">
        <v>43320</v>
      </c>
      <c r="CJ95" s="106">
        <v>21</v>
      </c>
      <c r="CK95" s="106">
        <v>36388.799999999996</v>
      </c>
      <c r="CL95" s="106">
        <v>20</v>
      </c>
      <c r="CM95" s="106">
        <v>34656</v>
      </c>
      <c r="CN95" s="106">
        <v>88</v>
      </c>
      <c r="CO95" s="106">
        <v>152486.39999999999</v>
      </c>
      <c r="CP95" s="106">
        <v>113</v>
      </c>
      <c r="CQ95" s="106">
        <v>195806.4</v>
      </c>
      <c r="CR95" s="106">
        <v>78</v>
      </c>
      <c r="CS95" s="106">
        <v>135158.39999999999</v>
      </c>
      <c r="CT95" s="106">
        <v>87</v>
      </c>
      <c r="CU95" s="106">
        <v>150753.60000000001</v>
      </c>
    </row>
    <row r="96" spans="2:99" x14ac:dyDescent="0.2">
      <c r="C96" s="105" t="s">
        <v>262</v>
      </c>
      <c r="D96" s="106">
        <v>11</v>
      </c>
      <c r="E96" s="106">
        <v>9055.1999999999989</v>
      </c>
      <c r="F96" s="106">
        <v>8</v>
      </c>
      <c r="G96" s="106">
        <v>6585.5999999999995</v>
      </c>
      <c r="H96" s="106">
        <v>12</v>
      </c>
      <c r="I96" s="106">
        <v>9878.4</v>
      </c>
      <c r="J96" s="106">
        <v>8</v>
      </c>
      <c r="K96" s="106">
        <v>6585.5999999999995</v>
      </c>
      <c r="L96" s="106">
        <v>16</v>
      </c>
      <c r="M96" s="106">
        <v>13171.199999999999</v>
      </c>
      <c r="N96" s="106">
        <v>13</v>
      </c>
      <c r="O96" s="106">
        <v>10701.599999999999</v>
      </c>
      <c r="P96" s="106">
        <v>10</v>
      </c>
      <c r="Q96" s="106">
        <v>8232</v>
      </c>
      <c r="R96" s="106">
        <v>10</v>
      </c>
      <c r="S96" s="106">
        <v>8232</v>
      </c>
      <c r="T96" s="106">
        <v>15</v>
      </c>
      <c r="U96" s="106">
        <v>12347.999999999998</v>
      </c>
      <c r="V96" s="106">
        <v>12</v>
      </c>
      <c r="W96" s="106">
        <v>9878.4</v>
      </c>
      <c r="X96" s="106">
        <v>14</v>
      </c>
      <c r="Y96" s="106">
        <v>11524.8</v>
      </c>
      <c r="Z96" s="106">
        <v>14</v>
      </c>
      <c r="AA96" s="106">
        <v>11524.8</v>
      </c>
      <c r="AB96" s="106">
        <v>35</v>
      </c>
      <c r="AC96" s="106">
        <v>28811.999999999996</v>
      </c>
      <c r="AD96" s="106">
        <v>55</v>
      </c>
      <c r="AE96" s="106">
        <v>45275.999999999993</v>
      </c>
      <c r="AF96" s="106">
        <v>54</v>
      </c>
      <c r="AG96" s="106">
        <v>44452.799999999996</v>
      </c>
      <c r="AH96" s="106">
        <v>66</v>
      </c>
      <c r="AI96" s="106">
        <v>54331.199999999997</v>
      </c>
      <c r="AJ96" s="106">
        <v>7</v>
      </c>
      <c r="AK96" s="106">
        <v>5762.4</v>
      </c>
      <c r="AL96" s="106">
        <v>7</v>
      </c>
      <c r="AM96" s="106">
        <v>5762.4</v>
      </c>
      <c r="AN96" s="106">
        <v>8</v>
      </c>
      <c r="AO96" s="106">
        <v>6585.5999999999995</v>
      </c>
      <c r="AP96" s="106">
        <v>5</v>
      </c>
      <c r="AQ96" s="106">
        <v>4116</v>
      </c>
      <c r="AR96" s="106">
        <v>59</v>
      </c>
      <c r="AS96" s="106">
        <v>48568.799999999996</v>
      </c>
      <c r="AT96" s="106">
        <v>55</v>
      </c>
      <c r="AU96" s="106">
        <v>45275.999999999993</v>
      </c>
      <c r="AV96" s="106">
        <v>52</v>
      </c>
      <c r="AW96" s="106">
        <v>42806.399999999994</v>
      </c>
      <c r="AX96" s="106">
        <v>43</v>
      </c>
      <c r="AY96" s="106">
        <v>35397.599999999999</v>
      </c>
      <c r="AZ96" s="106">
        <v>36</v>
      </c>
      <c r="BA96" s="106">
        <v>29635.199999999997</v>
      </c>
      <c r="BB96" s="106">
        <v>33</v>
      </c>
      <c r="BC96" s="106">
        <v>27165.599999999999</v>
      </c>
      <c r="BD96" s="106">
        <v>35</v>
      </c>
      <c r="BE96" s="106">
        <v>28811.999999999996</v>
      </c>
      <c r="BF96" s="106">
        <v>28</v>
      </c>
      <c r="BG96" s="106">
        <v>23049.599999999999</v>
      </c>
      <c r="BH96" s="106">
        <v>24</v>
      </c>
      <c r="BI96" s="106">
        <v>19756.8</v>
      </c>
      <c r="BJ96" s="106">
        <v>45</v>
      </c>
      <c r="BK96" s="106">
        <v>37044</v>
      </c>
      <c r="BL96" s="106">
        <v>44</v>
      </c>
      <c r="BM96" s="106">
        <v>36220.799999999996</v>
      </c>
      <c r="BN96" s="106">
        <v>44</v>
      </c>
      <c r="BO96" s="106">
        <v>36220.799999999996</v>
      </c>
      <c r="BP96" s="106">
        <v>29</v>
      </c>
      <c r="BQ96" s="106">
        <v>23872.799999999999</v>
      </c>
      <c r="BR96" s="106">
        <v>21</v>
      </c>
      <c r="BS96" s="106">
        <v>17287.199999999997</v>
      </c>
      <c r="BT96" s="106">
        <v>23</v>
      </c>
      <c r="BU96" s="106">
        <v>18933.599999999999</v>
      </c>
      <c r="BV96" s="106">
        <v>18</v>
      </c>
      <c r="BW96" s="106">
        <v>14817.599999999999</v>
      </c>
      <c r="BX96" s="106">
        <v>37</v>
      </c>
      <c r="BY96" s="106">
        <v>30458.399999999998</v>
      </c>
      <c r="BZ96" s="106">
        <v>26</v>
      </c>
      <c r="CA96" s="106">
        <v>21403.199999999997</v>
      </c>
      <c r="CB96" s="106">
        <v>31</v>
      </c>
      <c r="CC96" s="106">
        <v>25519.199999999997</v>
      </c>
      <c r="CD96" s="106">
        <v>22</v>
      </c>
      <c r="CE96" s="106">
        <v>18110.399999999998</v>
      </c>
      <c r="CF96" s="106">
        <v>23</v>
      </c>
      <c r="CG96" s="106">
        <v>18933.599999999999</v>
      </c>
      <c r="CH96" s="106">
        <v>30</v>
      </c>
      <c r="CI96" s="106">
        <v>24695.999999999996</v>
      </c>
      <c r="CJ96" s="106">
        <v>23</v>
      </c>
      <c r="CK96" s="106">
        <v>18933.599999999999</v>
      </c>
      <c r="CL96" s="106">
        <v>20</v>
      </c>
      <c r="CM96" s="106">
        <v>16464</v>
      </c>
      <c r="CN96" s="106">
        <v>102</v>
      </c>
      <c r="CO96" s="106">
        <v>83966.399999999994</v>
      </c>
      <c r="CP96" s="106">
        <v>127</v>
      </c>
      <c r="CQ96" s="106">
        <v>104546.4</v>
      </c>
      <c r="CR96" s="106">
        <v>91</v>
      </c>
      <c r="CS96" s="106">
        <v>74911.199999999997</v>
      </c>
      <c r="CT96" s="106">
        <v>105</v>
      </c>
      <c r="CU96" s="106">
        <v>86436</v>
      </c>
    </row>
    <row r="97" spans="2:99" x14ac:dyDescent="0.2">
      <c r="C97" s="105" t="s">
        <v>263</v>
      </c>
      <c r="D97" s="106">
        <v>11</v>
      </c>
      <c r="E97" s="106">
        <v>20116.8</v>
      </c>
      <c r="F97" s="106">
        <v>7</v>
      </c>
      <c r="G97" s="106">
        <v>12801.6</v>
      </c>
      <c r="H97" s="106">
        <v>10</v>
      </c>
      <c r="I97" s="106">
        <v>18288</v>
      </c>
      <c r="J97" s="106">
        <v>7</v>
      </c>
      <c r="K97" s="106">
        <v>12801.6</v>
      </c>
      <c r="L97" s="106">
        <v>13</v>
      </c>
      <c r="M97" s="106">
        <v>23774.399999999998</v>
      </c>
      <c r="N97" s="106">
        <v>13</v>
      </c>
      <c r="O97" s="106">
        <v>23774.399999999998</v>
      </c>
      <c r="P97" s="106">
        <v>11</v>
      </c>
      <c r="Q97" s="106">
        <v>20116.8</v>
      </c>
      <c r="R97" s="106">
        <v>10</v>
      </c>
      <c r="S97" s="106">
        <v>18288</v>
      </c>
      <c r="T97" s="106">
        <v>15</v>
      </c>
      <c r="U97" s="106">
        <v>27432</v>
      </c>
      <c r="V97" s="106">
        <v>11</v>
      </c>
      <c r="W97" s="106">
        <v>20116.8</v>
      </c>
      <c r="X97" s="106">
        <v>11</v>
      </c>
      <c r="Y97" s="106">
        <v>20116.8</v>
      </c>
      <c r="Z97" s="106">
        <v>12</v>
      </c>
      <c r="AA97" s="106">
        <v>21945.599999999999</v>
      </c>
      <c r="AB97" s="106">
        <v>36</v>
      </c>
      <c r="AC97" s="106">
        <v>65836.800000000003</v>
      </c>
      <c r="AD97" s="106">
        <v>45</v>
      </c>
      <c r="AE97" s="106">
        <v>82296</v>
      </c>
      <c r="AF97" s="106">
        <v>48</v>
      </c>
      <c r="AG97" s="106">
        <v>87782.399999999994</v>
      </c>
      <c r="AH97" s="106">
        <v>53</v>
      </c>
      <c r="AI97" s="106">
        <v>96926.399999999994</v>
      </c>
      <c r="AJ97" s="106">
        <v>6</v>
      </c>
      <c r="AK97" s="106">
        <v>10972.8</v>
      </c>
      <c r="AL97" s="106">
        <v>6</v>
      </c>
      <c r="AM97" s="106">
        <v>10972.8</v>
      </c>
      <c r="AN97" s="106">
        <v>8</v>
      </c>
      <c r="AO97" s="106">
        <v>14630.4</v>
      </c>
      <c r="AP97" s="106">
        <v>5</v>
      </c>
      <c r="AQ97" s="106">
        <v>9144</v>
      </c>
      <c r="AR97" s="106">
        <v>44</v>
      </c>
      <c r="AS97" s="106">
        <v>80467.199999999997</v>
      </c>
      <c r="AT97" s="106">
        <v>42</v>
      </c>
      <c r="AU97" s="106">
        <v>76809.599999999991</v>
      </c>
      <c r="AV97" s="106">
        <v>49</v>
      </c>
      <c r="AW97" s="106">
        <v>89611.199999999997</v>
      </c>
      <c r="AX97" s="106">
        <v>42</v>
      </c>
      <c r="AY97" s="106">
        <v>76809.599999999991</v>
      </c>
      <c r="AZ97" s="106">
        <v>33</v>
      </c>
      <c r="BA97" s="106">
        <v>60350.400000000001</v>
      </c>
      <c r="BB97" s="106">
        <v>32</v>
      </c>
      <c r="BC97" s="106">
        <v>58521.599999999999</v>
      </c>
      <c r="BD97" s="106">
        <v>31</v>
      </c>
      <c r="BE97" s="106">
        <v>56692.799999999996</v>
      </c>
      <c r="BF97" s="106">
        <v>24</v>
      </c>
      <c r="BG97" s="106">
        <v>43891.199999999997</v>
      </c>
      <c r="BH97" s="106">
        <v>24</v>
      </c>
      <c r="BI97" s="106">
        <v>43891.199999999997</v>
      </c>
      <c r="BJ97" s="106">
        <v>34</v>
      </c>
      <c r="BK97" s="106">
        <v>62179.199999999997</v>
      </c>
      <c r="BL97" s="106">
        <v>38</v>
      </c>
      <c r="BM97" s="106">
        <v>69494.399999999994</v>
      </c>
      <c r="BN97" s="106">
        <v>42</v>
      </c>
      <c r="BO97" s="106">
        <v>76809.599999999991</v>
      </c>
      <c r="BP97" s="106">
        <v>22</v>
      </c>
      <c r="BQ97" s="106">
        <v>40233.599999999999</v>
      </c>
      <c r="BR97" s="106">
        <v>18</v>
      </c>
      <c r="BS97" s="106">
        <v>32918.400000000001</v>
      </c>
      <c r="BT97" s="106">
        <v>19</v>
      </c>
      <c r="BU97" s="106">
        <v>34747.199999999997</v>
      </c>
      <c r="BV97" s="106">
        <v>15</v>
      </c>
      <c r="BW97" s="106">
        <v>27432</v>
      </c>
      <c r="BX97" s="106">
        <v>32</v>
      </c>
      <c r="BY97" s="106">
        <v>58521.599999999999</v>
      </c>
      <c r="BZ97" s="106">
        <v>27</v>
      </c>
      <c r="CA97" s="106">
        <v>49377.599999999999</v>
      </c>
      <c r="CB97" s="106">
        <v>33</v>
      </c>
      <c r="CC97" s="106">
        <v>60350.400000000001</v>
      </c>
      <c r="CD97" s="106">
        <v>20</v>
      </c>
      <c r="CE97" s="106">
        <v>36576</v>
      </c>
      <c r="CF97" s="106">
        <v>17</v>
      </c>
      <c r="CG97" s="106">
        <v>31089.599999999999</v>
      </c>
      <c r="CH97" s="106">
        <v>27</v>
      </c>
      <c r="CI97" s="106">
        <v>49377.599999999999</v>
      </c>
      <c r="CJ97" s="106">
        <v>21</v>
      </c>
      <c r="CK97" s="106">
        <v>38404.799999999996</v>
      </c>
      <c r="CL97" s="106">
        <v>21</v>
      </c>
      <c r="CM97" s="106">
        <v>38404.799999999996</v>
      </c>
      <c r="CN97" s="106">
        <v>89</v>
      </c>
      <c r="CO97" s="106">
        <v>162763.19999999998</v>
      </c>
      <c r="CP97" s="106">
        <v>107</v>
      </c>
      <c r="CQ97" s="106">
        <v>195681.6</v>
      </c>
      <c r="CR97" s="106">
        <v>78</v>
      </c>
      <c r="CS97" s="106">
        <v>142646.39999999999</v>
      </c>
      <c r="CT97" s="106">
        <v>86</v>
      </c>
      <c r="CU97" s="106">
        <v>157276.79999999999</v>
      </c>
    </row>
    <row r="98" spans="2:99" x14ac:dyDescent="0.2">
      <c r="C98" s="105" t="s">
        <v>264</v>
      </c>
      <c r="D98" s="106">
        <v>10</v>
      </c>
      <c r="E98" s="106">
        <v>12636</v>
      </c>
      <c r="F98" s="106">
        <v>8</v>
      </c>
      <c r="G98" s="106">
        <v>10108.799999999999</v>
      </c>
      <c r="H98" s="106">
        <v>12</v>
      </c>
      <c r="I98" s="106">
        <v>15163.199999999999</v>
      </c>
      <c r="J98" s="106">
        <v>7</v>
      </c>
      <c r="K98" s="106">
        <v>8845.1999999999989</v>
      </c>
      <c r="L98" s="106">
        <v>15</v>
      </c>
      <c r="M98" s="106">
        <v>18954</v>
      </c>
      <c r="N98" s="106">
        <v>11</v>
      </c>
      <c r="O98" s="106">
        <v>13899.599999999999</v>
      </c>
      <c r="P98" s="106">
        <v>11</v>
      </c>
      <c r="Q98" s="106">
        <v>13899.599999999999</v>
      </c>
      <c r="R98" s="106">
        <v>9</v>
      </c>
      <c r="S98" s="106">
        <v>11372.4</v>
      </c>
      <c r="T98" s="106">
        <v>16</v>
      </c>
      <c r="U98" s="106">
        <v>20217.599999999999</v>
      </c>
      <c r="V98" s="106">
        <v>11</v>
      </c>
      <c r="W98" s="106">
        <v>13899.599999999999</v>
      </c>
      <c r="X98" s="106">
        <v>13</v>
      </c>
      <c r="Y98" s="106">
        <v>16426.8</v>
      </c>
      <c r="Z98" s="106">
        <v>15</v>
      </c>
      <c r="AA98" s="106">
        <v>18954</v>
      </c>
      <c r="AB98" s="106">
        <v>38</v>
      </c>
      <c r="AC98" s="106">
        <v>48016.799999999996</v>
      </c>
      <c r="AD98" s="106">
        <v>58</v>
      </c>
      <c r="AE98" s="106">
        <v>73288.799999999988</v>
      </c>
      <c r="AF98" s="106">
        <v>47</v>
      </c>
      <c r="AG98" s="106">
        <v>59389.2</v>
      </c>
      <c r="AH98" s="106">
        <v>67</v>
      </c>
      <c r="AI98" s="106">
        <v>84661.2</v>
      </c>
      <c r="AJ98" s="106">
        <v>6</v>
      </c>
      <c r="AK98" s="106">
        <v>7581.5999999999995</v>
      </c>
      <c r="AL98" s="106">
        <v>6</v>
      </c>
      <c r="AM98" s="106">
        <v>7581.5999999999995</v>
      </c>
      <c r="AN98" s="106">
        <v>8</v>
      </c>
      <c r="AO98" s="106">
        <v>10108.799999999999</v>
      </c>
      <c r="AP98" s="106">
        <v>6</v>
      </c>
      <c r="AQ98" s="106">
        <v>7581.5999999999995</v>
      </c>
      <c r="AR98" s="106">
        <v>49</v>
      </c>
      <c r="AS98" s="106">
        <v>61916.399999999994</v>
      </c>
      <c r="AT98" s="106">
        <v>51</v>
      </c>
      <c r="AU98" s="106">
        <v>64443.6</v>
      </c>
      <c r="AV98" s="106">
        <v>53</v>
      </c>
      <c r="AW98" s="106">
        <v>66970.799999999988</v>
      </c>
      <c r="AX98" s="106">
        <v>40</v>
      </c>
      <c r="AY98" s="106">
        <v>50544</v>
      </c>
      <c r="AZ98" s="106">
        <v>30</v>
      </c>
      <c r="BA98" s="106">
        <v>37908</v>
      </c>
      <c r="BB98" s="106">
        <v>32</v>
      </c>
      <c r="BC98" s="106">
        <v>40435.199999999997</v>
      </c>
      <c r="BD98" s="106">
        <v>35</v>
      </c>
      <c r="BE98" s="106">
        <v>44226</v>
      </c>
      <c r="BF98" s="106">
        <v>22</v>
      </c>
      <c r="BG98" s="106">
        <v>27799.199999999997</v>
      </c>
      <c r="BH98" s="106">
        <v>25</v>
      </c>
      <c r="BI98" s="106">
        <v>31589.999999999996</v>
      </c>
      <c r="BJ98" s="106">
        <v>37</v>
      </c>
      <c r="BK98" s="106">
        <v>46753.2</v>
      </c>
      <c r="BL98" s="106">
        <v>43</v>
      </c>
      <c r="BM98" s="106">
        <v>54334.799999999996</v>
      </c>
      <c r="BN98" s="106">
        <v>42</v>
      </c>
      <c r="BO98" s="106">
        <v>53071.199999999997</v>
      </c>
      <c r="BP98" s="106">
        <v>26</v>
      </c>
      <c r="BQ98" s="106">
        <v>32853.599999999999</v>
      </c>
      <c r="BR98" s="106">
        <v>17</v>
      </c>
      <c r="BS98" s="106">
        <v>21481.199999999997</v>
      </c>
      <c r="BT98" s="106">
        <v>23</v>
      </c>
      <c r="BU98" s="106">
        <v>29062.799999999999</v>
      </c>
      <c r="BV98" s="106">
        <v>17</v>
      </c>
      <c r="BW98" s="106">
        <v>21481.199999999997</v>
      </c>
      <c r="BX98" s="106">
        <v>35</v>
      </c>
      <c r="BY98" s="106">
        <v>44226</v>
      </c>
      <c r="BZ98" s="106">
        <v>27</v>
      </c>
      <c r="CA98" s="106">
        <v>34117.199999999997</v>
      </c>
      <c r="CB98" s="106">
        <v>34</v>
      </c>
      <c r="CC98" s="106">
        <v>42962.399999999994</v>
      </c>
      <c r="CD98" s="106">
        <v>21</v>
      </c>
      <c r="CE98" s="106">
        <v>26535.599999999999</v>
      </c>
      <c r="CF98" s="106">
        <v>18</v>
      </c>
      <c r="CG98" s="106">
        <v>22744.799999999999</v>
      </c>
      <c r="CH98" s="106">
        <v>24</v>
      </c>
      <c r="CI98" s="106">
        <v>30326.399999999998</v>
      </c>
      <c r="CJ98" s="106">
        <v>22</v>
      </c>
      <c r="CK98" s="106">
        <v>27799.199999999997</v>
      </c>
      <c r="CL98" s="106">
        <v>20</v>
      </c>
      <c r="CM98" s="106">
        <v>25272</v>
      </c>
      <c r="CN98" s="106">
        <v>101</v>
      </c>
      <c r="CO98" s="106">
        <v>127623.59999999999</v>
      </c>
      <c r="CP98" s="106">
        <v>131</v>
      </c>
      <c r="CQ98" s="106">
        <v>165531.59999999998</v>
      </c>
      <c r="CR98" s="106">
        <v>85</v>
      </c>
      <c r="CS98" s="106">
        <v>107405.99999999999</v>
      </c>
      <c r="CT98" s="106">
        <v>83</v>
      </c>
      <c r="CU98" s="106">
        <v>104878.79999999999</v>
      </c>
    </row>
    <row r="99" spans="2:99" x14ac:dyDescent="0.2">
      <c r="C99" s="105" t="s">
        <v>265</v>
      </c>
      <c r="D99" s="106">
        <v>8</v>
      </c>
      <c r="E99" s="106">
        <v>43852.799999999996</v>
      </c>
      <c r="F99" s="106">
        <v>6</v>
      </c>
      <c r="G99" s="106">
        <v>32889.599999999999</v>
      </c>
      <c r="H99" s="106">
        <v>9</v>
      </c>
      <c r="I99" s="106">
        <v>49334.399999999994</v>
      </c>
      <c r="J99" s="106">
        <v>6</v>
      </c>
      <c r="K99" s="106">
        <v>32889.599999999999</v>
      </c>
      <c r="L99" s="106">
        <v>12</v>
      </c>
      <c r="M99" s="106">
        <v>65779.199999999997</v>
      </c>
      <c r="N99" s="106">
        <v>10</v>
      </c>
      <c r="O99" s="106">
        <v>54815.999999999993</v>
      </c>
      <c r="P99" s="106">
        <v>9</v>
      </c>
      <c r="Q99" s="106">
        <v>49334.399999999994</v>
      </c>
      <c r="R99" s="106">
        <v>8</v>
      </c>
      <c r="S99" s="106">
        <v>43852.799999999996</v>
      </c>
      <c r="T99" s="106">
        <v>12</v>
      </c>
      <c r="U99" s="106">
        <v>65779.199999999997</v>
      </c>
      <c r="V99" s="106">
        <v>9</v>
      </c>
      <c r="W99" s="106">
        <v>49334.399999999994</v>
      </c>
      <c r="X99" s="106">
        <v>9</v>
      </c>
      <c r="Y99" s="106">
        <v>49334.399999999994</v>
      </c>
      <c r="Z99" s="106">
        <v>10</v>
      </c>
      <c r="AA99" s="106">
        <v>54815.999999999993</v>
      </c>
      <c r="AB99" s="106">
        <v>21</v>
      </c>
      <c r="AC99" s="106">
        <v>115113.59999999999</v>
      </c>
      <c r="AD99" s="106">
        <v>32</v>
      </c>
      <c r="AE99" s="106">
        <v>175411.19999999998</v>
      </c>
      <c r="AF99" s="106">
        <v>32</v>
      </c>
      <c r="AG99" s="106">
        <v>175411.19999999998</v>
      </c>
      <c r="AH99" s="106">
        <v>41</v>
      </c>
      <c r="AI99" s="106">
        <v>224745.59999999998</v>
      </c>
      <c r="AJ99" s="106">
        <v>5</v>
      </c>
      <c r="AK99" s="106">
        <v>27407.999999999996</v>
      </c>
      <c r="AL99" s="106">
        <v>5</v>
      </c>
      <c r="AM99" s="106">
        <v>27407.999999999996</v>
      </c>
      <c r="AN99" s="106">
        <v>7</v>
      </c>
      <c r="AO99" s="106">
        <v>38371.199999999997</v>
      </c>
      <c r="AP99" s="106">
        <v>5</v>
      </c>
      <c r="AQ99" s="106">
        <v>27407.999999999996</v>
      </c>
      <c r="AR99" s="106">
        <v>30</v>
      </c>
      <c r="AS99" s="106">
        <v>164447.99999999997</v>
      </c>
      <c r="AT99" s="106">
        <v>31</v>
      </c>
      <c r="AU99" s="106">
        <v>169929.59999999998</v>
      </c>
      <c r="AV99" s="106">
        <v>28</v>
      </c>
      <c r="AW99" s="106">
        <v>153484.79999999999</v>
      </c>
      <c r="AX99" s="106">
        <v>24</v>
      </c>
      <c r="AY99" s="106">
        <v>131558.39999999999</v>
      </c>
      <c r="AZ99" s="106">
        <v>21</v>
      </c>
      <c r="BA99" s="106">
        <v>115113.59999999999</v>
      </c>
      <c r="BB99" s="106">
        <v>18</v>
      </c>
      <c r="BC99" s="106">
        <v>98668.799999999988</v>
      </c>
      <c r="BD99" s="106">
        <v>23</v>
      </c>
      <c r="BE99" s="106">
        <v>126076.79999999999</v>
      </c>
      <c r="BF99" s="106">
        <v>16</v>
      </c>
      <c r="BG99" s="106">
        <v>87705.599999999991</v>
      </c>
      <c r="BH99" s="106">
        <v>14</v>
      </c>
      <c r="BI99" s="106">
        <v>76742.399999999994</v>
      </c>
      <c r="BJ99" s="106">
        <v>26</v>
      </c>
      <c r="BK99" s="106">
        <v>142521.59999999998</v>
      </c>
      <c r="BL99" s="106">
        <v>26</v>
      </c>
      <c r="BM99" s="106">
        <v>142521.59999999998</v>
      </c>
      <c r="BN99" s="106">
        <v>26</v>
      </c>
      <c r="BO99" s="106">
        <v>142521.59999999998</v>
      </c>
      <c r="BP99" s="106">
        <v>17</v>
      </c>
      <c r="BQ99" s="106">
        <v>93187.199999999997</v>
      </c>
      <c r="BR99" s="106">
        <v>13</v>
      </c>
      <c r="BS99" s="106">
        <v>71260.799999999988</v>
      </c>
      <c r="BT99" s="106">
        <v>15</v>
      </c>
      <c r="BU99" s="106">
        <v>82223.999999999985</v>
      </c>
      <c r="BV99" s="106">
        <v>11</v>
      </c>
      <c r="BW99" s="106">
        <v>60297.599999999991</v>
      </c>
      <c r="BX99" s="106">
        <v>22</v>
      </c>
      <c r="BY99" s="106">
        <v>120595.19999999998</v>
      </c>
      <c r="BZ99" s="106">
        <v>16</v>
      </c>
      <c r="CA99" s="106">
        <v>87705.599999999991</v>
      </c>
      <c r="CB99" s="106">
        <v>22</v>
      </c>
      <c r="CC99" s="106">
        <v>120595.19999999998</v>
      </c>
      <c r="CD99" s="106">
        <v>15</v>
      </c>
      <c r="CE99" s="106">
        <v>82223.999999999985</v>
      </c>
      <c r="CF99" s="106">
        <v>14</v>
      </c>
      <c r="CG99" s="106">
        <v>76742.399999999994</v>
      </c>
      <c r="CH99" s="106">
        <v>17</v>
      </c>
      <c r="CI99" s="106">
        <v>93187.199999999997</v>
      </c>
      <c r="CJ99" s="106">
        <v>15</v>
      </c>
      <c r="CK99" s="106">
        <v>82223.999999999985</v>
      </c>
      <c r="CL99" s="106">
        <v>15</v>
      </c>
      <c r="CM99" s="106">
        <v>82223.999999999985</v>
      </c>
      <c r="CN99" s="106">
        <v>46</v>
      </c>
      <c r="CO99" s="106">
        <v>252153.59999999998</v>
      </c>
      <c r="CP99" s="106">
        <v>60</v>
      </c>
      <c r="CQ99" s="106">
        <v>328895.99999999994</v>
      </c>
      <c r="CR99" s="106">
        <v>44</v>
      </c>
      <c r="CS99" s="106">
        <v>241190.39999999997</v>
      </c>
      <c r="CT99" s="106">
        <v>45</v>
      </c>
      <c r="CU99" s="106">
        <v>246671.99999999997</v>
      </c>
    </row>
    <row r="100" spans="2:99" x14ac:dyDescent="0.2">
      <c r="C100" s="105" t="s">
        <v>266</v>
      </c>
      <c r="D100" s="106">
        <v>10</v>
      </c>
      <c r="E100" s="106">
        <v>16223.999999999998</v>
      </c>
      <c r="F100" s="106">
        <v>7</v>
      </c>
      <c r="G100" s="106">
        <v>11356.8</v>
      </c>
      <c r="H100" s="106">
        <v>11</v>
      </c>
      <c r="I100" s="106">
        <v>17846.399999999998</v>
      </c>
      <c r="J100" s="106">
        <v>8</v>
      </c>
      <c r="K100" s="106">
        <v>12979.199999999999</v>
      </c>
      <c r="L100" s="106">
        <v>16</v>
      </c>
      <c r="M100" s="106">
        <v>25958.399999999998</v>
      </c>
      <c r="N100" s="106">
        <v>11</v>
      </c>
      <c r="O100" s="106">
        <v>17846.399999999998</v>
      </c>
      <c r="P100" s="106">
        <v>11</v>
      </c>
      <c r="Q100" s="106">
        <v>17846.399999999998</v>
      </c>
      <c r="R100" s="106">
        <v>9</v>
      </c>
      <c r="S100" s="106">
        <v>14601.599999999999</v>
      </c>
      <c r="T100" s="106">
        <v>15</v>
      </c>
      <c r="U100" s="106">
        <v>24335.999999999996</v>
      </c>
      <c r="V100" s="106">
        <v>10</v>
      </c>
      <c r="W100" s="106">
        <v>16223.999999999998</v>
      </c>
      <c r="X100" s="106">
        <v>11</v>
      </c>
      <c r="Y100" s="106">
        <v>17846.399999999998</v>
      </c>
      <c r="Z100" s="106">
        <v>13</v>
      </c>
      <c r="AA100" s="106">
        <v>21091.199999999997</v>
      </c>
      <c r="AB100" s="106">
        <v>31</v>
      </c>
      <c r="AC100" s="106">
        <v>50294.399999999994</v>
      </c>
      <c r="AD100" s="106">
        <v>52</v>
      </c>
      <c r="AE100" s="106">
        <v>84364.799999999988</v>
      </c>
      <c r="AF100" s="106">
        <v>52</v>
      </c>
      <c r="AG100" s="106">
        <v>84364.799999999988</v>
      </c>
      <c r="AH100" s="106">
        <v>57</v>
      </c>
      <c r="AI100" s="106">
        <v>92476.799999999988</v>
      </c>
      <c r="AJ100" s="106">
        <v>6</v>
      </c>
      <c r="AK100" s="106">
        <v>9734.4</v>
      </c>
      <c r="AL100" s="106">
        <v>7</v>
      </c>
      <c r="AM100" s="106">
        <v>11356.8</v>
      </c>
      <c r="AN100" s="106">
        <v>8</v>
      </c>
      <c r="AO100" s="106">
        <v>12979.199999999999</v>
      </c>
      <c r="AP100" s="106">
        <v>5</v>
      </c>
      <c r="AQ100" s="106">
        <v>8111.9999999999991</v>
      </c>
      <c r="AR100" s="106">
        <v>47</v>
      </c>
      <c r="AS100" s="106">
        <v>76252.799999999988</v>
      </c>
      <c r="AT100" s="106">
        <v>47</v>
      </c>
      <c r="AU100" s="106">
        <v>76252.799999999988</v>
      </c>
      <c r="AV100" s="106">
        <v>48</v>
      </c>
      <c r="AW100" s="106">
        <v>77875.199999999997</v>
      </c>
      <c r="AX100" s="106">
        <v>40</v>
      </c>
      <c r="AY100" s="106">
        <v>64895.999999999993</v>
      </c>
      <c r="AZ100" s="106">
        <v>32</v>
      </c>
      <c r="BA100" s="106">
        <v>51916.799999999996</v>
      </c>
      <c r="BB100" s="106">
        <v>32</v>
      </c>
      <c r="BC100" s="106">
        <v>51916.799999999996</v>
      </c>
      <c r="BD100" s="106">
        <v>35</v>
      </c>
      <c r="BE100" s="106">
        <v>56783.999999999993</v>
      </c>
      <c r="BF100" s="106">
        <v>25</v>
      </c>
      <c r="BG100" s="106">
        <v>40560</v>
      </c>
      <c r="BH100" s="106">
        <v>23</v>
      </c>
      <c r="BI100" s="106">
        <v>37315.199999999997</v>
      </c>
      <c r="BJ100" s="106">
        <v>37</v>
      </c>
      <c r="BK100" s="106">
        <v>60028.799999999996</v>
      </c>
      <c r="BL100" s="106">
        <v>45</v>
      </c>
      <c r="BM100" s="106">
        <v>73008</v>
      </c>
      <c r="BN100" s="106">
        <v>41</v>
      </c>
      <c r="BO100" s="106">
        <v>66518.399999999994</v>
      </c>
      <c r="BP100" s="106">
        <v>25</v>
      </c>
      <c r="BQ100" s="106">
        <v>40560</v>
      </c>
      <c r="BR100" s="106">
        <v>17</v>
      </c>
      <c r="BS100" s="106">
        <v>27580.799999999999</v>
      </c>
      <c r="BT100" s="106">
        <v>20</v>
      </c>
      <c r="BU100" s="106">
        <v>32447.999999999996</v>
      </c>
      <c r="BV100" s="106">
        <v>16</v>
      </c>
      <c r="BW100" s="106">
        <v>25958.399999999998</v>
      </c>
      <c r="BX100" s="106">
        <v>34</v>
      </c>
      <c r="BY100" s="106">
        <v>55161.599999999999</v>
      </c>
      <c r="BZ100" s="106">
        <v>26</v>
      </c>
      <c r="CA100" s="106">
        <v>42182.399999999994</v>
      </c>
      <c r="CB100" s="106">
        <v>33</v>
      </c>
      <c r="CC100" s="106">
        <v>53539.199999999997</v>
      </c>
      <c r="CD100" s="106">
        <v>22</v>
      </c>
      <c r="CE100" s="106">
        <v>35692.799999999996</v>
      </c>
      <c r="CF100" s="106">
        <v>19</v>
      </c>
      <c r="CG100" s="106">
        <v>30825.599999999999</v>
      </c>
      <c r="CH100" s="106">
        <v>28</v>
      </c>
      <c r="CI100" s="106">
        <v>45427.199999999997</v>
      </c>
      <c r="CJ100" s="106">
        <v>20</v>
      </c>
      <c r="CK100" s="106">
        <v>32447.999999999996</v>
      </c>
      <c r="CL100" s="106">
        <v>20</v>
      </c>
      <c r="CM100" s="106">
        <v>32447.999999999996</v>
      </c>
      <c r="CN100" s="106">
        <v>89</v>
      </c>
      <c r="CO100" s="106">
        <v>144393.59999999998</v>
      </c>
      <c r="CP100" s="106">
        <v>111</v>
      </c>
      <c r="CQ100" s="106">
        <v>180086.39999999999</v>
      </c>
      <c r="CR100" s="106">
        <v>84</v>
      </c>
      <c r="CS100" s="106">
        <v>136281.59999999998</v>
      </c>
      <c r="CT100" s="106">
        <v>88</v>
      </c>
      <c r="CU100" s="106">
        <v>142771.19999999998</v>
      </c>
    </row>
    <row r="101" spans="2:99" x14ac:dyDescent="0.2">
      <c r="C101" s="105" t="s">
        <v>267</v>
      </c>
      <c r="D101" s="106">
        <v>10</v>
      </c>
      <c r="E101" s="106">
        <v>11903.999999999998</v>
      </c>
      <c r="F101" s="106">
        <v>7</v>
      </c>
      <c r="G101" s="106">
        <v>8332.7999999999993</v>
      </c>
      <c r="H101" s="106">
        <v>12</v>
      </c>
      <c r="I101" s="106">
        <v>14284.8</v>
      </c>
      <c r="J101" s="106">
        <v>7</v>
      </c>
      <c r="K101" s="106">
        <v>8332.7999999999993</v>
      </c>
      <c r="L101" s="106">
        <v>14</v>
      </c>
      <c r="M101" s="106">
        <v>16665.599999999999</v>
      </c>
      <c r="N101" s="106">
        <v>13</v>
      </c>
      <c r="O101" s="106">
        <v>15475.199999999999</v>
      </c>
      <c r="P101" s="106">
        <v>10</v>
      </c>
      <c r="Q101" s="106">
        <v>11903.999999999998</v>
      </c>
      <c r="R101" s="106">
        <v>9</v>
      </c>
      <c r="S101" s="106">
        <v>10713.599999999999</v>
      </c>
      <c r="T101" s="106">
        <v>14</v>
      </c>
      <c r="U101" s="106">
        <v>16665.599999999999</v>
      </c>
      <c r="V101" s="106">
        <v>11</v>
      </c>
      <c r="W101" s="106">
        <v>13094.399999999998</v>
      </c>
      <c r="X101" s="106">
        <v>13</v>
      </c>
      <c r="Y101" s="106">
        <v>15475.199999999999</v>
      </c>
      <c r="Z101" s="106">
        <v>14</v>
      </c>
      <c r="AA101" s="106">
        <v>16665.599999999999</v>
      </c>
      <c r="AB101" s="106">
        <v>36</v>
      </c>
      <c r="AC101" s="106">
        <v>42854.399999999994</v>
      </c>
      <c r="AD101" s="106">
        <v>55</v>
      </c>
      <c r="AE101" s="106">
        <v>65471.999999999993</v>
      </c>
      <c r="AF101" s="106">
        <v>51</v>
      </c>
      <c r="AG101" s="106">
        <v>60710.399999999994</v>
      </c>
      <c r="AH101" s="106">
        <v>63</v>
      </c>
      <c r="AI101" s="106">
        <v>74995.199999999997</v>
      </c>
      <c r="AJ101" s="106">
        <v>6</v>
      </c>
      <c r="AK101" s="106">
        <v>7142.4</v>
      </c>
      <c r="AL101" s="106">
        <v>7</v>
      </c>
      <c r="AM101" s="106">
        <v>8332.7999999999993</v>
      </c>
      <c r="AN101" s="106">
        <v>8</v>
      </c>
      <c r="AO101" s="106">
        <v>9523.1999999999989</v>
      </c>
      <c r="AP101" s="106">
        <v>5</v>
      </c>
      <c r="AQ101" s="106">
        <v>5951.9999999999991</v>
      </c>
      <c r="AR101" s="106">
        <v>48</v>
      </c>
      <c r="AS101" s="106">
        <v>57139.199999999997</v>
      </c>
      <c r="AT101" s="106">
        <v>45</v>
      </c>
      <c r="AU101" s="106">
        <v>53567.999999999993</v>
      </c>
      <c r="AV101" s="106">
        <v>52</v>
      </c>
      <c r="AW101" s="106">
        <v>61900.799999999996</v>
      </c>
      <c r="AX101" s="106">
        <v>42</v>
      </c>
      <c r="AY101" s="106">
        <v>49996.799999999996</v>
      </c>
      <c r="AZ101" s="106">
        <v>34</v>
      </c>
      <c r="BA101" s="106">
        <v>40473.599999999999</v>
      </c>
      <c r="BB101" s="106">
        <v>28</v>
      </c>
      <c r="BC101" s="106">
        <v>33331.199999999997</v>
      </c>
      <c r="BD101" s="106">
        <v>32</v>
      </c>
      <c r="BE101" s="106">
        <v>38092.799999999996</v>
      </c>
      <c r="BF101" s="106">
        <v>22</v>
      </c>
      <c r="BG101" s="106">
        <v>26188.799999999996</v>
      </c>
      <c r="BH101" s="106">
        <v>25</v>
      </c>
      <c r="BI101" s="106">
        <v>29759.999999999996</v>
      </c>
      <c r="BJ101" s="106">
        <v>42</v>
      </c>
      <c r="BK101" s="106">
        <v>49996.799999999996</v>
      </c>
      <c r="BL101" s="106">
        <v>41</v>
      </c>
      <c r="BM101" s="106">
        <v>48806.399999999994</v>
      </c>
      <c r="BN101" s="106">
        <v>45</v>
      </c>
      <c r="BO101" s="106">
        <v>53567.999999999993</v>
      </c>
      <c r="BP101" s="106">
        <v>26</v>
      </c>
      <c r="BQ101" s="106">
        <v>30950.399999999998</v>
      </c>
      <c r="BR101" s="106">
        <v>17</v>
      </c>
      <c r="BS101" s="106">
        <v>20236.8</v>
      </c>
      <c r="BT101" s="106">
        <v>22</v>
      </c>
      <c r="BU101" s="106">
        <v>26188.799999999996</v>
      </c>
      <c r="BV101" s="106">
        <v>17</v>
      </c>
      <c r="BW101" s="106">
        <v>20236.8</v>
      </c>
      <c r="BX101" s="106">
        <v>32</v>
      </c>
      <c r="BY101" s="106">
        <v>38092.799999999996</v>
      </c>
      <c r="BZ101" s="106">
        <v>28</v>
      </c>
      <c r="CA101" s="106">
        <v>33331.199999999997</v>
      </c>
      <c r="CB101" s="106">
        <v>35</v>
      </c>
      <c r="CC101" s="106">
        <v>41663.999999999993</v>
      </c>
      <c r="CD101" s="106">
        <v>21</v>
      </c>
      <c r="CE101" s="106">
        <v>24998.399999999998</v>
      </c>
      <c r="CF101" s="106">
        <v>22</v>
      </c>
      <c r="CG101" s="106">
        <v>26188.799999999996</v>
      </c>
      <c r="CH101" s="106">
        <v>29</v>
      </c>
      <c r="CI101" s="106">
        <v>34521.599999999999</v>
      </c>
      <c r="CJ101" s="106">
        <v>24</v>
      </c>
      <c r="CK101" s="106">
        <v>28569.599999999999</v>
      </c>
      <c r="CL101" s="106">
        <v>20</v>
      </c>
      <c r="CM101" s="106">
        <v>23807.999999999996</v>
      </c>
      <c r="CN101" s="106">
        <v>104</v>
      </c>
      <c r="CO101" s="106">
        <v>123801.59999999999</v>
      </c>
      <c r="CP101" s="106">
        <v>126</v>
      </c>
      <c r="CQ101" s="106">
        <v>149990.39999999999</v>
      </c>
      <c r="CR101" s="106">
        <v>97</v>
      </c>
      <c r="CS101" s="106">
        <v>115468.79999999999</v>
      </c>
      <c r="CT101" s="106">
        <v>90</v>
      </c>
      <c r="CU101" s="106">
        <v>107135.99999999999</v>
      </c>
    </row>
    <row r="102" spans="2:99" x14ac:dyDescent="0.2">
      <c r="C102" s="105" t="s">
        <v>268</v>
      </c>
      <c r="D102" s="106">
        <v>10</v>
      </c>
      <c r="E102" s="106">
        <v>19392</v>
      </c>
      <c r="F102" s="106">
        <v>7</v>
      </c>
      <c r="G102" s="106">
        <v>13574.399999999998</v>
      </c>
      <c r="H102" s="106">
        <v>10</v>
      </c>
      <c r="I102" s="106">
        <v>19392</v>
      </c>
      <c r="J102" s="106">
        <v>7</v>
      </c>
      <c r="K102" s="106">
        <v>13574.399999999998</v>
      </c>
      <c r="L102" s="106">
        <v>15</v>
      </c>
      <c r="M102" s="106">
        <v>29087.999999999996</v>
      </c>
      <c r="N102" s="106">
        <v>13</v>
      </c>
      <c r="O102" s="106">
        <v>25209.599999999999</v>
      </c>
      <c r="P102" s="106">
        <v>10</v>
      </c>
      <c r="Q102" s="106">
        <v>19392</v>
      </c>
      <c r="R102" s="106">
        <v>10</v>
      </c>
      <c r="S102" s="106">
        <v>19392</v>
      </c>
      <c r="T102" s="106">
        <v>14</v>
      </c>
      <c r="U102" s="106">
        <v>27148.799999999996</v>
      </c>
      <c r="V102" s="106">
        <v>11</v>
      </c>
      <c r="W102" s="106">
        <v>21331.199999999997</v>
      </c>
      <c r="X102" s="106">
        <v>11</v>
      </c>
      <c r="Y102" s="106">
        <v>21331.199999999997</v>
      </c>
      <c r="Z102" s="106">
        <v>12</v>
      </c>
      <c r="AA102" s="106">
        <v>23270.399999999998</v>
      </c>
      <c r="AB102" s="106">
        <v>36</v>
      </c>
      <c r="AC102" s="106">
        <v>69811.199999999997</v>
      </c>
      <c r="AD102" s="106">
        <v>46</v>
      </c>
      <c r="AE102" s="106">
        <v>89203.199999999997</v>
      </c>
      <c r="AF102" s="106">
        <v>48</v>
      </c>
      <c r="AG102" s="106">
        <v>93081.599999999991</v>
      </c>
      <c r="AH102" s="106">
        <v>56</v>
      </c>
      <c r="AI102" s="106">
        <v>108595.19999999998</v>
      </c>
      <c r="AJ102" s="106">
        <v>6</v>
      </c>
      <c r="AK102" s="106">
        <v>11635.199999999999</v>
      </c>
      <c r="AL102" s="106">
        <v>6</v>
      </c>
      <c r="AM102" s="106">
        <v>11635.199999999999</v>
      </c>
      <c r="AN102" s="106">
        <v>7</v>
      </c>
      <c r="AO102" s="106">
        <v>13574.399999999998</v>
      </c>
      <c r="AP102" s="106">
        <v>5</v>
      </c>
      <c r="AQ102" s="106">
        <v>9696</v>
      </c>
      <c r="AR102" s="106">
        <v>45</v>
      </c>
      <c r="AS102" s="106">
        <v>87263.999999999985</v>
      </c>
      <c r="AT102" s="106">
        <v>48</v>
      </c>
      <c r="AU102" s="106">
        <v>93081.599999999991</v>
      </c>
      <c r="AV102" s="106">
        <v>45</v>
      </c>
      <c r="AW102" s="106">
        <v>87263.999999999985</v>
      </c>
      <c r="AX102" s="106">
        <v>39</v>
      </c>
      <c r="AY102" s="106">
        <v>75628.799999999988</v>
      </c>
      <c r="AZ102" s="106">
        <v>29</v>
      </c>
      <c r="BA102" s="106">
        <v>56236.799999999996</v>
      </c>
      <c r="BB102" s="106">
        <v>27</v>
      </c>
      <c r="BC102" s="106">
        <v>52358.399999999994</v>
      </c>
      <c r="BD102" s="106">
        <v>32</v>
      </c>
      <c r="BE102" s="106">
        <v>62054.399999999994</v>
      </c>
      <c r="BF102" s="106">
        <v>23</v>
      </c>
      <c r="BG102" s="106">
        <v>44601.599999999999</v>
      </c>
      <c r="BH102" s="106">
        <v>23</v>
      </c>
      <c r="BI102" s="106">
        <v>44601.599999999999</v>
      </c>
      <c r="BJ102" s="106">
        <v>35</v>
      </c>
      <c r="BK102" s="106">
        <v>67872</v>
      </c>
      <c r="BL102" s="106">
        <v>37</v>
      </c>
      <c r="BM102" s="106">
        <v>71750.399999999994</v>
      </c>
      <c r="BN102" s="106">
        <v>35</v>
      </c>
      <c r="BO102" s="106">
        <v>67872</v>
      </c>
      <c r="BP102" s="106">
        <v>26</v>
      </c>
      <c r="BQ102" s="106">
        <v>50419.199999999997</v>
      </c>
      <c r="BR102" s="106">
        <v>17</v>
      </c>
      <c r="BS102" s="106">
        <v>32966.399999999994</v>
      </c>
      <c r="BT102" s="106">
        <v>21</v>
      </c>
      <c r="BU102" s="106">
        <v>40723.199999999997</v>
      </c>
      <c r="BV102" s="106">
        <v>17</v>
      </c>
      <c r="BW102" s="106">
        <v>32966.399999999994</v>
      </c>
      <c r="BX102" s="106">
        <v>28</v>
      </c>
      <c r="BY102" s="106">
        <v>54297.599999999991</v>
      </c>
      <c r="BZ102" s="106">
        <v>23</v>
      </c>
      <c r="CA102" s="106">
        <v>44601.599999999999</v>
      </c>
      <c r="CB102" s="106">
        <v>31</v>
      </c>
      <c r="CC102" s="106">
        <v>60115.199999999997</v>
      </c>
      <c r="CD102" s="106">
        <v>19</v>
      </c>
      <c r="CE102" s="106">
        <v>36844.799999999996</v>
      </c>
      <c r="CF102" s="106">
        <v>20</v>
      </c>
      <c r="CG102" s="106">
        <v>38784</v>
      </c>
      <c r="CH102" s="106">
        <v>25</v>
      </c>
      <c r="CI102" s="106">
        <v>48479.999999999993</v>
      </c>
      <c r="CJ102" s="106">
        <v>23</v>
      </c>
      <c r="CK102" s="106">
        <v>44601.599999999999</v>
      </c>
      <c r="CL102" s="106">
        <v>18</v>
      </c>
      <c r="CM102" s="106">
        <v>34905.599999999999</v>
      </c>
      <c r="CN102" s="106">
        <v>79</v>
      </c>
      <c r="CO102" s="106">
        <v>153196.79999999999</v>
      </c>
      <c r="CP102" s="106">
        <v>113</v>
      </c>
      <c r="CQ102" s="106">
        <v>219129.59999999998</v>
      </c>
      <c r="CR102" s="106">
        <v>77</v>
      </c>
      <c r="CS102" s="106">
        <v>149318.39999999999</v>
      </c>
      <c r="CT102" s="106">
        <v>84</v>
      </c>
      <c r="CU102" s="106">
        <v>162892.79999999999</v>
      </c>
    </row>
    <row r="103" spans="2:99" x14ac:dyDescent="0.2">
      <c r="C103" s="105" t="s">
        <v>269</v>
      </c>
      <c r="D103" s="106">
        <v>9</v>
      </c>
      <c r="E103" s="106">
        <v>18252</v>
      </c>
      <c r="F103" s="106">
        <v>7</v>
      </c>
      <c r="G103" s="106">
        <v>14196</v>
      </c>
      <c r="H103" s="106">
        <v>11</v>
      </c>
      <c r="I103" s="106">
        <v>22308</v>
      </c>
      <c r="J103" s="106">
        <v>8</v>
      </c>
      <c r="K103" s="106">
        <v>16224</v>
      </c>
      <c r="L103" s="106">
        <v>15</v>
      </c>
      <c r="M103" s="106">
        <v>30420</v>
      </c>
      <c r="N103" s="106">
        <v>12</v>
      </c>
      <c r="O103" s="106">
        <v>24336</v>
      </c>
      <c r="P103" s="106">
        <v>11</v>
      </c>
      <c r="Q103" s="106">
        <v>22308</v>
      </c>
      <c r="R103" s="106">
        <v>10</v>
      </c>
      <c r="S103" s="106">
        <v>20280</v>
      </c>
      <c r="T103" s="106">
        <v>16</v>
      </c>
      <c r="U103" s="106">
        <v>32448</v>
      </c>
      <c r="V103" s="106">
        <v>11</v>
      </c>
      <c r="W103" s="106">
        <v>22308</v>
      </c>
      <c r="X103" s="106">
        <v>11</v>
      </c>
      <c r="Y103" s="106">
        <v>22308</v>
      </c>
      <c r="Z103" s="106">
        <v>13</v>
      </c>
      <c r="AA103" s="106">
        <v>26364</v>
      </c>
      <c r="AB103" s="106">
        <v>34</v>
      </c>
      <c r="AC103" s="106">
        <v>68952</v>
      </c>
      <c r="AD103" s="106">
        <v>46</v>
      </c>
      <c r="AE103" s="106">
        <v>93288</v>
      </c>
      <c r="AF103" s="106">
        <v>42</v>
      </c>
      <c r="AG103" s="106">
        <v>85176</v>
      </c>
      <c r="AH103" s="106">
        <v>59</v>
      </c>
      <c r="AI103" s="106">
        <v>119652</v>
      </c>
      <c r="AJ103" s="106">
        <v>6</v>
      </c>
      <c r="AK103" s="106">
        <v>12168</v>
      </c>
      <c r="AL103" s="106">
        <v>7</v>
      </c>
      <c r="AM103" s="106">
        <v>14196</v>
      </c>
      <c r="AN103" s="106">
        <v>8</v>
      </c>
      <c r="AO103" s="106">
        <v>16224</v>
      </c>
      <c r="AP103" s="106">
        <v>6</v>
      </c>
      <c r="AQ103" s="106">
        <v>12168</v>
      </c>
      <c r="AR103" s="106">
        <v>44</v>
      </c>
      <c r="AS103" s="106">
        <v>89232</v>
      </c>
      <c r="AT103" s="106">
        <v>47</v>
      </c>
      <c r="AU103" s="106">
        <v>95316</v>
      </c>
      <c r="AV103" s="106">
        <v>44</v>
      </c>
      <c r="AW103" s="106">
        <v>89232</v>
      </c>
      <c r="AX103" s="106">
        <v>41</v>
      </c>
      <c r="AY103" s="106">
        <v>83148</v>
      </c>
      <c r="AZ103" s="106">
        <v>31</v>
      </c>
      <c r="BA103" s="106">
        <v>62868</v>
      </c>
      <c r="BB103" s="106">
        <v>29</v>
      </c>
      <c r="BC103" s="106">
        <v>58812</v>
      </c>
      <c r="BD103" s="106">
        <v>30</v>
      </c>
      <c r="BE103" s="106">
        <v>60840</v>
      </c>
      <c r="BF103" s="106">
        <v>23</v>
      </c>
      <c r="BG103" s="106">
        <v>46644</v>
      </c>
      <c r="BH103" s="106">
        <v>24</v>
      </c>
      <c r="BI103" s="106">
        <v>48672</v>
      </c>
      <c r="BJ103" s="106">
        <v>39</v>
      </c>
      <c r="BK103" s="106">
        <v>79092</v>
      </c>
      <c r="BL103" s="106">
        <v>42</v>
      </c>
      <c r="BM103" s="106">
        <v>85176</v>
      </c>
      <c r="BN103" s="106">
        <v>37</v>
      </c>
      <c r="BO103" s="106">
        <v>75036</v>
      </c>
      <c r="BP103" s="106">
        <v>24</v>
      </c>
      <c r="BQ103" s="106">
        <v>48672</v>
      </c>
      <c r="BR103" s="106">
        <v>19</v>
      </c>
      <c r="BS103" s="106">
        <v>38532</v>
      </c>
      <c r="BT103" s="106">
        <v>20</v>
      </c>
      <c r="BU103" s="106">
        <v>40560</v>
      </c>
      <c r="BV103" s="106">
        <v>15</v>
      </c>
      <c r="BW103" s="106">
        <v>30420</v>
      </c>
      <c r="BX103" s="106">
        <v>29</v>
      </c>
      <c r="BY103" s="106">
        <v>58812</v>
      </c>
      <c r="BZ103" s="106">
        <v>23</v>
      </c>
      <c r="CA103" s="106">
        <v>46644</v>
      </c>
      <c r="CB103" s="106">
        <v>30</v>
      </c>
      <c r="CC103" s="106">
        <v>60840</v>
      </c>
      <c r="CD103" s="106">
        <v>19</v>
      </c>
      <c r="CE103" s="106">
        <v>38532</v>
      </c>
      <c r="CF103" s="106">
        <v>19</v>
      </c>
      <c r="CG103" s="106">
        <v>38532</v>
      </c>
      <c r="CH103" s="106">
        <v>24</v>
      </c>
      <c r="CI103" s="106">
        <v>48672</v>
      </c>
      <c r="CJ103" s="106">
        <v>22</v>
      </c>
      <c r="CK103" s="106">
        <v>44616</v>
      </c>
      <c r="CL103" s="106">
        <v>19</v>
      </c>
      <c r="CM103" s="106">
        <v>38532</v>
      </c>
      <c r="CN103" s="106">
        <v>82</v>
      </c>
      <c r="CO103" s="106">
        <v>166296</v>
      </c>
      <c r="CP103" s="106">
        <v>99</v>
      </c>
      <c r="CQ103" s="106">
        <v>200772</v>
      </c>
      <c r="CR103" s="106">
        <v>73</v>
      </c>
      <c r="CS103" s="106">
        <v>148044</v>
      </c>
      <c r="CT103" s="106">
        <v>71</v>
      </c>
      <c r="CU103" s="106">
        <v>143988</v>
      </c>
    </row>
    <row r="104" spans="2:99" x14ac:dyDescent="0.2">
      <c r="C104" s="105" t="s">
        <v>270</v>
      </c>
      <c r="D104" s="106">
        <v>10</v>
      </c>
      <c r="E104" s="106">
        <v>20724</v>
      </c>
      <c r="F104" s="106">
        <v>7</v>
      </c>
      <c r="G104" s="106">
        <v>14506.800000000001</v>
      </c>
      <c r="H104" s="106">
        <v>11</v>
      </c>
      <c r="I104" s="106">
        <v>22796.400000000001</v>
      </c>
      <c r="J104" s="106">
        <v>7</v>
      </c>
      <c r="K104" s="106">
        <v>14506.800000000001</v>
      </c>
      <c r="L104" s="106">
        <v>14</v>
      </c>
      <c r="M104" s="106">
        <v>29013.600000000002</v>
      </c>
      <c r="N104" s="106">
        <v>12</v>
      </c>
      <c r="O104" s="106">
        <v>24868.800000000003</v>
      </c>
      <c r="P104" s="106">
        <v>10</v>
      </c>
      <c r="Q104" s="106">
        <v>20724</v>
      </c>
      <c r="R104" s="106">
        <v>9</v>
      </c>
      <c r="S104" s="106">
        <v>18651.600000000002</v>
      </c>
      <c r="T104" s="106">
        <v>15</v>
      </c>
      <c r="U104" s="106">
        <v>31086</v>
      </c>
      <c r="V104" s="106">
        <v>11</v>
      </c>
      <c r="W104" s="106">
        <v>22796.400000000001</v>
      </c>
      <c r="X104" s="106">
        <v>11</v>
      </c>
      <c r="Y104" s="106">
        <v>22796.400000000001</v>
      </c>
      <c r="Z104" s="106">
        <v>14</v>
      </c>
      <c r="AA104" s="106">
        <v>29013.600000000002</v>
      </c>
      <c r="AB104" s="106">
        <v>32</v>
      </c>
      <c r="AC104" s="106">
        <v>66316.800000000003</v>
      </c>
      <c r="AD104" s="106">
        <v>51</v>
      </c>
      <c r="AE104" s="106">
        <v>105692.40000000001</v>
      </c>
      <c r="AF104" s="106">
        <v>45</v>
      </c>
      <c r="AG104" s="106">
        <v>93258</v>
      </c>
      <c r="AH104" s="106">
        <v>62</v>
      </c>
      <c r="AI104" s="106">
        <v>128488.8</v>
      </c>
      <c r="AJ104" s="106">
        <v>6</v>
      </c>
      <c r="AK104" s="106">
        <v>12434.400000000001</v>
      </c>
      <c r="AL104" s="106">
        <v>7</v>
      </c>
      <c r="AM104" s="106">
        <v>14506.800000000001</v>
      </c>
      <c r="AN104" s="106">
        <v>8</v>
      </c>
      <c r="AO104" s="106">
        <v>16579.2</v>
      </c>
      <c r="AP104" s="106">
        <v>5</v>
      </c>
      <c r="AQ104" s="106">
        <v>10362</v>
      </c>
      <c r="AR104" s="106">
        <v>42</v>
      </c>
      <c r="AS104" s="106">
        <v>87040.8</v>
      </c>
      <c r="AT104" s="106">
        <v>40</v>
      </c>
      <c r="AU104" s="106">
        <v>82896</v>
      </c>
      <c r="AV104" s="106">
        <v>46</v>
      </c>
      <c r="AW104" s="106">
        <v>95330.400000000009</v>
      </c>
      <c r="AX104" s="106">
        <v>38</v>
      </c>
      <c r="AY104" s="106">
        <v>78751.199999999997</v>
      </c>
      <c r="AZ104" s="106">
        <v>30</v>
      </c>
      <c r="BA104" s="106">
        <v>62172</v>
      </c>
      <c r="BB104" s="106">
        <v>28</v>
      </c>
      <c r="BC104" s="106">
        <v>58027.200000000004</v>
      </c>
      <c r="BD104" s="106">
        <v>28</v>
      </c>
      <c r="BE104" s="106">
        <v>58027.200000000004</v>
      </c>
      <c r="BF104" s="106">
        <v>21</v>
      </c>
      <c r="BG104" s="106">
        <v>43520.4</v>
      </c>
      <c r="BH104" s="106">
        <v>20</v>
      </c>
      <c r="BI104" s="106">
        <v>41448</v>
      </c>
      <c r="BJ104" s="106">
        <v>36</v>
      </c>
      <c r="BK104" s="106">
        <v>74606.400000000009</v>
      </c>
      <c r="BL104" s="106">
        <v>41</v>
      </c>
      <c r="BM104" s="106">
        <v>84968.400000000009</v>
      </c>
      <c r="BN104" s="106">
        <v>41</v>
      </c>
      <c r="BO104" s="106">
        <v>84968.400000000009</v>
      </c>
      <c r="BP104" s="106">
        <v>24</v>
      </c>
      <c r="BQ104" s="106">
        <v>49737.600000000006</v>
      </c>
      <c r="BR104" s="106">
        <v>18</v>
      </c>
      <c r="BS104" s="106">
        <v>37303.200000000004</v>
      </c>
      <c r="BT104" s="106">
        <v>21</v>
      </c>
      <c r="BU104" s="106">
        <v>43520.4</v>
      </c>
      <c r="BV104" s="106">
        <v>16</v>
      </c>
      <c r="BW104" s="106">
        <v>33158.400000000001</v>
      </c>
      <c r="BX104" s="106">
        <v>29</v>
      </c>
      <c r="BY104" s="106">
        <v>60099.600000000006</v>
      </c>
      <c r="BZ104" s="106">
        <v>25</v>
      </c>
      <c r="CA104" s="106">
        <v>51810</v>
      </c>
      <c r="CB104" s="106">
        <v>28</v>
      </c>
      <c r="CC104" s="106">
        <v>58027.200000000004</v>
      </c>
      <c r="CD104" s="106">
        <v>20</v>
      </c>
      <c r="CE104" s="106">
        <v>41448</v>
      </c>
      <c r="CF104" s="106">
        <v>19</v>
      </c>
      <c r="CG104" s="106">
        <v>39375.599999999999</v>
      </c>
      <c r="CH104" s="106">
        <v>23</v>
      </c>
      <c r="CI104" s="106">
        <v>47665.200000000004</v>
      </c>
      <c r="CJ104" s="106">
        <v>20</v>
      </c>
      <c r="CK104" s="106">
        <v>41448</v>
      </c>
      <c r="CL104" s="106">
        <v>18</v>
      </c>
      <c r="CM104" s="106">
        <v>37303.200000000004</v>
      </c>
      <c r="CN104" s="106">
        <v>87</v>
      </c>
      <c r="CO104" s="106">
        <v>180298.80000000002</v>
      </c>
      <c r="CP104" s="106">
        <v>107</v>
      </c>
      <c r="CQ104" s="106">
        <v>221746.80000000002</v>
      </c>
      <c r="CR104" s="106">
        <v>83</v>
      </c>
      <c r="CS104" s="106">
        <v>172009.2</v>
      </c>
      <c r="CT104" s="106">
        <v>80</v>
      </c>
      <c r="CU104" s="106">
        <v>165792</v>
      </c>
    </row>
    <row r="105" spans="2:99" x14ac:dyDescent="0.2">
      <c r="C105" s="105" t="s">
        <v>271</v>
      </c>
      <c r="D105" s="106">
        <v>9</v>
      </c>
      <c r="E105" s="106">
        <v>17982</v>
      </c>
      <c r="F105" s="106">
        <v>7</v>
      </c>
      <c r="G105" s="106">
        <v>13986</v>
      </c>
      <c r="H105" s="106">
        <v>12</v>
      </c>
      <c r="I105" s="106">
        <v>23976</v>
      </c>
      <c r="J105" s="106">
        <v>7</v>
      </c>
      <c r="K105" s="106">
        <v>13986</v>
      </c>
      <c r="L105" s="106">
        <v>13</v>
      </c>
      <c r="M105" s="106">
        <v>25974</v>
      </c>
      <c r="N105" s="106">
        <v>12</v>
      </c>
      <c r="O105" s="106">
        <v>23976</v>
      </c>
      <c r="P105" s="106">
        <v>10</v>
      </c>
      <c r="Q105" s="106">
        <v>19980</v>
      </c>
      <c r="R105" s="106">
        <v>9</v>
      </c>
      <c r="S105" s="106">
        <v>17982</v>
      </c>
      <c r="T105" s="106">
        <v>15</v>
      </c>
      <c r="U105" s="106">
        <v>29970</v>
      </c>
      <c r="V105" s="106">
        <v>10</v>
      </c>
      <c r="W105" s="106">
        <v>19980</v>
      </c>
      <c r="X105" s="106">
        <v>11</v>
      </c>
      <c r="Y105" s="106">
        <v>21978</v>
      </c>
      <c r="Z105" s="106">
        <v>13</v>
      </c>
      <c r="AA105" s="106">
        <v>25974</v>
      </c>
      <c r="AB105" s="106">
        <v>32</v>
      </c>
      <c r="AC105" s="106">
        <v>63936</v>
      </c>
      <c r="AD105" s="106">
        <v>51</v>
      </c>
      <c r="AE105" s="106">
        <v>101898</v>
      </c>
      <c r="AF105" s="106">
        <v>45</v>
      </c>
      <c r="AG105" s="106">
        <v>89910</v>
      </c>
      <c r="AH105" s="106">
        <v>52</v>
      </c>
      <c r="AI105" s="106">
        <v>103896</v>
      </c>
      <c r="AJ105" s="106">
        <v>6</v>
      </c>
      <c r="AK105" s="106">
        <v>11988</v>
      </c>
      <c r="AL105" s="106">
        <v>6</v>
      </c>
      <c r="AM105" s="106">
        <v>11988</v>
      </c>
      <c r="AN105" s="106">
        <v>8</v>
      </c>
      <c r="AO105" s="106">
        <v>15984</v>
      </c>
      <c r="AP105" s="106">
        <v>6</v>
      </c>
      <c r="AQ105" s="106">
        <v>11988</v>
      </c>
      <c r="AR105" s="106">
        <v>45</v>
      </c>
      <c r="AS105" s="106">
        <v>89910</v>
      </c>
      <c r="AT105" s="106">
        <v>47</v>
      </c>
      <c r="AU105" s="106">
        <v>93906</v>
      </c>
      <c r="AV105" s="106">
        <v>47</v>
      </c>
      <c r="AW105" s="106">
        <v>93906</v>
      </c>
      <c r="AX105" s="106">
        <v>36</v>
      </c>
      <c r="AY105" s="106">
        <v>71928</v>
      </c>
      <c r="AZ105" s="106">
        <v>30</v>
      </c>
      <c r="BA105" s="106">
        <v>59940</v>
      </c>
      <c r="BB105" s="106">
        <v>29</v>
      </c>
      <c r="BC105" s="106">
        <v>57942</v>
      </c>
      <c r="BD105" s="106">
        <v>34</v>
      </c>
      <c r="BE105" s="106">
        <v>67932</v>
      </c>
      <c r="BF105" s="106">
        <v>21</v>
      </c>
      <c r="BG105" s="106">
        <v>41958</v>
      </c>
      <c r="BH105" s="106">
        <v>23</v>
      </c>
      <c r="BI105" s="106">
        <v>45954</v>
      </c>
      <c r="BJ105" s="106">
        <v>36</v>
      </c>
      <c r="BK105" s="106">
        <v>71928</v>
      </c>
      <c r="BL105" s="106">
        <v>42</v>
      </c>
      <c r="BM105" s="106">
        <v>83916</v>
      </c>
      <c r="BN105" s="106">
        <v>38</v>
      </c>
      <c r="BO105" s="106">
        <v>75924</v>
      </c>
      <c r="BP105" s="106">
        <v>24</v>
      </c>
      <c r="BQ105" s="106">
        <v>47952</v>
      </c>
      <c r="BR105" s="106">
        <v>19</v>
      </c>
      <c r="BS105" s="106">
        <v>37962</v>
      </c>
      <c r="BT105" s="106">
        <v>20</v>
      </c>
      <c r="BU105" s="106">
        <v>39960</v>
      </c>
      <c r="BV105" s="106">
        <v>15</v>
      </c>
      <c r="BW105" s="106">
        <v>29970</v>
      </c>
      <c r="BX105" s="106">
        <v>33</v>
      </c>
      <c r="BY105" s="106">
        <v>65934</v>
      </c>
      <c r="BZ105" s="106">
        <v>26</v>
      </c>
      <c r="CA105" s="106">
        <v>51948</v>
      </c>
      <c r="CB105" s="106">
        <v>27</v>
      </c>
      <c r="CC105" s="106">
        <v>53946</v>
      </c>
      <c r="CD105" s="106">
        <v>20</v>
      </c>
      <c r="CE105" s="106">
        <v>39960</v>
      </c>
      <c r="CF105" s="106">
        <v>17</v>
      </c>
      <c r="CG105" s="106">
        <v>33966</v>
      </c>
      <c r="CH105" s="106">
        <v>27</v>
      </c>
      <c r="CI105" s="106">
        <v>53946</v>
      </c>
      <c r="CJ105" s="106">
        <v>22</v>
      </c>
      <c r="CK105" s="106">
        <v>43956</v>
      </c>
      <c r="CL105" s="106">
        <v>20</v>
      </c>
      <c r="CM105" s="106">
        <v>39960</v>
      </c>
      <c r="CN105" s="106">
        <v>89</v>
      </c>
      <c r="CO105" s="106">
        <v>177822</v>
      </c>
      <c r="CP105" s="106">
        <v>104</v>
      </c>
      <c r="CQ105" s="106">
        <v>207792</v>
      </c>
      <c r="CR105" s="106">
        <v>78</v>
      </c>
      <c r="CS105" s="106">
        <v>155844</v>
      </c>
      <c r="CT105" s="106">
        <v>77</v>
      </c>
      <c r="CU105" s="106">
        <v>153846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1684.3055047446128</v>
      </c>
      <c r="E109" s="106">
        <f>SUM(L$6:L$19)+SUM(N$6:N$19)+SUM(P$6:P$19)+SUM(R$6:R$19)</f>
        <v>2262.7769996247039</v>
      </c>
      <c r="F109" s="106">
        <f>SUM(T$6:T$19)+SUM(V$6:V$19)+SUM(X$6:X$19)+SUM(Z$6:Z$19)</f>
        <v>550</v>
      </c>
      <c r="G109" s="106">
        <f>SUM(AB$6:AB$19)+SUM(AD$6:AD$19)+SUM(AF$6:AF$19)+SUM(AH$6:AH$19)</f>
        <v>0</v>
      </c>
      <c r="H109" s="106">
        <f>SUM(AJ$6:AJ$19)+SUM(AL$6:AL$19)+SUM(AN$6:AN$19)+SUM(AP$6:AP$19)</f>
        <v>422</v>
      </c>
      <c r="I109" s="106">
        <f>SUM(AR$6:AR$19)+SUM(AT$6:AT$19)+SUM(AV$6:AV$19)+SUM(AX$6:AX$19)</f>
        <v>454</v>
      </c>
      <c r="J109" s="106">
        <f>SUM(AZ$6:AZ$19)+SUM(BB$6:BB$19)+SUM(BD$6:BD$19)+SUM(BF$6:BF$19)</f>
        <v>189.89764481576381</v>
      </c>
      <c r="K109" s="106">
        <f>SUM(BH$6:BH$19)+SUM(BJ$6:BJ$19)+SUM(BL$6:BL$19)+SUM(BN$6:BN$19)</f>
        <v>1768.2692542444474</v>
      </c>
      <c r="L109" s="106">
        <f>SUM(BP$6:BP$19)+SUM(BR$6:BR$19)+SUM(BT$6:BT$19)+SUM(BV$6:BV$19)</f>
        <v>490</v>
      </c>
      <c r="M109" s="106">
        <f>SUM(BX$6:BX$19)+SUM(BZ$6:BZ$19)+SUM(CB$6:CB$19)+SUM(CD$6:CD$19)</f>
        <v>370.81410047793588</v>
      </c>
      <c r="N109" s="106">
        <f>SUM(CF$6:CF$19)+SUM(CH$6:CH$19)+SUM(CJ$6:CJ$19)+SUM(CL$6:CL$19)</f>
        <v>1077.9583120891602</v>
      </c>
      <c r="O109" s="106">
        <f>SUM(CN$6:CN$19)+SUM(CP$6:CP$19)+SUM(CR$6:CR$19)+SUM(CT$6:CT$19)</f>
        <v>606</v>
      </c>
    </row>
    <row r="110" spans="2:99" x14ac:dyDescent="0.2">
      <c r="C110" s="105" t="s">
        <v>127</v>
      </c>
      <c r="D110" s="106">
        <f>SUM(D$20:D$36)+SUM(F$20:F$36)+SUM(H$20:H$36)+SUM(J$20:J$36)</f>
        <v>867.91271047159535</v>
      </c>
      <c r="E110" s="106">
        <f>SUM(L$20:L$36)+SUM(N$20:N$36)+SUM(P$20:P$36)+SUM(R$20:R$36)</f>
        <v>1676.5617883540385</v>
      </c>
      <c r="F110" s="106">
        <f>SUM(T$20:T$36)+SUM(V$20:V$36)+SUM(X$20:X$36)+SUM(Z$20:Z$36)</f>
        <v>1355</v>
      </c>
      <c r="G110" s="106">
        <f>SUM(AB$20:AB$36)+SUM(AD$20:AD$36)+SUM(AF$20:AF$36)+SUM(AH$20:AH$36)</f>
        <v>0</v>
      </c>
      <c r="H110" s="106">
        <f>SUM(AJ$20:AJ$36)+SUM(AL$20:AL$36)+SUM(AN$20:AN$36)+SUM(AP$20:AP$36)</f>
        <v>766</v>
      </c>
      <c r="I110" s="106">
        <f>SUM(AR$20:AR$36)+SUM(AT$20:AT$36)+SUM(AV$20:AV$36)+SUM(AX$20:AX$36)</f>
        <v>787</v>
      </c>
      <c r="J110" s="106">
        <f>SUM(AZ$20:AZ$36)+SUM(BB$20:BB$36)+SUM(BD$20:BD$36)+SUM(BF$20:BF$36)</f>
        <v>47.625123620461409</v>
      </c>
      <c r="K110" s="106">
        <f>SUM(BH$20:BH$36)+SUM(BJ$20:BJ$36)+SUM(BL$20:BL$36)+SUM(BN$20:BN$36)</f>
        <v>1807.3720502769027</v>
      </c>
      <c r="L110" s="106">
        <f>SUM(BP$20:BP$36)+SUM(BR$20:BR$36)+SUM(BT$20:BT$36)+SUM(BV$20:BV$36)</f>
        <v>1497</v>
      </c>
      <c r="M110" s="106">
        <f>SUM(BX$20:BX$36)+SUM(BZ$20:BZ$36)+SUM(CB$20:CB$36)+SUM(CD$20:CD$36)</f>
        <v>126.26859455929714</v>
      </c>
      <c r="N110" s="106">
        <f>SUM(CF$20:CF$36)+SUM(CH$20:CH$36)+SUM(CJ$20:CJ$36)+SUM(CL$20:CL$36)</f>
        <v>5687.9120624437037</v>
      </c>
      <c r="O110" s="106">
        <f>SUM(CN$20:CN$36)+SUM(CP$20:CP$36)+SUM(CR$20:CR$36)+SUM(CT$20:CT$36)</f>
        <v>3495</v>
      </c>
    </row>
    <row r="111" spans="2:99" x14ac:dyDescent="0.2">
      <c r="C111" s="105" t="s">
        <v>128</v>
      </c>
      <c r="D111" s="106">
        <f>SUM(D$37:D$48)+SUM(F$37:F$48)+SUM(H$37:H$48)+SUM(J$37:J$48)</f>
        <v>1118.4949125415365</v>
      </c>
      <c r="E111" s="106">
        <f>SUM(L$37:L$48)+SUM(N$37:N$48)+SUM(P$37:P$48)+SUM(R$37:R$48)</f>
        <v>1563.6154542042761</v>
      </c>
      <c r="F111" s="106">
        <f>SUM(T$37:T$48)+SUM(V$37:V$48)+SUM(X$37:X$48)+SUM(Z$37:Z$48)</f>
        <v>422</v>
      </c>
      <c r="G111" s="106">
        <f>SUM(AB$37:AB$48)+SUM(AD$37:AD$48)+SUM(AF$37:AF$48)+SUM(AH$37:AH$48)</f>
        <v>0</v>
      </c>
      <c r="H111" s="106">
        <f>SUM(AJ$37:AJ$48)+SUM(AL$37:AL$48)+SUM(AN$37:AN$48)+SUM(AP$37:AP$48)</f>
        <v>465</v>
      </c>
      <c r="I111" s="106">
        <f>SUM(AR$37:AR$48)+SUM(AT$37:AT$48)+SUM(AV$37:AV$48)+SUM(AX$37:AX$48)</f>
        <v>300</v>
      </c>
      <c r="J111" s="106">
        <f>SUM(AZ$37:AZ$48)+SUM(BB$37:BB$48)+SUM(BD$37:BD$48)+SUM(BF$37:BF$48)</f>
        <v>34.362430966662032</v>
      </c>
      <c r="K111" s="106">
        <f>SUM(BH$37:BH$48)+SUM(BJ$37:BJ$48)+SUM(BL$37:BL$48)+SUM(BN$37:BN$48)</f>
        <v>2794.0205501043624</v>
      </c>
      <c r="L111" s="106">
        <f>SUM(BP$37:BP$48)+SUM(BR$37:BR$48)+SUM(BT$37:BT$48)+SUM(BV$37:BV$48)</f>
        <v>842</v>
      </c>
      <c r="M111" s="106">
        <f>SUM(BX$37:BX$48)+SUM(BZ$37:BZ$48)+SUM(CB$37:CB$48)+SUM(CD$37:CD$48)</f>
        <v>29.089726847838079</v>
      </c>
      <c r="N111" s="106">
        <f>SUM(CF$37:CF$48)+SUM(CH$37:CH$48)+SUM(CJ$37:CJ$48)+SUM(CL$37:CL$48)</f>
        <v>1247.3128564933786</v>
      </c>
      <c r="O111" s="106">
        <f>SUM(CN$37:CN$48)+SUM(CP$37:CP$48)+SUM(CR$37:CR$48)+SUM(CT$37:CT$48)</f>
        <v>596</v>
      </c>
    </row>
    <row r="112" spans="2:99" x14ac:dyDescent="0.2">
      <c r="C112" s="105" t="s">
        <v>129</v>
      </c>
      <c r="D112" s="106">
        <f>SUM(D$49:D$70)+SUM(F$49:F$70)+SUM(H$49:H$70)+SUM(J$49:J$70)</f>
        <v>820.73771068671533</v>
      </c>
      <c r="E112" s="106">
        <f>SUM(L$49:L$70)+SUM(N$49:N$70)+SUM(P$49:P$70)+SUM(R$49:R$70)</f>
        <v>1934.9625791573642</v>
      </c>
      <c r="F112" s="106">
        <f>SUM(T$49:T$70)+SUM(V$49:V$70)+SUM(X$49:X$70)+SUM(Z$49:Z$70)</f>
        <v>1579</v>
      </c>
      <c r="G112" s="106">
        <f>SUM(AB$49:AB$70)+SUM(AD$49:AD$70)+SUM(AF$49:AF$70)+SUM(AH$49:AH$70)</f>
        <v>58</v>
      </c>
      <c r="H112" s="106">
        <f>SUM(AJ$49:AJ$70)+SUM(AL$49:AL$70)+SUM(AN$49:AN$70)+SUM(AP$49:AP$70)</f>
        <v>481</v>
      </c>
      <c r="I112" s="106">
        <f>SUM(AR$49:AR$70)+SUM(AT$49:AT$70)+SUM(AV$49:AV$70)+SUM(AX$49:AX$70)</f>
        <v>727</v>
      </c>
      <c r="J112" s="106">
        <f>SUM(AZ$49:AZ$70)+SUM(BB$49:BB$70)+SUM(BD$49:BD$70)+SUM(BF$49:BF$70)</f>
        <v>749.90567043973442</v>
      </c>
      <c r="K112" s="106">
        <f>SUM(BH$49:BH$70)+SUM(BJ$49:BJ$70)+SUM(BL$49:BL$70)+SUM(BN$49:BN$70)</f>
        <v>488.64059966414072</v>
      </c>
      <c r="L112" s="106">
        <f>SUM(BP$49:BP$70)+SUM(BR$49:BR$70)+SUM(BT$49:BT$70)+SUM(BV$49:BV$70)</f>
        <v>583</v>
      </c>
      <c r="M112" s="106">
        <f>SUM(BX$49:BX$70)+SUM(BZ$49:BZ$70)+SUM(CB$49:CB$70)+SUM(CD$49:CD$70)</f>
        <v>121.04041203178824</v>
      </c>
      <c r="N112" s="106">
        <f>SUM(CF$49:CF$70)+SUM(CH$49:CH$70)+SUM(CJ$49:CJ$70)+SUM(CL$49:CL$70)</f>
        <v>769.73359031415885</v>
      </c>
      <c r="O112" s="106">
        <f>SUM(CN$49:CN$70)+SUM(CP$49:CP$70)+SUM(CR$49:CR$70)+SUM(CT$49:CT$70)</f>
        <v>2085</v>
      </c>
    </row>
    <row r="113" spans="2:15" x14ac:dyDescent="0.2">
      <c r="C113" s="105" t="s">
        <v>130</v>
      </c>
      <c r="D113" s="106">
        <f>SUM(D$71:D$86)+SUM(F$71:F$86)+SUM(H$71:H$86)+SUM(J$71:J$86)</f>
        <v>511</v>
      </c>
      <c r="E113" s="106">
        <f>SUM(L$71:L$86)+SUM(N$71:N$86)+SUM(P$71:P$86)+SUM(R$71:R$86)</f>
        <v>242</v>
      </c>
      <c r="F113" s="106">
        <f>SUM(T$71:T$86)+SUM(V$71:V$86)+SUM(X$71:X$86)+SUM(Z$71:Z$86)</f>
        <v>1618</v>
      </c>
      <c r="G113" s="106">
        <f>SUM(AB$71:AB$86)+SUM(AD$71:AD$86)+SUM(AF$71:AF$86)+SUM(AH$71:AH$86)</f>
        <v>1033</v>
      </c>
      <c r="H113" s="106">
        <f>SUM(AJ$71:AJ$86)+SUM(AL$71:AL$86)+SUM(AN$71:AN$86)+SUM(AP$71:AP$86)</f>
        <v>768</v>
      </c>
      <c r="I113" s="106">
        <f>SUM(AR$71:AR$86)+SUM(AT$71:AT$86)+SUM(AV$71:AV$86)+SUM(AX$71:AX$86)</f>
        <v>1064</v>
      </c>
      <c r="J113" s="106">
        <f>SUM(AZ$71:AZ$86)+SUM(BB$71:BB$86)+SUM(BD$71:BD$86)+SUM(BF$71:BF$86)</f>
        <v>336</v>
      </c>
      <c r="K113" s="106">
        <f>SUM(BH$71:BH$86)+SUM(BJ$71:BJ$86)+SUM(BL$71:BL$86)+SUM(BN$71:BN$86)</f>
        <v>1067</v>
      </c>
      <c r="L113" s="106">
        <f>SUM(BP$71:BP$86)+SUM(BR$71:BR$86)+SUM(BT$71:BT$86)+SUM(BV$71:BV$86)</f>
        <v>378</v>
      </c>
      <c r="M113" s="106">
        <f>SUM(BX$71:BX$86)+SUM(BZ$71:BZ$86)+SUM(CB$71:CB$86)+SUM(CD$71:CD$86)</f>
        <v>403</v>
      </c>
      <c r="N113" s="106">
        <f>SUM(CF$71:CF$86)+SUM(CH$71:CH$86)+SUM(CJ$71:CJ$86)+SUM(CL$71:CL$86)</f>
        <v>959</v>
      </c>
      <c r="O113" s="106">
        <f>SUM(CN$71:CN$86)+SUM(CP$71:CP$86)+SUM(CR$71:CR$86)+SUM(CT$71:CT$86)</f>
        <v>295</v>
      </c>
    </row>
    <row r="114" spans="2:15" x14ac:dyDescent="0.2">
      <c r="C114" s="105" t="s">
        <v>131</v>
      </c>
      <c r="D114" s="106">
        <f>SUM(D$87:D$94)+SUM(F$87:F$94)+SUM(H$87:H$94)+SUM(J$87:J$94)</f>
        <v>142</v>
      </c>
      <c r="E114" s="106">
        <f>SUM(L$87:L$94)+SUM(N$87:N$94)+SUM(P$87:P$94)+SUM(R$87:R$94)</f>
        <v>551</v>
      </c>
      <c r="F114" s="106">
        <f>SUM(T$87:T$94)+SUM(V$87:V$94)+SUM(X$87:X$94)+SUM(Z$87:Z$94)</f>
        <v>1178</v>
      </c>
      <c r="G114" s="106">
        <f>SUM(AB$87:AB$94)+SUM(AD$87:AD$94)+SUM(AF$87:AF$94)+SUM(AH$87:AH$94)</f>
        <v>263</v>
      </c>
      <c r="H114" s="106">
        <f>SUM(AJ$87:AJ$94)+SUM(AL$87:AL$94)+SUM(AN$87:AN$94)+SUM(AP$87:AP$94)</f>
        <v>458</v>
      </c>
      <c r="I114" s="106">
        <f>SUM(AR$87:AR$94)+SUM(AT$87:AT$94)+SUM(AV$87:AV$94)+SUM(AX$87:AX$94)</f>
        <v>207</v>
      </c>
      <c r="J114" s="106">
        <f>SUM(AZ$87:AZ$94)+SUM(BB$87:BB$94)+SUM(BD$87:BD$94)+SUM(BF$87:BF$94)</f>
        <v>254</v>
      </c>
      <c r="K114" s="106">
        <f>SUM(BH$87:BH$94)+SUM(BJ$87:BJ$94)+SUM(BL$87:BL$94)+SUM(BN$87:BN$94)</f>
        <v>530</v>
      </c>
      <c r="L114" s="106">
        <f>SUM(BP$87:BP$94)+SUM(BR$87:BR$94)+SUM(BT$87:BT$94)+SUM(BV$87:BV$94)</f>
        <v>1305</v>
      </c>
      <c r="M114" s="106">
        <f>SUM(BX$87:BX$94)+SUM(BZ$87:BZ$94)+SUM(CB$87:CB$94)+SUM(CD$87:CD$94)</f>
        <v>821</v>
      </c>
      <c r="N114" s="106">
        <f>SUM(CF$87:CF$94)+SUM(CH$87:CH$94)+SUM(CJ$87:CJ$94)+SUM(CL$87:CL$94)</f>
        <v>374</v>
      </c>
      <c r="O114" s="106">
        <f>SUM(CN$87:CN$94)+SUM(CP$87:CP$94)+SUM(CR$87:CR$94)+SUM(CT$87:CT$94)</f>
        <v>176</v>
      </c>
    </row>
    <row r="115" spans="2:15" x14ac:dyDescent="0.2">
      <c r="C115" s="105" t="s">
        <v>132</v>
      </c>
      <c r="D115" s="106">
        <f>SUM(D$95:D$105)+SUM(F$95:F$105)+SUM(H$95:H$105)+SUM(J$95:J$105)</f>
        <v>384</v>
      </c>
      <c r="E115" s="106">
        <f>SUM(L$95:L$105)+SUM(N$95:N$105)+SUM(P$95:P$105)+SUM(R$95:R$105)</f>
        <v>505</v>
      </c>
      <c r="F115" s="106">
        <f>SUM(T$95:T$105)+SUM(V$95:V$105)+SUM(X$95:X$105)+SUM(Z$95:Z$105)</f>
        <v>547</v>
      </c>
      <c r="G115" s="106">
        <f>SUM(AB$95:AB$105)+SUM(AD$95:AD$105)+SUM(AF$95:AF$105)+SUM(AH$95:AH$105)</f>
        <v>2067</v>
      </c>
      <c r="H115" s="106">
        <f>SUM(AJ$95:AJ$105)+SUM(AL$95:AL$105)+SUM(AN$95:AN$105)+SUM(AP$95:AP$105)</f>
        <v>281</v>
      </c>
      <c r="I115" s="106">
        <f>SUM(AR$95:AR$105)+SUM(AT$95:AT$105)+SUM(AV$95:AV$105)+SUM(AX$95:AX$105)</f>
        <v>1947</v>
      </c>
      <c r="J115" s="106">
        <f>SUM(AZ$95:AZ$105)+SUM(BB$95:BB$105)+SUM(BD$95:BD$105)+SUM(BF$95:BF$105)</f>
        <v>1248</v>
      </c>
      <c r="K115" s="106">
        <f>SUM(BH$95:BH$105)+SUM(BJ$95:BJ$105)+SUM(BL$95:BL$105)+SUM(BN$95:BN$105)</f>
        <v>1528</v>
      </c>
      <c r="L115" s="106">
        <f>SUM(BP$95:BP$105)+SUM(BR$95:BR$105)+SUM(BT$95:BT$105)+SUM(BV$95:BV$105)</f>
        <v>859</v>
      </c>
      <c r="M115" s="106">
        <f>SUM(BX$95:BX$105)+SUM(BZ$95:BZ$105)+SUM(CB$95:CB$105)+SUM(CD$95:CD$105)</f>
        <v>1167</v>
      </c>
      <c r="N115" s="106">
        <f>SUM(CF$95:CF$105)+SUM(CH$95:CH$105)+SUM(CJ$95:CJ$105)+SUM(CL$95:CL$105)</f>
        <v>929</v>
      </c>
      <c r="O115" s="106">
        <f>SUM(CN$95:CN$105)+SUM(CP$95:CP$105)+SUM(CR$95:CR$105)+SUM(CT$95:CT$105)</f>
        <v>3918</v>
      </c>
    </row>
    <row r="116" spans="2:15" x14ac:dyDescent="0.2">
      <c r="C116" s="105" t="s">
        <v>278</v>
      </c>
      <c r="D116" s="106">
        <f t="shared" ref="D116:O116" si="0">SUM(D$109:D$115)</f>
        <v>5528.4508384444598</v>
      </c>
      <c r="E116" s="106">
        <f t="shared" si="0"/>
        <v>8735.9168213403827</v>
      </c>
      <c r="F116" s="106">
        <f t="shared" si="0"/>
        <v>7249</v>
      </c>
      <c r="G116" s="106">
        <f t="shared" si="0"/>
        <v>3421</v>
      </c>
      <c r="H116" s="106">
        <f t="shared" si="0"/>
        <v>3641</v>
      </c>
      <c r="I116" s="106">
        <f t="shared" si="0"/>
        <v>5486</v>
      </c>
      <c r="J116" s="106">
        <f t="shared" si="0"/>
        <v>2859.7908698426218</v>
      </c>
      <c r="K116" s="106">
        <f t="shared" si="0"/>
        <v>9983.3024542898529</v>
      </c>
      <c r="L116" s="106">
        <f t="shared" si="0"/>
        <v>5954</v>
      </c>
      <c r="M116" s="106">
        <f t="shared" si="0"/>
        <v>3038.2128339168594</v>
      </c>
      <c r="N116" s="106">
        <f t="shared" si="0"/>
        <v>11044.916821340401</v>
      </c>
      <c r="O116" s="106">
        <f t="shared" si="0"/>
        <v>11171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D109*pricing!D24*2000</f>
        <v>4111900.5389722604</v>
      </c>
      <c r="E120" s="106">
        <f>E109*pricing!E24*2000</f>
        <v>6206591.2469629794</v>
      </c>
      <c r="F120" s="106">
        <f>F109*pricing!F24*2000</f>
        <v>3030758.1974092498</v>
      </c>
      <c r="G120" s="106">
        <f>G109*pricing!G24*2000</f>
        <v>0</v>
      </c>
      <c r="H120" s="106">
        <f>H109*pricing!H24*2000</f>
        <v>2926311.2049106769</v>
      </c>
      <c r="I120" s="106">
        <f>I109*pricing!I24*2000</f>
        <v>2931343.5345300278</v>
      </c>
      <c r="J120" s="106">
        <f>J109*pricing!J24*2000</f>
        <v>543533.05934570159</v>
      </c>
      <c r="K120" s="106">
        <f>K109*pricing!K24*2000</f>
        <v>5722361.9792943401</v>
      </c>
      <c r="L120" s="106">
        <f>L109*pricing!L24*2000</f>
        <v>3082693.2183286212</v>
      </c>
      <c r="M120" s="106">
        <f>M109*pricing!M24*2000</f>
        <v>838557.44246926217</v>
      </c>
      <c r="N120" s="106">
        <f>N109*pricing!N24*2000</f>
        <v>4942757.103373494</v>
      </c>
      <c r="O120" s="106">
        <f>O109*pricing!O24*2000</f>
        <v>3591299.9414688083</v>
      </c>
    </row>
    <row r="121" spans="2:15" x14ac:dyDescent="0.2">
      <c r="C121" s="105" t="s">
        <v>127</v>
      </c>
      <c r="D121" s="106">
        <f>D110*pricing!D25*2000</f>
        <v>3835547.8487630379</v>
      </c>
      <c r="E121" s="106">
        <f>E110*pricing!E25*2000</f>
        <v>7144706.145012795</v>
      </c>
      <c r="F121" s="106">
        <f>F110*pricing!F25*2000</f>
        <v>7080902.6679712264</v>
      </c>
      <c r="G121" s="106">
        <f>G110*pricing!G25*2000</f>
        <v>0</v>
      </c>
      <c r="H121" s="106">
        <f>H110*pricing!H25*2000</f>
        <v>4886465.9245853461</v>
      </c>
      <c r="I121" s="106">
        <f>I110*pricing!I25*2000</f>
        <v>5062275.7144462783</v>
      </c>
      <c r="J121" s="106">
        <f>J110*pricing!J25*2000</f>
        <v>308358.90182272496</v>
      </c>
      <c r="K121" s="106">
        <f>K110*pricing!K25*2000</f>
        <v>7779254.1533300243</v>
      </c>
      <c r="L121" s="106">
        <f>L110*pricing!L25*2000</f>
        <v>7651774.4461667854</v>
      </c>
      <c r="M121" s="106">
        <f>M110*pricing!M25*2000</f>
        <v>544355.47007733141</v>
      </c>
      <c r="N121" s="106">
        <f>N110*pricing!N25*2000</f>
        <v>13827010.895510931</v>
      </c>
      <c r="O121" s="106">
        <f>O110*pricing!O25*2000</f>
        <v>11295746.59484867</v>
      </c>
    </row>
    <row r="122" spans="2:15" x14ac:dyDescent="0.2">
      <c r="C122" s="105" t="s">
        <v>128</v>
      </c>
      <c r="D122" s="106">
        <f>D111*pricing!D26*2000</f>
        <v>2944894.4514878727</v>
      </c>
      <c r="E122" s="106">
        <f>E111*pricing!E26*2000</f>
        <v>4872874.1373335393</v>
      </c>
      <c r="F122" s="106">
        <f>F111*pricing!F26*2000</f>
        <v>2362898.6926377639</v>
      </c>
      <c r="G122" s="106">
        <f>G111*pricing!G26*2000</f>
        <v>0</v>
      </c>
      <c r="H122" s="106">
        <f>H111*pricing!H26*2000</f>
        <v>2751473.8661395758</v>
      </c>
      <c r="I122" s="106">
        <f>I111*pricing!I26*2000</f>
        <v>2138712.5943726795</v>
      </c>
      <c r="J122" s="106">
        <f>J111*pricing!J26*2000</f>
        <v>203594.72593049833</v>
      </c>
      <c r="K122" s="106">
        <f>K111*pricing!K26*2000</f>
        <v>6452633.4054687852</v>
      </c>
      <c r="L122" s="106">
        <f>L111*pricing!L26*2000</f>
        <v>3487253.2134517715</v>
      </c>
      <c r="M122" s="106">
        <f>M111*pricing!M26*2000</f>
        <v>190186.48561957333</v>
      </c>
      <c r="N122" s="106">
        <f>N111*pricing!N26*2000</f>
        <v>4524921.1567935785</v>
      </c>
      <c r="O122" s="106">
        <f>O111*pricing!O26*2000</f>
        <v>2922759.9123702515</v>
      </c>
    </row>
    <row r="123" spans="2:15" x14ac:dyDescent="0.2">
      <c r="C123" s="105" t="s">
        <v>129</v>
      </c>
      <c r="D123" s="106">
        <f>D112*pricing!D27*2000</f>
        <v>3069996.3484839252</v>
      </c>
      <c r="E123" s="106">
        <f>E112*pricing!E27*2000</f>
        <v>5924710.75980628</v>
      </c>
      <c r="F123" s="106">
        <f>F112*pricing!F27*2000</f>
        <v>6138275.7435218655</v>
      </c>
      <c r="G123" s="106">
        <f>G112*pricing!G27*2000</f>
        <v>388643.59273635485</v>
      </c>
      <c r="H123" s="106">
        <f>H112*pricing!H27*2000</f>
        <v>3030400.9102283791</v>
      </c>
      <c r="I123" s="106">
        <f>I112*pricing!I27*2000</f>
        <v>4127304.9014742556</v>
      </c>
      <c r="J123" s="106">
        <f>J112*pricing!J27*2000</f>
        <v>1906562.0675208461</v>
      </c>
      <c r="K123" s="106">
        <f>K112*pricing!K27*2000</f>
        <v>3162650.9171271012</v>
      </c>
      <c r="L123" s="106">
        <f>L112*pricing!L27*2000</f>
        <v>3854883.2302328884</v>
      </c>
      <c r="M123" s="106">
        <f>M112*pricing!M27*2000</f>
        <v>672756.72069672076</v>
      </c>
      <c r="N123" s="106">
        <f>N112*pricing!N27*2000</f>
        <v>4017952.9538655994</v>
      </c>
      <c r="O123" s="106">
        <f>O112*pricing!O27*2000</f>
        <v>6414076.4276321316</v>
      </c>
    </row>
    <row r="124" spans="2:15" x14ac:dyDescent="0.2">
      <c r="C124" s="105" t="s">
        <v>130</v>
      </c>
      <c r="D124" s="106">
        <f>D113*pricing!D28*2000</f>
        <v>2609566.7932515792</v>
      </c>
      <c r="E124" s="106">
        <f>E113*pricing!E28*2000</f>
        <v>1708664.5765157801</v>
      </c>
      <c r="F124" s="106">
        <f>F113*pricing!F28*2000</f>
        <v>4631612.5451006424</v>
      </c>
      <c r="G124" s="106">
        <f>G113*pricing!G28*2000</f>
        <v>4122896.6009780341</v>
      </c>
      <c r="H124" s="106">
        <f>H113*pricing!H28*2000</f>
        <v>3166226.9637513263</v>
      </c>
      <c r="I124" s="106">
        <f>I113*pricing!I28*2000</f>
        <v>3835385.9032826144</v>
      </c>
      <c r="J124" s="106">
        <f>J113*pricing!J28*2000</f>
        <v>2207061.4874776388</v>
      </c>
      <c r="K124" s="106">
        <f>K113*pricing!K28*2000</f>
        <v>4191106.4736636044</v>
      </c>
      <c r="L124" s="106">
        <f>L113*pricing!L28*2000</f>
        <v>2151232.1610804326</v>
      </c>
      <c r="M124" s="106">
        <f>M113*pricing!M28*2000</f>
        <v>2381194.3499512132</v>
      </c>
      <c r="N124" s="106">
        <f>N113*pricing!N28*2000</f>
        <v>3661145.2737016389</v>
      </c>
      <c r="O124" s="106">
        <f>O113*pricing!O28*2000</f>
        <v>1858635.6840731415</v>
      </c>
    </row>
    <row r="125" spans="2:15" x14ac:dyDescent="0.2">
      <c r="C125" s="105" t="s">
        <v>131</v>
      </c>
      <c r="D125" s="106">
        <f>D114*pricing!D29*2000</f>
        <v>965448.2861207911</v>
      </c>
      <c r="E125" s="106">
        <f>E114*pricing!E29*2000</f>
        <v>1963358.8896146943</v>
      </c>
      <c r="F125" s="106">
        <f>F114*pricing!F29*2000</f>
        <v>3033694.4332498661</v>
      </c>
      <c r="G125" s="106">
        <f>G114*pricing!G29*2000</f>
        <v>1268447.024936093</v>
      </c>
      <c r="H125" s="106">
        <f>H114*pricing!H29*2000</f>
        <v>1916076.1454163529</v>
      </c>
      <c r="I125" s="106">
        <f>I114*pricing!I29*2000</f>
        <v>1256446.3323070684</v>
      </c>
      <c r="J125" s="106">
        <f>J114*pricing!J29*2000</f>
        <v>1337042.9771563197</v>
      </c>
      <c r="K125" s="106">
        <f>K114*pricing!K29*2000</f>
        <v>1896361.7953017892</v>
      </c>
      <c r="L125" s="106">
        <f>L114*pricing!L29*2000</f>
        <v>3218410.607280619</v>
      </c>
      <c r="M125" s="106">
        <f>M114*pricing!M29*2000</f>
        <v>2358820.8374735485</v>
      </c>
      <c r="N125" s="106">
        <f>N114*pricing!N29*2000</f>
        <v>1717158.1186078051</v>
      </c>
      <c r="O125" s="106">
        <f>O114*pricing!O29*2000</f>
        <v>1139655.4926158586</v>
      </c>
    </row>
    <row r="126" spans="2:15" x14ac:dyDescent="0.2">
      <c r="C126" s="105" t="s">
        <v>132</v>
      </c>
      <c r="D126" s="106">
        <f>D115*pricing!D30*2000</f>
        <v>2442982.5959102185</v>
      </c>
      <c r="E126" s="106">
        <f>E115*pricing!E30*2000</f>
        <v>2755726.4526906027</v>
      </c>
      <c r="F126" s="106">
        <f>F115*pricing!F30*2000</f>
        <v>2820536.1588610597</v>
      </c>
      <c r="G126" s="106">
        <f>G115*pricing!G30*2000</f>
        <v>5653114.1398369083</v>
      </c>
      <c r="H126" s="106">
        <f>H115*pricing!H30*2000</f>
        <v>1934566.4630800304</v>
      </c>
      <c r="I126" s="106">
        <f>I115*pricing!I30*2000</f>
        <v>5968392.3552693063</v>
      </c>
      <c r="J126" s="106">
        <f>J115*pricing!J30*2000</f>
        <v>4683933.2390276538</v>
      </c>
      <c r="K126" s="106">
        <f>K115*pricing!K30*2000</f>
        <v>5104886.1117353253</v>
      </c>
      <c r="L126" s="106">
        <f>L115*pricing!L30*2000</f>
        <v>3338409.7982171862</v>
      </c>
      <c r="M126" s="106">
        <f>M115*pricing!M30*2000</f>
        <v>4300412.0091970759</v>
      </c>
      <c r="N126" s="106">
        <f>N115*pricing!N30*2000</f>
        <v>3732787.966122271</v>
      </c>
      <c r="O126" s="106">
        <f>O115*pricing!O30*2000</f>
        <v>7895537.3943517823</v>
      </c>
    </row>
    <row r="127" spans="2:15" x14ac:dyDescent="0.2">
      <c r="C127" s="105" t="s">
        <v>278</v>
      </c>
      <c r="D127" s="106">
        <f t="shared" ref="D127:O127" si="1">SUM(D$120:D$126)</f>
        <v>19980336.862989686</v>
      </c>
      <c r="E127" s="106">
        <f t="shared" si="1"/>
        <v>30576632.207936667</v>
      </c>
      <c r="F127" s="106">
        <f t="shared" si="1"/>
        <v>29098678.438751675</v>
      </c>
      <c r="G127" s="106">
        <f t="shared" si="1"/>
        <v>11433101.35848739</v>
      </c>
      <c r="H127" s="106">
        <f t="shared" si="1"/>
        <v>20611521.478111688</v>
      </c>
      <c r="I127" s="106">
        <f t="shared" si="1"/>
        <v>25319861.335682228</v>
      </c>
      <c r="J127" s="106">
        <f t="shared" si="1"/>
        <v>11190086.458281383</v>
      </c>
      <c r="K127" s="106">
        <f t="shared" si="1"/>
        <v>34309254.835920975</v>
      </c>
      <c r="L127" s="106">
        <f t="shared" si="1"/>
        <v>26784656.6747583</v>
      </c>
      <c r="M127" s="106">
        <f t="shared" si="1"/>
        <v>11286283.315484725</v>
      </c>
      <c r="N127" s="106">
        <f t="shared" si="1"/>
        <v>36423733.467975318</v>
      </c>
      <c r="O127" s="106">
        <f t="shared" si="1"/>
        <v>35117711.44736065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848111.36252657184</v>
      </c>
      <c r="E131" s="112">
        <f>SUM(M$6:M$19)+SUM(O$6:O$19)+SUM(Q$6:Q$19)+SUM(S$6:S$19)</f>
        <v>1126043.7536735642</v>
      </c>
      <c r="F131" s="112">
        <f>SUM(U$6:U$19)+SUM(W$6:W$19)+SUM(Y$6:Y$19)+SUM(AA$6:AA$19)</f>
        <v>277738.8</v>
      </c>
      <c r="G131" s="112">
        <f>SUM(AC$6:AC$19)+SUM(AE$6:AE$19)+SUM(AG$6:AG$19)+SUM(AI$6:AI$19)</f>
        <v>0</v>
      </c>
      <c r="H131" s="112">
        <f>SUM(AK$6:AK$19)+SUM(AM$6:AM$19)+SUM(AO$6:AO$19)+SUM(AQ$6:AQ$19)</f>
        <v>213160.80000000002</v>
      </c>
      <c r="I131" s="112">
        <f>SUM(AS$6:AS$19)+SUM(AU$6:AU$19)+SUM(AW$6:AW$19)+SUM(AY$6:AY$19)</f>
        <v>228903.59999999998</v>
      </c>
      <c r="J131" s="112">
        <f>SUM(BA$6:BA$19)+SUM(BC$6:BC$19)+SUM(BE$6:BE$19)+SUM(BG$6:BG$19)</f>
        <v>95416.151469028497</v>
      </c>
      <c r="K131" s="112">
        <f>SUM(BI$6:BI$19)+SUM(BK$6:BK$19)+SUM(BM$6:BM$19)+SUM(BO$6:BO$19)</f>
        <v>889662.64790873288</v>
      </c>
      <c r="L131" s="112">
        <f>SUM(BQ$6:BQ$19)+SUM(BS$6:BS$19)+SUM(BU$6:BU$19)+SUM(BW$6:BW$19)</f>
        <v>247238.39999999999</v>
      </c>
      <c r="M131" s="112">
        <f>SUM(BY$6:BY$19)+SUM(CA$6:CA$19)+SUM(CC$6:CC$19)+SUM(CE$6:CE$19)</f>
        <v>186083.97777273695</v>
      </c>
      <c r="N131" s="112">
        <f>SUM(CG$6:CG$19)+SUM(CI$6:CI$19)+SUM(CK$6:CK$19)+SUM(CM$6:CM$19)</f>
        <v>540682.28122660983</v>
      </c>
      <c r="O131" s="112">
        <f>SUM(CO$6:CO$19)+SUM(CQ$6:CQ$19)+SUM(CS$6:CS$19)+SUM(CU$6:CU$19)</f>
        <v>305131.19999999995</v>
      </c>
    </row>
    <row r="132" spans="2:15" x14ac:dyDescent="0.2">
      <c r="C132" s="111" t="s">
        <v>127</v>
      </c>
      <c r="D132" s="112">
        <f>SUM(E$20:E$36)+SUM(G$20:G$36)+SUM(I$20:I$36)+SUM(K$20:K$36)</f>
        <v>367500.71229363617</v>
      </c>
      <c r="E132" s="112">
        <f>SUM(M$20:M$36)+SUM(O$20:O$36)+SUM(Q$20:Q$36)+SUM(S$20:S$36)</f>
        <v>717893.90748971025</v>
      </c>
      <c r="F132" s="112">
        <f>SUM(U$20:U$36)+SUM(W$20:W$36)+SUM(Y$20:Y$36)+SUM(AA$20:AA$36)</f>
        <v>577274.4</v>
      </c>
      <c r="G132" s="112">
        <f>SUM(AC$20:AC$36)+SUM(AE$20:AE$36)+SUM(AG$20:AG$36)+SUM(AI$20:AI$36)</f>
        <v>0</v>
      </c>
      <c r="H132" s="112">
        <f>SUM(AK$20:AK$36)+SUM(AM$20:AM$36)+SUM(AO$20:AO$36)+SUM(AQ$20:AQ$36)</f>
        <v>326362.8</v>
      </c>
      <c r="I132" s="112">
        <f>SUM(AS$20:AS$36)+SUM(AU$20:AU$36)+SUM(AW$20:AW$36)+SUM(AY$20:AY$36)</f>
        <v>337243.19999999995</v>
      </c>
      <c r="J132" s="112">
        <f>SUM(BA$20:BA$36)+SUM(BC$20:BC$36)+SUM(BE$20:BE$36)+SUM(BG$20:BG$36)</f>
        <v>20237.663290365686</v>
      </c>
      <c r="K132" s="112">
        <f>SUM(BI$20:BI$36)+SUM(BK$20:BK$36)+SUM(BM$20:BM$36)+SUM(BO$20:BO$36)</f>
        <v>763482.75707278692</v>
      </c>
      <c r="L132" s="112">
        <f>SUM(BQ$20:BQ$36)+SUM(BS$20:BS$36)+SUM(BU$20:BU$36)+SUM(BW$20:BW$36)</f>
        <v>639565.19999999995</v>
      </c>
      <c r="M132" s="112">
        <f>SUM(BY$20:BY$36)+SUM(CA$20:CA$36)+SUM(CC$20:CC$36)+SUM(CE$20:CE$36)</f>
        <v>54200.874131410303</v>
      </c>
      <c r="N132" s="112">
        <f>SUM(CG$20:CG$36)+SUM(CI$20:CI$36)+SUM(CK$20:CK$36)+SUM(CM$20:CM$36)</f>
        <v>2400031.7826139396</v>
      </c>
      <c r="O132" s="112">
        <f>SUM(CO$20:CO$36)+SUM(CQ$20:CQ$36)+SUM(CS$20:CS$36)+SUM(CU$20:CU$36)</f>
        <v>1481277.6</v>
      </c>
    </row>
    <row r="133" spans="2:15" x14ac:dyDescent="0.2">
      <c r="C133" s="111" t="s">
        <v>128</v>
      </c>
      <c r="D133" s="112">
        <f>SUM(E$37:E$48)+SUM(G$37:G$48)+SUM(I$37:I$48)+SUM(K$37:K$48)</f>
        <v>1166095.2566539922</v>
      </c>
      <c r="E133" s="112">
        <f>SUM(M$37:M$48)+SUM(O$37:O$48)+SUM(Q$37:Q$48)+SUM(S$37:S$48)</f>
        <v>1629550.1549981607</v>
      </c>
      <c r="F133" s="112">
        <f>SUM(U$37:U$48)+SUM(W$37:W$48)+SUM(Y$37:Y$48)+SUM(AA$37:AA$48)</f>
        <v>443712</v>
      </c>
      <c r="G133" s="112">
        <f>SUM(AC$37:AC$48)+SUM(AE$37:AE$48)+SUM(AG$37:AG$48)+SUM(AI$37:AI$48)</f>
        <v>0</v>
      </c>
      <c r="H133" s="112">
        <f>SUM(AK$37:AK$48)+SUM(AM$37:AM$48)+SUM(AO$37:AO$48)+SUM(AQ$37:AQ$48)</f>
        <v>489312.00000000006</v>
      </c>
      <c r="I133" s="112">
        <f>SUM(AS$37:AS$48)+SUM(AU$37:AU$48)+SUM(AW$37:AW$48)+SUM(AY$37:AY$48)</f>
        <v>314420.39999999997</v>
      </c>
      <c r="J133" s="112">
        <f>SUM(BA$37:BA$48)+SUM(BC$37:BC$48)+SUM(BE$37:BE$48)+SUM(BG$37:BG$48)</f>
        <v>36212.576591867037</v>
      </c>
      <c r="K133" s="112">
        <f>SUM(BI$37:BI$48)+SUM(BK$37:BK$48)+SUM(BM$37:BM$48)+SUM(BO$37:BO$48)</f>
        <v>2918450.4708477948</v>
      </c>
      <c r="L133" s="112">
        <f>SUM(BQ$37:BQ$48)+SUM(BS$37:BS$48)+SUM(BU$37:BU$48)+SUM(BW$37:BW$48)</f>
        <v>879781.2</v>
      </c>
      <c r="M133" s="112">
        <f>SUM(BY$37:BY$48)+SUM(CA$37:CA$48)+SUM(CC$37:CC$48)+SUM(CE$37:CE$48)</f>
        <v>30712.230337825848</v>
      </c>
      <c r="N133" s="112">
        <f>SUM(CG$37:CG$48)+SUM(CI$37:CI$48)+SUM(CK$37:CK$48)+SUM(CM$37:CM$48)</f>
        <v>1301132.6877783982</v>
      </c>
      <c r="O133" s="112">
        <f>SUM(CO$37:CO$48)+SUM(CQ$37:CQ$48)+SUM(CS$37:CS$48)+SUM(CU$37:CU$48)</f>
        <v>624040.79999999993</v>
      </c>
    </row>
    <row r="134" spans="2:15" x14ac:dyDescent="0.2">
      <c r="C134" s="111" t="s">
        <v>129</v>
      </c>
      <c r="D134" s="112">
        <f>SUM(E$49:E$70)+SUM(G$49:G$70)+SUM(I$49:I$70)+SUM(K$49:K$70)</f>
        <v>715438.91499761678</v>
      </c>
      <c r="E134" s="112">
        <f>SUM(M$49:M$70)+SUM(O$49:O$70)+SUM(Q$49:Q$70)+SUM(S$49:S$70)</f>
        <v>1641328.5738972386</v>
      </c>
      <c r="F134" s="112">
        <f>SUM(U$49:U$70)+SUM(W$49:W$70)+SUM(Y$49:Y$70)+SUM(AA$49:AA$70)</f>
        <v>1331971.1999999997</v>
      </c>
      <c r="G134" s="112">
        <f>SUM(AC$49:AC$70)+SUM(AE$49:AE$70)+SUM(AG$49:AG$70)+SUM(AI$49:AI$70)</f>
        <v>63936</v>
      </c>
      <c r="H134" s="112">
        <f>SUM(AK$49:AK$70)+SUM(AM$49:AM$70)+SUM(AO$49:AO$70)+SUM(AQ$49:AQ$70)</f>
        <v>408808.8</v>
      </c>
      <c r="I134" s="112">
        <f>SUM(AS$49:AS$70)+SUM(AU$49:AU$70)+SUM(AW$49:AW$70)+SUM(AY$49:AY$70)</f>
        <v>615789.6</v>
      </c>
      <c r="J134" s="112">
        <f>SUM(BA$49:BA$70)+SUM(BC$49:BC$70)+SUM(BE$49:BE$70)+SUM(BG$49:BG$70)</f>
        <v>754961.10121239664</v>
      </c>
      <c r="K134" s="112">
        <f>SUM(BI$49:BI$70)+SUM(BK$49:BK$70)+SUM(BM$49:BM$70)+SUM(BO$49:BO$70)</f>
        <v>417113.27718762797</v>
      </c>
      <c r="L134" s="112">
        <f>SUM(BQ$49:BQ$70)+SUM(BS$49:BS$70)+SUM(BU$49:BU$70)+SUM(BW$49:BW$70)</f>
        <v>496099.19999999995</v>
      </c>
      <c r="M134" s="112">
        <f>SUM(BY$49:BY$70)+SUM(CA$49:CA$70)+SUM(CC$49:CC$70)+SUM(CE$49:CE$70)</f>
        <v>122704.27390999658</v>
      </c>
      <c r="N134" s="112">
        <f>SUM(CG$49:CG$70)+SUM(CI$49:CI$70)+SUM(CK$49:CK$70)+SUM(CM$49:CM$70)</f>
        <v>654290.77073732088</v>
      </c>
      <c r="O134" s="112">
        <f>SUM(CO$49:CO$70)+SUM(CQ$49:CQ$70)+SUM(CS$49:CS$70)+SUM(CU$49:CU$70)</f>
        <v>1758207.6</v>
      </c>
    </row>
    <row r="135" spans="2:15" x14ac:dyDescent="0.2">
      <c r="C135" s="111" t="s">
        <v>130</v>
      </c>
      <c r="D135" s="112">
        <f>SUM(E$71:E$86)+SUM(G$71:G$86)+SUM(I$71:I$86)+SUM(K$71:K$86)</f>
        <v>286604.39999999997</v>
      </c>
      <c r="E135" s="112">
        <f>SUM(M$71:M$86)+SUM(O$71:O$86)+SUM(Q$71:Q$86)+SUM(S$71:S$86)</f>
        <v>135292.79999999999</v>
      </c>
      <c r="F135" s="112">
        <f>SUM(U$71:U$86)+SUM(W$71:W$86)+SUM(Y$71:Y$86)+SUM(AA$71:AA$86)</f>
        <v>900750</v>
      </c>
      <c r="G135" s="112">
        <f>SUM(AC$71:AC$86)+SUM(AE$71:AE$86)+SUM(AG$71:AG$86)+SUM(AI$71:AI$86)</f>
        <v>572659.19999999995</v>
      </c>
      <c r="H135" s="112">
        <f>SUM(AK$71:AK$86)+SUM(AM$71:AM$86)+SUM(AO$71:AO$86)+SUM(AQ$71:AQ$86)</f>
        <v>427939.19999999995</v>
      </c>
      <c r="I135" s="112">
        <f>SUM(AS$71:AS$86)+SUM(AU$71:AU$86)+SUM(AW$71:AW$86)+SUM(AY$71:AY$86)</f>
        <v>592567.19999999995</v>
      </c>
      <c r="J135" s="112">
        <f>SUM(BA$71:BA$86)+SUM(BC$71:BC$86)+SUM(BE$71:BE$86)+SUM(BG$71:BG$86)</f>
        <v>188518.8</v>
      </c>
      <c r="K135" s="112">
        <f>SUM(BI$71:BI$86)+SUM(BK$71:BK$86)+SUM(BM$71:BM$86)+SUM(BO$71:BO$86)</f>
        <v>597550.79999999993</v>
      </c>
      <c r="L135" s="112">
        <f>SUM(BQ$71:BQ$86)+SUM(BS$71:BS$86)+SUM(BU$71:BU$86)+SUM(BW$71:BW$86)</f>
        <v>210980.4</v>
      </c>
      <c r="M135" s="112">
        <f>SUM(BY$71:BY$86)+SUM(CA$71:CA$86)+SUM(CC$71:CC$86)+SUM(CE$71:CE$86)</f>
        <v>225903.6</v>
      </c>
      <c r="N135" s="112">
        <f>SUM(CG$71:CG$86)+SUM(CI$71:CI$86)+SUM(CK$71:CK$86)+SUM(CM$71:CM$86)</f>
        <v>535446</v>
      </c>
      <c r="O135" s="112">
        <f>SUM(CO$71:CO$86)+SUM(CQ$71:CQ$86)+SUM(CS$71:CS$86)+SUM(CU$71:CU$86)</f>
        <v>165061.20000000001</v>
      </c>
    </row>
    <row r="136" spans="2:15" x14ac:dyDescent="0.2">
      <c r="C136" s="111" t="s">
        <v>131</v>
      </c>
      <c r="D136" s="112">
        <f>SUM(E$87:E$94)+SUM(G$87:G$94)+SUM(I$87:I$94)+SUM(K$87:K$94)</f>
        <v>288607.2</v>
      </c>
      <c r="E136" s="112">
        <f>SUM(M$87:M$94)+SUM(O$87:O$94)+SUM(Q$87:Q$94)+SUM(S$87:S$94)</f>
        <v>1115106</v>
      </c>
      <c r="F136" s="112">
        <f>SUM(U$87:U$94)+SUM(W$87:W$94)+SUM(Y$87:Y$94)+SUM(AA$87:AA$94)</f>
        <v>2385157.2000000002</v>
      </c>
      <c r="G136" s="112">
        <f>SUM(AC$87:AC$94)+SUM(AE$87:AE$94)+SUM(AG$87:AG$94)+SUM(AI$87:AI$94)</f>
        <v>533266.79999999993</v>
      </c>
      <c r="H136" s="112">
        <f>SUM(AK$87:AK$94)+SUM(AM$87:AM$94)+SUM(AO$87:AO$94)+SUM(AQ$87:AQ$94)</f>
        <v>929923.20000000007</v>
      </c>
      <c r="I136" s="112">
        <f>SUM(AS$87:AS$94)+SUM(AU$87:AU$94)+SUM(AW$87:AW$94)+SUM(AY$87:AY$94)</f>
        <v>421830</v>
      </c>
      <c r="J136" s="112">
        <f>SUM(BA$87:BA$94)+SUM(BC$87:BC$94)+SUM(BE$87:BE$94)+SUM(BG$87:BG$94)</f>
        <v>516515.99999999994</v>
      </c>
      <c r="K136" s="112">
        <f>SUM(BI$87:BI$94)+SUM(BK$87:BK$94)+SUM(BM$87:BM$94)+SUM(BO$87:BO$94)</f>
        <v>1076451.5999999999</v>
      </c>
      <c r="L136" s="112">
        <f>SUM(BQ$87:BQ$94)+SUM(BS$87:BS$94)+SUM(BU$87:BU$94)+SUM(BW$87:BW$94)</f>
        <v>2641340.4</v>
      </c>
      <c r="M136" s="112">
        <f>SUM(BY$87:BY$94)+SUM(CA$87:CA$94)+SUM(CC$87:CC$94)+SUM(CE$87:CE$94)</f>
        <v>1660413.5999999999</v>
      </c>
      <c r="N136" s="112">
        <f>SUM(CG$87:CG$94)+SUM(CI$87:CI$94)+SUM(CK$87:CK$94)+SUM(CM$87:CM$94)</f>
        <v>757329.59999999986</v>
      </c>
      <c r="O136" s="112">
        <f>SUM(CO$87:CO$94)+SUM(CQ$87:CQ$94)+SUM(CS$87:CS$94)+SUM(CU$87:CU$94)</f>
        <v>358023.6</v>
      </c>
    </row>
    <row r="137" spans="2:15" x14ac:dyDescent="0.2">
      <c r="C137" s="111" t="s">
        <v>132</v>
      </c>
      <c r="D137" s="112">
        <f>SUM(E$95:E$105)+SUM(G$95:G$105)+SUM(I$95:I$105)+SUM(K$95:K$105)</f>
        <v>739652.39999999991</v>
      </c>
      <c r="E137" s="112">
        <f>SUM(M$95:M$105)+SUM(O$95:O$105)+SUM(Q$95:Q$105)+SUM(S$95:S$105)</f>
        <v>980514</v>
      </c>
      <c r="F137" s="112">
        <f>SUM(U$95:U$105)+SUM(W$95:W$105)+SUM(Y$95:Y$105)+SUM(AA$95:AA$105)</f>
        <v>1048326</v>
      </c>
      <c r="G137" s="112">
        <f>SUM(AC$95:AC$105)+SUM(AE$95:AE$105)+SUM(AG$95:AG$105)+SUM(AI$95:AI$105)</f>
        <v>3853663.2</v>
      </c>
      <c r="H137" s="112">
        <f>SUM(AK$95:AK$105)+SUM(AM$95:AM$105)+SUM(AO$95:AO$105)+SUM(AQ$95:AQ$105)</f>
        <v>546708</v>
      </c>
      <c r="I137" s="112">
        <f>SUM(AS$95:AS$105)+SUM(AU$95:AU$105)+SUM(AW$95:AW$105)+SUM(AY$95:AY$105)</f>
        <v>3603456</v>
      </c>
      <c r="J137" s="112">
        <f>SUM(BA$95:BA$105)+SUM(BC$95:BC$105)+SUM(BE$95:BE$105)+SUM(BG$95:BG$105)</f>
        <v>2336788.7999999998</v>
      </c>
      <c r="K137" s="112">
        <f>SUM(BI$95:BI$105)+SUM(BK$95:BK$105)+SUM(BM$95:BM$105)+SUM(BO$95:BO$105)</f>
        <v>2847448.8</v>
      </c>
      <c r="L137" s="112">
        <f>SUM(BQ$95:BQ$105)+SUM(BS$95:BS$105)+SUM(BU$95:BU$105)+SUM(BW$95:BW$105)</f>
        <v>1617964.8</v>
      </c>
      <c r="M137" s="112">
        <f>SUM(BY$95:BY$105)+SUM(CA$95:CA$105)+SUM(CC$95:CC$105)+SUM(CE$95:CE$105)</f>
        <v>2191477.1999999997</v>
      </c>
      <c r="N137" s="112">
        <f>SUM(CG$95:CG$105)+SUM(CI$95:CI$105)+SUM(CK$95:CK$105)+SUM(CM$95:CM$105)</f>
        <v>1751359.1999999997</v>
      </c>
      <c r="O137" s="112">
        <f>SUM(CO$95:CO$105)+SUM(CQ$95:CQ$105)+SUM(CS$95:CS$105)+SUM(CU$95:CU$105)</f>
        <v>7095502.7999999998</v>
      </c>
    </row>
    <row r="138" spans="2:15" x14ac:dyDescent="0.2">
      <c r="C138" s="111" t="s">
        <v>278</v>
      </c>
      <c r="D138" s="106">
        <f t="shared" ref="D138:O138" si="2">SUM(D$131:D$137)</f>
        <v>4412010.2464718167</v>
      </c>
      <c r="E138" s="106">
        <f t="shared" si="2"/>
        <v>7345729.1900586737</v>
      </c>
      <c r="F138" s="106">
        <f t="shared" si="2"/>
        <v>6964929.5999999996</v>
      </c>
      <c r="G138" s="106">
        <f t="shared" si="2"/>
        <v>5023525.2</v>
      </c>
      <c r="H138" s="106">
        <f t="shared" si="2"/>
        <v>3342214.8000000003</v>
      </c>
      <c r="I138" s="106">
        <f t="shared" si="2"/>
        <v>6114210</v>
      </c>
      <c r="J138" s="106">
        <f t="shared" si="2"/>
        <v>3948651.092563658</v>
      </c>
      <c r="K138" s="106">
        <f t="shared" si="2"/>
        <v>9510160.3530169427</v>
      </c>
      <c r="L138" s="106">
        <f t="shared" si="2"/>
        <v>6732969.5999999996</v>
      </c>
      <c r="M138" s="106">
        <f t="shared" si="2"/>
        <v>4471495.7561519686</v>
      </c>
      <c r="N138" s="106">
        <f t="shared" si="2"/>
        <v>7940272.3223562688</v>
      </c>
      <c r="O138" s="106">
        <f t="shared" si="2"/>
        <v>11787244.800000001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cols>
    <col min="1" max="16384" width="9.140625" style="106"/>
  </cols>
  <sheetData>
    <row r="1" spans="1:99" x14ac:dyDescent="0.2">
      <c r="A1" s="107"/>
    </row>
    <row r="2" spans="1:99" x14ac:dyDescent="0.2">
      <c r="B2" s="108" t="s">
        <v>272</v>
      </c>
    </row>
    <row r="3" spans="1:99" x14ac:dyDescent="0.2">
      <c r="B3" s="109" t="s">
        <v>273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3</v>
      </c>
      <c r="E6" s="106">
        <v>1735.1999999999998</v>
      </c>
      <c r="F6" s="106">
        <v>3</v>
      </c>
      <c r="G6" s="106">
        <v>1735.1999999999998</v>
      </c>
      <c r="H6" s="106">
        <v>3</v>
      </c>
      <c r="I6" s="106">
        <v>1735.1999999999998</v>
      </c>
      <c r="J6" s="106">
        <v>2</v>
      </c>
      <c r="K6" s="106">
        <v>1156.8</v>
      </c>
      <c r="L6" s="106">
        <v>3</v>
      </c>
      <c r="M6" s="106">
        <v>1735.1999999999998</v>
      </c>
      <c r="N6" s="106">
        <v>3</v>
      </c>
      <c r="O6" s="106">
        <v>1735.1999999999998</v>
      </c>
      <c r="P6" s="106">
        <v>3</v>
      </c>
      <c r="Q6" s="106">
        <v>1735.1999999999998</v>
      </c>
      <c r="R6" s="106">
        <v>2</v>
      </c>
      <c r="S6" s="106">
        <v>1156.8</v>
      </c>
      <c r="T6" s="106">
        <v>6</v>
      </c>
      <c r="U6" s="106">
        <v>3470.3999999999996</v>
      </c>
      <c r="V6" s="106">
        <v>7</v>
      </c>
      <c r="W6" s="106">
        <v>4048.7999999999997</v>
      </c>
      <c r="X6" s="106">
        <v>7</v>
      </c>
      <c r="Y6" s="106">
        <v>4048.7999999999997</v>
      </c>
      <c r="Z6" s="106">
        <v>8</v>
      </c>
      <c r="AA6" s="106">
        <v>4627.2</v>
      </c>
      <c r="AB6" s="106">
        <v>27</v>
      </c>
      <c r="AC6" s="106">
        <v>15616.8</v>
      </c>
      <c r="AD6" s="106">
        <v>19</v>
      </c>
      <c r="AE6" s="106">
        <v>10989.6</v>
      </c>
      <c r="AF6" s="106">
        <v>29</v>
      </c>
      <c r="AG6" s="106">
        <v>16773.599999999999</v>
      </c>
      <c r="AH6" s="106">
        <v>22</v>
      </c>
      <c r="AI6" s="106">
        <v>12724.8</v>
      </c>
      <c r="AJ6" s="106">
        <v>3</v>
      </c>
      <c r="AK6" s="106">
        <v>1735.1999999999998</v>
      </c>
      <c r="AL6" s="106">
        <v>4</v>
      </c>
      <c r="AM6" s="106">
        <v>2313.6</v>
      </c>
      <c r="AN6" s="106">
        <v>5</v>
      </c>
      <c r="AO6" s="106">
        <v>2892</v>
      </c>
      <c r="AP6" s="106">
        <v>4</v>
      </c>
      <c r="AQ6" s="106">
        <v>2313.6</v>
      </c>
      <c r="AR6" s="106">
        <v>9</v>
      </c>
      <c r="AS6" s="106">
        <v>5205.5999999999995</v>
      </c>
      <c r="AT6" s="106">
        <v>12</v>
      </c>
      <c r="AU6" s="106">
        <v>6940.7999999999993</v>
      </c>
      <c r="AV6" s="106">
        <v>14</v>
      </c>
      <c r="AW6" s="106">
        <v>8097.5999999999995</v>
      </c>
      <c r="AX6" s="106">
        <v>14</v>
      </c>
      <c r="AY6" s="106">
        <v>8097.5999999999995</v>
      </c>
      <c r="AZ6" s="106">
        <v>6</v>
      </c>
      <c r="BA6" s="106">
        <v>3470.3999999999996</v>
      </c>
      <c r="BB6" s="106">
        <v>4</v>
      </c>
      <c r="BC6" s="106">
        <v>2313.6</v>
      </c>
      <c r="BD6" s="106">
        <v>6</v>
      </c>
      <c r="BE6" s="106">
        <v>3470.3999999999996</v>
      </c>
      <c r="BF6" s="106">
        <v>4</v>
      </c>
      <c r="BG6" s="106">
        <v>2313.6</v>
      </c>
      <c r="BH6" s="106">
        <v>8</v>
      </c>
      <c r="BI6" s="106">
        <v>4627.2</v>
      </c>
      <c r="BJ6" s="106">
        <v>9</v>
      </c>
      <c r="BK6" s="106">
        <v>5205.5999999999995</v>
      </c>
      <c r="BL6" s="106">
        <v>8</v>
      </c>
      <c r="BM6" s="106">
        <v>4627.2</v>
      </c>
      <c r="BN6" s="106">
        <v>7</v>
      </c>
      <c r="BO6" s="106">
        <v>4048.7999999999997</v>
      </c>
      <c r="BP6" s="106">
        <v>25</v>
      </c>
      <c r="BQ6" s="106">
        <v>14460</v>
      </c>
      <c r="BR6" s="106">
        <v>32</v>
      </c>
      <c r="BS6" s="106">
        <v>18508.8</v>
      </c>
      <c r="BT6" s="106">
        <v>28</v>
      </c>
      <c r="BU6" s="106">
        <v>16195.199999999999</v>
      </c>
      <c r="BV6" s="106">
        <v>35</v>
      </c>
      <c r="BW6" s="106">
        <v>20244</v>
      </c>
      <c r="BX6" s="106">
        <v>5</v>
      </c>
      <c r="BY6" s="106">
        <v>2892</v>
      </c>
      <c r="BZ6" s="106">
        <v>5</v>
      </c>
      <c r="CA6" s="106">
        <v>2892</v>
      </c>
      <c r="CB6" s="106">
        <v>3</v>
      </c>
      <c r="CC6" s="106">
        <v>1735.1999999999998</v>
      </c>
      <c r="CD6" s="106">
        <v>4</v>
      </c>
      <c r="CE6" s="106">
        <v>2313.6</v>
      </c>
      <c r="CF6" s="106">
        <v>20</v>
      </c>
      <c r="CG6" s="106">
        <v>11568</v>
      </c>
      <c r="CH6" s="106">
        <v>26</v>
      </c>
      <c r="CI6" s="106">
        <v>15038.4</v>
      </c>
      <c r="CJ6" s="106">
        <v>25</v>
      </c>
      <c r="CK6" s="106">
        <v>14460</v>
      </c>
      <c r="CL6" s="106">
        <v>22</v>
      </c>
      <c r="CM6" s="106">
        <v>12724.8</v>
      </c>
      <c r="CN6" s="106">
        <v>6</v>
      </c>
      <c r="CO6" s="106">
        <v>3470.3999999999996</v>
      </c>
      <c r="CP6" s="106">
        <v>6</v>
      </c>
      <c r="CQ6" s="106">
        <v>3470.3999999999996</v>
      </c>
      <c r="CR6" s="106">
        <v>11</v>
      </c>
      <c r="CS6" s="106">
        <v>6362.4</v>
      </c>
      <c r="CT6" s="106">
        <v>10</v>
      </c>
      <c r="CU6" s="106">
        <v>5784</v>
      </c>
    </row>
    <row r="7" spans="1:99" x14ac:dyDescent="0.2">
      <c r="C7" s="105" t="s">
        <v>173</v>
      </c>
      <c r="D7" s="106">
        <v>4</v>
      </c>
      <c r="E7" s="106">
        <v>3153.6</v>
      </c>
      <c r="F7" s="106">
        <v>3</v>
      </c>
      <c r="G7" s="106">
        <v>2365.1999999999998</v>
      </c>
      <c r="H7" s="106">
        <v>3</v>
      </c>
      <c r="I7" s="106">
        <v>2365.1999999999998</v>
      </c>
      <c r="J7" s="106">
        <v>2</v>
      </c>
      <c r="K7" s="106">
        <v>1576.8</v>
      </c>
      <c r="L7" s="106">
        <v>3</v>
      </c>
      <c r="M7" s="106">
        <v>2365.1999999999998</v>
      </c>
      <c r="N7" s="106">
        <v>3</v>
      </c>
      <c r="O7" s="106">
        <v>2365.1999999999998</v>
      </c>
      <c r="P7" s="106">
        <v>3</v>
      </c>
      <c r="Q7" s="106">
        <v>2365.1999999999998</v>
      </c>
      <c r="R7" s="106">
        <v>2</v>
      </c>
      <c r="S7" s="106">
        <v>1576.8</v>
      </c>
      <c r="T7" s="106">
        <v>6</v>
      </c>
      <c r="U7" s="106">
        <v>4730.3999999999996</v>
      </c>
      <c r="V7" s="106">
        <v>8</v>
      </c>
      <c r="W7" s="106">
        <v>6307.2</v>
      </c>
      <c r="X7" s="106">
        <v>7</v>
      </c>
      <c r="Y7" s="106">
        <v>5518.8</v>
      </c>
      <c r="Z7" s="106">
        <v>8</v>
      </c>
      <c r="AA7" s="106">
        <v>6307.2</v>
      </c>
      <c r="AB7" s="106">
        <v>26</v>
      </c>
      <c r="AC7" s="106">
        <v>20498.399999999998</v>
      </c>
      <c r="AD7" s="106">
        <v>18</v>
      </c>
      <c r="AE7" s="106">
        <v>14191.199999999999</v>
      </c>
      <c r="AF7" s="106">
        <v>28</v>
      </c>
      <c r="AG7" s="106">
        <v>22075.200000000001</v>
      </c>
      <c r="AH7" s="106">
        <v>23</v>
      </c>
      <c r="AI7" s="106">
        <v>18133.2</v>
      </c>
      <c r="AJ7" s="106">
        <v>3</v>
      </c>
      <c r="AK7" s="106">
        <v>2365.1999999999998</v>
      </c>
      <c r="AL7" s="106">
        <v>4</v>
      </c>
      <c r="AM7" s="106">
        <v>3153.6</v>
      </c>
      <c r="AN7" s="106">
        <v>4</v>
      </c>
      <c r="AO7" s="106">
        <v>3153.6</v>
      </c>
      <c r="AP7" s="106">
        <v>4</v>
      </c>
      <c r="AQ7" s="106">
        <v>3153.6</v>
      </c>
      <c r="AR7" s="106">
        <v>8</v>
      </c>
      <c r="AS7" s="106">
        <v>6307.2</v>
      </c>
      <c r="AT7" s="106">
        <v>11</v>
      </c>
      <c r="AU7" s="106">
        <v>8672.4</v>
      </c>
      <c r="AV7" s="106">
        <v>14</v>
      </c>
      <c r="AW7" s="106">
        <v>11037.6</v>
      </c>
      <c r="AX7" s="106">
        <v>14</v>
      </c>
      <c r="AY7" s="106">
        <v>11037.6</v>
      </c>
      <c r="AZ7" s="106">
        <v>6</v>
      </c>
      <c r="BA7" s="106">
        <v>4730.3999999999996</v>
      </c>
      <c r="BB7" s="106">
        <v>5</v>
      </c>
      <c r="BC7" s="106">
        <v>3942</v>
      </c>
      <c r="BD7" s="106">
        <v>6</v>
      </c>
      <c r="BE7" s="106">
        <v>4730.3999999999996</v>
      </c>
      <c r="BF7" s="106">
        <v>4</v>
      </c>
      <c r="BG7" s="106">
        <v>3153.6</v>
      </c>
      <c r="BH7" s="106">
        <v>7</v>
      </c>
      <c r="BI7" s="106">
        <v>5518.8</v>
      </c>
      <c r="BJ7" s="106">
        <v>8</v>
      </c>
      <c r="BK7" s="106">
        <v>6307.2</v>
      </c>
      <c r="BL7" s="106">
        <v>8</v>
      </c>
      <c r="BM7" s="106">
        <v>6307.2</v>
      </c>
      <c r="BN7" s="106">
        <v>8</v>
      </c>
      <c r="BO7" s="106">
        <v>6307.2</v>
      </c>
      <c r="BP7" s="106">
        <v>24</v>
      </c>
      <c r="BQ7" s="106">
        <v>18921.599999999999</v>
      </c>
      <c r="BR7" s="106">
        <v>34</v>
      </c>
      <c r="BS7" s="106">
        <v>26805.599999999999</v>
      </c>
      <c r="BT7" s="106">
        <v>24</v>
      </c>
      <c r="BU7" s="106">
        <v>18921.599999999999</v>
      </c>
      <c r="BV7" s="106">
        <v>33</v>
      </c>
      <c r="BW7" s="106">
        <v>26017.200000000001</v>
      </c>
      <c r="BX7" s="106">
        <v>4</v>
      </c>
      <c r="BY7" s="106">
        <v>3153.6</v>
      </c>
      <c r="BZ7" s="106">
        <v>5</v>
      </c>
      <c r="CA7" s="106">
        <v>3942</v>
      </c>
      <c r="CB7" s="106">
        <v>3</v>
      </c>
      <c r="CC7" s="106">
        <v>2365.1999999999998</v>
      </c>
      <c r="CD7" s="106">
        <v>5</v>
      </c>
      <c r="CE7" s="106">
        <v>3942</v>
      </c>
      <c r="CF7" s="106">
        <v>18</v>
      </c>
      <c r="CG7" s="106">
        <v>14191.199999999999</v>
      </c>
      <c r="CH7" s="106">
        <v>25</v>
      </c>
      <c r="CI7" s="106">
        <v>19710</v>
      </c>
      <c r="CJ7" s="106">
        <v>21</v>
      </c>
      <c r="CK7" s="106">
        <v>16556.399999999998</v>
      </c>
      <c r="CL7" s="106">
        <v>21</v>
      </c>
      <c r="CM7" s="106">
        <v>16556.399999999998</v>
      </c>
      <c r="CN7" s="106">
        <v>6</v>
      </c>
      <c r="CO7" s="106">
        <v>4730.3999999999996</v>
      </c>
      <c r="CP7" s="106">
        <v>6</v>
      </c>
      <c r="CQ7" s="106">
        <v>4730.3999999999996</v>
      </c>
      <c r="CR7" s="106">
        <v>10</v>
      </c>
      <c r="CS7" s="106">
        <v>7884</v>
      </c>
      <c r="CT7" s="106">
        <v>10</v>
      </c>
      <c r="CU7" s="106">
        <v>7884</v>
      </c>
    </row>
    <row r="8" spans="1:99" x14ac:dyDescent="0.2">
      <c r="C8" s="105" t="s">
        <v>174</v>
      </c>
      <c r="D8" s="106">
        <v>4</v>
      </c>
      <c r="E8" s="106">
        <v>1238.3999999999999</v>
      </c>
      <c r="F8" s="106">
        <v>3</v>
      </c>
      <c r="G8" s="106">
        <v>928.8</v>
      </c>
      <c r="H8" s="106">
        <v>3</v>
      </c>
      <c r="I8" s="106">
        <v>928.8</v>
      </c>
      <c r="J8" s="106">
        <v>2</v>
      </c>
      <c r="K8" s="106">
        <v>619.19999999999993</v>
      </c>
      <c r="L8" s="106">
        <v>3</v>
      </c>
      <c r="M8" s="106">
        <v>928.8</v>
      </c>
      <c r="N8" s="106">
        <v>3</v>
      </c>
      <c r="O8" s="106">
        <v>928.8</v>
      </c>
      <c r="P8" s="106">
        <v>3</v>
      </c>
      <c r="Q8" s="106">
        <v>928.8</v>
      </c>
      <c r="R8" s="106">
        <v>2</v>
      </c>
      <c r="S8" s="106">
        <v>619.19999999999993</v>
      </c>
      <c r="T8" s="106">
        <v>7</v>
      </c>
      <c r="U8" s="106">
        <v>2167.1999999999998</v>
      </c>
      <c r="V8" s="106">
        <v>8</v>
      </c>
      <c r="W8" s="106">
        <v>2476.7999999999997</v>
      </c>
      <c r="X8" s="106">
        <v>8</v>
      </c>
      <c r="Y8" s="106">
        <v>2476.7999999999997</v>
      </c>
      <c r="Z8" s="106">
        <v>8</v>
      </c>
      <c r="AA8" s="106">
        <v>2476.7999999999997</v>
      </c>
      <c r="AB8" s="106">
        <v>26</v>
      </c>
      <c r="AC8" s="106">
        <v>8049.5999999999995</v>
      </c>
      <c r="AD8" s="106">
        <v>21</v>
      </c>
      <c r="AE8" s="106">
        <v>6501.5999999999995</v>
      </c>
      <c r="AF8" s="106">
        <v>29</v>
      </c>
      <c r="AG8" s="106">
        <v>8978.4</v>
      </c>
      <c r="AH8" s="106">
        <v>25</v>
      </c>
      <c r="AI8" s="106">
        <v>7739.9999999999991</v>
      </c>
      <c r="AJ8" s="106">
        <v>3</v>
      </c>
      <c r="AK8" s="106">
        <v>928.8</v>
      </c>
      <c r="AL8" s="106">
        <v>4</v>
      </c>
      <c r="AM8" s="106">
        <v>1238.3999999999999</v>
      </c>
      <c r="AN8" s="106">
        <v>4</v>
      </c>
      <c r="AO8" s="106">
        <v>1238.3999999999999</v>
      </c>
      <c r="AP8" s="106">
        <v>3</v>
      </c>
      <c r="AQ8" s="106">
        <v>928.8</v>
      </c>
      <c r="AR8" s="106">
        <v>9</v>
      </c>
      <c r="AS8" s="106">
        <v>2786.3999999999996</v>
      </c>
      <c r="AT8" s="106">
        <v>13</v>
      </c>
      <c r="AU8" s="106">
        <v>4024.7999999999997</v>
      </c>
      <c r="AV8" s="106">
        <v>15</v>
      </c>
      <c r="AW8" s="106">
        <v>4643.9999999999991</v>
      </c>
      <c r="AX8" s="106">
        <v>13</v>
      </c>
      <c r="AY8" s="106">
        <v>4024.7999999999997</v>
      </c>
      <c r="AZ8" s="106">
        <v>5</v>
      </c>
      <c r="BA8" s="106">
        <v>1547.9999999999998</v>
      </c>
      <c r="BB8" s="106">
        <v>5</v>
      </c>
      <c r="BC8" s="106">
        <v>1547.9999999999998</v>
      </c>
      <c r="BD8" s="106">
        <v>6</v>
      </c>
      <c r="BE8" s="106">
        <v>1857.6</v>
      </c>
      <c r="BF8" s="106">
        <v>4</v>
      </c>
      <c r="BG8" s="106">
        <v>1238.3999999999999</v>
      </c>
      <c r="BH8" s="106">
        <v>8</v>
      </c>
      <c r="BI8" s="106">
        <v>2476.7999999999997</v>
      </c>
      <c r="BJ8" s="106">
        <v>9</v>
      </c>
      <c r="BK8" s="106">
        <v>2786.3999999999996</v>
      </c>
      <c r="BL8" s="106">
        <v>9</v>
      </c>
      <c r="BM8" s="106">
        <v>2786.3999999999996</v>
      </c>
      <c r="BN8" s="106">
        <v>7</v>
      </c>
      <c r="BO8" s="106">
        <v>2167.1999999999998</v>
      </c>
      <c r="BP8" s="106">
        <v>23</v>
      </c>
      <c r="BQ8" s="106">
        <v>7120.7999999999993</v>
      </c>
      <c r="BR8" s="106">
        <v>34</v>
      </c>
      <c r="BS8" s="106">
        <v>10526.4</v>
      </c>
      <c r="BT8" s="106">
        <v>29</v>
      </c>
      <c r="BU8" s="106">
        <v>8978.4</v>
      </c>
      <c r="BV8" s="106">
        <v>41</v>
      </c>
      <c r="BW8" s="106">
        <v>12693.599999999999</v>
      </c>
      <c r="BX8" s="106">
        <v>4</v>
      </c>
      <c r="BY8" s="106">
        <v>1238.3999999999999</v>
      </c>
      <c r="BZ8" s="106">
        <v>5</v>
      </c>
      <c r="CA8" s="106">
        <v>1547.9999999999998</v>
      </c>
      <c r="CB8" s="106">
        <v>3</v>
      </c>
      <c r="CC8" s="106">
        <v>928.8</v>
      </c>
      <c r="CD8" s="106">
        <v>5</v>
      </c>
      <c r="CE8" s="106">
        <v>1547.9999999999998</v>
      </c>
      <c r="CF8" s="106">
        <v>23</v>
      </c>
      <c r="CG8" s="106">
        <v>7120.7999999999993</v>
      </c>
      <c r="CH8" s="106">
        <v>27</v>
      </c>
      <c r="CI8" s="106">
        <v>8359.1999999999989</v>
      </c>
      <c r="CJ8" s="106">
        <v>25</v>
      </c>
      <c r="CK8" s="106">
        <v>7739.9999999999991</v>
      </c>
      <c r="CL8" s="106">
        <v>23</v>
      </c>
      <c r="CM8" s="106">
        <v>7120.7999999999993</v>
      </c>
      <c r="CN8" s="106">
        <v>7</v>
      </c>
      <c r="CO8" s="106">
        <v>2167.1999999999998</v>
      </c>
      <c r="CP8" s="106">
        <v>6</v>
      </c>
      <c r="CQ8" s="106">
        <v>1857.6</v>
      </c>
      <c r="CR8" s="106">
        <v>11</v>
      </c>
      <c r="CS8" s="106">
        <v>3405.5999999999995</v>
      </c>
      <c r="CT8" s="106">
        <v>12</v>
      </c>
      <c r="CU8" s="106">
        <v>3715.2</v>
      </c>
    </row>
    <row r="9" spans="1:99" x14ac:dyDescent="0.2">
      <c r="C9" s="105" t="s">
        <v>175</v>
      </c>
      <c r="D9" s="106">
        <v>3</v>
      </c>
      <c r="E9" s="106">
        <v>2106</v>
      </c>
      <c r="F9" s="106">
        <v>3</v>
      </c>
      <c r="G9" s="106">
        <v>2106</v>
      </c>
      <c r="H9" s="106">
        <v>3</v>
      </c>
      <c r="I9" s="106">
        <v>2106</v>
      </c>
      <c r="J9" s="106">
        <v>2</v>
      </c>
      <c r="K9" s="106">
        <v>1404</v>
      </c>
      <c r="L9" s="106">
        <v>3</v>
      </c>
      <c r="M9" s="106">
        <v>2106</v>
      </c>
      <c r="N9" s="106">
        <v>3</v>
      </c>
      <c r="O9" s="106">
        <v>2106</v>
      </c>
      <c r="P9" s="106">
        <v>3</v>
      </c>
      <c r="Q9" s="106">
        <v>2106</v>
      </c>
      <c r="R9" s="106">
        <v>2</v>
      </c>
      <c r="S9" s="106">
        <v>1404</v>
      </c>
      <c r="T9" s="106">
        <v>6</v>
      </c>
      <c r="U9" s="106">
        <v>4212</v>
      </c>
      <c r="V9" s="106">
        <v>8</v>
      </c>
      <c r="W9" s="106">
        <v>5616</v>
      </c>
      <c r="X9" s="106">
        <v>7</v>
      </c>
      <c r="Y9" s="106">
        <v>4914</v>
      </c>
      <c r="Z9" s="106">
        <v>7</v>
      </c>
      <c r="AA9" s="106">
        <v>4914</v>
      </c>
      <c r="AB9" s="106">
        <v>29</v>
      </c>
      <c r="AC9" s="106">
        <v>20358</v>
      </c>
      <c r="AD9" s="106">
        <v>21</v>
      </c>
      <c r="AE9" s="106">
        <v>14742</v>
      </c>
      <c r="AF9" s="106">
        <v>30</v>
      </c>
      <c r="AG9" s="106">
        <v>21060</v>
      </c>
      <c r="AH9" s="106">
        <v>22</v>
      </c>
      <c r="AI9" s="106">
        <v>15444</v>
      </c>
      <c r="AJ9" s="106">
        <v>3</v>
      </c>
      <c r="AK9" s="106">
        <v>2106</v>
      </c>
      <c r="AL9" s="106">
        <v>4</v>
      </c>
      <c r="AM9" s="106">
        <v>2808</v>
      </c>
      <c r="AN9" s="106">
        <v>4</v>
      </c>
      <c r="AO9" s="106">
        <v>2808</v>
      </c>
      <c r="AP9" s="106">
        <v>4</v>
      </c>
      <c r="AQ9" s="106">
        <v>2808</v>
      </c>
      <c r="AR9" s="106">
        <v>8</v>
      </c>
      <c r="AS9" s="106">
        <v>5616</v>
      </c>
      <c r="AT9" s="106">
        <v>12</v>
      </c>
      <c r="AU9" s="106">
        <v>8424</v>
      </c>
      <c r="AV9" s="106">
        <v>14</v>
      </c>
      <c r="AW9" s="106">
        <v>9828</v>
      </c>
      <c r="AX9" s="106">
        <v>12</v>
      </c>
      <c r="AY9" s="106">
        <v>8424</v>
      </c>
      <c r="AZ9" s="106">
        <v>5</v>
      </c>
      <c r="BA9" s="106">
        <v>3510</v>
      </c>
      <c r="BB9" s="106">
        <v>4</v>
      </c>
      <c r="BC9" s="106">
        <v>2808</v>
      </c>
      <c r="BD9" s="106">
        <v>6</v>
      </c>
      <c r="BE9" s="106">
        <v>4212</v>
      </c>
      <c r="BF9" s="106">
        <v>4</v>
      </c>
      <c r="BG9" s="106">
        <v>2808</v>
      </c>
      <c r="BH9" s="106">
        <v>7</v>
      </c>
      <c r="BI9" s="106">
        <v>4914</v>
      </c>
      <c r="BJ9" s="106">
        <v>8</v>
      </c>
      <c r="BK9" s="106">
        <v>5616</v>
      </c>
      <c r="BL9" s="106">
        <v>8</v>
      </c>
      <c r="BM9" s="106">
        <v>5616</v>
      </c>
      <c r="BN9" s="106">
        <v>7</v>
      </c>
      <c r="BO9" s="106">
        <v>4914</v>
      </c>
      <c r="BP9" s="106">
        <v>24</v>
      </c>
      <c r="BQ9" s="106">
        <v>16848</v>
      </c>
      <c r="BR9" s="106">
        <v>30</v>
      </c>
      <c r="BS9" s="106">
        <v>21060</v>
      </c>
      <c r="BT9" s="106">
        <v>27</v>
      </c>
      <c r="BU9" s="106">
        <v>18954</v>
      </c>
      <c r="BV9" s="106">
        <v>36</v>
      </c>
      <c r="BW9" s="106">
        <v>25272</v>
      </c>
      <c r="BX9" s="106">
        <v>4</v>
      </c>
      <c r="BY9" s="106">
        <v>2808</v>
      </c>
      <c r="BZ9" s="106">
        <v>5</v>
      </c>
      <c r="CA9" s="106">
        <v>3510</v>
      </c>
      <c r="CB9" s="106">
        <v>3</v>
      </c>
      <c r="CC9" s="106">
        <v>2106</v>
      </c>
      <c r="CD9" s="106">
        <v>5</v>
      </c>
      <c r="CE9" s="106">
        <v>3510</v>
      </c>
      <c r="CF9" s="106">
        <v>20</v>
      </c>
      <c r="CG9" s="106">
        <v>14040</v>
      </c>
      <c r="CH9" s="106">
        <v>26</v>
      </c>
      <c r="CI9" s="106">
        <v>18252</v>
      </c>
      <c r="CJ9" s="106">
        <v>21</v>
      </c>
      <c r="CK9" s="106">
        <v>14742</v>
      </c>
      <c r="CL9" s="106">
        <v>20</v>
      </c>
      <c r="CM9" s="106">
        <v>14040</v>
      </c>
      <c r="CN9" s="106">
        <v>6</v>
      </c>
      <c r="CO9" s="106">
        <v>4212</v>
      </c>
      <c r="CP9" s="106">
        <v>6</v>
      </c>
      <c r="CQ9" s="106">
        <v>4212</v>
      </c>
      <c r="CR9" s="106">
        <v>10</v>
      </c>
      <c r="CS9" s="106">
        <v>7020</v>
      </c>
      <c r="CT9" s="106">
        <v>12</v>
      </c>
      <c r="CU9" s="106">
        <v>8424</v>
      </c>
    </row>
    <row r="10" spans="1:99" x14ac:dyDescent="0.2">
      <c r="C10" s="105" t="s">
        <v>176</v>
      </c>
      <c r="D10" s="106">
        <v>4</v>
      </c>
      <c r="E10" s="106">
        <v>2179.1999999999998</v>
      </c>
      <c r="F10" s="106">
        <v>3</v>
      </c>
      <c r="G10" s="106">
        <v>1634.3999999999999</v>
      </c>
      <c r="H10" s="106">
        <v>3</v>
      </c>
      <c r="I10" s="106">
        <v>1634.3999999999999</v>
      </c>
      <c r="J10" s="106">
        <v>2</v>
      </c>
      <c r="K10" s="106">
        <v>1089.5999999999999</v>
      </c>
      <c r="L10" s="106">
        <v>3</v>
      </c>
      <c r="M10" s="106">
        <v>1634.3999999999999</v>
      </c>
      <c r="N10" s="106">
        <v>3</v>
      </c>
      <c r="O10" s="106">
        <v>1634.3999999999999</v>
      </c>
      <c r="P10" s="106">
        <v>3</v>
      </c>
      <c r="Q10" s="106">
        <v>1634.3999999999999</v>
      </c>
      <c r="R10" s="106">
        <v>2</v>
      </c>
      <c r="S10" s="106">
        <v>1089.5999999999999</v>
      </c>
      <c r="T10" s="106">
        <v>6</v>
      </c>
      <c r="U10" s="106">
        <v>3268.7999999999997</v>
      </c>
      <c r="V10" s="106">
        <v>7</v>
      </c>
      <c r="W10" s="106">
        <v>3813.5999999999995</v>
      </c>
      <c r="X10" s="106">
        <v>8</v>
      </c>
      <c r="Y10" s="106">
        <v>4358.3999999999996</v>
      </c>
      <c r="Z10" s="106">
        <v>7</v>
      </c>
      <c r="AA10" s="106">
        <v>3813.5999999999995</v>
      </c>
      <c r="AB10" s="106">
        <v>28</v>
      </c>
      <c r="AC10" s="106">
        <v>15254.399999999998</v>
      </c>
      <c r="AD10" s="106">
        <v>18</v>
      </c>
      <c r="AE10" s="106">
        <v>9806.4</v>
      </c>
      <c r="AF10" s="106">
        <v>30</v>
      </c>
      <c r="AG10" s="106">
        <v>16343.999999999998</v>
      </c>
      <c r="AH10" s="106">
        <v>23</v>
      </c>
      <c r="AI10" s="106">
        <v>12530.4</v>
      </c>
      <c r="AJ10" s="106">
        <v>3</v>
      </c>
      <c r="AK10" s="106">
        <v>1634.3999999999999</v>
      </c>
      <c r="AL10" s="106">
        <v>4</v>
      </c>
      <c r="AM10" s="106">
        <v>2179.1999999999998</v>
      </c>
      <c r="AN10" s="106">
        <v>4</v>
      </c>
      <c r="AO10" s="106">
        <v>2179.1999999999998</v>
      </c>
      <c r="AP10" s="106">
        <v>4</v>
      </c>
      <c r="AQ10" s="106">
        <v>2179.1999999999998</v>
      </c>
      <c r="AR10" s="106">
        <v>8</v>
      </c>
      <c r="AS10" s="106">
        <v>4358.3999999999996</v>
      </c>
      <c r="AT10" s="106">
        <v>13</v>
      </c>
      <c r="AU10" s="106">
        <v>7082.4</v>
      </c>
      <c r="AV10" s="106">
        <v>16</v>
      </c>
      <c r="AW10" s="106">
        <v>8716.7999999999993</v>
      </c>
      <c r="AX10" s="106">
        <v>13</v>
      </c>
      <c r="AY10" s="106">
        <v>7082.4</v>
      </c>
      <c r="AZ10" s="106">
        <v>5</v>
      </c>
      <c r="BA10" s="106">
        <v>2724</v>
      </c>
      <c r="BB10" s="106">
        <v>5</v>
      </c>
      <c r="BC10" s="106">
        <v>2724</v>
      </c>
      <c r="BD10" s="106">
        <v>6</v>
      </c>
      <c r="BE10" s="106">
        <v>3268.7999999999997</v>
      </c>
      <c r="BF10" s="106">
        <v>4</v>
      </c>
      <c r="BG10" s="106">
        <v>2179.1999999999998</v>
      </c>
      <c r="BH10" s="106">
        <v>9</v>
      </c>
      <c r="BI10" s="106">
        <v>4903.2</v>
      </c>
      <c r="BJ10" s="106">
        <v>7</v>
      </c>
      <c r="BK10" s="106">
        <v>3813.5999999999995</v>
      </c>
      <c r="BL10" s="106">
        <v>8</v>
      </c>
      <c r="BM10" s="106">
        <v>4358.3999999999996</v>
      </c>
      <c r="BN10" s="106">
        <v>7</v>
      </c>
      <c r="BO10" s="106">
        <v>3813.5999999999995</v>
      </c>
      <c r="BP10" s="106">
        <v>26</v>
      </c>
      <c r="BQ10" s="106">
        <v>14164.8</v>
      </c>
      <c r="BR10" s="106">
        <v>35</v>
      </c>
      <c r="BS10" s="106">
        <v>19068</v>
      </c>
      <c r="BT10" s="106">
        <v>24</v>
      </c>
      <c r="BU10" s="106">
        <v>13075.199999999999</v>
      </c>
      <c r="BV10" s="106">
        <v>42</v>
      </c>
      <c r="BW10" s="106">
        <v>22881.599999999999</v>
      </c>
      <c r="BX10" s="106">
        <v>4</v>
      </c>
      <c r="BY10" s="106">
        <v>2179.1999999999998</v>
      </c>
      <c r="BZ10" s="106">
        <v>5</v>
      </c>
      <c r="CA10" s="106">
        <v>2724</v>
      </c>
      <c r="CB10" s="106">
        <v>4</v>
      </c>
      <c r="CC10" s="106">
        <v>2179.1999999999998</v>
      </c>
      <c r="CD10" s="106">
        <v>4</v>
      </c>
      <c r="CE10" s="106">
        <v>2179.1999999999998</v>
      </c>
      <c r="CF10" s="106">
        <v>21</v>
      </c>
      <c r="CG10" s="106">
        <v>11440.8</v>
      </c>
      <c r="CH10" s="106">
        <v>26</v>
      </c>
      <c r="CI10" s="106">
        <v>14164.8</v>
      </c>
      <c r="CJ10" s="106">
        <v>23</v>
      </c>
      <c r="CK10" s="106">
        <v>12530.4</v>
      </c>
      <c r="CL10" s="106">
        <v>23</v>
      </c>
      <c r="CM10" s="106">
        <v>12530.4</v>
      </c>
      <c r="CN10" s="106">
        <v>6</v>
      </c>
      <c r="CO10" s="106">
        <v>3268.7999999999997</v>
      </c>
      <c r="CP10" s="106">
        <v>5</v>
      </c>
      <c r="CQ10" s="106">
        <v>2724</v>
      </c>
      <c r="CR10" s="106">
        <v>11</v>
      </c>
      <c r="CS10" s="106">
        <v>5992.7999999999993</v>
      </c>
      <c r="CT10" s="106">
        <v>12</v>
      </c>
      <c r="CU10" s="106">
        <v>6537.5999999999995</v>
      </c>
    </row>
    <row r="11" spans="1:99" x14ac:dyDescent="0.2">
      <c r="C11" s="105" t="s">
        <v>177</v>
      </c>
      <c r="D11" s="106">
        <v>4</v>
      </c>
      <c r="E11" s="106">
        <v>2131.1999999999998</v>
      </c>
      <c r="F11" s="106">
        <v>3</v>
      </c>
      <c r="G11" s="106">
        <v>1598.3999999999999</v>
      </c>
      <c r="H11" s="106">
        <v>3</v>
      </c>
      <c r="I11" s="106">
        <v>1598.3999999999999</v>
      </c>
      <c r="J11" s="106">
        <v>2</v>
      </c>
      <c r="K11" s="106">
        <v>1065.5999999999999</v>
      </c>
      <c r="L11" s="106">
        <v>3</v>
      </c>
      <c r="M11" s="106">
        <v>1598.3999999999999</v>
      </c>
      <c r="N11" s="106">
        <v>3</v>
      </c>
      <c r="O11" s="106">
        <v>1598.3999999999999</v>
      </c>
      <c r="P11" s="106">
        <v>3</v>
      </c>
      <c r="Q11" s="106">
        <v>1598.3999999999999</v>
      </c>
      <c r="R11" s="106">
        <v>2</v>
      </c>
      <c r="S11" s="106">
        <v>1065.5999999999999</v>
      </c>
      <c r="T11" s="106">
        <v>6</v>
      </c>
      <c r="U11" s="106">
        <v>3196.7999999999997</v>
      </c>
      <c r="V11" s="106">
        <v>8</v>
      </c>
      <c r="W11" s="106">
        <v>4262.3999999999996</v>
      </c>
      <c r="X11" s="106">
        <v>7</v>
      </c>
      <c r="Y11" s="106">
        <v>3729.5999999999995</v>
      </c>
      <c r="Z11" s="106">
        <v>8</v>
      </c>
      <c r="AA11" s="106">
        <v>4262.3999999999996</v>
      </c>
      <c r="AB11" s="106">
        <v>27</v>
      </c>
      <c r="AC11" s="106">
        <v>14385.599999999999</v>
      </c>
      <c r="AD11" s="106">
        <v>19</v>
      </c>
      <c r="AE11" s="106">
        <v>10123.199999999999</v>
      </c>
      <c r="AF11" s="106">
        <v>27</v>
      </c>
      <c r="AG11" s="106">
        <v>14385.599999999999</v>
      </c>
      <c r="AH11" s="106">
        <v>26</v>
      </c>
      <c r="AI11" s="106">
        <v>13852.8</v>
      </c>
      <c r="AJ11" s="106">
        <v>3</v>
      </c>
      <c r="AK11" s="106">
        <v>1598.3999999999999</v>
      </c>
      <c r="AL11" s="106">
        <v>4</v>
      </c>
      <c r="AM11" s="106">
        <v>2131.1999999999998</v>
      </c>
      <c r="AN11" s="106">
        <v>4</v>
      </c>
      <c r="AO11" s="106">
        <v>2131.1999999999998</v>
      </c>
      <c r="AP11" s="106">
        <v>4</v>
      </c>
      <c r="AQ11" s="106">
        <v>2131.1999999999998</v>
      </c>
      <c r="AR11" s="106">
        <v>9</v>
      </c>
      <c r="AS11" s="106">
        <v>4795.2</v>
      </c>
      <c r="AT11" s="106">
        <v>14</v>
      </c>
      <c r="AU11" s="106">
        <v>7459.1999999999989</v>
      </c>
      <c r="AV11" s="106">
        <v>14</v>
      </c>
      <c r="AW11" s="106">
        <v>7459.1999999999989</v>
      </c>
      <c r="AX11" s="106">
        <v>13</v>
      </c>
      <c r="AY11" s="106">
        <v>6926.4</v>
      </c>
      <c r="AZ11" s="106">
        <v>5</v>
      </c>
      <c r="BA11" s="106">
        <v>2664</v>
      </c>
      <c r="BB11" s="106">
        <v>5</v>
      </c>
      <c r="BC11" s="106">
        <v>2664</v>
      </c>
      <c r="BD11" s="106">
        <v>6</v>
      </c>
      <c r="BE11" s="106">
        <v>3196.7999999999997</v>
      </c>
      <c r="BF11" s="106">
        <v>4</v>
      </c>
      <c r="BG11" s="106">
        <v>2131.1999999999998</v>
      </c>
      <c r="BH11" s="106">
        <v>8</v>
      </c>
      <c r="BI11" s="106">
        <v>4262.3999999999996</v>
      </c>
      <c r="BJ11" s="106">
        <v>8</v>
      </c>
      <c r="BK11" s="106">
        <v>4262.3999999999996</v>
      </c>
      <c r="BL11" s="106">
        <v>9</v>
      </c>
      <c r="BM11" s="106">
        <v>4795.2</v>
      </c>
      <c r="BN11" s="106">
        <v>8</v>
      </c>
      <c r="BO11" s="106">
        <v>4262.3999999999996</v>
      </c>
      <c r="BP11" s="106">
        <v>24</v>
      </c>
      <c r="BQ11" s="106">
        <v>12787.199999999999</v>
      </c>
      <c r="BR11" s="106">
        <v>33</v>
      </c>
      <c r="BS11" s="106">
        <v>17582.399999999998</v>
      </c>
      <c r="BT11" s="106">
        <v>25</v>
      </c>
      <c r="BU11" s="106">
        <v>13319.999999999998</v>
      </c>
      <c r="BV11" s="106">
        <v>41</v>
      </c>
      <c r="BW11" s="106">
        <v>21844.799999999999</v>
      </c>
      <c r="BX11" s="106">
        <v>5</v>
      </c>
      <c r="BY11" s="106">
        <v>2664</v>
      </c>
      <c r="BZ11" s="106">
        <v>5</v>
      </c>
      <c r="CA11" s="106">
        <v>2664</v>
      </c>
      <c r="CB11" s="106">
        <v>4</v>
      </c>
      <c r="CC11" s="106">
        <v>2131.1999999999998</v>
      </c>
      <c r="CD11" s="106">
        <v>5</v>
      </c>
      <c r="CE11" s="106">
        <v>2664</v>
      </c>
      <c r="CF11" s="106">
        <v>20</v>
      </c>
      <c r="CG11" s="106">
        <v>10656</v>
      </c>
      <c r="CH11" s="106">
        <v>26</v>
      </c>
      <c r="CI11" s="106">
        <v>13852.8</v>
      </c>
      <c r="CJ11" s="106">
        <v>23</v>
      </c>
      <c r="CK11" s="106">
        <v>12254.4</v>
      </c>
      <c r="CL11" s="106">
        <v>23</v>
      </c>
      <c r="CM11" s="106">
        <v>12254.4</v>
      </c>
      <c r="CN11" s="106">
        <v>7</v>
      </c>
      <c r="CO11" s="106">
        <v>3729.5999999999995</v>
      </c>
      <c r="CP11" s="106">
        <v>5</v>
      </c>
      <c r="CQ11" s="106">
        <v>2664</v>
      </c>
      <c r="CR11" s="106">
        <v>11</v>
      </c>
      <c r="CS11" s="106">
        <v>5860.7999999999993</v>
      </c>
      <c r="CT11" s="106">
        <v>11</v>
      </c>
      <c r="CU11" s="106">
        <v>5860.7999999999993</v>
      </c>
    </row>
    <row r="12" spans="1:99" x14ac:dyDescent="0.2">
      <c r="C12" s="105" t="s">
        <v>178</v>
      </c>
      <c r="D12" s="106">
        <v>4</v>
      </c>
      <c r="E12" s="106">
        <v>2251.1999999999998</v>
      </c>
      <c r="F12" s="106">
        <v>3</v>
      </c>
      <c r="G12" s="106">
        <v>1688.3999999999999</v>
      </c>
      <c r="H12" s="106">
        <v>3</v>
      </c>
      <c r="I12" s="106">
        <v>1688.3999999999999</v>
      </c>
      <c r="J12" s="106">
        <v>2</v>
      </c>
      <c r="K12" s="106">
        <v>1125.5999999999999</v>
      </c>
      <c r="L12" s="106">
        <v>3</v>
      </c>
      <c r="M12" s="106">
        <v>1688.3999999999999</v>
      </c>
      <c r="N12" s="106">
        <v>2</v>
      </c>
      <c r="O12" s="106">
        <v>1125.5999999999999</v>
      </c>
      <c r="P12" s="106">
        <v>3</v>
      </c>
      <c r="Q12" s="106">
        <v>1688.3999999999999</v>
      </c>
      <c r="R12" s="106">
        <v>2</v>
      </c>
      <c r="S12" s="106">
        <v>1125.5999999999999</v>
      </c>
      <c r="T12" s="106">
        <v>6</v>
      </c>
      <c r="U12" s="106">
        <v>3376.7999999999997</v>
      </c>
      <c r="V12" s="106">
        <v>7</v>
      </c>
      <c r="W12" s="106">
        <v>3939.5999999999995</v>
      </c>
      <c r="X12" s="106">
        <v>8</v>
      </c>
      <c r="Y12" s="106">
        <v>4502.3999999999996</v>
      </c>
      <c r="Z12" s="106">
        <v>7</v>
      </c>
      <c r="AA12" s="106">
        <v>3939.5999999999995</v>
      </c>
      <c r="AB12" s="106">
        <v>29</v>
      </c>
      <c r="AC12" s="106">
        <v>16321.199999999999</v>
      </c>
      <c r="AD12" s="106">
        <v>19</v>
      </c>
      <c r="AE12" s="106">
        <v>10693.199999999999</v>
      </c>
      <c r="AF12" s="106">
        <v>27</v>
      </c>
      <c r="AG12" s="106">
        <v>15195.599999999999</v>
      </c>
      <c r="AH12" s="106">
        <v>24</v>
      </c>
      <c r="AI12" s="106">
        <v>13507.199999999999</v>
      </c>
      <c r="AJ12" s="106">
        <v>3</v>
      </c>
      <c r="AK12" s="106">
        <v>1688.3999999999999</v>
      </c>
      <c r="AL12" s="106">
        <v>4</v>
      </c>
      <c r="AM12" s="106">
        <v>2251.1999999999998</v>
      </c>
      <c r="AN12" s="106">
        <v>5</v>
      </c>
      <c r="AO12" s="106">
        <v>2814</v>
      </c>
      <c r="AP12" s="106">
        <v>3</v>
      </c>
      <c r="AQ12" s="106">
        <v>1688.3999999999999</v>
      </c>
      <c r="AR12" s="106">
        <v>9</v>
      </c>
      <c r="AS12" s="106">
        <v>5065.2</v>
      </c>
      <c r="AT12" s="106">
        <v>14</v>
      </c>
      <c r="AU12" s="106">
        <v>7879.1999999999989</v>
      </c>
      <c r="AV12" s="106">
        <v>14</v>
      </c>
      <c r="AW12" s="106">
        <v>7879.1999999999989</v>
      </c>
      <c r="AX12" s="106">
        <v>13</v>
      </c>
      <c r="AY12" s="106">
        <v>7316.4</v>
      </c>
      <c r="AZ12" s="106">
        <v>5</v>
      </c>
      <c r="BA12" s="106">
        <v>2814</v>
      </c>
      <c r="BB12" s="106">
        <v>5</v>
      </c>
      <c r="BC12" s="106">
        <v>2814</v>
      </c>
      <c r="BD12" s="106">
        <v>6</v>
      </c>
      <c r="BE12" s="106">
        <v>3376.7999999999997</v>
      </c>
      <c r="BF12" s="106">
        <v>4</v>
      </c>
      <c r="BG12" s="106">
        <v>2251.1999999999998</v>
      </c>
      <c r="BH12" s="106">
        <v>8</v>
      </c>
      <c r="BI12" s="106">
        <v>4502.3999999999996</v>
      </c>
      <c r="BJ12" s="106">
        <v>8</v>
      </c>
      <c r="BK12" s="106">
        <v>4502.3999999999996</v>
      </c>
      <c r="BL12" s="106">
        <v>8</v>
      </c>
      <c r="BM12" s="106">
        <v>4502.3999999999996</v>
      </c>
      <c r="BN12" s="106">
        <v>8</v>
      </c>
      <c r="BO12" s="106">
        <v>4502.3999999999996</v>
      </c>
      <c r="BP12" s="106">
        <v>25</v>
      </c>
      <c r="BQ12" s="106">
        <v>14069.999999999998</v>
      </c>
      <c r="BR12" s="106">
        <v>34</v>
      </c>
      <c r="BS12" s="106">
        <v>19135.199999999997</v>
      </c>
      <c r="BT12" s="106">
        <v>24</v>
      </c>
      <c r="BU12" s="106">
        <v>13507.199999999999</v>
      </c>
      <c r="BV12" s="106">
        <v>36</v>
      </c>
      <c r="BW12" s="106">
        <v>20260.8</v>
      </c>
      <c r="BX12" s="106">
        <v>5</v>
      </c>
      <c r="BY12" s="106">
        <v>2814</v>
      </c>
      <c r="BZ12" s="106">
        <v>5</v>
      </c>
      <c r="CA12" s="106">
        <v>2814</v>
      </c>
      <c r="CB12" s="106">
        <v>3</v>
      </c>
      <c r="CC12" s="106">
        <v>1688.3999999999999</v>
      </c>
      <c r="CD12" s="106">
        <v>5</v>
      </c>
      <c r="CE12" s="106">
        <v>2814</v>
      </c>
      <c r="CF12" s="106">
        <v>23</v>
      </c>
      <c r="CG12" s="106">
        <v>12944.4</v>
      </c>
      <c r="CH12" s="106">
        <v>30</v>
      </c>
      <c r="CI12" s="106">
        <v>16884</v>
      </c>
      <c r="CJ12" s="106">
        <v>22</v>
      </c>
      <c r="CK12" s="106">
        <v>12381.599999999999</v>
      </c>
      <c r="CL12" s="106">
        <v>21</v>
      </c>
      <c r="CM12" s="106">
        <v>11818.8</v>
      </c>
      <c r="CN12" s="106">
        <v>6</v>
      </c>
      <c r="CO12" s="106">
        <v>3376.7999999999997</v>
      </c>
      <c r="CP12" s="106">
        <v>6</v>
      </c>
      <c r="CQ12" s="106">
        <v>3376.7999999999997</v>
      </c>
      <c r="CR12" s="106">
        <v>10</v>
      </c>
      <c r="CS12" s="106">
        <v>5628</v>
      </c>
      <c r="CT12" s="106">
        <v>11</v>
      </c>
      <c r="CU12" s="106">
        <v>6190.7999999999993</v>
      </c>
    </row>
    <row r="13" spans="1:99" x14ac:dyDescent="0.2">
      <c r="C13" s="105" t="s">
        <v>179</v>
      </c>
      <c r="D13" s="106">
        <v>4</v>
      </c>
      <c r="E13" s="106">
        <v>340.8</v>
      </c>
      <c r="F13" s="106">
        <v>3</v>
      </c>
      <c r="G13" s="106">
        <v>255.60000000000002</v>
      </c>
      <c r="H13" s="106">
        <v>3</v>
      </c>
      <c r="I13" s="106">
        <v>255.60000000000002</v>
      </c>
      <c r="J13" s="106">
        <v>3</v>
      </c>
      <c r="K13" s="106">
        <v>255.60000000000002</v>
      </c>
      <c r="L13" s="106">
        <v>3</v>
      </c>
      <c r="M13" s="106">
        <v>255.60000000000002</v>
      </c>
      <c r="N13" s="106">
        <v>3</v>
      </c>
      <c r="O13" s="106">
        <v>255.60000000000002</v>
      </c>
      <c r="P13" s="106">
        <v>3</v>
      </c>
      <c r="Q13" s="106">
        <v>255.60000000000002</v>
      </c>
      <c r="R13" s="106">
        <v>2</v>
      </c>
      <c r="S13" s="106">
        <v>170.4</v>
      </c>
      <c r="T13" s="106">
        <v>6</v>
      </c>
      <c r="U13" s="106">
        <v>511.20000000000005</v>
      </c>
      <c r="V13" s="106">
        <v>8</v>
      </c>
      <c r="W13" s="106">
        <v>681.6</v>
      </c>
      <c r="X13" s="106">
        <v>8</v>
      </c>
      <c r="Y13" s="106">
        <v>681.6</v>
      </c>
      <c r="Z13" s="106">
        <v>8</v>
      </c>
      <c r="AA13" s="106">
        <v>681.6</v>
      </c>
      <c r="AB13" s="106">
        <v>31</v>
      </c>
      <c r="AC13" s="106">
        <v>2641.2000000000003</v>
      </c>
      <c r="AD13" s="106">
        <v>19</v>
      </c>
      <c r="AE13" s="106">
        <v>1618.8</v>
      </c>
      <c r="AF13" s="106">
        <v>33</v>
      </c>
      <c r="AG13" s="106">
        <v>2811.6</v>
      </c>
      <c r="AH13" s="106">
        <v>24</v>
      </c>
      <c r="AI13" s="106">
        <v>2044.8000000000002</v>
      </c>
      <c r="AJ13" s="106">
        <v>3</v>
      </c>
      <c r="AK13" s="106">
        <v>255.60000000000002</v>
      </c>
      <c r="AL13" s="106">
        <v>4</v>
      </c>
      <c r="AM13" s="106">
        <v>340.8</v>
      </c>
      <c r="AN13" s="106">
        <v>4</v>
      </c>
      <c r="AO13" s="106">
        <v>340.8</v>
      </c>
      <c r="AP13" s="106">
        <v>4</v>
      </c>
      <c r="AQ13" s="106">
        <v>340.8</v>
      </c>
      <c r="AR13" s="106">
        <v>8</v>
      </c>
      <c r="AS13" s="106">
        <v>681.6</v>
      </c>
      <c r="AT13" s="106">
        <v>15</v>
      </c>
      <c r="AU13" s="106">
        <v>1278</v>
      </c>
      <c r="AV13" s="106">
        <v>17</v>
      </c>
      <c r="AW13" s="106">
        <v>1448.4</v>
      </c>
      <c r="AX13" s="106">
        <v>13</v>
      </c>
      <c r="AY13" s="106">
        <v>1107.6000000000001</v>
      </c>
      <c r="AZ13" s="106">
        <v>6</v>
      </c>
      <c r="BA13" s="106">
        <v>511.20000000000005</v>
      </c>
      <c r="BB13" s="106">
        <v>5</v>
      </c>
      <c r="BC13" s="106">
        <v>426</v>
      </c>
      <c r="BD13" s="106">
        <v>6</v>
      </c>
      <c r="BE13" s="106">
        <v>511.20000000000005</v>
      </c>
      <c r="BF13" s="106">
        <v>4</v>
      </c>
      <c r="BG13" s="106">
        <v>340.8</v>
      </c>
      <c r="BH13" s="106">
        <v>9</v>
      </c>
      <c r="BI13" s="106">
        <v>766.80000000000007</v>
      </c>
      <c r="BJ13" s="106">
        <v>8</v>
      </c>
      <c r="BK13" s="106">
        <v>681.6</v>
      </c>
      <c r="BL13" s="106">
        <v>8</v>
      </c>
      <c r="BM13" s="106">
        <v>681.6</v>
      </c>
      <c r="BN13" s="106">
        <v>8</v>
      </c>
      <c r="BO13" s="106">
        <v>681.6</v>
      </c>
      <c r="BP13" s="106">
        <v>28</v>
      </c>
      <c r="BQ13" s="106">
        <v>2385.6</v>
      </c>
      <c r="BR13" s="106">
        <v>37</v>
      </c>
      <c r="BS13" s="106">
        <v>3152.4</v>
      </c>
      <c r="BT13" s="106">
        <v>31</v>
      </c>
      <c r="BU13" s="106">
        <v>2641.2000000000003</v>
      </c>
      <c r="BV13" s="106">
        <v>44</v>
      </c>
      <c r="BW13" s="106">
        <v>3748.8</v>
      </c>
      <c r="BX13" s="106">
        <v>5</v>
      </c>
      <c r="BY13" s="106">
        <v>426</v>
      </c>
      <c r="BZ13" s="106">
        <v>5</v>
      </c>
      <c r="CA13" s="106">
        <v>426</v>
      </c>
      <c r="CB13" s="106">
        <v>4</v>
      </c>
      <c r="CC13" s="106">
        <v>340.8</v>
      </c>
      <c r="CD13" s="106">
        <v>5</v>
      </c>
      <c r="CE13" s="106">
        <v>426</v>
      </c>
      <c r="CF13" s="106">
        <v>22</v>
      </c>
      <c r="CG13" s="106">
        <v>1874.4</v>
      </c>
      <c r="CH13" s="106">
        <v>33</v>
      </c>
      <c r="CI13" s="106">
        <v>2811.6</v>
      </c>
      <c r="CJ13" s="106">
        <v>26</v>
      </c>
      <c r="CK13" s="106">
        <v>2215.2000000000003</v>
      </c>
      <c r="CL13" s="106">
        <v>22</v>
      </c>
      <c r="CM13" s="106">
        <v>1874.4</v>
      </c>
      <c r="CN13" s="106">
        <v>6</v>
      </c>
      <c r="CO13" s="106">
        <v>511.20000000000005</v>
      </c>
      <c r="CP13" s="106">
        <v>6</v>
      </c>
      <c r="CQ13" s="106">
        <v>511.20000000000005</v>
      </c>
      <c r="CR13" s="106">
        <v>11</v>
      </c>
      <c r="CS13" s="106">
        <v>937.2</v>
      </c>
      <c r="CT13" s="106">
        <v>12</v>
      </c>
      <c r="CU13" s="106">
        <v>1022.4000000000001</v>
      </c>
    </row>
    <row r="14" spans="1:99" x14ac:dyDescent="0.2">
      <c r="C14" s="105" t="s">
        <v>180</v>
      </c>
      <c r="D14" s="106">
        <v>4</v>
      </c>
      <c r="E14" s="106">
        <v>1953.6</v>
      </c>
      <c r="F14" s="106">
        <v>3</v>
      </c>
      <c r="G14" s="106">
        <v>1465.1999999999998</v>
      </c>
      <c r="H14" s="106">
        <v>3</v>
      </c>
      <c r="I14" s="106">
        <v>1465.1999999999998</v>
      </c>
      <c r="J14" s="106">
        <v>2</v>
      </c>
      <c r="K14" s="106">
        <v>976.8</v>
      </c>
      <c r="L14" s="106">
        <v>3</v>
      </c>
      <c r="M14" s="106">
        <v>1465.1999999999998</v>
      </c>
      <c r="N14" s="106">
        <v>2</v>
      </c>
      <c r="O14" s="106">
        <v>976.8</v>
      </c>
      <c r="P14" s="106">
        <v>3</v>
      </c>
      <c r="Q14" s="106">
        <v>1465.1999999999998</v>
      </c>
      <c r="R14" s="106">
        <v>2</v>
      </c>
      <c r="S14" s="106">
        <v>976.8</v>
      </c>
      <c r="T14" s="106">
        <v>6</v>
      </c>
      <c r="U14" s="106">
        <v>2930.3999999999996</v>
      </c>
      <c r="V14" s="106">
        <v>8</v>
      </c>
      <c r="W14" s="106">
        <v>3907.2</v>
      </c>
      <c r="X14" s="106">
        <v>9</v>
      </c>
      <c r="Y14" s="106">
        <v>4395.5999999999995</v>
      </c>
      <c r="Z14" s="106">
        <v>7</v>
      </c>
      <c r="AA14" s="106">
        <v>3418.7999999999997</v>
      </c>
      <c r="AB14" s="106">
        <v>26</v>
      </c>
      <c r="AC14" s="106">
        <v>12698.4</v>
      </c>
      <c r="AD14" s="106">
        <v>20</v>
      </c>
      <c r="AE14" s="106">
        <v>9768</v>
      </c>
      <c r="AF14" s="106">
        <v>29</v>
      </c>
      <c r="AG14" s="106">
        <v>14163.599999999999</v>
      </c>
      <c r="AH14" s="106">
        <v>26</v>
      </c>
      <c r="AI14" s="106">
        <v>12698.4</v>
      </c>
      <c r="AJ14" s="106">
        <v>3</v>
      </c>
      <c r="AK14" s="106">
        <v>1465.1999999999998</v>
      </c>
      <c r="AL14" s="106">
        <v>4</v>
      </c>
      <c r="AM14" s="106">
        <v>1953.6</v>
      </c>
      <c r="AN14" s="106">
        <v>5</v>
      </c>
      <c r="AO14" s="106">
        <v>2442</v>
      </c>
      <c r="AP14" s="106">
        <v>4</v>
      </c>
      <c r="AQ14" s="106">
        <v>1953.6</v>
      </c>
      <c r="AR14" s="106">
        <v>8</v>
      </c>
      <c r="AS14" s="106">
        <v>3907.2</v>
      </c>
      <c r="AT14" s="106">
        <v>13</v>
      </c>
      <c r="AU14" s="106">
        <v>6349.2</v>
      </c>
      <c r="AV14" s="106">
        <v>15</v>
      </c>
      <c r="AW14" s="106">
        <v>7326</v>
      </c>
      <c r="AX14" s="106">
        <v>14</v>
      </c>
      <c r="AY14" s="106">
        <v>6837.5999999999995</v>
      </c>
      <c r="AZ14" s="106">
        <v>5</v>
      </c>
      <c r="BA14" s="106">
        <v>2442</v>
      </c>
      <c r="BB14" s="106">
        <v>4</v>
      </c>
      <c r="BC14" s="106">
        <v>1953.6</v>
      </c>
      <c r="BD14" s="106">
        <v>6</v>
      </c>
      <c r="BE14" s="106">
        <v>2930.3999999999996</v>
      </c>
      <c r="BF14" s="106">
        <v>4</v>
      </c>
      <c r="BG14" s="106">
        <v>1953.6</v>
      </c>
      <c r="BH14" s="106">
        <v>9</v>
      </c>
      <c r="BI14" s="106">
        <v>4395.5999999999995</v>
      </c>
      <c r="BJ14" s="106">
        <v>8</v>
      </c>
      <c r="BK14" s="106">
        <v>3907.2</v>
      </c>
      <c r="BL14" s="106">
        <v>9</v>
      </c>
      <c r="BM14" s="106">
        <v>4395.5999999999995</v>
      </c>
      <c r="BN14" s="106">
        <v>7</v>
      </c>
      <c r="BO14" s="106">
        <v>3418.7999999999997</v>
      </c>
      <c r="BP14" s="106">
        <v>27</v>
      </c>
      <c r="BQ14" s="106">
        <v>13186.8</v>
      </c>
      <c r="BR14" s="106">
        <v>33</v>
      </c>
      <c r="BS14" s="106">
        <v>16117.199999999999</v>
      </c>
      <c r="BT14" s="106">
        <v>30</v>
      </c>
      <c r="BU14" s="106">
        <v>14652</v>
      </c>
      <c r="BV14" s="106">
        <v>41</v>
      </c>
      <c r="BW14" s="106">
        <v>20024.399999999998</v>
      </c>
      <c r="BX14" s="106">
        <v>4</v>
      </c>
      <c r="BY14" s="106">
        <v>1953.6</v>
      </c>
      <c r="BZ14" s="106">
        <v>5</v>
      </c>
      <c r="CA14" s="106">
        <v>2442</v>
      </c>
      <c r="CB14" s="106">
        <v>4</v>
      </c>
      <c r="CC14" s="106">
        <v>1953.6</v>
      </c>
      <c r="CD14" s="106">
        <v>5</v>
      </c>
      <c r="CE14" s="106">
        <v>2442</v>
      </c>
      <c r="CF14" s="106">
        <v>22</v>
      </c>
      <c r="CG14" s="106">
        <v>10744.8</v>
      </c>
      <c r="CH14" s="106">
        <v>30</v>
      </c>
      <c r="CI14" s="106">
        <v>14652</v>
      </c>
      <c r="CJ14" s="106">
        <v>23</v>
      </c>
      <c r="CK14" s="106">
        <v>11233.199999999999</v>
      </c>
      <c r="CL14" s="106">
        <v>24</v>
      </c>
      <c r="CM14" s="106">
        <v>11721.599999999999</v>
      </c>
      <c r="CN14" s="106">
        <v>7</v>
      </c>
      <c r="CO14" s="106">
        <v>3418.7999999999997</v>
      </c>
      <c r="CP14" s="106">
        <v>6</v>
      </c>
      <c r="CQ14" s="106">
        <v>2930.3999999999996</v>
      </c>
      <c r="CR14" s="106">
        <v>10</v>
      </c>
      <c r="CS14" s="106">
        <v>4884</v>
      </c>
      <c r="CT14" s="106">
        <v>11</v>
      </c>
      <c r="CU14" s="106">
        <v>5372.4</v>
      </c>
    </row>
    <row r="15" spans="1:99" x14ac:dyDescent="0.2">
      <c r="C15" s="105" t="s">
        <v>181</v>
      </c>
      <c r="D15" s="106">
        <v>4</v>
      </c>
      <c r="E15" s="106">
        <v>3052.7999999999997</v>
      </c>
      <c r="F15" s="106">
        <v>3</v>
      </c>
      <c r="G15" s="106">
        <v>2289.6</v>
      </c>
      <c r="H15" s="106">
        <v>3</v>
      </c>
      <c r="I15" s="106">
        <v>2289.6</v>
      </c>
      <c r="J15" s="106">
        <v>2</v>
      </c>
      <c r="K15" s="106">
        <v>1526.3999999999999</v>
      </c>
      <c r="L15" s="106">
        <v>3</v>
      </c>
      <c r="M15" s="106">
        <v>2289.6</v>
      </c>
      <c r="N15" s="106">
        <v>3</v>
      </c>
      <c r="O15" s="106">
        <v>2289.6</v>
      </c>
      <c r="P15" s="106">
        <v>3</v>
      </c>
      <c r="Q15" s="106">
        <v>2289.6</v>
      </c>
      <c r="R15" s="106">
        <v>2</v>
      </c>
      <c r="S15" s="106">
        <v>1526.3999999999999</v>
      </c>
      <c r="T15" s="106">
        <v>6</v>
      </c>
      <c r="U15" s="106">
        <v>4579.2</v>
      </c>
      <c r="V15" s="106">
        <v>8</v>
      </c>
      <c r="W15" s="106">
        <v>6105.5999999999995</v>
      </c>
      <c r="X15" s="106">
        <v>8</v>
      </c>
      <c r="Y15" s="106">
        <v>6105.5999999999995</v>
      </c>
      <c r="Z15" s="106">
        <v>7</v>
      </c>
      <c r="AA15" s="106">
        <v>5342.4</v>
      </c>
      <c r="AB15" s="106">
        <v>29</v>
      </c>
      <c r="AC15" s="106">
        <v>22132.799999999999</v>
      </c>
      <c r="AD15" s="106">
        <v>20</v>
      </c>
      <c r="AE15" s="106">
        <v>15263.999999999998</v>
      </c>
      <c r="AF15" s="106">
        <v>27</v>
      </c>
      <c r="AG15" s="106">
        <v>20606.399999999998</v>
      </c>
      <c r="AH15" s="106">
        <v>25</v>
      </c>
      <c r="AI15" s="106">
        <v>19080</v>
      </c>
      <c r="AJ15" s="106">
        <v>3</v>
      </c>
      <c r="AK15" s="106">
        <v>2289.6</v>
      </c>
      <c r="AL15" s="106">
        <v>4</v>
      </c>
      <c r="AM15" s="106">
        <v>3052.7999999999997</v>
      </c>
      <c r="AN15" s="106">
        <v>4</v>
      </c>
      <c r="AO15" s="106">
        <v>3052.7999999999997</v>
      </c>
      <c r="AP15" s="106">
        <v>4</v>
      </c>
      <c r="AQ15" s="106">
        <v>3052.7999999999997</v>
      </c>
      <c r="AR15" s="106">
        <v>9</v>
      </c>
      <c r="AS15" s="106">
        <v>6868.7999999999993</v>
      </c>
      <c r="AT15" s="106">
        <v>13</v>
      </c>
      <c r="AU15" s="106">
        <v>9921.5999999999985</v>
      </c>
      <c r="AV15" s="106">
        <v>14</v>
      </c>
      <c r="AW15" s="106">
        <v>10684.8</v>
      </c>
      <c r="AX15" s="106">
        <v>13</v>
      </c>
      <c r="AY15" s="106">
        <v>9921.5999999999985</v>
      </c>
      <c r="AZ15" s="106">
        <v>6</v>
      </c>
      <c r="BA15" s="106">
        <v>4579.2</v>
      </c>
      <c r="BB15" s="106">
        <v>4</v>
      </c>
      <c r="BC15" s="106">
        <v>3052.7999999999997</v>
      </c>
      <c r="BD15" s="106">
        <v>6</v>
      </c>
      <c r="BE15" s="106">
        <v>4579.2</v>
      </c>
      <c r="BF15" s="106">
        <v>4</v>
      </c>
      <c r="BG15" s="106">
        <v>3052.7999999999997</v>
      </c>
      <c r="BH15" s="106">
        <v>8</v>
      </c>
      <c r="BI15" s="106">
        <v>6105.5999999999995</v>
      </c>
      <c r="BJ15" s="106">
        <v>8</v>
      </c>
      <c r="BK15" s="106">
        <v>6105.5999999999995</v>
      </c>
      <c r="BL15" s="106">
        <v>7</v>
      </c>
      <c r="BM15" s="106">
        <v>5342.4</v>
      </c>
      <c r="BN15" s="106">
        <v>7</v>
      </c>
      <c r="BO15" s="106">
        <v>5342.4</v>
      </c>
      <c r="BP15" s="106">
        <v>24</v>
      </c>
      <c r="BQ15" s="106">
        <v>18316.8</v>
      </c>
      <c r="BR15" s="106">
        <v>33</v>
      </c>
      <c r="BS15" s="106">
        <v>25185.599999999999</v>
      </c>
      <c r="BT15" s="106">
        <v>26</v>
      </c>
      <c r="BU15" s="106">
        <v>19843.199999999997</v>
      </c>
      <c r="BV15" s="106">
        <v>34</v>
      </c>
      <c r="BW15" s="106">
        <v>25948.799999999999</v>
      </c>
      <c r="BX15" s="106">
        <v>4</v>
      </c>
      <c r="BY15" s="106">
        <v>3052.7999999999997</v>
      </c>
      <c r="BZ15" s="106">
        <v>5</v>
      </c>
      <c r="CA15" s="106">
        <v>3815.9999999999995</v>
      </c>
      <c r="CB15" s="106">
        <v>3</v>
      </c>
      <c r="CC15" s="106">
        <v>2289.6</v>
      </c>
      <c r="CD15" s="106">
        <v>5</v>
      </c>
      <c r="CE15" s="106">
        <v>3815.9999999999995</v>
      </c>
      <c r="CF15" s="106">
        <v>22</v>
      </c>
      <c r="CG15" s="106">
        <v>16790.399999999998</v>
      </c>
      <c r="CH15" s="106">
        <v>27</v>
      </c>
      <c r="CI15" s="106">
        <v>20606.399999999998</v>
      </c>
      <c r="CJ15" s="106">
        <v>23</v>
      </c>
      <c r="CK15" s="106">
        <v>17553.599999999999</v>
      </c>
      <c r="CL15" s="106">
        <v>19</v>
      </c>
      <c r="CM15" s="106">
        <v>14500.8</v>
      </c>
      <c r="CN15" s="106">
        <v>6</v>
      </c>
      <c r="CO15" s="106">
        <v>4579.2</v>
      </c>
      <c r="CP15" s="106">
        <v>5</v>
      </c>
      <c r="CQ15" s="106">
        <v>3815.9999999999995</v>
      </c>
      <c r="CR15" s="106">
        <v>10</v>
      </c>
      <c r="CS15" s="106">
        <v>7631.9999999999991</v>
      </c>
      <c r="CT15" s="106">
        <v>11</v>
      </c>
      <c r="CU15" s="106">
        <v>8395.1999999999989</v>
      </c>
    </row>
    <row r="16" spans="1:99" x14ac:dyDescent="0.2">
      <c r="C16" s="105" t="s">
        <v>182</v>
      </c>
      <c r="D16" s="106">
        <v>4</v>
      </c>
      <c r="E16" s="106">
        <v>1363.2</v>
      </c>
      <c r="F16" s="106">
        <v>4</v>
      </c>
      <c r="G16" s="106">
        <v>1363.2</v>
      </c>
      <c r="H16" s="106">
        <v>3</v>
      </c>
      <c r="I16" s="106">
        <v>1022.4000000000001</v>
      </c>
      <c r="J16" s="106">
        <v>2</v>
      </c>
      <c r="K16" s="106">
        <v>681.6</v>
      </c>
      <c r="L16" s="106">
        <v>3</v>
      </c>
      <c r="M16" s="106">
        <v>1022.4000000000001</v>
      </c>
      <c r="N16" s="106">
        <v>3</v>
      </c>
      <c r="O16" s="106">
        <v>1022.4000000000001</v>
      </c>
      <c r="P16" s="106">
        <v>3</v>
      </c>
      <c r="Q16" s="106">
        <v>1022.4000000000001</v>
      </c>
      <c r="R16" s="106">
        <v>2</v>
      </c>
      <c r="S16" s="106">
        <v>681.6</v>
      </c>
      <c r="T16" s="106">
        <v>7</v>
      </c>
      <c r="U16" s="106">
        <v>2385.6</v>
      </c>
      <c r="V16" s="106">
        <v>9</v>
      </c>
      <c r="W16" s="106">
        <v>3067.2000000000003</v>
      </c>
      <c r="X16" s="106">
        <v>8</v>
      </c>
      <c r="Y16" s="106">
        <v>2726.4</v>
      </c>
      <c r="Z16" s="106">
        <v>8</v>
      </c>
      <c r="AA16" s="106">
        <v>2726.4</v>
      </c>
      <c r="AB16" s="106">
        <v>29</v>
      </c>
      <c r="AC16" s="106">
        <v>9883.2000000000007</v>
      </c>
      <c r="AD16" s="106">
        <v>19</v>
      </c>
      <c r="AE16" s="106">
        <v>6475.2</v>
      </c>
      <c r="AF16" s="106">
        <v>31</v>
      </c>
      <c r="AG16" s="106">
        <v>10564.800000000001</v>
      </c>
      <c r="AH16" s="106">
        <v>22</v>
      </c>
      <c r="AI16" s="106">
        <v>7497.6</v>
      </c>
      <c r="AJ16" s="106">
        <v>3</v>
      </c>
      <c r="AK16" s="106">
        <v>1022.4000000000001</v>
      </c>
      <c r="AL16" s="106">
        <v>4</v>
      </c>
      <c r="AM16" s="106">
        <v>1363.2</v>
      </c>
      <c r="AN16" s="106">
        <v>4</v>
      </c>
      <c r="AO16" s="106">
        <v>1363.2</v>
      </c>
      <c r="AP16" s="106">
        <v>4</v>
      </c>
      <c r="AQ16" s="106">
        <v>1363.2</v>
      </c>
      <c r="AR16" s="106">
        <v>9</v>
      </c>
      <c r="AS16" s="106">
        <v>3067.2000000000003</v>
      </c>
      <c r="AT16" s="106">
        <v>13</v>
      </c>
      <c r="AU16" s="106">
        <v>4430.4000000000005</v>
      </c>
      <c r="AV16" s="106">
        <v>15</v>
      </c>
      <c r="AW16" s="106">
        <v>5112</v>
      </c>
      <c r="AX16" s="106">
        <v>15</v>
      </c>
      <c r="AY16" s="106">
        <v>5112</v>
      </c>
      <c r="AZ16" s="106">
        <v>6</v>
      </c>
      <c r="BA16" s="106">
        <v>2044.8000000000002</v>
      </c>
      <c r="BB16" s="106">
        <v>5</v>
      </c>
      <c r="BC16" s="106">
        <v>1704</v>
      </c>
      <c r="BD16" s="106">
        <v>6</v>
      </c>
      <c r="BE16" s="106">
        <v>2044.8000000000002</v>
      </c>
      <c r="BF16" s="106">
        <v>4</v>
      </c>
      <c r="BG16" s="106">
        <v>1363.2</v>
      </c>
      <c r="BH16" s="106">
        <v>7</v>
      </c>
      <c r="BI16" s="106">
        <v>2385.6</v>
      </c>
      <c r="BJ16" s="106">
        <v>9</v>
      </c>
      <c r="BK16" s="106">
        <v>3067.2000000000003</v>
      </c>
      <c r="BL16" s="106">
        <v>8</v>
      </c>
      <c r="BM16" s="106">
        <v>2726.4</v>
      </c>
      <c r="BN16" s="106">
        <v>8</v>
      </c>
      <c r="BO16" s="106">
        <v>2726.4</v>
      </c>
      <c r="BP16" s="106">
        <v>27</v>
      </c>
      <c r="BQ16" s="106">
        <v>9201.6</v>
      </c>
      <c r="BR16" s="106">
        <v>37</v>
      </c>
      <c r="BS16" s="106">
        <v>12609.6</v>
      </c>
      <c r="BT16" s="106">
        <v>26</v>
      </c>
      <c r="BU16" s="106">
        <v>8860.8000000000011</v>
      </c>
      <c r="BV16" s="106">
        <v>43</v>
      </c>
      <c r="BW16" s="106">
        <v>14654.4</v>
      </c>
      <c r="BX16" s="106">
        <v>4</v>
      </c>
      <c r="BY16" s="106">
        <v>1363.2</v>
      </c>
      <c r="BZ16" s="106">
        <v>5</v>
      </c>
      <c r="CA16" s="106">
        <v>1704</v>
      </c>
      <c r="CB16" s="106">
        <v>3</v>
      </c>
      <c r="CC16" s="106">
        <v>1022.4000000000001</v>
      </c>
      <c r="CD16" s="106">
        <v>5</v>
      </c>
      <c r="CE16" s="106">
        <v>1704</v>
      </c>
      <c r="CF16" s="106">
        <v>22</v>
      </c>
      <c r="CG16" s="106">
        <v>7497.6</v>
      </c>
      <c r="CH16" s="106">
        <v>27</v>
      </c>
      <c r="CI16" s="106">
        <v>9201.6</v>
      </c>
      <c r="CJ16" s="106">
        <v>21</v>
      </c>
      <c r="CK16" s="106">
        <v>7156.8</v>
      </c>
      <c r="CL16" s="106">
        <v>22</v>
      </c>
      <c r="CM16" s="106">
        <v>7497.6</v>
      </c>
      <c r="CN16" s="106">
        <v>6</v>
      </c>
      <c r="CO16" s="106">
        <v>2044.8000000000002</v>
      </c>
      <c r="CP16" s="106">
        <v>7</v>
      </c>
      <c r="CQ16" s="106">
        <v>2385.6</v>
      </c>
      <c r="CR16" s="106">
        <v>11</v>
      </c>
      <c r="CS16" s="106">
        <v>3748.8</v>
      </c>
      <c r="CT16" s="106">
        <v>11</v>
      </c>
      <c r="CU16" s="106">
        <v>3748.8</v>
      </c>
    </row>
    <row r="17" spans="2:99" x14ac:dyDescent="0.2">
      <c r="C17" s="105" t="s">
        <v>183</v>
      </c>
      <c r="D17" s="106">
        <v>4</v>
      </c>
      <c r="E17" s="106">
        <v>1689.6</v>
      </c>
      <c r="F17" s="106">
        <v>3</v>
      </c>
      <c r="G17" s="106">
        <v>1267.1999999999998</v>
      </c>
      <c r="H17" s="106">
        <v>3</v>
      </c>
      <c r="I17" s="106">
        <v>1267.1999999999998</v>
      </c>
      <c r="J17" s="106">
        <v>2</v>
      </c>
      <c r="K17" s="106">
        <v>844.8</v>
      </c>
      <c r="L17" s="106">
        <v>3</v>
      </c>
      <c r="M17" s="106">
        <v>1267.1999999999998</v>
      </c>
      <c r="N17" s="106">
        <v>3</v>
      </c>
      <c r="O17" s="106">
        <v>1267.1999999999998</v>
      </c>
      <c r="P17" s="106">
        <v>3</v>
      </c>
      <c r="Q17" s="106">
        <v>1267.1999999999998</v>
      </c>
      <c r="R17" s="106">
        <v>2</v>
      </c>
      <c r="S17" s="106">
        <v>844.8</v>
      </c>
      <c r="T17" s="106">
        <v>6</v>
      </c>
      <c r="U17" s="106">
        <v>2534.3999999999996</v>
      </c>
      <c r="V17" s="106">
        <v>7</v>
      </c>
      <c r="W17" s="106">
        <v>2956.7999999999997</v>
      </c>
      <c r="X17" s="106">
        <v>8</v>
      </c>
      <c r="Y17" s="106">
        <v>3379.2</v>
      </c>
      <c r="Z17" s="106">
        <v>7</v>
      </c>
      <c r="AA17" s="106">
        <v>2956.7999999999997</v>
      </c>
      <c r="AB17" s="106">
        <v>30</v>
      </c>
      <c r="AC17" s="106">
        <v>12672</v>
      </c>
      <c r="AD17" s="106">
        <v>21</v>
      </c>
      <c r="AE17" s="106">
        <v>8870.4</v>
      </c>
      <c r="AF17" s="106">
        <v>30</v>
      </c>
      <c r="AG17" s="106">
        <v>12672</v>
      </c>
      <c r="AH17" s="106">
        <v>25</v>
      </c>
      <c r="AI17" s="106">
        <v>10560</v>
      </c>
      <c r="AJ17" s="106">
        <v>3</v>
      </c>
      <c r="AK17" s="106">
        <v>1267.1999999999998</v>
      </c>
      <c r="AL17" s="106">
        <v>4</v>
      </c>
      <c r="AM17" s="106">
        <v>1689.6</v>
      </c>
      <c r="AN17" s="106">
        <v>5</v>
      </c>
      <c r="AO17" s="106">
        <v>2112</v>
      </c>
      <c r="AP17" s="106">
        <v>4</v>
      </c>
      <c r="AQ17" s="106">
        <v>1689.6</v>
      </c>
      <c r="AR17" s="106">
        <v>9</v>
      </c>
      <c r="AS17" s="106">
        <v>3801.6</v>
      </c>
      <c r="AT17" s="106">
        <v>13</v>
      </c>
      <c r="AU17" s="106">
        <v>5491.2</v>
      </c>
      <c r="AV17" s="106">
        <v>15</v>
      </c>
      <c r="AW17" s="106">
        <v>6336</v>
      </c>
      <c r="AX17" s="106">
        <v>13</v>
      </c>
      <c r="AY17" s="106">
        <v>5491.2</v>
      </c>
      <c r="AZ17" s="106">
        <v>5</v>
      </c>
      <c r="BA17" s="106">
        <v>2112</v>
      </c>
      <c r="BB17" s="106">
        <v>4</v>
      </c>
      <c r="BC17" s="106">
        <v>1689.6</v>
      </c>
      <c r="BD17" s="106">
        <v>6</v>
      </c>
      <c r="BE17" s="106">
        <v>2534.3999999999996</v>
      </c>
      <c r="BF17" s="106">
        <v>4</v>
      </c>
      <c r="BG17" s="106">
        <v>1689.6</v>
      </c>
      <c r="BH17" s="106">
        <v>8</v>
      </c>
      <c r="BI17" s="106">
        <v>3379.2</v>
      </c>
      <c r="BJ17" s="106">
        <v>8</v>
      </c>
      <c r="BK17" s="106">
        <v>3379.2</v>
      </c>
      <c r="BL17" s="106">
        <v>9</v>
      </c>
      <c r="BM17" s="106">
        <v>3801.6</v>
      </c>
      <c r="BN17" s="106">
        <v>8</v>
      </c>
      <c r="BO17" s="106">
        <v>3379.2</v>
      </c>
      <c r="BP17" s="106">
        <v>25</v>
      </c>
      <c r="BQ17" s="106">
        <v>10560</v>
      </c>
      <c r="BR17" s="106">
        <v>34</v>
      </c>
      <c r="BS17" s="106">
        <v>14361.599999999999</v>
      </c>
      <c r="BT17" s="106">
        <v>25</v>
      </c>
      <c r="BU17" s="106">
        <v>10560</v>
      </c>
      <c r="BV17" s="106">
        <v>38</v>
      </c>
      <c r="BW17" s="106">
        <v>16051.199999999999</v>
      </c>
      <c r="BX17" s="106">
        <v>5</v>
      </c>
      <c r="BY17" s="106">
        <v>2112</v>
      </c>
      <c r="BZ17" s="106">
        <v>5</v>
      </c>
      <c r="CA17" s="106">
        <v>2112</v>
      </c>
      <c r="CB17" s="106">
        <v>3</v>
      </c>
      <c r="CC17" s="106">
        <v>1267.1999999999998</v>
      </c>
      <c r="CD17" s="106">
        <v>5</v>
      </c>
      <c r="CE17" s="106">
        <v>2112</v>
      </c>
      <c r="CF17" s="106">
        <v>23</v>
      </c>
      <c r="CG17" s="106">
        <v>9715.1999999999989</v>
      </c>
      <c r="CH17" s="106">
        <v>29</v>
      </c>
      <c r="CI17" s="106">
        <v>12249.599999999999</v>
      </c>
      <c r="CJ17" s="106">
        <v>23</v>
      </c>
      <c r="CK17" s="106">
        <v>9715.1999999999989</v>
      </c>
      <c r="CL17" s="106">
        <v>20</v>
      </c>
      <c r="CM17" s="106">
        <v>8448</v>
      </c>
      <c r="CN17" s="106">
        <v>7</v>
      </c>
      <c r="CO17" s="106">
        <v>2956.7999999999997</v>
      </c>
      <c r="CP17" s="106">
        <v>5</v>
      </c>
      <c r="CQ17" s="106">
        <v>2112</v>
      </c>
      <c r="CR17" s="106">
        <v>10</v>
      </c>
      <c r="CS17" s="106">
        <v>4224</v>
      </c>
      <c r="CT17" s="106">
        <v>12</v>
      </c>
      <c r="CU17" s="106">
        <v>5068.7999999999993</v>
      </c>
    </row>
    <row r="18" spans="2:99" x14ac:dyDescent="0.2">
      <c r="C18" s="105" t="s">
        <v>184</v>
      </c>
      <c r="D18" s="106">
        <v>4</v>
      </c>
      <c r="E18" s="106">
        <v>2611.1999999999998</v>
      </c>
      <c r="F18" s="106">
        <v>3</v>
      </c>
      <c r="G18" s="106">
        <v>1958.3999999999999</v>
      </c>
      <c r="H18" s="106">
        <v>3</v>
      </c>
      <c r="I18" s="106">
        <v>1958.3999999999999</v>
      </c>
      <c r="J18" s="106">
        <v>2</v>
      </c>
      <c r="K18" s="106">
        <v>1305.5999999999999</v>
      </c>
      <c r="L18" s="106">
        <v>3</v>
      </c>
      <c r="M18" s="106">
        <v>1958.3999999999999</v>
      </c>
      <c r="N18" s="106">
        <v>3</v>
      </c>
      <c r="O18" s="106">
        <v>1958.3999999999999</v>
      </c>
      <c r="P18" s="106">
        <v>3</v>
      </c>
      <c r="Q18" s="106">
        <v>1958.3999999999999</v>
      </c>
      <c r="R18" s="106">
        <v>2</v>
      </c>
      <c r="S18" s="106">
        <v>1305.5999999999999</v>
      </c>
      <c r="T18" s="106">
        <v>6</v>
      </c>
      <c r="U18" s="106">
        <v>3916.7999999999997</v>
      </c>
      <c r="V18" s="106">
        <v>7</v>
      </c>
      <c r="W18" s="106">
        <v>4569.5999999999995</v>
      </c>
      <c r="X18" s="106">
        <v>8</v>
      </c>
      <c r="Y18" s="106">
        <v>5222.3999999999996</v>
      </c>
      <c r="Z18" s="106">
        <v>8</v>
      </c>
      <c r="AA18" s="106">
        <v>5222.3999999999996</v>
      </c>
      <c r="AB18" s="106">
        <v>29</v>
      </c>
      <c r="AC18" s="106">
        <v>18931.199999999997</v>
      </c>
      <c r="AD18" s="106">
        <v>19</v>
      </c>
      <c r="AE18" s="106">
        <v>12403.199999999999</v>
      </c>
      <c r="AF18" s="106">
        <v>30</v>
      </c>
      <c r="AG18" s="106">
        <v>19584</v>
      </c>
      <c r="AH18" s="106">
        <v>25</v>
      </c>
      <c r="AI18" s="106">
        <v>16319.999999999998</v>
      </c>
      <c r="AJ18" s="106">
        <v>3</v>
      </c>
      <c r="AK18" s="106">
        <v>1958.3999999999999</v>
      </c>
      <c r="AL18" s="106">
        <v>4</v>
      </c>
      <c r="AM18" s="106">
        <v>2611.1999999999998</v>
      </c>
      <c r="AN18" s="106">
        <v>4</v>
      </c>
      <c r="AO18" s="106">
        <v>2611.1999999999998</v>
      </c>
      <c r="AP18" s="106">
        <v>3</v>
      </c>
      <c r="AQ18" s="106">
        <v>1958.3999999999999</v>
      </c>
      <c r="AR18" s="106">
        <v>9</v>
      </c>
      <c r="AS18" s="106">
        <v>5875.2</v>
      </c>
      <c r="AT18" s="106">
        <v>13</v>
      </c>
      <c r="AU18" s="106">
        <v>8486.4</v>
      </c>
      <c r="AV18" s="106">
        <v>14</v>
      </c>
      <c r="AW18" s="106">
        <v>9139.1999999999989</v>
      </c>
      <c r="AX18" s="106">
        <v>12</v>
      </c>
      <c r="AY18" s="106">
        <v>7833.5999999999995</v>
      </c>
      <c r="AZ18" s="106">
        <v>6</v>
      </c>
      <c r="BA18" s="106">
        <v>3916.7999999999997</v>
      </c>
      <c r="BB18" s="106">
        <v>5</v>
      </c>
      <c r="BC18" s="106">
        <v>3264</v>
      </c>
      <c r="BD18" s="106">
        <v>6</v>
      </c>
      <c r="BE18" s="106">
        <v>3916.7999999999997</v>
      </c>
      <c r="BF18" s="106">
        <v>4</v>
      </c>
      <c r="BG18" s="106">
        <v>2611.1999999999998</v>
      </c>
      <c r="BH18" s="106">
        <v>8</v>
      </c>
      <c r="BI18" s="106">
        <v>5222.3999999999996</v>
      </c>
      <c r="BJ18" s="106">
        <v>8</v>
      </c>
      <c r="BK18" s="106">
        <v>5222.3999999999996</v>
      </c>
      <c r="BL18" s="106">
        <v>8</v>
      </c>
      <c r="BM18" s="106">
        <v>5222.3999999999996</v>
      </c>
      <c r="BN18" s="106">
        <v>8</v>
      </c>
      <c r="BO18" s="106">
        <v>5222.3999999999996</v>
      </c>
      <c r="BP18" s="106">
        <v>24</v>
      </c>
      <c r="BQ18" s="106">
        <v>15667.199999999999</v>
      </c>
      <c r="BR18" s="106">
        <v>35</v>
      </c>
      <c r="BS18" s="106">
        <v>22848</v>
      </c>
      <c r="BT18" s="106">
        <v>28</v>
      </c>
      <c r="BU18" s="106">
        <v>18278.399999999998</v>
      </c>
      <c r="BV18" s="106">
        <v>36</v>
      </c>
      <c r="BW18" s="106">
        <v>23500.799999999999</v>
      </c>
      <c r="BX18" s="106">
        <v>5</v>
      </c>
      <c r="BY18" s="106">
        <v>3264</v>
      </c>
      <c r="BZ18" s="106">
        <v>5</v>
      </c>
      <c r="CA18" s="106">
        <v>3264</v>
      </c>
      <c r="CB18" s="106">
        <v>3</v>
      </c>
      <c r="CC18" s="106">
        <v>1958.3999999999999</v>
      </c>
      <c r="CD18" s="106">
        <v>4</v>
      </c>
      <c r="CE18" s="106">
        <v>2611.1999999999998</v>
      </c>
      <c r="CF18" s="106">
        <v>21</v>
      </c>
      <c r="CG18" s="106">
        <v>13708.8</v>
      </c>
      <c r="CH18" s="106">
        <v>27</v>
      </c>
      <c r="CI18" s="106">
        <v>17625.599999999999</v>
      </c>
      <c r="CJ18" s="106">
        <v>24</v>
      </c>
      <c r="CK18" s="106">
        <v>15667.199999999999</v>
      </c>
      <c r="CL18" s="106">
        <v>21</v>
      </c>
      <c r="CM18" s="106">
        <v>13708.8</v>
      </c>
      <c r="CN18" s="106">
        <v>6</v>
      </c>
      <c r="CO18" s="106">
        <v>3916.7999999999997</v>
      </c>
      <c r="CP18" s="106">
        <v>6</v>
      </c>
      <c r="CQ18" s="106">
        <v>3916.7999999999997</v>
      </c>
      <c r="CR18" s="106">
        <v>11</v>
      </c>
      <c r="CS18" s="106">
        <v>7180.7999999999993</v>
      </c>
      <c r="CT18" s="106">
        <v>11</v>
      </c>
      <c r="CU18" s="106">
        <v>7180.7999999999993</v>
      </c>
    </row>
    <row r="19" spans="2:99" x14ac:dyDescent="0.2">
      <c r="C19" s="105" t="s">
        <v>185</v>
      </c>
      <c r="D19" s="106">
        <v>4</v>
      </c>
      <c r="E19" s="106">
        <v>1320</v>
      </c>
      <c r="F19" s="106">
        <v>3</v>
      </c>
      <c r="G19" s="106">
        <v>990</v>
      </c>
      <c r="H19" s="106">
        <v>3</v>
      </c>
      <c r="I19" s="106">
        <v>990</v>
      </c>
      <c r="J19" s="106">
        <v>2</v>
      </c>
      <c r="K19" s="106">
        <v>660</v>
      </c>
      <c r="L19" s="106">
        <v>3</v>
      </c>
      <c r="M19" s="106">
        <v>990</v>
      </c>
      <c r="N19" s="106">
        <v>3</v>
      </c>
      <c r="O19" s="106">
        <v>990</v>
      </c>
      <c r="P19" s="106">
        <v>3</v>
      </c>
      <c r="Q19" s="106">
        <v>990</v>
      </c>
      <c r="R19" s="106">
        <v>2</v>
      </c>
      <c r="S19" s="106">
        <v>660</v>
      </c>
      <c r="T19" s="106">
        <v>7</v>
      </c>
      <c r="U19" s="106">
        <v>2310</v>
      </c>
      <c r="V19" s="106">
        <v>9</v>
      </c>
      <c r="W19" s="106">
        <v>2970</v>
      </c>
      <c r="X19" s="106">
        <v>7</v>
      </c>
      <c r="Y19" s="106">
        <v>2310</v>
      </c>
      <c r="Z19" s="106">
        <v>7</v>
      </c>
      <c r="AA19" s="106">
        <v>2310</v>
      </c>
      <c r="AB19" s="106">
        <v>31</v>
      </c>
      <c r="AC19" s="106">
        <v>10230</v>
      </c>
      <c r="AD19" s="106">
        <v>21</v>
      </c>
      <c r="AE19" s="106">
        <v>6930</v>
      </c>
      <c r="AF19" s="106">
        <v>33</v>
      </c>
      <c r="AG19" s="106">
        <v>10890</v>
      </c>
      <c r="AH19" s="106">
        <v>23</v>
      </c>
      <c r="AI19" s="106">
        <v>7590</v>
      </c>
      <c r="AJ19" s="106">
        <v>3</v>
      </c>
      <c r="AK19" s="106">
        <v>990</v>
      </c>
      <c r="AL19" s="106">
        <v>4</v>
      </c>
      <c r="AM19" s="106">
        <v>1320</v>
      </c>
      <c r="AN19" s="106">
        <v>4</v>
      </c>
      <c r="AO19" s="106">
        <v>1320</v>
      </c>
      <c r="AP19" s="106">
        <v>4</v>
      </c>
      <c r="AQ19" s="106">
        <v>1320</v>
      </c>
      <c r="AR19" s="106">
        <v>9</v>
      </c>
      <c r="AS19" s="106">
        <v>2970</v>
      </c>
      <c r="AT19" s="106">
        <v>14</v>
      </c>
      <c r="AU19" s="106">
        <v>4620</v>
      </c>
      <c r="AV19" s="106">
        <v>14</v>
      </c>
      <c r="AW19" s="106">
        <v>4620</v>
      </c>
      <c r="AX19" s="106">
        <v>13</v>
      </c>
      <c r="AY19" s="106">
        <v>4290</v>
      </c>
      <c r="AZ19" s="106">
        <v>5</v>
      </c>
      <c r="BA19" s="106">
        <v>1650</v>
      </c>
      <c r="BB19" s="106">
        <v>4</v>
      </c>
      <c r="BC19" s="106">
        <v>1320</v>
      </c>
      <c r="BD19" s="106">
        <v>6</v>
      </c>
      <c r="BE19" s="106">
        <v>1980</v>
      </c>
      <c r="BF19" s="106">
        <v>4</v>
      </c>
      <c r="BG19" s="106">
        <v>1320</v>
      </c>
      <c r="BH19" s="106">
        <v>8</v>
      </c>
      <c r="BI19" s="106">
        <v>2640</v>
      </c>
      <c r="BJ19" s="106">
        <v>9</v>
      </c>
      <c r="BK19" s="106">
        <v>2970</v>
      </c>
      <c r="BL19" s="106">
        <v>9</v>
      </c>
      <c r="BM19" s="106">
        <v>2970</v>
      </c>
      <c r="BN19" s="106">
        <v>7</v>
      </c>
      <c r="BO19" s="106">
        <v>2310</v>
      </c>
      <c r="BP19" s="106">
        <v>27</v>
      </c>
      <c r="BQ19" s="106">
        <v>8910</v>
      </c>
      <c r="BR19" s="106">
        <v>31</v>
      </c>
      <c r="BS19" s="106">
        <v>10230</v>
      </c>
      <c r="BT19" s="106">
        <v>28</v>
      </c>
      <c r="BU19" s="106">
        <v>9240</v>
      </c>
      <c r="BV19" s="106">
        <v>41</v>
      </c>
      <c r="BW19" s="106">
        <v>13530</v>
      </c>
      <c r="BX19" s="106">
        <v>4</v>
      </c>
      <c r="BY19" s="106">
        <v>1320</v>
      </c>
      <c r="BZ19" s="106">
        <v>4</v>
      </c>
      <c r="CA19" s="106">
        <v>1320</v>
      </c>
      <c r="CB19" s="106">
        <v>3</v>
      </c>
      <c r="CC19" s="106">
        <v>990</v>
      </c>
      <c r="CD19" s="106">
        <v>5</v>
      </c>
      <c r="CE19" s="106">
        <v>1650</v>
      </c>
      <c r="CF19" s="106">
        <v>24</v>
      </c>
      <c r="CG19" s="106">
        <v>7920</v>
      </c>
      <c r="CH19" s="106">
        <v>29</v>
      </c>
      <c r="CI19" s="106">
        <v>9570</v>
      </c>
      <c r="CJ19" s="106">
        <v>22</v>
      </c>
      <c r="CK19" s="106">
        <v>7260</v>
      </c>
      <c r="CL19" s="106">
        <v>23</v>
      </c>
      <c r="CM19" s="106">
        <v>7590</v>
      </c>
      <c r="CN19" s="106">
        <v>6</v>
      </c>
      <c r="CO19" s="106">
        <v>1980</v>
      </c>
      <c r="CP19" s="106">
        <v>7</v>
      </c>
      <c r="CQ19" s="106">
        <v>2310</v>
      </c>
      <c r="CR19" s="106">
        <v>10</v>
      </c>
      <c r="CS19" s="106">
        <v>3300</v>
      </c>
      <c r="CT19" s="106">
        <v>11</v>
      </c>
      <c r="CU19" s="106">
        <v>3630</v>
      </c>
    </row>
    <row r="20" spans="2:99" x14ac:dyDescent="0.2">
      <c r="B20" s="105" t="s">
        <v>127</v>
      </c>
      <c r="C20" s="105" t="s">
        <v>186</v>
      </c>
      <c r="D20" s="106">
        <v>3</v>
      </c>
      <c r="E20" s="106">
        <v>860.40000000000009</v>
      </c>
      <c r="F20" s="106">
        <v>2</v>
      </c>
      <c r="G20" s="106">
        <v>573.6</v>
      </c>
      <c r="H20" s="106">
        <v>2</v>
      </c>
      <c r="I20" s="106">
        <v>573.6</v>
      </c>
      <c r="J20" s="106">
        <v>3</v>
      </c>
      <c r="K20" s="106">
        <v>860.40000000000009</v>
      </c>
      <c r="L20" s="106">
        <v>13</v>
      </c>
      <c r="M20" s="106">
        <v>3728.4</v>
      </c>
      <c r="N20" s="106">
        <v>18</v>
      </c>
      <c r="O20" s="106">
        <v>5162.4000000000005</v>
      </c>
      <c r="P20" s="106">
        <v>18</v>
      </c>
      <c r="Q20" s="106">
        <v>5162.4000000000005</v>
      </c>
      <c r="R20" s="106">
        <v>21</v>
      </c>
      <c r="S20" s="106">
        <v>6022.8</v>
      </c>
      <c r="T20" s="106">
        <v>3</v>
      </c>
      <c r="U20" s="106">
        <v>860.40000000000009</v>
      </c>
      <c r="V20" s="106">
        <v>3</v>
      </c>
      <c r="W20" s="106">
        <v>860.40000000000009</v>
      </c>
      <c r="X20" s="106">
        <v>3</v>
      </c>
      <c r="Y20" s="106">
        <v>860.40000000000009</v>
      </c>
      <c r="Z20" s="106">
        <v>4</v>
      </c>
      <c r="AA20" s="106">
        <v>1147.2</v>
      </c>
      <c r="AB20" s="106">
        <v>3</v>
      </c>
      <c r="AC20" s="106">
        <v>860.40000000000009</v>
      </c>
      <c r="AD20" s="106">
        <v>4</v>
      </c>
      <c r="AE20" s="106">
        <v>1147.2</v>
      </c>
      <c r="AF20" s="106">
        <v>3</v>
      </c>
      <c r="AG20" s="106">
        <v>860.40000000000009</v>
      </c>
      <c r="AH20" s="106">
        <v>4</v>
      </c>
      <c r="AI20" s="106">
        <v>1147.2</v>
      </c>
      <c r="AJ20" s="106">
        <v>14</v>
      </c>
      <c r="AK20" s="106">
        <v>4015.2000000000003</v>
      </c>
      <c r="AL20" s="106">
        <v>12</v>
      </c>
      <c r="AM20" s="106">
        <v>3441.6000000000004</v>
      </c>
      <c r="AN20" s="106">
        <v>12</v>
      </c>
      <c r="AO20" s="106">
        <v>3441.6000000000004</v>
      </c>
      <c r="AP20" s="106">
        <v>8</v>
      </c>
      <c r="AQ20" s="106">
        <v>2294.4</v>
      </c>
      <c r="AR20" s="106">
        <v>26</v>
      </c>
      <c r="AS20" s="106">
        <v>7456.8</v>
      </c>
      <c r="AT20" s="106">
        <v>22</v>
      </c>
      <c r="AU20" s="106">
        <v>6309.6</v>
      </c>
      <c r="AV20" s="106">
        <v>25</v>
      </c>
      <c r="AW20" s="106">
        <v>7170</v>
      </c>
      <c r="AX20" s="106">
        <v>19</v>
      </c>
      <c r="AY20" s="106">
        <v>5449.2</v>
      </c>
      <c r="AZ20" s="106">
        <v>2</v>
      </c>
      <c r="BA20" s="106">
        <v>573.6</v>
      </c>
      <c r="BB20" s="106">
        <v>3</v>
      </c>
      <c r="BC20" s="106">
        <v>860.40000000000009</v>
      </c>
      <c r="BD20" s="106">
        <v>3</v>
      </c>
      <c r="BE20" s="106">
        <v>860.40000000000009</v>
      </c>
      <c r="BF20" s="106">
        <v>2</v>
      </c>
      <c r="BG20" s="106">
        <v>573.6</v>
      </c>
      <c r="BH20" s="106">
        <v>10</v>
      </c>
      <c r="BI20" s="106">
        <v>2868</v>
      </c>
      <c r="BJ20" s="106">
        <v>18</v>
      </c>
      <c r="BK20" s="106">
        <v>5162.4000000000005</v>
      </c>
      <c r="BL20" s="106">
        <v>17</v>
      </c>
      <c r="BM20" s="106">
        <v>4875.6000000000004</v>
      </c>
      <c r="BN20" s="106">
        <v>12</v>
      </c>
      <c r="BO20" s="106">
        <v>3441.6000000000004</v>
      </c>
      <c r="BP20" s="106">
        <v>3</v>
      </c>
      <c r="BQ20" s="106">
        <v>860.40000000000009</v>
      </c>
      <c r="BR20" s="106">
        <v>2</v>
      </c>
      <c r="BS20" s="106">
        <v>573.6</v>
      </c>
      <c r="BT20" s="106">
        <v>2</v>
      </c>
      <c r="BU20" s="106">
        <v>573.6</v>
      </c>
      <c r="BV20" s="106">
        <v>4</v>
      </c>
      <c r="BW20" s="106">
        <v>1147.2</v>
      </c>
      <c r="BX20" s="106">
        <v>23</v>
      </c>
      <c r="BY20" s="106">
        <v>6596.4000000000005</v>
      </c>
      <c r="BZ20" s="106">
        <v>25</v>
      </c>
      <c r="CA20" s="106">
        <v>7170</v>
      </c>
      <c r="CB20" s="106">
        <v>17</v>
      </c>
      <c r="CC20" s="106">
        <v>4875.6000000000004</v>
      </c>
      <c r="CD20" s="106">
        <v>24</v>
      </c>
      <c r="CE20" s="106">
        <v>6883.2000000000007</v>
      </c>
      <c r="CF20" s="106">
        <v>33</v>
      </c>
      <c r="CG20" s="106">
        <v>9464.4</v>
      </c>
      <c r="CH20" s="106">
        <v>29</v>
      </c>
      <c r="CI20" s="106">
        <v>8317.2000000000007</v>
      </c>
      <c r="CJ20" s="106">
        <v>32</v>
      </c>
      <c r="CK20" s="106">
        <v>9177.6</v>
      </c>
      <c r="CL20" s="106">
        <v>34</v>
      </c>
      <c r="CM20" s="106">
        <v>9751.2000000000007</v>
      </c>
      <c r="CN20" s="106">
        <v>15</v>
      </c>
      <c r="CO20" s="106">
        <v>4302</v>
      </c>
      <c r="CP20" s="106">
        <v>26</v>
      </c>
      <c r="CQ20" s="106">
        <v>7456.8</v>
      </c>
      <c r="CR20" s="106">
        <v>30</v>
      </c>
      <c r="CS20" s="106">
        <v>8604</v>
      </c>
      <c r="CT20" s="106">
        <v>26</v>
      </c>
      <c r="CU20" s="106">
        <v>7456.8</v>
      </c>
    </row>
    <row r="21" spans="2:99" x14ac:dyDescent="0.2">
      <c r="C21" s="105" t="s">
        <v>187</v>
      </c>
      <c r="D21" s="106">
        <v>3</v>
      </c>
      <c r="E21" s="106">
        <v>187.2</v>
      </c>
      <c r="F21" s="106">
        <v>2</v>
      </c>
      <c r="G21" s="106">
        <v>124.8</v>
      </c>
      <c r="H21" s="106">
        <v>3</v>
      </c>
      <c r="I21" s="106">
        <v>187.2</v>
      </c>
      <c r="J21" s="106">
        <v>3</v>
      </c>
      <c r="K21" s="106">
        <v>187.2</v>
      </c>
      <c r="L21" s="106">
        <v>14</v>
      </c>
      <c r="M21" s="106">
        <v>873.6</v>
      </c>
      <c r="N21" s="106">
        <v>20</v>
      </c>
      <c r="O21" s="106">
        <v>1248</v>
      </c>
      <c r="P21" s="106">
        <v>22</v>
      </c>
      <c r="Q21" s="106">
        <v>1372.8</v>
      </c>
      <c r="R21" s="106">
        <v>20</v>
      </c>
      <c r="S21" s="106">
        <v>1248</v>
      </c>
      <c r="T21" s="106">
        <v>4</v>
      </c>
      <c r="U21" s="106">
        <v>249.6</v>
      </c>
      <c r="V21" s="106">
        <v>3</v>
      </c>
      <c r="W21" s="106">
        <v>187.2</v>
      </c>
      <c r="X21" s="106">
        <v>3</v>
      </c>
      <c r="Y21" s="106">
        <v>187.2</v>
      </c>
      <c r="Z21" s="106">
        <v>4</v>
      </c>
      <c r="AA21" s="106">
        <v>249.6</v>
      </c>
      <c r="AB21" s="106">
        <v>3</v>
      </c>
      <c r="AC21" s="106">
        <v>187.2</v>
      </c>
      <c r="AD21" s="106">
        <v>3</v>
      </c>
      <c r="AE21" s="106">
        <v>187.2</v>
      </c>
      <c r="AF21" s="106">
        <v>3</v>
      </c>
      <c r="AG21" s="106">
        <v>187.2</v>
      </c>
      <c r="AH21" s="106">
        <v>4</v>
      </c>
      <c r="AI21" s="106">
        <v>249.6</v>
      </c>
      <c r="AJ21" s="106">
        <v>16</v>
      </c>
      <c r="AK21" s="106">
        <v>998.4</v>
      </c>
      <c r="AL21" s="106">
        <v>11</v>
      </c>
      <c r="AM21" s="106">
        <v>686.4</v>
      </c>
      <c r="AN21" s="106">
        <v>13</v>
      </c>
      <c r="AO21" s="106">
        <v>811.19999999999993</v>
      </c>
      <c r="AP21" s="106">
        <v>9</v>
      </c>
      <c r="AQ21" s="106">
        <v>561.6</v>
      </c>
      <c r="AR21" s="106">
        <v>28</v>
      </c>
      <c r="AS21" s="106">
        <v>1747.2</v>
      </c>
      <c r="AT21" s="106">
        <v>26</v>
      </c>
      <c r="AU21" s="106">
        <v>1622.3999999999999</v>
      </c>
      <c r="AV21" s="106">
        <v>28</v>
      </c>
      <c r="AW21" s="106">
        <v>1747.2</v>
      </c>
      <c r="AX21" s="106">
        <v>20</v>
      </c>
      <c r="AY21" s="106">
        <v>1248</v>
      </c>
      <c r="AZ21" s="106">
        <v>2</v>
      </c>
      <c r="BA21" s="106">
        <v>124.8</v>
      </c>
      <c r="BB21" s="106">
        <v>2</v>
      </c>
      <c r="BC21" s="106">
        <v>124.8</v>
      </c>
      <c r="BD21" s="106">
        <v>3</v>
      </c>
      <c r="BE21" s="106">
        <v>187.2</v>
      </c>
      <c r="BF21" s="106">
        <v>2</v>
      </c>
      <c r="BG21" s="106">
        <v>124.8</v>
      </c>
      <c r="BH21" s="106">
        <v>10</v>
      </c>
      <c r="BI21" s="106">
        <v>624</v>
      </c>
      <c r="BJ21" s="106">
        <v>18</v>
      </c>
      <c r="BK21" s="106">
        <v>1123.2</v>
      </c>
      <c r="BL21" s="106">
        <v>17</v>
      </c>
      <c r="BM21" s="106">
        <v>1060.8</v>
      </c>
      <c r="BN21" s="106">
        <v>12</v>
      </c>
      <c r="BO21" s="106">
        <v>748.8</v>
      </c>
      <c r="BP21" s="106">
        <v>3</v>
      </c>
      <c r="BQ21" s="106">
        <v>187.2</v>
      </c>
      <c r="BR21" s="106">
        <v>2</v>
      </c>
      <c r="BS21" s="106">
        <v>124.8</v>
      </c>
      <c r="BT21" s="106">
        <v>2</v>
      </c>
      <c r="BU21" s="106">
        <v>124.8</v>
      </c>
      <c r="BV21" s="106">
        <v>4</v>
      </c>
      <c r="BW21" s="106">
        <v>249.6</v>
      </c>
      <c r="BX21" s="106">
        <v>23</v>
      </c>
      <c r="BY21" s="106">
        <v>1435.2</v>
      </c>
      <c r="BZ21" s="106">
        <v>29</v>
      </c>
      <c r="CA21" s="106">
        <v>1809.6</v>
      </c>
      <c r="CB21" s="106">
        <v>21</v>
      </c>
      <c r="CC21" s="106">
        <v>1310.3999999999999</v>
      </c>
      <c r="CD21" s="106">
        <v>24</v>
      </c>
      <c r="CE21" s="106">
        <v>1497.6</v>
      </c>
      <c r="CF21" s="106">
        <v>34</v>
      </c>
      <c r="CG21" s="106">
        <v>2121.6</v>
      </c>
      <c r="CH21" s="106">
        <v>27</v>
      </c>
      <c r="CI21" s="106">
        <v>1684.8</v>
      </c>
      <c r="CJ21" s="106">
        <v>34</v>
      </c>
      <c r="CK21" s="106">
        <v>2121.6</v>
      </c>
      <c r="CL21" s="106">
        <v>37</v>
      </c>
      <c r="CM21" s="106">
        <v>2308.7999999999997</v>
      </c>
      <c r="CN21" s="106">
        <v>18</v>
      </c>
      <c r="CO21" s="106">
        <v>1123.2</v>
      </c>
      <c r="CP21" s="106">
        <v>27</v>
      </c>
      <c r="CQ21" s="106">
        <v>1684.8</v>
      </c>
      <c r="CR21" s="106">
        <v>30</v>
      </c>
      <c r="CS21" s="106">
        <v>1872</v>
      </c>
      <c r="CT21" s="106">
        <v>29</v>
      </c>
      <c r="CU21" s="106">
        <v>1809.6</v>
      </c>
    </row>
    <row r="22" spans="2:99" x14ac:dyDescent="0.2">
      <c r="C22" s="105" t="s">
        <v>188</v>
      </c>
      <c r="D22" s="106">
        <v>3</v>
      </c>
      <c r="E22" s="106">
        <v>561.59999999999991</v>
      </c>
      <c r="F22" s="106">
        <v>2</v>
      </c>
      <c r="G22" s="106">
        <v>374.4</v>
      </c>
      <c r="H22" s="106">
        <v>2</v>
      </c>
      <c r="I22" s="106">
        <v>374.4</v>
      </c>
      <c r="J22" s="106">
        <v>3</v>
      </c>
      <c r="K22" s="106">
        <v>561.59999999999991</v>
      </c>
      <c r="L22" s="106">
        <v>15</v>
      </c>
      <c r="M22" s="106">
        <v>2808</v>
      </c>
      <c r="N22" s="106">
        <v>19</v>
      </c>
      <c r="O22" s="106">
        <v>3556.7999999999997</v>
      </c>
      <c r="P22" s="106">
        <v>21</v>
      </c>
      <c r="Q22" s="106">
        <v>3931.2</v>
      </c>
      <c r="R22" s="106">
        <v>21</v>
      </c>
      <c r="S22" s="106">
        <v>3931.2</v>
      </c>
      <c r="T22" s="106">
        <v>4</v>
      </c>
      <c r="U22" s="106">
        <v>748.8</v>
      </c>
      <c r="V22" s="106">
        <v>3</v>
      </c>
      <c r="W22" s="106">
        <v>561.59999999999991</v>
      </c>
      <c r="X22" s="106">
        <v>3</v>
      </c>
      <c r="Y22" s="106">
        <v>561.59999999999991</v>
      </c>
      <c r="Z22" s="106">
        <v>4</v>
      </c>
      <c r="AA22" s="106">
        <v>748.8</v>
      </c>
      <c r="AB22" s="106">
        <v>3</v>
      </c>
      <c r="AC22" s="106">
        <v>561.59999999999991</v>
      </c>
      <c r="AD22" s="106">
        <v>4</v>
      </c>
      <c r="AE22" s="106">
        <v>748.8</v>
      </c>
      <c r="AF22" s="106">
        <v>3</v>
      </c>
      <c r="AG22" s="106">
        <v>561.59999999999991</v>
      </c>
      <c r="AH22" s="106">
        <v>4</v>
      </c>
      <c r="AI22" s="106">
        <v>748.8</v>
      </c>
      <c r="AJ22" s="106">
        <v>14</v>
      </c>
      <c r="AK22" s="106">
        <v>2620.7999999999997</v>
      </c>
      <c r="AL22" s="106">
        <v>12</v>
      </c>
      <c r="AM22" s="106">
        <v>2246.3999999999996</v>
      </c>
      <c r="AN22" s="106">
        <v>14</v>
      </c>
      <c r="AO22" s="106">
        <v>2620.7999999999997</v>
      </c>
      <c r="AP22" s="106">
        <v>9</v>
      </c>
      <c r="AQ22" s="106">
        <v>1684.8</v>
      </c>
      <c r="AR22" s="106">
        <v>25</v>
      </c>
      <c r="AS22" s="106">
        <v>4680</v>
      </c>
      <c r="AT22" s="106">
        <v>23</v>
      </c>
      <c r="AU22" s="106">
        <v>4305.5999999999995</v>
      </c>
      <c r="AV22" s="106">
        <v>26</v>
      </c>
      <c r="AW22" s="106">
        <v>4867.2</v>
      </c>
      <c r="AX22" s="106">
        <v>22</v>
      </c>
      <c r="AY22" s="106">
        <v>4118.3999999999996</v>
      </c>
      <c r="AZ22" s="106">
        <v>2</v>
      </c>
      <c r="BA22" s="106">
        <v>374.4</v>
      </c>
      <c r="BB22" s="106">
        <v>3</v>
      </c>
      <c r="BC22" s="106">
        <v>561.59999999999991</v>
      </c>
      <c r="BD22" s="106">
        <v>3</v>
      </c>
      <c r="BE22" s="106">
        <v>561.59999999999991</v>
      </c>
      <c r="BF22" s="106">
        <v>2</v>
      </c>
      <c r="BG22" s="106">
        <v>374.4</v>
      </c>
      <c r="BH22" s="106">
        <v>9</v>
      </c>
      <c r="BI22" s="106">
        <v>1684.8</v>
      </c>
      <c r="BJ22" s="106">
        <v>15</v>
      </c>
      <c r="BK22" s="106">
        <v>2808</v>
      </c>
      <c r="BL22" s="106">
        <v>16</v>
      </c>
      <c r="BM22" s="106">
        <v>2995.2</v>
      </c>
      <c r="BN22" s="106">
        <v>12</v>
      </c>
      <c r="BO22" s="106">
        <v>2246.3999999999996</v>
      </c>
      <c r="BP22" s="106">
        <v>3</v>
      </c>
      <c r="BQ22" s="106">
        <v>561.59999999999991</v>
      </c>
      <c r="BR22" s="106">
        <v>2</v>
      </c>
      <c r="BS22" s="106">
        <v>374.4</v>
      </c>
      <c r="BT22" s="106">
        <v>2</v>
      </c>
      <c r="BU22" s="106">
        <v>374.4</v>
      </c>
      <c r="BV22" s="106">
        <v>3</v>
      </c>
      <c r="BW22" s="106">
        <v>561.59999999999991</v>
      </c>
      <c r="BX22" s="106">
        <v>20</v>
      </c>
      <c r="BY22" s="106">
        <v>3744</v>
      </c>
      <c r="BZ22" s="106">
        <v>29</v>
      </c>
      <c r="CA22" s="106">
        <v>5428.7999999999993</v>
      </c>
      <c r="CB22" s="106">
        <v>20</v>
      </c>
      <c r="CC22" s="106">
        <v>3744</v>
      </c>
      <c r="CD22" s="106">
        <v>28</v>
      </c>
      <c r="CE22" s="106">
        <v>5241.5999999999995</v>
      </c>
      <c r="CF22" s="106">
        <v>31</v>
      </c>
      <c r="CG22" s="106">
        <v>5803.2</v>
      </c>
      <c r="CH22" s="106">
        <v>30</v>
      </c>
      <c r="CI22" s="106">
        <v>5616</v>
      </c>
      <c r="CJ22" s="106">
        <v>36</v>
      </c>
      <c r="CK22" s="106">
        <v>6739.2</v>
      </c>
      <c r="CL22" s="106">
        <v>33</v>
      </c>
      <c r="CM22" s="106">
        <v>6177.5999999999995</v>
      </c>
      <c r="CN22" s="106">
        <v>17</v>
      </c>
      <c r="CO22" s="106">
        <v>3182.3999999999996</v>
      </c>
      <c r="CP22" s="106">
        <v>24</v>
      </c>
      <c r="CQ22" s="106">
        <v>4492.7999999999993</v>
      </c>
      <c r="CR22" s="106">
        <v>31</v>
      </c>
      <c r="CS22" s="106">
        <v>5803.2</v>
      </c>
      <c r="CT22" s="106">
        <v>26</v>
      </c>
      <c r="CU22" s="106">
        <v>4867.2</v>
      </c>
    </row>
    <row r="23" spans="2:99" x14ac:dyDescent="0.2">
      <c r="C23" s="105" t="s">
        <v>189</v>
      </c>
      <c r="D23" s="106">
        <v>3</v>
      </c>
      <c r="E23" s="106">
        <v>882</v>
      </c>
      <c r="F23" s="106">
        <v>2</v>
      </c>
      <c r="G23" s="106">
        <v>588</v>
      </c>
      <c r="H23" s="106">
        <v>3</v>
      </c>
      <c r="I23" s="106">
        <v>882</v>
      </c>
      <c r="J23" s="106">
        <v>3</v>
      </c>
      <c r="K23" s="106">
        <v>882</v>
      </c>
      <c r="L23" s="106">
        <v>13</v>
      </c>
      <c r="M23" s="106">
        <v>3822</v>
      </c>
      <c r="N23" s="106">
        <v>18</v>
      </c>
      <c r="O23" s="106">
        <v>5292</v>
      </c>
      <c r="P23" s="106">
        <v>19</v>
      </c>
      <c r="Q23" s="106">
        <v>5586</v>
      </c>
      <c r="R23" s="106">
        <v>19</v>
      </c>
      <c r="S23" s="106">
        <v>5586</v>
      </c>
      <c r="T23" s="106">
        <v>3</v>
      </c>
      <c r="U23" s="106">
        <v>882</v>
      </c>
      <c r="V23" s="106">
        <v>3</v>
      </c>
      <c r="W23" s="106">
        <v>882</v>
      </c>
      <c r="X23" s="106">
        <v>3</v>
      </c>
      <c r="Y23" s="106">
        <v>882</v>
      </c>
      <c r="Z23" s="106">
        <v>4</v>
      </c>
      <c r="AA23" s="106">
        <v>1176</v>
      </c>
      <c r="AB23" s="106">
        <v>3</v>
      </c>
      <c r="AC23" s="106">
        <v>882</v>
      </c>
      <c r="AD23" s="106">
        <v>4</v>
      </c>
      <c r="AE23" s="106">
        <v>1176</v>
      </c>
      <c r="AF23" s="106">
        <v>3</v>
      </c>
      <c r="AG23" s="106">
        <v>882</v>
      </c>
      <c r="AH23" s="106">
        <v>4</v>
      </c>
      <c r="AI23" s="106">
        <v>1176</v>
      </c>
      <c r="AJ23" s="106">
        <v>14</v>
      </c>
      <c r="AK23" s="106">
        <v>4116</v>
      </c>
      <c r="AL23" s="106">
        <v>11</v>
      </c>
      <c r="AM23" s="106">
        <v>3234</v>
      </c>
      <c r="AN23" s="106">
        <v>13</v>
      </c>
      <c r="AO23" s="106">
        <v>3822</v>
      </c>
      <c r="AP23" s="106">
        <v>8</v>
      </c>
      <c r="AQ23" s="106">
        <v>2352</v>
      </c>
      <c r="AR23" s="106">
        <v>27</v>
      </c>
      <c r="AS23" s="106">
        <v>7938</v>
      </c>
      <c r="AT23" s="106">
        <v>22</v>
      </c>
      <c r="AU23" s="106">
        <v>6468</v>
      </c>
      <c r="AV23" s="106">
        <v>28</v>
      </c>
      <c r="AW23" s="106">
        <v>8232</v>
      </c>
      <c r="AX23" s="106">
        <v>19</v>
      </c>
      <c r="AY23" s="106">
        <v>5586</v>
      </c>
      <c r="AZ23" s="106">
        <v>2</v>
      </c>
      <c r="BA23" s="106">
        <v>588</v>
      </c>
      <c r="BB23" s="106">
        <v>3</v>
      </c>
      <c r="BC23" s="106">
        <v>882</v>
      </c>
      <c r="BD23" s="106">
        <v>3</v>
      </c>
      <c r="BE23" s="106">
        <v>882</v>
      </c>
      <c r="BF23" s="106">
        <v>2</v>
      </c>
      <c r="BG23" s="106">
        <v>588</v>
      </c>
      <c r="BH23" s="106">
        <v>10</v>
      </c>
      <c r="BI23" s="106">
        <v>2940</v>
      </c>
      <c r="BJ23" s="106">
        <v>16</v>
      </c>
      <c r="BK23" s="106">
        <v>4704</v>
      </c>
      <c r="BL23" s="106">
        <v>15</v>
      </c>
      <c r="BM23" s="106">
        <v>4410</v>
      </c>
      <c r="BN23" s="106">
        <v>11</v>
      </c>
      <c r="BO23" s="106">
        <v>3234</v>
      </c>
      <c r="BP23" s="106">
        <v>3</v>
      </c>
      <c r="BQ23" s="106">
        <v>882</v>
      </c>
      <c r="BR23" s="106">
        <v>2</v>
      </c>
      <c r="BS23" s="106">
        <v>588</v>
      </c>
      <c r="BT23" s="106">
        <v>2</v>
      </c>
      <c r="BU23" s="106">
        <v>588</v>
      </c>
      <c r="BV23" s="106">
        <v>4</v>
      </c>
      <c r="BW23" s="106">
        <v>1176</v>
      </c>
      <c r="BX23" s="106">
        <v>22</v>
      </c>
      <c r="BY23" s="106">
        <v>6468</v>
      </c>
      <c r="BZ23" s="106">
        <v>27</v>
      </c>
      <c r="CA23" s="106">
        <v>7938</v>
      </c>
      <c r="CB23" s="106">
        <v>17</v>
      </c>
      <c r="CC23" s="106">
        <v>4998</v>
      </c>
      <c r="CD23" s="106">
        <v>24</v>
      </c>
      <c r="CE23" s="106">
        <v>7056</v>
      </c>
      <c r="CF23" s="106">
        <v>28</v>
      </c>
      <c r="CG23" s="106">
        <v>8232</v>
      </c>
      <c r="CH23" s="106">
        <v>30</v>
      </c>
      <c r="CI23" s="106">
        <v>8820</v>
      </c>
      <c r="CJ23" s="106">
        <v>36</v>
      </c>
      <c r="CK23" s="106">
        <v>10584</v>
      </c>
      <c r="CL23" s="106">
        <v>32</v>
      </c>
      <c r="CM23" s="106">
        <v>9408</v>
      </c>
      <c r="CN23" s="106">
        <v>16</v>
      </c>
      <c r="CO23" s="106">
        <v>4704</v>
      </c>
      <c r="CP23" s="106">
        <v>23</v>
      </c>
      <c r="CQ23" s="106">
        <v>6762</v>
      </c>
      <c r="CR23" s="106">
        <v>31</v>
      </c>
      <c r="CS23" s="106">
        <v>9114</v>
      </c>
      <c r="CT23" s="106">
        <v>26</v>
      </c>
      <c r="CU23" s="106">
        <v>7644</v>
      </c>
    </row>
    <row r="24" spans="2:99" x14ac:dyDescent="0.2">
      <c r="C24" s="105" t="s">
        <v>190</v>
      </c>
      <c r="D24" s="106">
        <v>2</v>
      </c>
      <c r="E24" s="106">
        <v>734.4</v>
      </c>
      <c r="F24" s="106">
        <v>2</v>
      </c>
      <c r="G24" s="106">
        <v>734.4</v>
      </c>
      <c r="H24" s="106">
        <v>2</v>
      </c>
      <c r="I24" s="106">
        <v>734.4</v>
      </c>
      <c r="J24" s="106">
        <v>3</v>
      </c>
      <c r="K24" s="106">
        <v>1101.5999999999999</v>
      </c>
      <c r="L24" s="106">
        <v>13</v>
      </c>
      <c r="M24" s="106">
        <v>4773.5999999999995</v>
      </c>
      <c r="N24" s="106">
        <v>19</v>
      </c>
      <c r="O24" s="106">
        <v>6976.8</v>
      </c>
      <c r="P24" s="106">
        <v>18</v>
      </c>
      <c r="Q24" s="106">
        <v>6609.5999999999995</v>
      </c>
      <c r="R24" s="106">
        <v>20</v>
      </c>
      <c r="S24" s="106">
        <v>7344</v>
      </c>
      <c r="T24" s="106">
        <v>3</v>
      </c>
      <c r="U24" s="106">
        <v>1101.5999999999999</v>
      </c>
      <c r="V24" s="106">
        <v>3</v>
      </c>
      <c r="W24" s="106">
        <v>1101.5999999999999</v>
      </c>
      <c r="X24" s="106">
        <v>3</v>
      </c>
      <c r="Y24" s="106">
        <v>1101.5999999999999</v>
      </c>
      <c r="Z24" s="106">
        <v>4</v>
      </c>
      <c r="AA24" s="106">
        <v>1468.8</v>
      </c>
      <c r="AB24" s="106">
        <v>3</v>
      </c>
      <c r="AC24" s="106">
        <v>1101.5999999999999</v>
      </c>
      <c r="AD24" s="106">
        <v>4</v>
      </c>
      <c r="AE24" s="106">
        <v>1468.8</v>
      </c>
      <c r="AF24" s="106">
        <v>3</v>
      </c>
      <c r="AG24" s="106">
        <v>1101.5999999999999</v>
      </c>
      <c r="AH24" s="106">
        <v>4</v>
      </c>
      <c r="AI24" s="106">
        <v>1468.8</v>
      </c>
      <c r="AJ24" s="106">
        <v>14</v>
      </c>
      <c r="AK24" s="106">
        <v>5140.8</v>
      </c>
      <c r="AL24" s="106">
        <v>11</v>
      </c>
      <c r="AM24" s="106">
        <v>4039.2</v>
      </c>
      <c r="AN24" s="106">
        <v>13</v>
      </c>
      <c r="AO24" s="106">
        <v>4773.5999999999995</v>
      </c>
      <c r="AP24" s="106">
        <v>9</v>
      </c>
      <c r="AQ24" s="106">
        <v>3304.7999999999997</v>
      </c>
      <c r="AR24" s="106">
        <v>26</v>
      </c>
      <c r="AS24" s="106">
        <v>9547.1999999999989</v>
      </c>
      <c r="AT24" s="106">
        <v>21</v>
      </c>
      <c r="AU24" s="106">
        <v>7711.2</v>
      </c>
      <c r="AV24" s="106">
        <v>25</v>
      </c>
      <c r="AW24" s="106">
        <v>9180</v>
      </c>
      <c r="AX24" s="106">
        <v>19</v>
      </c>
      <c r="AY24" s="106">
        <v>6976.8</v>
      </c>
      <c r="AZ24" s="106">
        <v>2</v>
      </c>
      <c r="BA24" s="106">
        <v>734.4</v>
      </c>
      <c r="BB24" s="106">
        <v>3</v>
      </c>
      <c r="BC24" s="106">
        <v>1101.5999999999999</v>
      </c>
      <c r="BD24" s="106">
        <v>3</v>
      </c>
      <c r="BE24" s="106">
        <v>1101.5999999999999</v>
      </c>
      <c r="BF24" s="106">
        <v>2</v>
      </c>
      <c r="BG24" s="106">
        <v>734.4</v>
      </c>
      <c r="BH24" s="106">
        <v>9</v>
      </c>
      <c r="BI24" s="106">
        <v>3304.7999999999997</v>
      </c>
      <c r="BJ24" s="106">
        <v>17</v>
      </c>
      <c r="BK24" s="106">
        <v>6242.4</v>
      </c>
      <c r="BL24" s="106">
        <v>17</v>
      </c>
      <c r="BM24" s="106">
        <v>6242.4</v>
      </c>
      <c r="BN24" s="106">
        <v>10</v>
      </c>
      <c r="BO24" s="106">
        <v>3672</v>
      </c>
      <c r="BP24" s="106">
        <v>3</v>
      </c>
      <c r="BQ24" s="106">
        <v>1101.5999999999999</v>
      </c>
      <c r="BR24" s="106">
        <v>2</v>
      </c>
      <c r="BS24" s="106">
        <v>734.4</v>
      </c>
      <c r="BT24" s="106">
        <v>2</v>
      </c>
      <c r="BU24" s="106">
        <v>734.4</v>
      </c>
      <c r="BV24" s="106">
        <v>4</v>
      </c>
      <c r="BW24" s="106">
        <v>1468.8</v>
      </c>
      <c r="BX24" s="106">
        <v>23</v>
      </c>
      <c r="BY24" s="106">
        <v>8445.6</v>
      </c>
      <c r="BZ24" s="106">
        <v>28</v>
      </c>
      <c r="CA24" s="106">
        <v>10281.6</v>
      </c>
      <c r="CB24" s="106">
        <v>17</v>
      </c>
      <c r="CC24" s="106">
        <v>6242.4</v>
      </c>
      <c r="CD24" s="106">
        <v>26</v>
      </c>
      <c r="CE24" s="106">
        <v>9547.1999999999989</v>
      </c>
      <c r="CF24" s="106">
        <v>29</v>
      </c>
      <c r="CG24" s="106">
        <v>10648.8</v>
      </c>
      <c r="CH24" s="106">
        <v>25</v>
      </c>
      <c r="CI24" s="106">
        <v>9180</v>
      </c>
      <c r="CJ24" s="106">
        <v>30</v>
      </c>
      <c r="CK24" s="106">
        <v>11016</v>
      </c>
      <c r="CL24" s="106">
        <v>32</v>
      </c>
      <c r="CM24" s="106">
        <v>11750.4</v>
      </c>
      <c r="CN24" s="106">
        <v>18</v>
      </c>
      <c r="CO24" s="106">
        <v>6609.5999999999995</v>
      </c>
      <c r="CP24" s="106">
        <v>26</v>
      </c>
      <c r="CQ24" s="106">
        <v>9547.1999999999989</v>
      </c>
      <c r="CR24" s="106">
        <v>30</v>
      </c>
      <c r="CS24" s="106">
        <v>11016</v>
      </c>
      <c r="CT24" s="106">
        <v>30</v>
      </c>
      <c r="CU24" s="106">
        <v>11016</v>
      </c>
    </row>
    <row r="25" spans="2:99" x14ac:dyDescent="0.2">
      <c r="C25" s="105" t="s">
        <v>191</v>
      </c>
      <c r="D25" s="106">
        <v>3</v>
      </c>
      <c r="E25" s="106">
        <v>1591.1999999999998</v>
      </c>
      <c r="F25" s="106">
        <v>2</v>
      </c>
      <c r="G25" s="106">
        <v>1060.8</v>
      </c>
      <c r="H25" s="106">
        <v>3</v>
      </c>
      <c r="I25" s="106">
        <v>1591.1999999999998</v>
      </c>
      <c r="J25" s="106">
        <v>3</v>
      </c>
      <c r="K25" s="106">
        <v>1591.1999999999998</v>
      </c>
      <c r="L25" s="106">
        <v>12</v>
      </c>
      <c r="M25" s="106">
        <v>6364.7999999999993</v>
      </c>
      <c r="N25" s="106">
        <v>19</v>
      </c>
      <c r="O25" s="106">
        <v>10077.6</v>
      </c>
      <c r="P25" s="106">
        <v>17</v>
      </c>
      <c r="Q25" s="106">
        <v>9016.7999999999993</v>
      </c>
      <c r="R25" s="106">
        <v>16</v>
      </c>
      <c r="S25" s="106">
        <v>8486.4</v>
      </c>
      <c r="T25" s="106">
        <v>3</v>
      </c>
      <c r="U25" s="106">
        <v>1591.1999999999998</v>
      </c>
      <c r="V25" s="106">
        <v>3</v>
      </c>
      <c r="W25" s="106">
        <v>1591.1999999999998</v>
      </c>
      <c r="X25" s="106">
        <v>3</v>
      </c>
      <c r="Y25" s="106">
        <v>1591.1999999999998</v>
      </c>
      <c r="Z25" s="106">
        <v>3</v>
      </c>
      <c r="AA25" s="106">
        <v>1591.1999999999998</v>
      </c>
      <c r="AB25" s="106">
        <v>3</v>
      </c>
      <c r="AC25" s="106">
        <v>1591.1999999999998</v>
      </c>
      <c r="AD25" s="106">
        <v>3</v>
      </c>
      <c r="AE25" s="106">
        <v>1591.1999999999998</v>
      </c>
      <c r="AF25" s="106">
        <v>3</v>
      </c>
      <c r="AG25" s="106">
        <v>1591.1999999999998</v>
      </c>
      <c r="AH25" s="106">
        <v>4</v>
      </c>
      <c r="AI25" s="106">
        <v>2121.6</v>
      </c>
      <c r="AJ25" s="106">
        <v>13</v>
      </c>
      <c r="AK25" s="106">
        <v>6895.2</v>
      </c>
      <c r="AL25" s="106">
        <v>12</v>
      </c>
      <c r="AM25" s="106">
        <v>6364.7999999999993</v>
      </c>
      <c r="AN25" s="106">
        <v>12</v>
      </c>
      <c r="AO25" s="106">
        <v>6364.7999999999993</v>
      </c>
      <c r="AP25" s="106">
        <v>8</v>
      </c>
      <c r="AQ25" s="106">
        <v>4243.2</v>
      </c>
      <c r="AR25" s="106">
        <v>23</v>
      </c>
      <c r="AS25" s="106">
        <v>12199.199999999999</v>
      </c>
      <c r="AT25" s="106">
        <v>21</v>
      </c>
      <c r="AU25" s="106">
        <v>11138.4</v>
      </c>
      <c r="AV25" s="106">
        <v>26</v>
      </c>
      <c r="AW25" s="106">
        <v>13790.4</v>
      </c>
      <c r="AX25" s="106">
        <v>20</v>
      </c>
      <c r="AY25" s="106">
        <v>10608</v>
      </c>
      <c r="AZ25" s="106">
        <v>2</v>
      </c>
      <c r="BA25" s="106">
        <v>1060.8</v>
      </c>
      <c r="BB25" s="106">
        <v>2</v>
      </c>
      <c r="BC25" s="106">
        <v>1060.8</v>
      </c>
      <c r="BD25" s="106">
        <v>3</v>
      </c>
      <c r="BE25" s="106">
        <v>1591.1999999999998</v>
      </c>
      <c r="BF25" s="106">
        <v>2</v>
      </c>
      <c r="BG25" s="106">
        <v>1060.8</v>
      </c>
      <c r="BH25" s="106">
        <v>9</v>
      </c>
      <c r="BI25" s="106">
        <v>4773.5999999999995</v>
      </c>
      <c r="BJ25" s="106">
        <v>15</v>
      </c>
      <c r="BK25" s="106">
        <v>7956</v>
      </c>
      <c r="BL25" s="106">
        <v>14</v>
      </c>
      <c r="BM25" s="106">
        <v>7425.5999999999995</v>
      </c>
      <c r="BN25" s="106">
        <v>11</v>
      </c>
      <c r="BO25" s="106">
        <v>5834.4</v>
      </c>
      <c r="BP25" s="106">
        <v>3</v>
      </c>
      <c r="BQ25" s="106">
        <v>1591.1999999999998</v>
      </c>
      <c r="BR25" s="106">
        <v>2</v>
      </c>
      <c r="BS25" s="106">
        <v>1060.8</v>
      </c>
      <c r="BT25" s="106">
        <v>2</v>
      </c>
      <c r="BU25" s="106">
        <v>1060.8</v>
      </c>
      <c r="BV25" s="106">
        <v>3</v>
      </c>
      <c r="BW25" s="106">
        <v>1591.1999999999998</v>
      </c>
      <c r="BX25" s="106">
        <v>22</v>
      </c>
      <c r="BY25" s="106">
        <v>11668.8</v>
      </c>
      <c r="BZ25" s="106">
        <v>28</v>
      </c>
      <c r="CA25" s="106">
        <v>14851.199999999999</v>
      </c>
      <c r="CB25" s="106">
        <v>18</v>
      </c>
      <c r="CC25" s="106">
        <v>9547.1999999999989</v>
      </c>
      <c r="CD25" s="106">
        <v>25</v>
      </c>
      <c r="CE25" s="106">
        <v>13260</v>
      </c>
      <c r="CF25" s="106">
        <v>28</v>
      </c>
      <c r="CG25" s="106">
        <v>14851.199999999999</v>
      </c>
      <c r="CH25" s="106">
        <v>29</v>
      </c>
      <c r="CI25" s="106">
        <v>15381.599999999999</v>
      </c>
      <c r="CJ25" s="106">
        <v>32</v>
      </c>
      <c r="CK25" s="106">
        <v>16972.8</v>
      </c>
      <c r="CL25" s="106">
        <v>36</v>
      </c>
      <c r="CM25" s="106">
        <v>19094.399999999998</v>
      </c>
      <c r="CN25" s="106">
        <v>17</v>
      </c>
      <c r="CO25" s="106">
        <v>9016.7999999999993</v>
      </c>
      <c r="CP25" s="106">
        <v>25</v>
      </c>
      <c r="CQ25" s="106">
        <v>13260</v>
      </c>
      <c r="CR25" s="106">
        <v>25</v>
      </c>
      <c r="CS25" s="106">
        <v>13260</v>
      </c>
      <c r="CT25" s="106">
        <v>29</v>
      </c>
      <c r="CU25" s="106">
        <v>15381.599999999999</v>
      </c>
    </row>
    <row r="26" spans="2:99" x14ac:dyDescent="0.2">
      <c r="C26" s="105" t="s">
        <v>192</v>
      </c>
      <c r="D26" s="106">
        <v>3</v>
      </c>
      <c r="E26" s="106">
        <v>1458</v>
      </c>
      <c r="F26" s="106">
        <v>2</v>
      </c>
      <c r="G26" s="106">
        <v>972</v>
      </c>
      <c r="H26" s="106">
        <v>3</v>
      </c>
      <c r="I26" s="106">
        <v>1458</v>
      </c>
      <c r="J26" s="106">
        <v>3</v>
      </c>
      <c r="K26" s="106">
        <v>1458</v>
      </c>
      <c r="L26" s="106">
        <v>13</v>
      </c>
      <c r="M26" s="106">
        <v>6318</v>
      </c>
      <c r="N26" s="106">
        <v>18</v>
      </c>
      <c r="O26" s="106">
        <v>8748</v>
      </c>
      <c r="P26" s="106">
        <v>19</v>
      </c>
      <c r="Q26" s="106">
        <v>9234</v>
      </c>
      <c r="R26" s="106">
        <v>17</v>
      </c>
      <c r="S26" s="106">
        <v>8262</v>
      </c>
      <c r="T26" s="106">
        <v>3</v>
      </c>
      <c r="U26" s="106">
        <v>1458</v>
      </c>
      <c r="V26" s="106">
        <v>3</v>
      </c>
      <c r="W26" s="106">
        <v>1458</v>
      </c>
      <c r="X26" s="106">
        <v>3</v>
      </c>
      <c r="Y26" s="106">
        <v>1458</v>
      </c>
      <c r="Z26" s="106">
        <v>3</v>
      </c>
      <c r="AA26" s="106">
        <v>1458</v>
      </c>
      <c r="AB26" s="106">
        <v>3</v>
      </c>
      <c r="AC26" s="106">
        <v>1458</v>
      </c>
      <c r="AD26" s="106">
        <v>4</v>
      </c>
      <c r="AE26" s="106">
        <v>1944</v>
      </c>
      <c r="AF26" s="106">
        <v>3</v>
      </c>
      <c r="AG26" s="106">
        <v>1458</v>
      </c>
      <c r="AH26" s="106">
        <v>4</v>
      </c>
      <c r="AI26" s="106">
        <v>1944</v>
      </c>
      <c r="AJ26" s="106">
        <v>13</v>
      </c>
      <c r="AK26" s="106">
        <v>6318</v>
      </c>
      <c r="AL26" s="106">
        <v>11</v>
      </c>
      <c r="AM26" s="106">
        <v>5346</v>
      </c>
      <c r="AN26" s="106">
        <v>12</v>
      </c>
      <c r="AO26" s="106">
        <v>5832</v>
      </c>
      <c r="AP26" s="106">
        <v>8</v>
      </c>
      <c r="AQ26" s="106">
        <v>3888</v>
      </c>
      <c r="AR26" s="106">
        <v>26</v>
      </c>
      <c r="AS26" s="106">
        <v>12636</v>
      </c>
      <c r="AT26" s="106">
        <v>21</v>
      </c>
      <c r="AU26" s="106">
        <v>10206</v>
      </c>
      <c r="AV26" s="106">
        <v>26</v>
      </c>
      <c r="AW26" s="106">
        <v>12636</v>
      </c>
      <c r="AX26" s="106">
        <v>22</v>
      </c>
      <c r="AY26" s="106">
        <v>10692</v>
      </c>
      <c r="AZ26" s="106">
        <v>2</v>
      </c>
      <c r="BA26" s="106">
        <v>972</v>
      </c>
      <c r="BB26" s="106">
        <v>2</v>
      </c>
      <c r="BC26" s="106">
        <v>972</v>
      </c>
      <c r="BD26" s="106">
        <v>3</v>
      </c>
      <c r="BE26" s="106">
        <v>1458</v>
      </c>
      <c r="BF26" s="106">
        <v>2</v>
      </c>
      <c r="BG26" s="106">
        <v>972</v>
      </c>
      <c r="BH26" s="106">
        <v>9</v>
      </c>
      <c r="BI26" s="106">
        <v>4374</v>
      </c>
      <c r="BJ26" s="106">
        <v>18</v>
      </c>
      <c r="BK26" s="106">
        <v>8748</v>
      </c>
      <c r="BL26" s="106">
        <v>15</v>
      </c>
      <c r="BM26" s="106">
        <v>7290</v>
      </c>
      <c r="BN26" s="106">
        <v>11</v>
      </c>
      <c r="BO26" s="106">
        <v>5346</v>
      </c>
      <c r="BP26" s="106">
        <v>3</v>
      </c>
      <c r="BQ26" s="106">
        <v>1458</v>
      </c>
      <c r="BR26" s="106">
        <v>2</v>
      </c>
      <c r="BS26" s="106">
        <v>972</v>
      </c>
      <c r="BT26" s="106">
        <v>2</v>
      </c>
      <c r="BU26" s="106">
        <v>972</v>
      </c>
      <c r="BV26" s="106">
        <v>3</v>
      </c>
      <c r="BW26" s="106">
        <v>1458</v>
      </c>
      <c r="BX26" s="106">
        <v>23</v>
      </c>
      <c r="BY26" s="106">
        <v>11178</v>
      </c>
      <c r="BZ26" s="106">
        <v>27</v>
      </c>
      <c r="CA26" s="106">
        <v>13122</v>
      </c>
      <c r="CB26" s="106">
        <v>16</v>
      </c>
      <c r="CC26" s="106">
        <v>7776</v>
      </c>
      <c r="CD26" s="106">
        <v>24</v>
      </c>
      <c r="CE26" s="106">
        <v>11664</v>
      </c>
      <c r="CF26" s="106">
        <v>28</v>
      </c>
      <c r="CG26" s="106">
        <v>13608</v>
      </c>
      <c r="CH26" s="106">
        <v>25</v>
      </c>
      <c r="CI26" s="106">
        <v>12150</v>
      </c>
      <c r="CJ26" s="106">
        <v>32</v>
      </c>
      <c r="CK26" s="106">
        <v>15552</v>
      </c>
      <c r="CL26" s="106">
        <v>36</v>
      </c>
      <c r="CM26" s="106">
        <v>17496</v>
      </c>
      <c r="CN26" s="106">
        <v>17</v>
      </c>
      <c r="CO26" s="106">
        <v>8262</v>
      </c>
      <c r="CP26" s="106">
        <v>23</v>
      </c>
      <c r="CQ26" s="106">
        <v>11178</v>
      </c>
      <c r="CR26" s="106">
        <v>29</v>
      </c>
      <c r="CS26" s="106">
        <v>14094</v>
      </c>
      <c r="CT26" s="106">
        <v>27</v>
      </c>
      <c r="CU26" s="106">
        <v>13122</v>
      </c>
    </row>
    <row r="27" spans="2:99" x14ac:dyDescent="0.2">
      <c r="C27" s="105" t="s">
        <v>193</v>
      </c>
      <c r="D27" s="106">
        <v>3</v>
      </c>
      <c r="E27" s="106">
        <v>1281.5999999999999</v>
      </c>
      <c r="F27" s="106">
        <v>2</v>
      </c>
      <c r="G27" s="106">
        <v>854.4</v>
      </c>
      <c r="H27" s="106">
        <v>3</v>
      </c>
      <c r="I27" s="106">
        <v>1281.5999999999999</v>
      </c>
      <c r="J27" s="106">
        <v>3</v>
      </c>
      <c r="K27" s="106">
        <v>1281.5999999999999</v>
      </c>
      <c r="L27" s="106">
        <v>14</v>
      </c>
      <c r="M27" s="106">
        <v>5980.8</v>
      </c>
      <c r="N27" s="106">
        <v>18</v>
      </c>
      <c r="O27" s="106">
        <v>7689.5999999999995</v>
      </c>
      <c r="P27" s="106">
        <v>18</v>
      </c>
      <c r="Q27" s="106">
        <v>7689.5999999999995</v>
      </c>
      <c r="R27" s="106">
        <v>17</v>
      </c>
      <c r="S27" s="106">
        <v>7262.4</v>
      </c>
      <c r="T27" s="106">
        <v>3</v>
      </c>
      <c r="U27" s="106">
        <v>1281.5999999999999</v>
      </c>
      <c r="V27" s="106">
        <v>3</v>
      </c>
      <c r="W27" s="106">
        <v>1281.5999999999999</v>
      </c>
      <c r="X27" s="106">
        <v>3</v>
      </c>
      <c r="Y27" s="106">
        <v>1281.5999999999999</v>
      </c>
      <c r="Z27" s="106">
        <v>4</v>
      </c>
      <c r="AA27" s="106">
        <v>1708.8</v>
      </c>
      <c r="AB27" s="106">
        <v>3</v>
      </c>
      <c r="AC27" s="106">
        <v>1281.5999999999999</v>
      </c>
      <c r="AD27" s="106">
        <v>4</v>
      </c>
      <c r="AE27" s="106">
        <v>1708.8</v>
      </c>
      <c r="AF27" s="106">
        <v>3</v>
      </c>
      <c r="AG27" s="106">
        <v>1281.5999999999999</v>
      </c>
      <c r="AH27" s="106">
        <v>4</v>
      </c>
      <c r="AI27" s="106">
        <v>1708.8</v>
      </c>
      <c r="AJ27" s="106">
        <v>15</v>
      </c>
      <c r="AK27" s="106">
        <v>6408</v>
      </c>
      <c r="AL27" s="106">
        <v>11</v>
      </c>
      <c r="AM27" s="106">
        <v>4699.2</v>
      </c>
      <c r="AN27" s="106">
        <v>13</v>
      </c>
      <c r="AO27" s="106">
        <v>5553.5999999999995</v>
      </c>
      <c r="AP27" s="106">
        <v>8</v>
      </c>
      <c r="AQ27" s="106">
        <v>3417.6</v>
      </c>
      <c r="AR27" s="106">
        <v>26</v>
      </c>
      <c r="AS27" s="106">
        <v>11107.199999999999</v>
      </c>
      <c r="AT27" s="106">
        <v>21</v>
      </c>
      <c r="AU27" s="106">
        <v>8971.1999999999989</v>
      </c>
      <c r="AV27" s="106">
        <v>25</v>
      </c>
      <c r="AW27" s="106">
        <v>10680</v>
      </c>
      <c r="AX27" s="106">
        <v>19</v>
      </c>
      <c r="AY27" s="106">
        <v>8116.8</v>
      </c>
      <c r="AZ27" s="106">
        <v>2</v>
      </c>
      <c r="BA27" s="106">
        <v>854.4</v>
      </c>
      <c r="BB27" s="106">
        <v>2</v>
      </c>
      <c r="BC27" s="106">
        <v>854.4</v>
      </c>
      <c r="BD27" s="106">
        <v>3</v>
      </c>
      <c r="BE27" s="106">
        <v>1281.5999999999999</v>
      </c>
      <c r="BF27" s="106">
        <v>2</v>
      </c>
      <c r="BG27" s="106">
        <v>854.4</v>
      </c>
      <c r="BH27" s="106">
        <v>9</v>
      </c>
      <c r="BI27" s="106">
        <v>3844.7999999999997</v>
      </c>
      <c r="BJ27" s="106">
        <v>16</v>
      </c>
      <c r="BK27" s="106">
        <v>6835.2</v>
      </c>
      <c r="BL27" s="106">
        <v>15</v>
      </c>
      <c r="BM27" s="106">
        <v>6408</v>
      </c>
      <c r="BN27" s="106">
        <v>11</v>
      </c>
      <c r="BO27" s="106">
        <v>4699.2</v>
      </c>
      <c r="BP27" s="106">
        <v>3</v>
      </c>
      <c r="BQ27" s="106">
        <v>1281.5999999999999</v>
      </c>
      <c r="BR27" s="106">
        <v>2</v>
      </c>
      <c r="BS27" s="106">
        <v>854.4</v>
      </c>
      <c r="BT27" s="106">
        <v>2</v>
      </c>
      <c r="BU27" s="106">
        <v>854.4</v>
      </c>
      <c r="BV27" s="106">
        <v>4</v>
      </c>
      <c r="BW27" s="106">
        <v>1708.8</v>
      </c>
      <c r="BX27" s="106">
        <v>21</v>
      </c>
      <c r="BY27" s="106">
        <v>8971.1999999999989</v>
      </c>
      <c r="BZ27" s="106">
        <v>24</v>
      </c>
      <c r="CA27" s="106">
        <v>10252.799999999999</v>
      </c>
      <c r="CB27" s="106">
        <v>17</v>
      </c>
      <c r="CC27" s="106">
        <v>7262.4</v>
      </c>
      <c r="CD27" s="106">
        <v>26</v>
      </c>
      <c r="CE27" s="106">
        <v>11107.199999999999</v>
      </c>
      <c r="CF27" s="106">
        <v>33</v>
      </c>
      <c r="CG27" s="106">
        <v>14097.6</v>
      </c>
      <c r="CH27" s="106">
        <v>26</v>
      </c>
      <c r="CI27" s="106">
        <v>11107.199999999999</v>
      </c>
      <c r="CJ27" s="106">
        <v>31</v>
      </c>
      <c r="CK27" s="106">
        <v>13243.199999999999</v>
      </c>
      <c r="CL27" s="106">
        <v>33</v>
      </c>
      <c r="CM27" s="106">
        <v>14097.6</v>
      </c>
      <c r="CN27" s="106">
        <v>15</v>
      </c>
      <c r="CO27" s="106">
        <v>6408</v>
      </c>
      <c r="CP27" s="106">
        <v>22</v>
      </c>
      <c r="CQ27" s="106">
        <v>9398.4</v>
      </c>
      <c r="CR27" s="106">
        <v>27</v>
      </c>
      <c r="CS27" s="106">
        <v>11534.4</v>
      </c>
      <c r="CT27" s="106">
        <v>30</v>
      </c>
      <c r="CU27" s="106">
        <v>12816</v>
      </c>
    </row>
    <row r="28" spans="2:99" x14ac:dyDescent="0.2">
      <c r="C28" s="105" t="s">
        <v>194</v>
      </c>
      <c r="D28" s="106">
        <v>3</v>
      </c>
      <c r="E28" s="106">
        <v>2214</v>
      </c>
      <c r="F28" s="106">
        <v>2</v>
      </c>
      <c r="G28" s="106">
        <v>1476</v>
      </c>
      <c r="H28" s="106">
        <v>3</v>
      </c>
      <c r="I28" s="106">
        <v>2214</v>
      </c>
      <c r="J28" s="106">
        <v>3</v>
      </c>
      <c r="K28" s="106">
        <v>2214</v>
      </c>
      <c r="L28" s="106">
        <v>13</v>
      </c>
      <c r="M28" s="106">
        <v>9594</v>
      </c>
      <c r="N28" s="106">
        <v>17</v>
      </c>
      <c r="O28" s="106">
        <v>12546</v>
      </c>
      <c r="P28" s="106">
        <v>18</v>
      </c>
      <c r="Q28" s="106">
        <v>13284</v>
      </c>
      <c r="R28" s="106">
        <v>18</v>
      </c>
      <c r="S28" s="106">
        <v>13284</v>
      </c>
      <c r="T28" s="106">
        <v>3</v>
      </c>
      <c r="U28" s="106">
        <v>2214</v>
      </c>
      <c r="V28" s="106">
        <v>3</v>
      </c>
      <c r="W28" s="106">
        <v>2214</v>
      </c>
      <c r="X28" s="106">
        <v>3</v>
      </c>
      <c r="Y28" s="106">
        <v>2214</v>
      </c>
      <c r="Z28" s="106">
        <v>3</v>
      </c>
      <c r="AA28" s="106">
        <v>2214</v>
      </c>
      <c r="AB28" s="106">
        <v>3</v>
      </c>
      <c r="AC28" s="106">
        <v>2214</v>
      </c>
      <c r="AD28" s="106">
        <v>4</v>
      </c>
      <c r="AE28" s="106">
        <v>2952</v>
      </c>
      <c r="AF28" s="106">
        <v>3</v>
      </c>
      <c r="AG28" s="106">
        <v>2214</v>
      </c>
      <c r="AH28" s="106">
        <v>4</v>
      </c>
      <c r="AI28" s="106">
        <v>2952</v>
      </c>
      <c r="AJ28" s="106">
        <v>14</v>
      </c>
      <c r="AK28" s="106">
        <v>10332</v>
      </c>
      <c r="AL28" s="106">
        <v>10</v>
      </c>
      <c r="AM28" s="106">
        <v>7380</v>
      </c>
      <c r="AN28" s="106">
        <v>12</v>
      </c>
      <c r="AO28" s="106">
        <v>8856</v>
      </c>
      <c r="AP28" s="106">
        <v>8</v>
      </c>
      <c r="AQ28" s="106">
        <v>5904</v>
      </c>
      <c r="AR28" s="106">
        <v>25</v>
      </c>
      <c r="AS28" s="106">
        <v>18450</v>
      </c>
      <c r="AT28" s="106">
        <v>22</v>
      </c>
      <c r="AU28" s="106">
        <v>16236</v>
      </c>
      <c r="AV28" s="106">
        <v>25</v>
      </c>
      <c r="AW28" s="106">
        <v>18450</v>
      </c>
      <c r="AX28" s="106">
        <v>20</v>
      </c>
      <c r="AY28" s="106">
        <v>14760</v>
      </c>
      <c r="AZ28" s="106">
        <v>2</v>
      </c>
      <c r="BA28" s="106">
        <v>1476</v>
      </c>
      <c r="BB28" s="106">
        <v>2</v>
      </c>
      <c r="BC28" s="106">
        <v>1476</v>
      </c>
      <c r="BD28" s="106">
        <v>3</v>
      </c>
      <c r="BE28" s="106">
        <v>2214</v>
      </c>
      <c r="BF28" s="106">
        <v>2</v>
      </c>
      <c r="BG28" s="106">
        <v>1476</v>
      </c>
      <c r="BH28" s="106">
        <v>9</v>
      </c>
      <c r="BI28" s="106">
        <v>6642</v>
      </c>
      <c r="BJ28" s="106">
        <v>17</v>
      </c>
      <c r="BK28" s="106">
        <v>12546</v>
      </c>
      <c r="BL28" s="106">
        <v>14</v>
      </c>
      <c r="BM28" s="106">
        <v>10332</v>
      </c>
      <c r="BN28" s="106">
        <v>11</v>
      </c>
      <c r="BO28" s="106">
        <v>8118</v>
      </c>
      <c r="BP28" s="106">
        <v>3</v>
      </c>
      <c r="BQ28" s="106">
        <v>2214</v>
      </c>
      <c r="BR28" s="106">
        <v>2</v>
      </c>
      <c r="BS28" s="106">
        <v>1476</v>
      </c>
      <c r="BT28" s="106">
        <v>2</v>
      </c>
      <c r="BU28" s="106">
        <v>1476</v>
      </c>
      <c r="BV28" s="106">
        <v>3</v>
      </c>
      <c r="BW28" s="106">
        <v>2214</v>
      </c>
      <c r="BX28" s="106">
        <v>20</v>
      </c>
      <c r="BY28" s="106">
        <v>14760</v>
      </c>
      <c r="BZ28" s="106">
        <v>27</v>
      </c>
      <c r="CA28" s="106">
        <v>19926</v>
      </c>
      <c r="CB28" s="106">
        <v>18</v>
      </c>
      <c r="CC28" s="106">
        <v>13284</v>
      </c>
      <c r="CD28" s="106">
        <v>24</v>
      </c>
      <c r="CE28" s="106">
        <v>17712</v>
      </c>
      <c r="CF28" s="106">
        <v>31</v>
      </c>
      <c r="CG28" s="106">
        <v>22878</v>
      </c>
      <c r="CH28" s="106">
        <v>24</v>
      </c>
      <c r="CI28" s="106">
        <v>17712</v>
      </c>
      <c r="CJ28" s="106">
        <v>33</v>
      </c>
      <c r="CK28" s="106">
        <v>24354</v>
      </c>
      <c r="CL28" s="106">
        <v>33</v>
      </c>
      <c r="CM28" s="106">
        <v>24354</v>
      </c>
      <c r="CN28" s="106">
        <v>14</v>
      </c>
      <c r="CO28" s="106">
        <v>10332</v>
      </c>
      <c r="CP28" s="106">
        <v>23</v>
      </c>
      <c r="CQ28" s="106">
        <v>16974</v>
      </c>
      <c r="CR28" s="106">
        <v>29</v>
      </c>
      <c r="CS28" s="106">
        <v>21402</v>
      </c>
      <c r="CT28" s="106">
        <v>26</v>
      </c>
      <c r="CU28" s="106">
        <v>19188</v>
      </c>
    </row>
    <row r="29" spans="2:99" x14ac:dyDescent="0.2">
      <c r="C29" s="105" t="s">
        <v>195</v>
      </c>
      <c r="D29" s="106">
        <v>2</v>
      </c>
      <c r="E29" s="106">
        <v>676.8</v>
      </c>
      <c r="F29" s="106">
        <v>2</v>
      </c>
      <c r="G29" s="106">
        <v>676.8</v>
      </c>
      <c r="H29" s="106">
        <v>3</v>
      </c>
      <c r="I29" s="106">
        <v>1015.1999999999999</v>
      </c>
      <c r="J29" s="106">
        <v>3</v>
      </c>
      <c r="K29" s="106">
        <v>1015.1999999999999</v>
      </c>
      <c r="L29" s="106">
        <v>14</v>
      </c>
      <c r="M29" s="106">
        <v>4737.5999999999995</v>
      </c>
      <c r="N29" s="106">
        <v>18</v>
      </c>
      <c r="O29" s="106">
        <v>6091.2</v>
      </c>
      <c r="P29" s="106">
        <v>19</v>
      </c>
      <c r="Q29" s="106">
        <v>6429.5999999999995</v>
      </c>
      <c r="R29" s="106">
        <v>19</v>
      </c>
      <c r="S29" s="106">
        <v>6429.5999999999995</v>
      </c>
      <c r="T29" s="106">
        <v>3</v>
      </c>
      <c r="U29" s="106">
        <v>1015.1999999999999</v>
      </c>
      <c r="V29" s="106">
        <v>3</v>
      </c>
      <c r="W29" s="106">
        <v>1015.1999999999999</v>
      </c>
      <c r="X29" s="106">
        <v>3</v>
      </c>
      <c r="Y29" s="106">
        <v>1015.1999999999999</v>
      </c>
      <c r="Z29" s="106">
        <v>4</v>
      </c>
      <c r="AA29" s="106">
        <v>1353.6</v>
      </c>
      <c r="AB29" s="106">
        <v>3</v>
      </c>
      <c r="AC29" s="106">
        <v>1015.1999999999999</v>
      </c>
      <c r="AD29" s="106">
        <v>3</v>
      </c>
      <c r="AE29" s="106">
        <v>1015.1999999999999</v>
      </c>
      <c r="AF29" s="106">
        <v>3</v>
      </c>
      <c r="AG29" s="106">
        <v>1015.1999999999999</v>
      </c>
      <c r="AH29" s="106">
        <v>4</v>
      </c>
      <c r="AI29" s="106">
        <v>1353.6</v>
      </c>
      <c r="AJ29" s="106">
        <v>13</v>
      </c>
      <c r="AK29" s="106">
        <v>4399.2</v>
      </c>
      <c r="AL29" s="106">
        <v>11</v>
      </c>
      <c r="AM29" s="106">
        <v>3722.3999999999996</v>
      </c>
      <c r="AN29" s="106">
        <v>13</v>
      </c>
      <c r="AO29" s="106">
        <v>4399.2</v>
      </c>
      <c r="AP29" s="106">
        <v>10</v>
      </c>
      <c r="AQ29" s="106">
        <v>3384</v>
      </c>
      <c r="AR29" s="106">
        <v>27</v>
      </c>
      <c r="AS29" s="106">
        <v>9136.7999999999993</v>
      </c>
      <c r="AT29" s="106">
        <v>21</v>
      </c>
      <c r="AU29" s="106">
        <v>7106.4</v>
      </c>
      <c r="AV29" s="106">
        <v>26</v>
      </c>
      <c r="AW29" s="106">
        <v>8798.4</v>
      </c>
      <c r="AX29" s="106">
        <v>21</v>
      </c>
      <c r="AY29" s="106">
        <v>7106.4</v>
      </c>
      <c r="AZ29" s="106">
        <v>2</v>
      </c>
      <c r="BA29" s="106">
        <v>676.8</v>
      </c>
      <c r="BB29" s="106">
        <v>2</v>
      </c>
      <c r="BC29" s="106">
        <v>676.8</v>
      </c>
      <c r="BD29" s="106">
        <v>3</v>
      </c>
      <c r="BE29" s="106">
        <v>1015.1999999999999</v>
      </c>
      <c r="BF29" s="106">
        <v>2</v>
      </c>
      <c r="BG29" s="106">
        <v>676.8</v>
      </c>
      <c r="BH29" s="106">
        <v>9</v>
      </c>
      <c r="BI29" s="106">
        <v>3045.6</v>
      </c>
      <c r="BJ29" s="106">
        <v>17</v>
      </c>
      <c r="BK29" s="106">
        <v>5752.7999999999993</v>
      </c>
      <c r="BL29" s="106">
        <v>15</v>
      </c>
      <c r="BM29" s="106">
        <v>5076</v>
      </c>
      <c r="BN29" s="106">
        <v>12</v>
      </c>
      <c r="BO29" s="106">
        <v>4060.7999999999997</v>
      </c>
      <c r="BP29" s="106">
        <v>3</v>
      </c>
      <c r="BQ29" s="106">
        <v>1015.1999999999999</v>
      </c>
      <c r="BR29" s="106">
        <v>2</v>
      </c>
      <c r="BS29" s="106">
        <v>676.8</v>
      </c>
      <c r="BT29" s="106">
        <v>2</v>
      </c>
      <c r="BU29" s="106">
        <v>676.8</v>
      </c>
      <c r="BV29" s="106">
        <v>3</v>
      </c>
      <c r="BW29" s="106">
        <v>1015.1999999999999</v>
      </c>
      <c r="BX29" s="106">
        <v>22</v>
      </c>
      <c r="BY29" s="106">
        <v>7444.7999999999993</v>
      </c>
      <c r="BZ29" s="106">
        <v>28</v>
      </c>
      <c r="CA29" s="106">
        <v>9475.1999999999989</v>
      </c>
      <c r="CB29" s="106">
        <v>20</v>
      </c>
      <c r="CC29" s="106">
        <v>6768</v>
      </c>
      <c r="CD29" s="106">
        <v>24</v>
      </c>
      <c r="CE29" s="106">
        <v>8121.5999999999995</v>
      </c>
      <c r="CF29" s="106">
        <v>33</v>
      </c>
      <c r="CG29" s="106">
        <v>11167.199999999999</v>
      </c>
      <c r="CH29" s="106">
        <v>26</v>
      </c>
      <c r="CI29" s="106">
        <v>8798.4</v>
      </c>
      <c r="CJ29" s="106">
        <v>31</v>
      </c>
      <c r="CK29" s="106">
        <v>10490.4</v>
      </c>
      <c r="CL29" s="106">
        <v>33</v>
      </c>
      <c r="CM29" s="106">
        <v>11167.199999999999</v>
      </c>
      <c r="CN29" s="106">
        <v>16</v>
      </c>
      <c r="CO29" s="106">
        <v>5414.4</v>
      </c>
      <c r="CP29" s="106">
        <v>26</v>
      </c>
      <c r="CQ29" s="106">
        <v>8798.4</v>
      </c>
      <c r="CR29" s="106">
        <v>31</v>
      </c>
      <c r="CS29" s="106">
        <v>10490.4</v>
      </c>
      <c r="CT29" s="106">
        <v>29</v>
      </c>
      <c r="CU29" s="106">
        <v>9813.5999999999985</v>
      </c>
    </row>
    <row r="30" spans="2:99" x14ac:dyDescent="0.2">
      <c r="C30" s="105" t="s">
        <v>196</v>
      </c>
      <c r="D30" s="106">
        <v>2</v>
      </c>
      <c r="E30" s="106">
        <v>278.39999999999998</v>
      </c>
      <c r="F30" s="106">
        <v>2</v>
      </c>
      <c r="G30" s="106">
        <v>278.39999999999998</v>
      </c>
      <c r="H30" s="106">
        <v>3</v>
      </c>
      <c r="I30" s="106">
        <v>417.59999999999997</v>
      </c>
      <c r="J30" s="106">
        <v>3</v>
      </c>
      <c r="K30" s="106">
        <v>417.59999999999997</v>
      </c>
      <c r="L30" s="106">
        <v>14</v>
      </c>
      <c r="M30" s="106">
        <v>1948.7999999999997</v>
      </c>
      <c r="N30" s="106">
        <v>19</v>
      </c>
      <c r="O30" s="106">
        <v>2644.7999999999997</v>
      </c>
      <c r="P30" s="106">
        <v>18</v>
      </c>
      <c r="Q30" s="106">
        <v>2505.6</v>
      </c>
      <c r="R30" s="106">
        <v>19</v>
      </c>
      <c r="S30" s="106">
        <v>2644.7999999999997</v>
      </c>
      <c r="T30" s="106">
        <v>4</v>
      </c>
      <c r="U30" s="106">
        <v>556.79999999999995</v>
      </c>
      <c r="V30" s="106">
        <v>4</v>
      </c>
      <c r="W30" s="106">
        <v>556.79999999999995</v>
      </c>
      <c r="X30" s="106">
        <v>4</v>
      </c>
      <c r="Y30" s="106">
        <v>556.79999999999995</v>
      </c>
      <c r="Z30" s="106">
        <v>4</v>
      </c>
      <c r="AA30" s="106">
        <v>556.79999999999995</v>
      </c>
      <c r="AB30" s="106">
        <v>3</v>
      </c>
      <c r="AC30" s="106">
        <v>417.59999999999997</v>
      </c>
      <c r="AD30" s="106">
        <v>3</v>
      </c>
      <c r="AE30" s="106">
        <v>417.59999999999997</v>
      </c>
      <c r="AF30" s="106">
        <v>3</v>
      </c>
      <c r="AG30" s="106">
        <v>417.59999999999997</v>
      </c>
      <c r="AH30" s="106">
        <v>4</v>
      </c>
      <c r="AI30" s="106">
        <v>556.79999999999995</v>
      </c>
      <c r="AJ30" s="106">
        <v>15</v>
      </c>
      <c r="AK30" s="106">
        <v>2088</v>
      </c>
      <c r="AL30" s="106">
        <v>12</v>
      </c>
      <c r="AM30" s="106">
        <v>1670.3999999999999</v>
      </c>
      <c r="AN30" s="106">
        <v>13</v>
      </c>
      <c r="AO30" s="106">
        <v>1809.6</v>
      </c>
      <c r="AP30" s="106">
        <v>10</v>
      </c>
      <c r="AQ30" s="106">
        <v>1392</v>
      </c>
      <c r="AR30" s="106">
        <v>27</v>
      </c>
      <c r="AS30" s="106">
        <v>3758.3999999999996</v>
      </c>
      <c r="AT30" s="106">
        <v>22</v>
      </c>
      <c r="AU30" s="106">
        <v>3062.3999999999996</v>
      </c>
      <c r="AV30" s="106">
        <v>24</v>
      </c>
      <c r="AW30" s="106">
        <v>3340.7999999999997</v>
      </c>
      <c r="AX30" s="106">
        <v>24</v>
      </c>
      <c r="AY30" s="106">
        <v>3340.7999999999997</v>
      </c>
      <c r="AZ30" s="106">
        <v>2</v>
      </c>
      <c r="BA30" s="106">
        <v>278.39999999999998</v>
      </c>
      <c r="BB30" s="106">
        <v>2</v>
      </c>
      <c r="BC30" s="106">
        <v>278.39999999999998</v>
      </c>
      <c r="BD30" s="106">
        <v>3</v>
      </c>
      <c r="BE30" s="106">
        <v>417.59999999999997</v>
      </c>
      <c r="BF30" s="106">
        <v>2</v>
      </c>
      <c r="BG30" s="106">
        <v>278.39999999999998</v>
      </c>
      <c r="BH30" s="106">
        <v>10</v>
      </c>
      <c r="BI30" s="106">
        <v>1392</v>
      </c>
      <c r="BJ30" s="106">
        <v>16</v>
      </c>
      <c r="BK30" s="106">
        <v>2227.1999999999998</v>
      </c>
      <c r="BL30" s="106">
        <v>16</v>
      </c>
      <c r="BM30" s="106">
        <v>2227.1999999999998</v>
      </c>
      <c r="BN30" s="106">
        <v>11</v>
      </c>
      <c r="BO30" s="106">
        <v>1531.1999999999998</v>
      </c>
      <c r="BP30" s="106">
        <v>3</v>
      </c>
      <c r="BQ30" s="106">
        <v>417.59999999999997</v>
      </c>
      <c r="BR30" s="106">
        <v>2</v>
      </c>
      <c r="BS30" s="106">
        <v>278.39999999999998</v>
      </c>
      <c r="BT30" s="106">
        <v>2</v>
      </c>
      <c r="BU30" s="106">
        <v>278.39999999999998</v>
      </c>
      <c r="BV30" s="106">
        <v>3</v>
      </c>
      <c r="BW30" s="106">
        <v>417.59999999999997</v>
      </c>
      <c r="BX30" s="106">
        <v>21</v>
      </c>
      <c r="BY30" s="106">
        <v>2923.2</v>
      </c>
      <c r="BZ30" s="106">
        <v>29</v>
      </c>
      <c r="CA30" s="106">
        <v>4036.7999999999997</v>
      </c>
      <c r="CB30" s="106">
        <v>17</v>
      </c>
      <c r="CC30" s="106">
        <v>2366.3999999999996</v>
      </c>
      <c r="CD30" s="106">
        <v>26</v>
      </c>
      <c r="CE30" s="106">
        <v>3619.2</v>
      </c>
      <c r="CF30" s="106">
        <v>30</v>
      </c>
      <c r="CG30" s="106">
        <v>4176</v>
      </c>
      <c r="CH30" s="106">
        <v>30</v>
      </c>
      <c r="CI30" s="106">
        <v>4176</v>
      </c>
      <c r="CJ30" s="106">
        <v>37</v>
      </c>
      <c r="CK30" s="106">
        <v>5150.3999999999996</v>
      </c>
      <c r="CL30" s="106">
        <v>32</v>
      </c>
      <c r="CM30" s="106">
        <v>4454.3999999999996</v>
      </c>
      <c r="CN30" s="106">
        <v>18</v>
      </c>
      <c r="CO30" s="106">
        <v>2505.6</v>
      </c>
      <c r="CP30" s="106">
        <v>23</v>
      </c>
      <c r="CQ30" s="106">
        <v>3201.6</v>
      </c>
      <c r="CR30" s="106">
        <v>31</v>
      </c>
      <c r="CS30" s="106">
        <v>4315.2</v>
      </c>
      <c r="CT30" s="106">
        <v>29</v>
      </c>
      <c r="CU30" s="106">
        <v>4036.7999999999997</v>
      </c>
    </row>
    <row r="31" spans="2:99" x14ac:dyDescent="0.2">
      <c r="C31" s="105" t="s">
        <v>197</v>
      </c>
      <c r="D31" s="106">
        <v>3</v>
      </c>
      <c r="E31" s="106">
        <v>1022.4000000000001</v>
      </c>
      <c r="F31" s="106">
        <v>2</v>
      </c>
      <c r="G31" s="106">
        <v>681.6</v>
      </c>
      <c r="H31" s="106">
        <v>2</v>
      </c>
      <c r="I31" s="106">
        <v>681.6</v>
      </c>
      <c r="J31" s="106">
        <v>3</v>
      </c>
      <c r="K31" s="106">
        <v>1022.4000000000001</v>
      </c>
      <c r="L31" s="106">
        <v>15</v>
      </c>
      <c r="M31" s="106">
        <v>5112</v>
      </c>
      <c r="N31" s="106">
        <v>19</v>
      </c>
      <c r="O31" s="106">
        <v>6475.2</v>
      </c>
      <c r="P31" s="106">
        <v>19</v>
      </c>
      <c r="Q31" s="106">
        <v>6475.2</v>
      </c>
      <c r="R31" s="106">
        <v>17</v>
      </c>
      <c r="S31" s="106">
        <v>5793.6</v>
      </c>
      <c r="T31" s="106">
        <v>3</v>
      </c>
      <c r="U31" s="106">
        <v>1022.4000000000001</v>
      </c>
      <c r="V31" s="106">
        <v>3</v>
      </c>
      <c r="W31" s="106">
        <v>1022.4000000000001</v>
      </c>
      <c r="X31" s="106">
        <v>3</v>
      </c>
      <c r="Y31" s="106">
        <v>1022.4000000000001</v>
      </c>
      <c r="Z31" s="106">
        <v>4</v>
      </c>
      <c r="AA31" s="106">
        <v>1363.2</v>
      </c>
      <c r="AB31" s="106">
        <v>3</v>
      </c>
      <c r="AC31" s="106">
        <v>1022.4000000000001</v>
      </c>
      <c r="AD31" s="106">
        <v>4</v>
      </c>
      <c r="AE31" s="106">
        <v>1363.2</v>
      </c>
      <c r="AF31" s="106">
        <v>3</v>
      </c>
      <c r="AG31" s="106">
        <v>1022.4000000000001</v>
      </c>
      <c r="AH31" s="106">
        <v>4</v>
      </c>
      <c r="AI31" s="106">
        <v>1363.2</v>
      </c>
      <c r="AJ31" s="106">
        <v>14</v>
      </c>
      <c r="AK31" s="106">
        <v>4771.2</v>
      </c>
      <c r="AL31" s="106">
        <v>12</v>
      </c>
      <c r="AM31" s="106">
        <v>4089.6000000000004</v>
      </c>
      <c r="AN31" s="106">
        <v>14</v>
      </c>
      <c r="AO31" s="106">
        <v>4771.2</v>
      </c>
      <c r="AP31" s="106">
        <v>9</v>
      </c>
      <c r="AQ31" s="106">
        <v>3067.2000000000003</v>
      </c>
      <c r="AR31" s="106">
        <v>24</v>
      </c>
      <c r="AS31" s="106">
        <v>8179.2000000000007</v>
      </c>
      <c r="AT31" s="106">
        <v>23</v>
      </c>
      <c r="AU31" s="106">
        <v>7838.4000000000005</v>
      </c>
      <c r="AV31" s="106">
        <v>25</v>
      </c>
      <c r="AW31" s="106">
        <v>8520</v>
      </c>
      <c r="AX31" s="106">
        <v>22</v>
      </c>
      <c r="AY31" s="106">
        <v>7497.6</v>
      </c>
      <c r="AZ31" s="106">
        <v>2</v>
      </c>
      <c r="BA31" s="106">
        <v>681.6</v>
      </c>
      <c r="BB31" s="106">
        <v>2</v>
      </c>
      <c r="BC31" s="106">
        <v>681.6</v>
      </c>
      <c r="BD31" s="106">
        <v>3</v>
      </c>
      <c r="BE31" s="106">
        <v>1022.4000000000001</v>
      </c>
      <c r="BF31" s="106">
        <v>2</v>
      </c>
      <c r="BG31" s="106">
        <v>681.6</v>
      </c>
      <c r="BH31" s="106">
        <v>9</v>
      </c>
      <c r="BI31" s="106">
        <v>3067.2000000000003</v>
      </c>
      <c r="BJ31" s="106">
        <v>15</v>
      </c>
      <c r="BK31" s="106">
        <v>5112</v>
      </c>
      <c r="BL31" s="106">
        <v>14</v>
      </c>
      <c r="BM31" s="106">
        <v>4771.2</v>
      </c>
      <c r="BN31" s="106">
        <v>12</v>
      </c>
      <c r="BO31" s="106">
        <v>4089.6000000000004</v>
      </c>
      <c r="BP31" s="106">
        <v>3</v>
      </c>
      <c r="BQ31" s="106">
        <v>1022.4000000000001</v>
      </c>
      <c r="BR31" s="106">
        <v>2</v>
      </c>
      <c r="BS31" s="106">
        <v>681.6</v>
      </c>
      <c r="BT31" s="106">
        <v>2</v>
      </c>
      <c r="BU31" s="106">
        <v>681.6</v>
      </c>
      <c r="BV31" s="106">
        <v>3</v>
      </c>
      <c r="BW31" s="106">
        <v>1022.4000000000001</v>
      </c>
      <c r="BX31" s="106">
        <v>22</v>
      </c>
      <c r="BY31" s="106">
        <v>7497.6</v>
      </c>
      <c r="BZ31" s="106">
        <v>26</v>
      </c>
      <c r="CA31" s="106">
        <v>8860.8000000000011</v>
      </c>
      <c r="CB31" s="106">
        <v>19</v>
      </c>
      <c r="CC31" s="106">
        <v>6475.2</v>
      </c>
      <c r="CD31" s="106">
        <v>27</v>
      </c>
      <c r="CE31" s="106">
        <v>9201.6</v>
      </c>
      <c r="CF31" s="106">
        <v>31</v>
      </c>
      <c r="CG31" s="106">
        <v>10564.800000000001</v>
      </c>
      <c r="CH31" s="106">
        <v>28</v>
      </c>
      <c r="CI31" s="106">
        <v>9542.4</v>
      </c>
      <c r="CJ31" s="106">
        <v>36</v>
      </c>
      <c r="CK31" s="106">
        <v>12268.800000000001</v>
      </c>
      <c r="CL31" s="106">
        <v>37</v>
      </c>
      <c r="CM31" s="106">
        <v>12609.6</v>
      </c>
      <c r="CN31" s="106">
        <v>18</v>
      </c>
      <c r="CO31" s="106">
        <v>6134.4000000000005</v>
      </c>
      <c r="CP31" s="106">
        <v>25</v>
      </c>
      <c r="CQ31" s="106">
        <v>8520</v>
      </c>
      <c r="CR31" s="106">
        <v>30</v>
      </c>
      <c r="CS31" s="106">
        <v>10224</v>
      </c>
      <c r="CT31" s="106">
        <v>29</v>
      </c>
      <c r="CU31" s="106">
        <v>9883.2000000000007</v>
      </c>
    </row>
    <row r="32" spans="2:99" x14ac:dyDescent="0.2">
      <c r="C32" s="105" t="s">
        <v>198</v>
      </c>
      <c r="D32" s="106">
        <v>3</v>
      </c>
      <c r="E32" s="106">
        <v>2520</v>
      </c>
      <c r="F32" s="106">
        <v>2</v>
      </c>
      <c r="G32" s="106">
        <v>1680</v>
      </c>
      <c r="H32" s="106">
        <v>3</v>
      </c>
      <c r="I32" s="106">
        <v>2520</v>
      </c>
      <c r="J32" s="106">
        <v>3</v>
      </c>
      <c r="K32" s="106">
        <v>2520</v>
      </c>
      <c r="L32" s="106">
        <v>13</v>
      </c>
      <c r="M32" s="106">
        <v>10920</v>
      </c>
      <c r="N32" s="106">
        <v>17</v>
      </c>
      <c r="O32" s="106">
        <v>14280</v>
      </c>
      <c r="P32" s="106">
        <v>19</v>
      </c>
      <c r="Q32" s="106">
        <v>15960</v>
      </c>
      <c r="R32" s="106">
        <v>16</v>
      </c>
      <c r="S32" s="106">
        <v>13440</v>
      </c>
      <c r="T32" s="106">
        <v>3</v>
      </c>
      <c r="U32" s="106">
        <v>2520</v>
      </c>
      <c r="V32" s="106">
        <v>3</v>
      </c>
      <c r="W32" s="106">
        <v>2520</v>
      </c>
      <c r="X32" s="106">
        <v>3</v>
      </c>
      <c r="Y32" s="106">
        <v>2520</v>
      </c>
      <c r="Z32" s="106">
        <v>4</v>
      </c>
      <c r="AA32" s="106">
        <v>3360</v>
      </c>
      <c r="AB32" s="106">
        <v>3</v>
      </c>
      <c r="AC32" s="106">
        <v>2520</v>
      </c>
      <c r="AD32" s="106">
        <v>3</v>
      </c>
      <c r="AE32" s="106">
        <v>2520</v>
      </c>
      <c r="AF32" s="106">
        <v>3</v>
      </c>
      <c r="AG32" s="106">
        <v>2520</v>
      </c>
      <c r="AH32" s="106">
        <v>4</v>
      </c>
      <c r="AI32" s="106">
        <v>3360</v>
      </c>
      <c r="AJ32" s="106">
        <v>14</v>
      </c>
      <c r="AK32" s="106">
        <v>11760</v>
      </c>
      <c r="AL32" s="106">
        <v>11</v>
      </c>
      <c r="AM32" s="106">
        <v>9240</v>
      </c>
      <c r="AN32" s="106">
        <v>12</v>
      </c>
      <c r="AO32" s="106">
        <v>10080</v>
      </c>
      <c r="AP32" s="106">
        <v>8</v>
      </c>
      <c r="AQ32" s="106">
        <v>6720</v>
      </c>
      <c r="AR32" s="106">
        <v>23</v>
      </c>
      <c r="AS32" s="106">
        <v>19320</v>
      </c>
      <c r="AT32" s="106">
        <v>22</v>
      </c>
      <c r="AU32" s="106">
        <v>18480</v>
      </c>
      <c r="AV32" s="106">
        <v>23</v>
      </c>
      <c r="AW32" s="106">
        <v>19320</v>
      </c>
      <c r="AX32" s="106">
        <v>17</v>
      </c>
      <c r="AY32" s="106">
        <v>14280</v>
      </c>
      <c r="AZ32" s="106">
        <v>2</v>
      </c>
      <c r="BA32" s="106">
        <v>1680</v>
      </c>
      <c r="BB32" s="106">
        <v>2</v>
      </c>
      <c r="BC32" s="106">
        <v>1680</v>
      </c>
      <c r="BD32" s="106">
        <v>3</v>
      </c>
      <c r="BE32" s="106">
        <v>2520</v>
      </c>
      <c r="BF32" s="106">
        <v>2</v>
      </c>
      <c r="BG32" s="106">
        <v>1680</v>
      </c>
      <c r="BH32" s="106">
        <v>10</v>
      </c>
      <c r="BI32" s="106">
        <v>8400</v>
      </c>
      <c r="BJ32" s="106">
        <v>17</v>
      </c>
      <c r="BK32" s="106">
        <v>14280</v>
      </c>
      <c r="BL32" s="106">
        <v>14</v>
      </c>
      <c r="BM32" s="106">
        <v>11760</v>
      </c>
      <c r="BN32" s="106">
        <v>11</v>
      </c>
      <c r="BO32" s="106">
        <v>9240</v>
      </c>
      <c r="BP32" s="106">
        <v>3</v>
      </c>
      <c r="BQ32" s="106">
        <v>2520</v>
      </c>
      <c r="BR32" s="106">
        <v>2</v>
      </c>
      <c r="BS32" s="106">
        <v>1680</v>
      </c>
      <c r="BT32" s="106">
        <v>2</v>
      </c>
      <c r="BU32" s="106">
        <v>1680</v>
      </c>
      <c r="BV32" s="106">
        <v>3</v>
      </c>
      <c r="BW32" s="106">
        <v>2520</v>
      </c>
      <c r="BX32" s="106">
        <v>18</v>
      </c>
      <c r="BY32" s="106">
        <v>15120</v>
      </c>
      <c r="BZ32" s="106">
        <v>23</v>
      </c>
      <c r="CA32" s="106">
        <v>19320</v>
      </c>
      <c r="CB32" s="106">
        <v>18</v>
      </c>
      <c r="CC32" s="106">
        <v>15120</v>
      </c>
      <c r="CD32" s="106">
        <v>21</v>
      </c>
      <c r="CE32" s="106">
        <v>17640</v>
      </c>
      <c r="CF32" s="106">
        <v>30</v>
      </c>
      <c r="CG32" s="106">
        <v>25200</v>
      </c>
      <c r="CH32" s="106">
        <v>24</v>
      </c>
      <c r="CI32" s="106">
        <v>20160</v>
      </c>
      <c r="CJ32" s="106">
        <v>30</v>
      </c>
      <c r="CK32" s="106">
        <v>25200</v>
      </c>
      <c r="CL32" s="106">
        <v>28</v>
      </c>
      <c r="CM32" s="106">
        <v>23520</v>
      </c>
      <c r="CN32" s="106">
        <v>15</v>
      </c>
      <c r="CO32" s="106">
        <v>12600</v>
      </c>
      <c r="CP32" s="106">
        <v>24</v>
      </c>
      <c r="CQ32" s="106">
        <v>20160</v>
      </c>
      <c r="CR32" s="106">
        <v>25</v>
      </c>
      <c r="CS32" s="106">
        <v>21000</v>
      </c>
      <c r="CT32" s="106">
        <v>28</v>
      </c>
      <c r="CU32" s="106">
        <v>23520</v>
      </c>
    </row>
    <row r="33" spans="2:99" x14ac:dyDescent="0.2">
      <c r="C33" s="105" t="s">
        <v>199</v>
      </c>
      <c r="D33" s="106">
        <v>3</v>
      </c>
      <c r="E33" s="106">
        <v>1422</v>
      </c>
      <c r="F33" s="106">
        <v>2</v>
      </c>
      <c r="G33" s="106">
        <v>948</v>
      </c>
      <c r="H33" s="106">
        <v>3</v>
      </c>
      <c r="I33" s="106">
        <v>1422</v>
      </c>
      <c r="J33" s="106">
        <v>3</v>
      </c>
      <c r="K33" s="106">
        <v>1422</v>
      </c>
      <c r="L33" s="106">
        <v>14</v>
      </c>
      <c r="M33" s="106">
        <v>6636</v>
      </c>
      <c r="N33" s="106">
        <v>17</v>
      </c>
      <c r="O33" s="106">
        <v>8058</v>
      </c>
      <c r="P33" s="106">
        <v>18</v>
      </c>
      <c r="Q33" s="106">
        <v>8532</v>
      </c>
      <c r="R33" s="106">
        <v>18</v>
      </c>
      <c r="S33" s="106">
        <v>8532</v>
      </c>
      <c r="T33" s="106">
        <v>3</v>
      </c>
      <c r="U33" s="106">
        <v>1422</v>
      </c>
      <c r="V33" s="106">
        <v>3</v>
      </c>
      <c r="W33" s="106">
        <v>1422</v>
      </c>
      <c r="X33" s="106">
        <v>3</v>
      </c>
      <c r="Y33" s="106">
        <v>1422</v>
      </c>
      <c r="Z33" s="106">
        <v>3</v>
      </c>
      <c r="AA33" s="106">
        <v>1422</v>
      </c>
      <c r="AB33" s="106">
        <v>3</v>
      </c>
      <c r="AC33" s="106">
        <v>1422</v>
      </c>
      <c r="AD33" s="106">
        <v>4</v>
      </c>
      <c r="AE33" s="106">
        <v>1896</v>
      </c>
      <c r="AF33" s="106">
        <v>3</v>
      </c>
      <c r="AG33" s="106">
        <v>1422</v>
      </c>
      <c r="AH33" s="106">
        <v>4</v>
      </c>
      <c r="AI33" s="106">
        <v>1896</v>
      </c>
      <c r="AJ33" s="106">
        <v>14</v>
      </c>
      <c r="AK33" s="106">
        <v>6636</v>
      </c>
      <c r="AL33" s="106">
        <v>11</v>
      </c>
      <c r="AM33" s="106">
        <v>5214</v>
      </c>
      <c r="AN33" s="106">
        <v>14</v>
      </c>
      <c r="AO33" s="106">
        <v>6636</v>
      </c>
      <c r="AP33" s="106">
        <v>8</v>
      </c>
      <c r="AQ33" s="106">
        <v>3792</v>
      </c>
      <c r="AR33" s="106">
        <v>26</v>
      </c>
      <c r="AS33" s="106">
        <v>12324</v>
      </c>
      <c r="AT33" s="106">
        <v>21</v>
      </c>
      <c r="AU33" s="106">
        <v>9954</v>
      </c>
      <c r="AV33" s="106">
        <v>23</v>
      </c>
      <c r="AW33" s="106">
        <v>10902</v>
      </c>
      <c r="AX33" s="106">
        <v>20</v>
      </c>
      <c r="AY33" s="106">
        <v>9480</v>
      </c>
      <c r="AZ33" s="106">
        <v>2</v>
      </c>
      <c r="BA33" s="106">
        <v>948</v>
      </c>
      <c r="BB33" s="106">
        <v>2</v>
      </c>
      <c r="BC33" s="106">
        <v>948</v>
      </c>
      <c r="BD33" s="106">
        <v>3</v>
      </c>
      <c r="BE33" s="106">
        <v>1422</v>
      </c>
      <c r="BF33" s="106">
        <v>2</v>
      </c>
      <c r="BG33" s="106">
        <v>948</v>
      </c>
      <c r="BH33" s="106">
        <v>10</v>
      </c>
      <c r="BI33" s="106">
        <v>4740</v>
      </c>
      <c r="BJ33" s="106">
        <v>16</v>
      </c>
      <c r="BK33" s="106">
        <v>7584</v>
      </c>
      <c r="BL33" s="106">
        <v>16</v>
      </c>
      <c r="BM33" s="106">
        <v>7584</v>
      </c>
      <c r="BN33" s="106">
        <v>11</v>
      </c>
      <c r="BO33" s="106">
        <v>5214</v>
      </c>
      <c r="BP33" s="106">
        <v>3</v>
      </c>
      <c r="BQ33" s="106">
        <v>1422</v>
      </c>
      <c r="BR33" s="106">
        <v>2</v>
      </c>
      <c r="BS33" s="106">
        <v>948</v>
      </c>
      <c r="BT33" s="106">
        <v>2</v>
      </c>
      <c r="BU33" s="106">
        <v>948</v>
      </c>
      <c r="BV33" s="106">
        <v>3</v>
      </c>
      <c r="BW33" s="106">
        <v>1422</v>
      </c>
      <c r="BX33" s="106">
        <v>22</v>
      </c>
      <c r="BY33" s="106">
        <v>10428</v>
      </c>
      <c r="BZ33" s="106">
        <v>27</v>
      </c>
      <c r="CA33" s="106">
        <v>12798</v>
      </c>
      <c r="CB33" s="106">
        <v>18</v>
      </c>
      <c r="CC33" s="106">
        <v>8532</v>
      </c>
      <c r="CD33" s="106">
        <v>26</v>
      </c>
      <c r="CE33" s="106">
        <v>12324</v>
      </c>
      <c r="CF33" s="106">
        <v>30</v>
      </c>
      <c r="CG33" s="106">
        <v>14220</v>
      </c>
      <c r="CH33" s="106">
        <v>25</v>
      </c>
      <c r="CI33" s="106">
        <v>11850</v>
      </c>
      <c r="CJ33" s="106">
        <v>29</v>
      </c>
      <c r="CK33" s="106">
        <v>13746</v>
      </c>
      <c r="CL33" s="106">
        <v>32</v>
      </c>
      <c r="CM33" s="106">
        <v>15168</v>
      </c>
      <c r="CN33" s="106">
        <v>16</v>
      </c>
      <c r="CO33" s="106">
        <v>7584</v>
      </c>
      <c r="CP33" s="106">
        <v>26</v>
      </c>
      <c r="CQ33" s="106">
        <v>12324</v>
      </c>
      <c r="CR33" s="106">
        <v>26</v>
      </c>
      <c r="CS33" s="106">
        <v>12324</v>
      </c>
      <c r="CT33" s="106">
        <v>29</v>
      </c>
      <c r="CU33" s="106">
        <v>13746</v>
      </c>
    </row>
    <row r="34" spans="2:99" x14ac:dyDescent="0.2">
      <c r="C34" s="105" t="s">
        <v>200</v>
      </c>
      <c r="D34" s="106">
        <v>3</v>
      </c>
      <c r="E34" s="106">
        <v>1645.1999999999998</v>
      </c>
      <c r="F34" s="106">
        <v>2</v>
      </c>
      <c r="G34" s="106">
        <v>1096.8</v>
      </c>
      <c r="H34" s="106">
        <v>3</v>
      </c>
      <c r="I34" s="106">
        <v>1645.1999999999998</v>
      </c>
      <c r="J34" s="106">
        <v>3</v>
      </c>
      <c r="K34" s="106">
        <v>1645.1999999999998</v>
      </c>
      <c r="L34" s="106">
        <v>13</v>
      </c>
      <c r="M34" s="106">
        <v>7129.2</v>
      </c>
      <c r="N34" s="106">
        <v>18</v>
      </c>
      <c r="O34" s="106">
        <v>9871.1999999999989</v>
      </c>
      <c r="P34" s="106">
        <v>17</v>
      </c>
      <c r="Q34" s="106">
        <v>9322.7999999999993</v>
      </c>
      <c r="R34" s="106">
        <v>18</v>
      </c>
      <c r="S34" s="106">
        <v>9871.1999999999989</v>
      </c>
      <c r="T34" s="106">
        <v>3</v>
      </c>
      <c r="U34" s="106">
        <v>1645.1999999999998</v>
      </c>
      <c r="V34" s="106">
        <v>3</v>
      </c>
      <c r="W34" s="106">
        <v>1645.1999999999998</v>
      </c>
      <c r="X34" s="106">
        <v>3</v>
      </c>
      <c r="Y34" s="106">
        <v>1645.1999999999998</v>
      </c>
      <c r="Z34" s="106">
        <v>4</v>
      </c>
      <c r="AA34" s="106">
        <v>2193.6</v>
      </c>
      <c r="AB34" s="106">
        <v>3</v>
      </c>
      <c r="AC34" s="106">
        <v>1645.1999999999998</v>
      </c>
      <c r="AD34" s="106">
        <v>3</v>
      </c>
      <c r="AE34" s="106">
        <v>1645.1999999999998</v>
      </c>
      <c r="AF34" s="106">
        <v>3</v>
      </c>
      <c r="AG34" s="106">
        <v>1645.1999999999998</v>
      </c>
      <c r="AH34" s="106">
        <v>4</v>
      </c>
      <c r="AI34" s="106">
        <v>2193.6</v>
      </c>
      <c r="AJ34" s="106">
        <v>13</v>
      </c>
      <c r="AK34" s="106">
        <v>7129.2</v>
      </c>
      <c r="AL34" s="106">
        <v>11</v>
      </c>
      <c r="AM34" s="106">
        <v>6032.4</v>
      </c>
      <c r="AN34" s="106">
        <v>13</v>
      </c>
      <c r="AO34" s="106">
        <v>7129.2</v>
      </c>
      <c r="AP34" s="106">
        <v>9</v>
      </c>
      <c r="AQ34" s="106">
        <v>4935.5999999999995</v>
      </c>
      <c r="AR34" s="106">
        <v>23</v>
      </c>
      <c r="AS34" s="106">
        <v>12613.199999999999</v>
      </c>
      <c r="AT34" s="106">
        <v>22</v>
      </c>
      <c r="AU34" s="106">
        <v>12064.8</v>
      </c>
      <c r="AV34" s="106">
        <v>25</v>
      </c>
      <c r="AW34" s="106">
        <v>13710</v>
      </c>
      <c r="AX34" s="106">
        <v>22</v>
      </c>
      <c r="AY34" s="106">
        <v>12064.8</v>
      </c>
      <c r="AZ34" s="106">
        <v>2</v>
      </c>
      <c r="BA34" s="106">
        <v>1096.8</v>
      </c>
      <c r="BB34" s="106">
        <v>2</v>
      </c>
      <c r="BC34" s="106">
        <v>1096.8</v>
      </c>
      <c r="BD34" s="106">
        <v>3</v>
      </c>
      <c r="BE34" s="106">
        <v>1645.1999999999998</v>
      </c>
      <c r="BF34" s="106">
        <v>2</v>
      </c>
      <c r="BG34" s="106">
        <v>1096.8</v>
      </c>
      <c r="BH34" s="106">
        <v>9</v>
      </c>
      <c r="BI34" s="106">
        <v>4935.5999999999995</v>
      </c>
      <c r="BJ34" s="106">
        <v>17</v>
      </c>
      <c r="BK34" s="106">
        <v>9322.7999999999993</v>
      </c>
      <c r="BL34" s="106">
        <v>17</v>
      </c>
      <c r="BM34" s="106">
        <v>9322.7999999999993</v>
      </c>
      <c r="BN34" s="106">
        <v>11</v>
      </c>
      <c r="BO34" s="106">
        <v>6032.4</v>
      </c>
      <c r="BP34" s="106">
        <v>3</v>
      </c>
      <c r="BQ34" s="106">
        <v>1645.1999999999998</v>
      </c>
      <c r="BR34" s="106">
        <v>2</v>
      </c>
      <c r="BS34" s="106">
        <v>1096.8</v>
      </c>
      <c r="BT34" s="106">
        <v>2</v>
      </c>
      <c r="BU34" s="106">
        <v>1096.8</v>
      </c>
      <c r="BV34" s="106">
        <v>3</v>
      </c>
      <c r="BW34" s="106">
        <v>1645.1999999999998</v>
      </c>
      <c r="BX34" s="106">
        <v>23</v>
      </c>
      <c r="BY34" s="106">
        <v>12613.199999999999</v>
      </c>
      <c r="BZ34" s="106">
        <v>24</v>
      </c>
      <c r="CA34" s="106">
        <v>13161.599999999999</v>
      </c>
      <c r="CB34" s="106">
        <v>17</v>
      </c>
      <c r="CC34" s="106">
        <v>9322.7999999999993</v>
      </c>
      <c r="CD34" s="106">
        <v>26</v>
      </c>
      <c r="CE34" s="106">
        <v>14258.4</v>
      </c>
      <c r="CF34" s="106">
        <v>31</v>
      </c>
      <c r="CG34" s="106">
        <v>17000.399999999998</v>
      </c>
      <c r="CH34" s="106">
        <v>26</v>
      </c>
      <c r="CI34" s="106">
        <v>14258.4</v>
      </c>
      <c r="CJ34" s="106">
        <v>33</v>
      </c>
      <c r="CK34" s="106">
        <v>18097.2</v>
      </c>
      <c r="CL34" s="106">
        <v>35</v>
      </c>
      <c r="CM34" s="106">
        <v>19194</v>
      </c>
      <c r="CN34" s="106">
        <v>17</v>
      </c>
      <c r="CO34" s="106">
        <v>9322.7999999999993</v>
      </c>
      <c r="CP34" s="106">
        <v>21</v>
      </c>
      <c r="CQ34" s="106">
        <v>11516.4</v>
      </c>
      <c r="CR34" s="106">
        <v>29</v>
      </c>
      <c r="CS34" s="106">
        <v>15903.599999999999</v>
      </c>
      <c r="CT34" s="106">
        <v>26</v>
      </c>
      <c r="CU34" s="106">
        <v>14258.4</v>
      </c>
    </row>
    <row r="35" spans="2:99" x14ac:dyDescent="0.2">
      <c r="C35" s="105" t="s">
        <v>201</v>
      </c>
      <c r="D35" s="106">
        <v>2</v>
      </c>
      <c r="E35" s="106">
        <v>1005.5999999999998</v>
      </c>
      <c r="F35" s="106">
        <v>2</v>
      </c>
      <c r="G35" s="106">
        <v>1005.5999999999998</v>
      </c>
      <c r="H35" s="106">
        <v>2</v>
      </c>
      <c r="I35" s="106">
        <v>1005.5999999999998</v>
      </c>
      <c r="J35" s="106">
        <v>3</v>
      </c>
      <c r="K35" s="106">
        <v>1508.3999999999996</v>
      </c>
      <c r="L35" s="106">
        <v>14</v>
      </c>
      <c r="M35" s="106">
        <v>7039.1999999999989</v>
      </c>
      <c r="N35" s="106">
        <v>18</v>
      </c>
      <c r="O35" s="106">
        <v>9050.3999999999978</v>
      </c>
      <c r="P35" s="106">
        <v>18</v>
      </c>
      <c r="Q35" s="106">
        <v>9050.3999999999978</v>
      </c>
      <c r="R35" s="106">
        <v>19</v>
      </c>
      <c r="S35" s="106">
        <v>9553.1999999999989</v>
      </c>
      <c r="T35" s="106">
        <v>3</v>
      </c>
      <c r="U35" s="106">
        <v>1508.3999999999996</v>
      </c>
      <c r="V35" s="106">
        <v>3</v>
      </c>
      <c r="W35" s="106">
        <v>1508.3999999999996</v>
      </c>
      <c r="X35" s="106">
        <v>3</v>
      </c>
      <c r="Y35" s="106">
        <v>1508.3999999999996</v>
      </c>
      <c r="Z35" s="106">
        <v>4</v>
      </c>
      <c r="AA35" s="106">
        <v>2011.1999999999996</v>
      </c>
      <c r="AB35" s="106">
        <v>3</v>
      </c>
      <c r="AC35" s="106">
        <v>1508.3999999999996</v>
      </c>
      <c r="AD35" s="106">
        <v>4</v>
      </c>
      <c r="AE35" s="106">
        <v>2011.1999999999996</v>
      </c>
      <c r="AF35" s="106">
        <v>3</v>
      </c>
      <c r="AG35" s="106">
        <v>1508.3999999999996</v>
      </c>
      <c r="AH35" s="106">
        <v>4</v>
      </c>
      <c r="AI35" s="106">
        <v>2011.1999999999996</v>
      </c>
      <c r="AJ35" s="106">
        <v>14</v>
      </c>
      <c r="AK35" s="106">
        <v>7039.1999999999989</v>
      </c>
      <c r="AL35" s="106">
        <v>10</v>
      </c>
      <c r="AM35" s="106">
        <v>5027.9999999999991</v>
      </c>
      <c r="AN35" s="106">
        <v>13</v>
      </c>
      <c r="AO35" s="106">
        <v>6536.3999999999987</v>
      </c>
      <c r="AP35" s="106">
        <v>8</v>
      </c>
      <c r="AQ35" s="106">
        <v>4022.3999999999992</v>
      </c>
      <c r="AR35" s="106">
        <v>26</v>
      </c>
      <c r="AS35" s="106">
        <v>13072.799999999997</v>
      </c>
      <c r="AT35" s="106">
        <v>21</v>
      </c>
      <c r="AU35" s="106">
        <v>10558.799999999997</v>
      </c>
      <c r="AV35" s="106">
        <v>24</v>
      </c>
      <c r="AW35" s="106">
        <v>12067.199999999997</v>
      </c>
      <c r="AX35" s="106">
        <v>18</v>
      </c>
      <c r="AY35" s="106">
        <v>9050.3999999999978</v>
      </c>
      <c r="AZ35" s="106">
        <v>2</v>
      </c>
      <c r="BA35" s="106">
        <v>1005.5999999999998</v>
      </c>
      <c r="BB35" s="106">
        <v>2</v>
      </c>
      <c r="BC35" s="106">
        <v>1005.5999999999998</v>
      </c>
      <c r="BD35" s="106">
        <v>3</v>
      </c>
      <c r="BE35" s="106">
        <v>1508.3999999999996</v>
      </c>
      <c r="BF35" s="106">
        <v>2</v>
      </c>
      <c r="BG35" s="106">
        <v>1005.5999999999998</v>
      </c>
      <c r="BH35" s="106">
        <v>9</v>
      </c>
      <c r="BI35" s="106">
        <v>4525.1999999999989</v>
      </c>
      <c r="BJ35" s="106">
        <v>16</v>
      </c>
      <c r="BK35" s="106">
        <v>8044.7999999999984</v>
      </c>
      <c r="BL35" s="106">
        <v>16</v>
      </c>
      <c r="BM35" s="106">
        <v>8044.7999999999984</v>
      </c>
      <c r="BN35" s="106">
        <v>10</v>
      </c>
      <c r="BO35" s="106">
        <v>5027.9999999999991</v>
      </c>
      <c r="BP35" s="106">
        <v>3</v>
      </c>
      <c r="BQ35" s="106">
        <v>1508.3999999999996</v>
      </c>
      <c r="BR35" s="106">
        <v>2</v>
      </c>
      <c r="BS35" s="106">
        <v>1005.5999999999998</v>
      </c>
      <c r="BT35" s="106">
        <v>2</v>
      </c>
      <c r="BU35" s="106">
        <v>1005.5999999999998</v>
      </c>
      <c r="BV35" s="106">
        <v>3</v>
      </c>
      <c r="BW35" s="106">
        <v>1508.3999999999996</v>
      </c>
      <c r="BX35" s="106">
        <v>20</v>
      </c>
      <c r="BY35" s="106">
        <v>10055.999999999998</v>
      </c>
      <c r="BZ35" s="106">
        <v>25</v>
      </c>
      <c r="CA35" s="106">
        <v>12569.999999999998</v>
      </c>
      <c r="CB35" s="106">
        <v>17</v>
      </c>
      <c r="CC35" s="106">
        <v>8547.5999999999985</v>
      </c>
      <c r="CD35" s="106">
        <v>22</v>
      </c>
      <c r="CE35" s="106">
        <v>11061.599999999999</v>
      </c>
      <c r="CF35" s="106">
        <v>29</v>
      </c>
      <c r="CG35" s="106">
        <v>14581.199999999997</v>
      </c>
      <c r="CH35" s="106">
        <v>25</v>
      </c>
      <c r="CI35" s="106">
        <v>12569.999999999998</v>
      </c>
      <c r="CJ35" s="106">
        <v>30</v>
      </c>
      <c r="CK35" s="106">
        <v>15083.999999999996</v>
      </c>
      <c r="CL35" s="106">
        <v>32</v>
      </c>
      <c r="CM35" s="106">
        <v>16089.599999999997</v>
      </c>
      <c r="CN35" s="106">
        <v>17</v>
      </c>
      <c r="CO35" s="106">
        <v>8547.5999999999985</v>
      </c>
      <c r="CP35" s="106">
        <v>23</v>
      </c>
      <c r="CQ35" s="106">
        <v>11564.399999999998</v>
      </c>
      <c r="CR35" s="106">
        <v>30</v>
      </c>
      <c r="CS35" s="106">
        <v>15083.999999999996</v>
      </c>
      <c r="CT35" s="106">
        <v>26</v>
      </c>
      <c r="CU35" s="106">
        <v>13072.799999999997</v>
      </c>
    </row>
    <row r="36" spans="2:99" x14ac:dyDescent="0.2">
      <c r="C36" s="105" t="s">
        <v>202</v>
      </c>
      <c r="D36" s="106">
        <v>2</v>
      </c>
      <c r="E36" s="106">
        <v>1521.6</v>
      </c>
      <c r="F36" s="106">
        <v>2</v>
      </c>
      <c r="G36" s="106">
        <v>1521.6</v>
      </c>
      <c r="H36" s="106">
        <v>2</v>
      </c>
      <c r="I36" s="106">
        <v>1521.6</v>
      </c>
      <c r="J36" s="106">
        <v>3</v>
      </c>
      <c r="K36" s="106">
        <v>2282.3999999999996</v>
      </c>
      <c r="L36" s="106">
        <v>14</v>
      </c>
      <c r="M36" s="106">
        <v>10651.199999999999</v>
      </c>
      <c r="N36" s="106">
        <v>18</v>
      </c>
      <c r="O36" s="106">
        <v>13694.4</v>
      </c>
      <c r="P36" s="106">
        <v>17</v>
      </c>
      <c r="Q36" s="106">
        <v>12933.599999999999</v>
      </c>
      <c r="R36" s="106">
        <v>17</v>
      </c>
      <c r="S36" s="106">
        <v>12933.599999999999</v>
      </c>
      <c r="T36" s="106">
        <v>3</v>
      </c>
      <c r="U36" s="106">
        <v>2282.3999999999996</v>
      </c>
      <c r="V36" s="106">
        <v>3</v>
      </c>
      <c r="W36" s="106">
        <v>2282.3999999999996</v>
      </c>
      <c r="X36" s="106">
        <v>3</v>
      </c>
      <c r="Y36" s="106">
        <v>2282.3999999999996</v>
      </c>
      <c r="Z36" s="106">
        <v>4</v>
      </c>
      <c r="AA36" s="106">
        <v>3043.2</v>
      </c>
      <c r="AB36" s="106">
        <v>3</v>
      </c>
      <c r="AC36" s="106">
        <v>2282.3999999999996</v>
      </c>
      <c r="AD36" s="106">
        <v>3</v>
      </c>
      <c r="AE36" s="106">
        <v>2282.3999999999996</v>
      </c>
      <c r="AF36" s="106">
        <v>3</v>
      </c>
      <c r="AG36" s="106">
        <v>2282.3999999999996</v>
      </c>
      <c r="AH36" s="106">
        <v>3</v>
      </c>
      <c r="AI36" s="106">
        <v>2282.3999999999996</v>
      </c>
      <c r="AJ36" s="106">
        <v>13</v>
      </c>
      <c r="AK36" s="106">
        <v>9890.4</v>
      </c>
      <c r="AL36" s="106">
        <v>11</v>
      </c>
      <c r="AM36" s="106">
        <v>8368.7999999999993</v>
      </c>
      <c r="AN36" s="106">
        <v>12</v>
      </c>
      <c r="AO36" s="106">
        <v>9129.5999999999985</v>
      </c>
      <c r="AP36" s="106">
        <v>8</v>
      </c>
      <c r="AQ36" s="106">
        <v>6086.4</v>
      </c>
      <c r="AR36" s="106">
        <v>25</v>
      </c>
      <c r="AS36" s="106">
        <v>19020</v>
      </c>
      <c r="AT36" s="106">
        <v>19</v>
      </c>
      <c r="AU36" s="106">
        <v>14455.199999999999</v>
      </c>
      <c r="AV36" s="106">
        <v>22</v>
      </c>
      <c r="AW36" s="106">
        <v>16737.599999999999</v>
      </c>
      <c r="AX36" s="106">
        <v>19</v>
      </c>
      <c r="AY36" s="106">
        <v>14455.199999999999</v>
      </c>
      <c r="AZ36" s="106">
        <v>2</v>
      </c>
      <c r="BA36" s="106">
        <v>1521.6</v>
      </c>
      <c r="BB36" s="106">
        <v>2</v>
      </c>
      <c r="BC36" s="106">
        <v>1521.6</v>
      </c>
      <c r="BD36" s="106">
        <v>3</v>
      </c>
      <c r="BE36" s="106">
        <v>2282.3999999999996</v>
      </c>
      <c r="BF36" s="106">
        <v>2</v>
      </c>
      <c r="BG36" s="106">
        <v>1521.6</v>
      </c>
      <c r="BH36" s="106">
        <v>9</v>
      </c>
      <c r="BI36" s="106">
        <v>6847.2</v>
      </c>
      <c r="BJ36" s="106">
        <v>14</v>
      </c>
      <c r="BK36" s="106">
        <v>10651.199999999999</v>
      </c>
      <c r="BL36" s="106">
        <v>15</v>
      </c>
      <c r="BM36" s="106">
        <v>11412</v>
      </c>
      <c r="BN36" s="106">
        <v>11</v>
      </c>
      <c r="BO36" s="106">
        <v>8368.7999999999993</v>
      </c>
      <c r="BP36" s="106">
        <v>3</v>
      </c>
      <c r="BQ36" s="106">
        <v>2282.3999999999996</v>
      </c>
      <c r="BR36" s="106">
        <v>2</v>
      </c>
      <c r="BS36" s="106">
        <v>1521.6</v>
      </c>
      <c r="BT36" s="106">
        <v>2</v>
      </c>
      <c r="BU36" s="106">
        <v>1521.6</v>
      </c>
      <c r="BV36" s="106">
        <v>4</v>
      </c>
      <c r="BW36" s="106">
        <v>3043.2</v>
      </c>
      <c r="BX36" s="106">
        <v>19</v>
      </c>
      <c r="BY36" s="106">
        <v>14455.199999999999</v>
      </c>
      <c r="BZ36" s="106">
        <v>25</v>
      </c>
      <c r="CA36" s="106">
        <v>19020</v>
      </c>
      <c r="CB36" s="106">
        <v>17</v>
      </c>
      <c r="CC36" s="106">
        <v>12933.599999999999</v>
      </c>
      <c r="CD36" s="106">
        <v>22</v>
      </c>
      <c r="CE36" s="106">
        <v>16737.599999999999</v>
      </c>
      <c r="CF36" s="106">
        <v>27</v>
      </c>
      <c r="CG36" s="106">
        <v>20541.599999999999</v>
      </c>
      <c r="CH36" s="106">
        <v>25</v>
      </c>
      <c r="CI36" s="106">
        <v>19020</v>
      </c>
      <c r="CJ36" s="106">
        <v>29</v>
      </c>
      <c r="CK36" s="106">
        <v>22063.199999999997</v>
      </c>
      <c r="CL36" s="106">
        <v>30</v>
      </c>
      <c r="CM36" s="106">
        <v>22824</v>
      </c>
      <c r="CN36" s="106">
        <v>14</v>
      </c>
      <c r="CO36" s="106">
        <v>10651.199999999999</v>
      </c>
      <c r="CP36" s="106">
        <v>20</v>
      </c>
      <c r="CQ36" s="106">
        <v>15216</v>
      </c>
      <c r="CR36" s="106">
        <v>26</v>
      </c>
      <c r="CS36" s="106">
        <v>19780.8</v>
      </c>
      <c r="CT36" s="106">
        <v>23</v>
      </c>
      <c r="CU36" s="106">
        <v>17498.399999999998</v>
      </c>
    </row>
    <row r="37" spans="2:99" x14ac:dyDescent="0.2">
      <c r="B37" s="105" t="s">
        <v>128</v>
      </c>
      <c r="C37" s="105" t="s">
        <v>203</v>
      </c>
      <c r="D37" s="106">
        <v>11</v>
      </c>
      <c r="E37" s="106">
        <v>9464.4</v>
      </c>
      <c r="F37" s="106">
        <v>8</v>
      </c>
      <c r="G37" s="106">
        <v>6883.2</v>
      </c>
      <c r="H37" s="106">
        <v>14</v>
      </c>
      <c r="I37" s="106">
        <v>12045.6</v>
      </c>
      <c r="J37" s="106">
        <v>14</v>
      </c>
      <c r="K37" s="106">
        <v>12045.6</v>
      </c>
      <c r="L37" s="106">
        <v>56</v>
      </c>
      <c r="M37" s="106">
        <v>48182.400000000001</v>
      </c>
      <c r="N37" s="106">
        <v>91</v>
      </c>
      <c r="O37" s="106">
        <v>78296.399999999994</v>
      </c>
      <c r="P37" s="106">
        <v>56</v>
      </c>
      <c r="Q37" s="106">
        <v>48182.400000000001</v>
      </c>
      <c r="R37" s="106">
        <v>70</v>
      </c>
      <c r="S37" s="106">
        <v>60228</v>
      </c>
      <c r="T37" s="106">
        <v>5</v>
      </c>
      <c r="U37" s="106">
        <v>4302</v>
      </c>
      <c r="V37" s="106">
        <v>6</v>
      </c>
      <c r="W37" s="106">
        <v>5162.3999999999996</v>
      </c>
      <c r="X37" s="106">
        <v>5</v>
      </c>
      <c r="Y37" s="106">
        <v>4302</v>
      </c>
      <c r="Z37" s="106">
        <v>4</v>
      </c>
      <c r="AA37" s="106">
        <v>3441.6</v>
      </c>
      <c r="AB37" s="106">
        <v>58</v>
      </c>
      <c r="AC37" s="106">
        <v>49903.199999999997</v>
      </c>
      <c r="AD37" s="106">
        <v>49</v>
      </c>
      <c r="AE37" s="106">
        <v>42159.6</v>
      </c>
      <c r="AF37" s="106">
        <v>74</v>
      </c>
      <c r="AG37" s="106">
        <v>63669.599999999999</v>
      </c>
      <c r="AH37" s="106">
        <v>75</v>
      </c>
      <c r="AI37" s="106">
        <v>64530</v>
      </c>
      <c r="AJ37" s="106">
        <v>42</v>
      </c>
      <c r="AK37" s="106">
        <v>36136.799999999996</v>
      </c>
      <c r="AL37" s="106">
        <v>66</v>
      </c>
      <c r="AM37" s="106">
        <v>56786.400000000001</v>
      </c>
      <c r="AN37" s="106">
        <v>39</v>
      </c>
      <c r="AO37" s="106">
        <v>33555.599999999999</v>
      </c>
      <c r="AP37" s="106">
        <v>79</v>
      </c>
      <c r="AQ37" s="106">
        <v>67971.599999999991</v>
      </c>
      <c r="AR37" s="106">
        <v>21</v>
      </c>
      <c r="AS37" s="106">
        <v>18068.399999999998</v>
      </c>
      <c r="AT37" s="106">
        <v>26</v>
      </c>
      <c r="AU37" s="106">
        <v>22370.399999999998</v>
      </c>
      <c r="AV37" s="106">
        <v>30</v>
      </c>
      <c r="AW37" s="106">
        <v>25812</v>
      </c>
      <c r="AX37" s="106">
        <v>16</v>
      </c>
      <c r="AY37" s="106">
        <v>13766.4</v>
      </c>
      <c r="AZ37" s="106">
        <v>7</v>
      </c>
      <c r="BA37" s="106">
        <v>6022.8</v>
      </c>
      <c r="BB37" s="106">
        <v>5</v>
      </c>
      <c r="BC37" s="106">
        <v>4302</v>
      </c>
      <c r="BD37" s="106">
        <v>7</v>
      </c>
      <c r="BE37" s="106">
        <v>6022.8</v>
      </c>
      <c r="BF37" s="106">
        <v>6</v>
      </c>
      <c r="BG37" s="106">
        <v>5162.3999999999996</v>
      </c>
      <c r="BH37" s="106">
        <v>63</v>
      </c>
      <c r="BI37" s="106">
        <v>54205.2</v>
      </c>
      <c r="BJ37" s="106">
        <v>61</v>
      </c>
      <c r="BK37" s="106">
        <v>52484.4</v>
      </c>
      <c r="BL37" s="106">
        <v>42</v>
      </c>
      <c r="BM37" s="106">
        <v>36136.799999999996</v>
      </c>
      <c r="BN37" s="106">
        <v>69</v>
      </c>
      <c r="BO37" s="106">
        <v>59367.6</v>
      </c>
      <c r="BP37" s="106">
        <v>23</v>
      </c>
      <c r="BQ37" s="106">
        <v>19789.2</v>
      </c>
      <c r="BR37" s="106">
        <v>40</v>
      </c>
      <c r="BS37" s="106">
        <v>34416</v>
      </c>
      <c r="BT37" s="106">
        <v>38</v>
      </c>
      <c r="BU37" s="106">
        <v>32695.200000000001</v>
      </c>
      <c r="BV37" s="106">
        <v>27</v>
      </c>
      <c r="BW37" s="106">
        <v>23230.799999999999</v>
      </c>
      <c r="BX37" s="106">
        <v>10</v>
      </c>
      <c r="BY37" s="106">
        <v>8604</v>
      </c>
      <c r="BZ37" s="106">
        <v>7</v>
      </c>
      <c r="CA37" s="106">
        <v>6022.8</v>
      </c>
      <c r="CB37" s="106">
        <v>6</v>
      </c>
      <c r="CC37" s="106">
        <v>5162.3999999999996</v>
      </c>
      <c r="CD37" s="106">
        <v>6</v>
      </c>
      <c r="CE37" s="106">
        <v>5162.3999999999996</v>
      </c>
      <c r="CF37" s="106">
        <v>4</v>
      </c>
      <c r="CG37" s="106">
        <v>3441.6</v>
      </c>
      <c r="CH37" s="106">
        <v>6</v>
      </c>
      <c r="CI37" s="106">
        <v>5162.3999999999996</v>
      </c>
      <c r="CJ37" s="106">
        <v>5</v>
      </c>
      <c r="CK37" s="106">
        <v>4302</v>
      </c>
      <c r="CL37" s="106">
        <v>7</v>
      </c>
      <c r="CM37" s="106">
        <v>6022.8</v>
      </c>
      <c r="CN37" s="106">
        <v>4</v>
      </c>
      <c r="CO37" s="106">
        <v>3441.6</v>
      </c>
      <c r="CP37" s="106">
        <v>4</v>
      </c>
      <c r="CQ37" s="106">
        <v>3441.6</v>
      </c>
      <c r="CR37" s="106">
        <v>8</v>
      </c>
      <c r="CS37" s="106">
        <v>6883.2</v>
      </c>
      <c r="CT37" s="106">
        <v>9</v>
      </c>
      <c r="CU37" s="106">
        <v>7743.5999999999995</v>
      </c>
    </row>
    <row r="38" spans="2:99" x14ac:dyDescent="0.2">
      <c r="C38" s="105" t="s">
        <v>204</v>
      </c>
      <c r="D38" s="106">
        <v>9</v>
      </c>
      <c r="E38" s="106">
        <v>11178</v>
      </c>
      <c r="F38" s="106">
        <v>9</v>
      </c>
      <c r="G38" s="106">
        <v>11178</v>
      </c>
      <c r="H38" s="106">
        <v>13</v>
      </c>
      <c r="I38" s="106">
        <v>16146</v>
      </c>
      <c r="J38" s="106">
        <v>13</v>
      </c>
      <c r="K38" s="106">
        <v>16146</v>
      </c>
      <c r="L38" s="106">
        <v>51</v>
      </c>
      <c r="M38" s="106">
        <v>63342</v>
      </c>
      <c r="N38" s="106">
        <v>78</v>
      </c>
      <c r="O38" s="106">
        <v>96876</v>
      </c>
      <c r="P38" s="106">
        <v>54</v>
      </c>
      <c r="Q38" s="106">
        <v>67068</v>
      </c>
      <c r="R38" s="106">
        <v>65</v>
      </c>
      <c r="S38" s="106">
        <v>80730</v>
      </c>
      <c r="T38" s="106">
        <v>5</v>
      </c>
      <c r="U38" s="106">
        <v>6210</v>
      </c>
      <c r="V38" s="106">
        <v>5</v>
      </c>
      <c r="W38" s="106">
        <v>6210</v>
      </c>
      <c r="X38" s="106">
        <v>4</v>
      </c>
      <c r="Y38" s="106">
        <v>4968</v>
      </c>
      <c r="Z38" s="106">
        <v>3</v>
      </c>
      <c r="AA38" s="106">
        <v>3726</v>
      </c>
      <c r="AB38" s="106">
        <v>48</v>
      </c>
      <c r="AC38" s="106">
        <v>59616</v>
      </c>
      <c r="AD38" s="106">
        <v>48</v>
      </c>
      <c r="AE38" s="106">
        <v>59616</v>
      </c>
      <c r="AF38" s="106">
        <v>72</v>
      </c>
      <c r="AG38" s="106">
        <v>89424</v>
      </c>
      <c r="AH38" s="106">
        <v>70</v>
      </c>
      <c r="AI38" s="106">
        <v>86940</v>
      </c>
      <c r="AJ38" s="106">
        <v>39</v>
      </c>
      <c r="AK38" s="106">
        <v>48438</v>
      </c>
      <c r="AL38" s="106">
        <v>62</v>
      </c>
      <c r="AM38" s="106">
        <v>77004</v>
      </c>
      <c r="AN38" s="106">
        <v>38</v>
      </c>
      <c r="AO38" s="106">
        <v>47196</v>
      </c>
      <c r="AP38" s="106">
        <v>65</v>
      </c>
      <c r="AQ38" s="106">
        <v>80730</v>
      </c>
      <c r="AR38" s="106">
        <v>21</v>
      </c>
      <c r="AS38" s="106">
        <v>26082</v>
      </c>
      <c r="AT38" s="106">
        <v>28</v>
      </c>
      <c r="AU38" s="106">
        <v>34776</v>
      </c>
      <c r="AV38" s="106">
        <v>25</v>
      </c>
      <c r="AW38" s="106">
        <v>31050</v>
      </c>
      <c r="AX38" s="106">
        <v>18</v>
      </c>
      <c r="AY38" s="106">
        <v>22356</v>
      </c>
      <c r="AZ38" s="106">
        <v>7</v>
      </c>
      <c r="BA38" s="106">
        <v>8694</v>
      </c>
      <c r="BB38" s="106">
        <v>5</v>
      </c>
      <c r="BC38" s="106">
        <v>6210</v>
      </c>
      <c r="BD38" s="106">
        <v>7</v>
      </c>
      <c r="BE38" s="106">
        <v>8694</v>
      </c>
      <c r="BF38" s="106">
        <v>5</v>
      </c>
      <c r="BG38" s="106">
        <v>6210</v>
      </c>
      <c r="BH38" s="106">
        <v>56</v>
      </c>
      <c r="BI38" s="106">
        <v>69552</v>
      </c>
      <c r="BJ38" s="106">
        <v>57</v>
      </c>
      <c r="BK38" s="106">
        <v>70794</v>
      </c>
      <c r="BL38" s="106">
        <v>38</v>
      </c>
      <c r="BM38" s="106">
        <v>47196</v>
      </c>
      <c r="BN38" s="106">
        <v>66</v>
      </c>
      <c r="BO38" s="106">
        <v>81972</v>
      </c>
      <c r="BP38" s="106">
        <v>21</v>
      </c>
      <c r="BQ38" s="106">
        <v>26082</v>
      </c>
      <c r="BR38" s="106">
        <v>33</v>
      </c>
      <c r="BS38" s="106">
        <v>40986</v>
      </c>
      <c r="BT38" s="106">
        <v>35</v>
      </c>
      <c r="BU38" s="106">
        <v>43470</v>
      </c>
      <c r="BV38" s="106">
        <v>26</v>
      </c>
      <c r="BW38" s="106">
        <v>32292</v>
      </c>
      <c r="BX38" s="106">
        <v>10</v>
      </c>
      <c r="BY38" s="106">
        <v>12420</v>
      </c>
      <c r="BZ38" s="106">
        <v>7</v>
      </c>
      <c r="CA38" s="106">
        <v>8694</v>
      </c>
      <c r="CB38" s="106">
        <v>6</v>
      </c>
      <c r="CC38" s="106">
        <v>7452</v>
      </c>
      <c r="CD38" s="106">
        <v>7</v>
      </c>
      <c r="CE38" s="106">
        <v>8694</v>
      </c>
      <c r="CF38" s="106">
        <v>4</v>
      </c>
      <c r="CG38" s="106">
        <v>4968</v>
      </c>
      <c r="CH38" s="106">
        <v>6</v>
      </c>
      <c r="CI38" s="106">
        <v>7452</v>
      </c>
      <c r="CJ38" s="106">
        <v>6</v>
      </c>
      <c r="CK38" s="106">
        <v>7452</v>
      </c>
      <c r="CL38" s="106">
        <v>6</v>
      </c>
      <c r="CM38" s="106">
        <v>7452</v>
      </c>
      <c r="CN38" s="106">
        <v>4</v>
      </c>
      <c r="CO38" s="106">
        <v>4968</v>
      </c>
      <c r="CP38" s="106">
        <v>4</v>
      </c>
      <c r="CQ38" s="106">
        <v>4968</v>
      </c>
      <c r="CR38" s="106">
        <v>8</v>
      </c>
      <c r="CS38" s="106">
        <v>9936</v>
      </c>
      <c r="CT38" s="106">
        <v>8</v>
      </c>
      <c r="CU38" s="106">
        <v>9936</v>
      </c>
    </row>
    <row r="39" spans="2:99" x14ac:dyDescent="0.2">
      <c r="C39" s="105" t="s">
        <v>205</v>
      </c>
      <c r="D39" s="106">
        <v>10</v>
      </c>
      <c r="E39" s="106">
        <v>14232</v>
      </c>
      <c r="F39" s="106">
        <v>9</v>
      </c>
      <c r="G39" s="106">
        <v>12808.800000000001</v>
      </c>
      <c r="H39" s="106">
        <v>13</v>
      </c>
      <c r="I39" s="106">
        <v>18501.600000000002</v>
      </c>
      <c r="J39" s="106">
        <v>12</v>
      </c>
      <c r="K39" s="106">
        <v>17078.400000000001</v>
      </c>
      <c r="L39" s="106">
        <v>49</v>
      </c>
      <c r="M39" s="106">
        <v>69736.800000000003</v>
      </c>
      <c r="N39" s="106">
        <v>67</v>
      </c>
      <c r="O39" s="106">
        <v>95354.400000000009</v>
      </c>
      <c r="P39" s="106">
        <v>52</v>
      </c>
      <c r="Q39" s="106">
        <v>74006.400000000009</v>
      </c>
      <c r="R39" s="106">
        <v>62</v>
      </c>
      <c r="S39" s="106">
        <v>88238.400000000009</v>
      </c>
      <c r="T39" s="106">
        <v>5</v>
      </c>
      <c r="U39" s="106">
        <v>7116</v>
      </c>
      <c r="V39" s="106">
        <v>5</v>
      </c>
      <c r="W39" s="106">
        <v>7116</v>
      </c>
      <c r="X39" s="106">
        <v>4</v>
      </c>
      <c r="Y39" s="106">
        <v>5692.8</v>
      </c>
      <c r="Z39" s="106">
        <v>3</v>
      </c>
      <c r="AA39" s="106">
        <v>4269.6000000000004</v>
      </c>
      <c r="AB39" s="106">
        <v>48</v>
      </c>
      <c r="AC39" s="106">
        <v>68313.600000000006</v>
      </c>
      <c r="AD39" s="106">
        <v>44</v>
      </c>
      <c r="AE39" s="106">
        <v>62620.800000000003</v>
      </c>
      <c r="AF39" s="106">
        <v>63</v>
      </c>
      <c r="AG39" s="106">
        <v>89661.6</v>
      </c>
      <c r="AH39" s="106">
        <v>68</v>
      </c>
      <c r="AI39" s="106">
        <v>96777.600000000006</v>
      </c>
      <c r="AJ39" s="106">
        <v>42</v>
      </c>
      <c r="AK39" s="106">
        <v>59774.400000000001</v>
      </c>
      <c r="AL39" s="106">
        <v>57</v>
      </c>
      <c r="AM39" s="106">
        <v>81122.400000000009</v>
      </c>
      <c r="AN39" s="106">
        <v>39</v>
      </c>
      <c r="AO39" s="106">
        <v>55504.800000000003</v>
      </c>
      <c r="AP39" s="106">
        <v>61</v>
      </c>
      <c r="AQ39" s="106">
        <v>86815.2</v>
      </c>
      <c r="AR39" s="106">
        <v>21</v>
      </c>
      <c r="AS39" s="106">
        <v>29887.200000000001</v>
      </c>
      <c r="AT39" s="106">
        <v>26</v>
      </c>
      <c r="AU39" s="106">
        <v>37003.200000000004</v>
      </c>
      <c r="AV39" s="106">
        <v>26</v>
      </c>
      <c r="AW39" s="106">
        <v>37003.200000000004</v>
      </c>
      <c r="AX39" s="106">
        <v>18</v>
      </c>
      <c r="AY39" s="106">
        <v>25617.600000000002</v>
      </c>
      <c r="AZ39" s="106">
        <v>7</v>
      </c>
      <c r="BA39" s="106">
        <v>9962.4</v>
      </c>
      <c r="BB39" s="106">
        <v>5</v>
      </c>
      <c r="BC39" s="106">
        <v>7116</v>
      </c>
      <c r="BD39" s="106">
        <v>6</v>
      </c>
      <c r="BE39" s="106">
        <v>8539.2000000000007</v>
      </c>
      <c r="BF39" s="106">
        <v>6</v>
      </c>
      <c r="BG39" s="106">
        <v>8539.2000000000007</v>
      </c>
      <c r="BH39" s="106">
        <v>61</v>
      </c>
      <c r="BI39" s="106">
        <v>86815.2</v>
      </c>
      <c r="BJ39" s="106">
        <v>60</v>
      </c>
      <c r="BK39" s="106">
        <v>85392</v>
      </c>
      <c r="BL39" s="106">
        <v>40</v>
      </c>
      <c r="BM39" s="106">
        <v>56928</v>
      </c>
      <c r="BN39" s="106">
        <v>59</v>
      </c>
      <c r="BO39" s="106">
        <v>83968.8</v>
      </c>
      <c r="BP39" s="106">
        <v>19</v>
      </c>
      <c r="BQ39" s="106">
        <v>27040.799999999999</v>
      </c>
      <c r="BR39" s="106">
        <v>38</v>
      </c>
      <c r="BS39" s="106">
        <v>54081.599999999999</v>
      </c>
      <c r="BT39" s="106">
        <v>39</v>
      </c>
      <c r="BU39" s="106">
        <v>55504.800000000003</v>
      </c>
      <c r="BV39" s="106">
        <v>27</v>
      </c>
      <c r="BW39" s="106">
        <v>38426.400000000001</v>
      </c>
      <c r="BX39" s="106">
        <v>9</v>
      </c>
      <c r="BY39" s="106">
        <v>12808.800000000001</v>
      </c>
      <c r="BZ39" s="106">
        <v>7</v>
      </c>
      <c r="CA39" s="106">
        <v>9962.4</v>
      </c>
      <c r="CB39" s="106">
        <v>6</v>
      </c>
      <c r="CC39" s="106">
        <v>8539.2000000000007</v>
      </c>
      <c r="CD39" s="106">
        <v>7</v>
      </c>
      <c r="CE39" s="106">
        <v>9962.4</v>
      </c>
      <c r="CF39" s="106">
        <v>4</v>
      </c>
      <c r="CG39" s="106">
        <v>5692.8</v>
      </c>
      <c r="CH39" s="106">
        <v>5</v>
      </c>
      <c r="CI39" s="106">
        <v>7116</v>
      </c>
      <c r="CJ39" s="106">
        <v>6</v>
      </c>
      <c r="CK39" s="106">
        <v>8539.2000000000007</v>
      </c>
      <c r="CL39" s="106">
        <v>7</v>
      </c>
      <c r="CM39" s="106">
        <v>9962.4</v>
      </c>
      <c r="CN39" s="106">
        <v>4</v>
      </c>
      <c r="CO39" s="106">
        <v>5692.8</v>
      </c>
      <c r="CP39" s="106">
        <v>4</v>
      </c>
      <c r="CQ39" s="106">
        <v>5692.8</v>
      </c>
      <c r="CR39" s="106">
        <v>8</v>
      </c>
      <c r="CS39" s="106">
        <v>11385.6</v>
      </c>
      <c r="CT39" s="106">
        <v>8</v>
      </c>
      <c r="CU39" s="106">
        <v>11385.6</v>
      </c>
    </row>
    <row r="40" spans="2:99" x14ac:dyDescent="0.2">
      <c r="C40" s="105" t="s">
        <v>206</v>
      </c>
      <c r="D40" s="106">
        <v>11</v>
      </c>
      <c r="E40" s="106">
        <v>7972.7999999999993</v>
      </c>
      <c r="F40" s="106">
        <v>9</v>
      </c>
      <c r="G40" s="106">
        <v>6523.2</v>
      </c>
      <c r="H40" s="106">
        <v>14</v>
      </c>
      <c r="I40" s="106">
        <v>10147.199999999999</v>
      </c>
      <c r="J40" s="106">
        <v>12</v>
      </c>
      <c r="K40" s="106">
        <v>8697.5999999999985</v>
      </c>
      <c r="L40" s="106">
        <v>56</v>
      </c>
      <c r="M40" s="106">
        <v>40588.799999999996</v>
      </c>
      <c r="N40" s="106">
        <v>86</v>
      </c>
      <c r="O40" s="106">
        <v>62332.799999999996</v>
      </c>
      <c r="P40" s="106">
        <v>55</v>
      </c>
      <c r="Q40" s="106">
        <v>39864</v>
      </c>
      <c r="R40" s="106">
        <v>72</v>
      </c>
      <c r="S40" s="106">
        <v>52185.599999999999</v>
      </c>
      <c r="T40" s="106">
        <v>5</v>
      </c>
      <c r="U40" s="106">
        <v>3624</v>
      </c>
      <c r="V40" s="106">
        <v>6</v>
      </c>
      <c r="W40" s="106">
        <v>4348.7999999999993</v>
      </c>
      <c r="X40" s="106">
        <v>5</v>
      </c>
      <c r="Y40" s="106">
        <v>3624</v>
      </c>
      <c r="Z40" s="106">
        <v>4</v>
      </c>
      <c r="AA40" s="106">
        <v>2899.2</v>
      </c>
      <c r="AB40" s="106">
        <v>57</v>
      </c>
      <c r="AC40" s="106">
        <v>41313.599999999999</v>
      </c>
      <c r="AD40" s="106">
        <v>55</v>
      </c>
      <c r="AE40" s="106">
        <v>39864</v>
      </c>
      <c r="AF40" s="106">
        <v>84</v>
      </c>
      <c r="AG40" s="106">
        <v>60883.199999999997</v>
      </c>
      <c r="AH40" s="106">
        <v>71</v>
      </c>
      <c r="AI40" s="106">
        <v>51460.799999999996</v>
      </c>
      <c r="AJ40" s="106">
        <v>44</v>
      </c>
      <c r="AK40" s="106">
        <v>31891.199999999997</v>
      </c>
      <c r="AL40" s="106">
        <v>74</v>
      </c>
      <c r="AM40" s="106">
        <v>53635.199999999997</v>
      </c>
      <c r="AN40" s="106">
        <v>42</v>
      </c>
      <c r="AO40" s="106">
        <v>30441.599999999999</v>
      </c>
      <c r="AP40" s="106">
        <v>75</v>
      </c>
      <c r="AQ40" s="106">
        <v>54360</v>
      </c>
      <c r="AR40" s="106">
        <v>22</v>
      </c>
      <c r="AS40" s="106">
        <v>15945.599999999999</v>
      </c>
      <c r="AT40" s="106">
        <v>25</v>
      </c>
      <c r="AU40" s="106">
        <v>18120</v>
      </c>
      <c r="AV40" s="106">
        <v>30</v>
      </c>
      <c r="AW40" s="106">
        <v>21744</v>
      </c>
      <c r="AX40" s="106">
        <v>18</v>
      </c>
      <c r="AY40" s="106">
        <v>13046.4</v>
      </c>
      <c r="AZ40" s="106">
        <v>7</v>
      </c>
      <c r="BA40" s="106">
        <v>5073.5999999999995</v>
      </c>
      <c r="BB40" s="106">
        <v>5</v>
      </c>
      <c r="BC40" s="106">
        <v>3624</v>
      </c>
      <c r="BD40" s="106">
        <v>7</v>
      </c>
      <c r="BE40" s="106">
        <v>5073.5999999999995</v>
      </c>
      <c r="BF40" s="106">
        <v>6</v>
      </c>
      <c r="BG40" s="106">
        <v>4348.7999999999993</v>
      </c>
      <c r="BH40" s="106">
        <v>65</v>
      </c>
      <c r="BI40" s="106">
        <v>47112</v>
      </c>
      <c r="BJ40" s="106">
        <v>70</v>
      </c>
      <c r="BK40" s="106">
        <v>50736</v>
      </c>
      <c r="BL40" s="106">
        <v>47</v>
      </c>
      <c r="BM40" s="106">
        <v>34065.599999999999</v>
      </c>
      <c r="BN40" s="106">
        <v>72</v>
      </c>
      <c r="BO40" s="106">
        <v>52185.599999999999</v>
      </c>
      <c r="BP40" s="106">
        <v>25</v>
      </c>
      <c r="BQ40" s="106">
        <v>18120</v>
      </c>
      <c r="BR40" s="106">
        <v>38</v>
      </c>
      <c r="BS40" s="106">
        <v>27542.399999999998</v>
      </c>
      <c r="BT40" s="106">
        <v>46</v>
      </c>
      <c r="BU40" s="106">
        <v>33340.799999999996</v>
      </c>
      <c r="BV40" s="106">
        <v>28</v>
      </c>
      <c r="BW40" s="106">
        <v>20294.399999999998</v>
      </c>
      <c r="BX40" s="106">
        <v>9</v>
      </c>
      <c r="BY40" s="106">
        <v>6523.2</v>
      </c>
      <c r="BZ40" s="106">
        <v>8</v>
      </c>
      <c r="CA40" s="106">
        <v>5798.4</v>
      </c>
      <c r="CB40" s="106">
        <v>7</v>
      </c>
      <c r="CC40" s="106">
        <v>5073.5999999999995</v>
      </c>
      <c r="CD40" s="106">
        <v>6</v>
      </c>
      <c r="CE40" s="106">
        <v>4348.7999999999993</v>
      </c>
      <c r="CF40" s="106">
        <v>5</v>
      </c>
      <c r="CG40" s="106">
        <v>3624</v>
      </c>
      <c r="CH40" s="106">
        <v>6</v>
      </c>
      <c r="CI40" s="106">
        <v>4348.7999999999993</v>
      </c>
      <c r="CJ40" s="106">
        <v>6</v>
      </c>
      <c r="CK40" s="106">
        <v>4348.7999999999993</v>
      </c>
      <c r="CL40" s="106">
        <v>7</v>
      </c>
      <c r="CM40" s="106">
        <v>5073.5999999999995</v>
      </c>
      <c r="CN40" s="106">
        <v>4</v>
      </c>
      <c r="CO40" s="106">
        <v>2899.2</v>
      </c>
      <c r="CP40" s="106">
        <v>4</v>
      </c>
      <c r="CQ40" s="106">
        <v>2899.2</v>
      </c>
      <c r="CR40" s="106">
        <v>8</v>
      </c>
      <c r="CS40" s="106">
        <v>5798.4</v>
      </c>
      <c r="CT40" s="106">
        <v>9</v>
      </c>
      <c r="CU40" s="106">
        <v>6523.2</v>
      </c>
    </row>
    <row r="41" spans="2:99" x14ac:dyDescent="0.2">
      <c r="C41" s="105" t="s">
        <v>207</v>
      </c>
      <c r="D41" s="106">
        <v>11</v>
      </c>
      <c r="E41" s="106">
        <v>7260</v>
      </c>
      <c r="F41" s="106">
        <v>9</v>
      </c>
      <c r="G41" s="106">
        <v>5940</v>
      </c>
      <c r="H41" s="106">
        <v>14</v>
      </c>
      <c r="I41" s="106">
        <v>9240</v>
      </c>
      <c r="J41" s="106">
        <v>14</v>
      </c>
      <c r="K41" s="106">
        <v>9240</v>
      </c>
      <c r="L41" s="106">
        <v>61</v>
      </c>
      <c r="M41" s="106">
        <v>40260</v>
      </c>
      <c r="N41" s="106">
        <v>81</v>
      </c>
      <c r="O41" s="106">
        <v>53460</v>
      </c>
      <c r="P41" s="106">
        <v>58</v>
      </c>
      <c r="Q41" s="106">
        <v>38280</v>
      </c>
      <c r="R41" s="106">
        <v>72</v>
      </c>
      <c r="S41" s="106">
        <v>47520</v>
      </c>
      <c r="T41" s="106">
        <v>5</v>
      </c>
      <c r="U41" s="106">
        <v>3300</v>
      </c>
      <c r="V41" s="106">
        <v>5</v>
      </c>
      <c r="W41" s="106">
        <v>3300</v>
      </c>
      <c r="X41" s="106">
        <v>4</v>
      </c>
      <c r="Y41" s="106">
        <v>2640</v>
      </c>
      <c r="Z41" s="106">
        <v>4</v>
      </c>
      <c r="AA41" s="106">
        <v>2640</v>
      </c>
      <c r="AB41" s="106">
        <v>57</v>
      </c>
      <c r="AC41" s="106">
        <v>37620</v>
      </c>
      <c r="AD41" s="106">
        <v>51</v>
      </c>
      <c r="AE41" s="106">
        <v>33660</v>
      </c>
      <c r="AF41" s="106">
        <v>82</v>
      </c>
      <c r="AG41" s="106">
        <v>54120</v>
      </c>
      <c r="AH41" s="106">
        <v>79</v>
      </c>
      <c r="AI41" s="106">
        <v>52140</v>
      </c>
      <c r="AJ41" s="106">
        <v>51</v>
      </c>
      <c r="AK41" s="106">
        <v>33660</v>
      </c>
      <c r="AL41" s="106">
        <v>69</v>
      </c>
      <c r="AM41" s="106">
        <v>45540</v>
      </c>
      <c r="AN41" s="106">
        <v>46</v>
      </c>
      <c r="AO41" s="106">
        <v>30360</v>
      </c>
      <c r="AP41" s="106">
        <v>72</v>
      </c>
      <c r="AQ41" s="106">
        <v>47520</v>
      </c>
      <c r="AR41" s="106">
        <v>21</v>
      </c>
      <c r="AS41" s="106">
        <v>13860</v>
      </c>
      <c r="AT41" s="106">
        <v>26</v>
      </c>
      <c r="AU41" s="106">
        <v>17160</v>
      </c>
      <c r="AV41" s="106">
        <v>30</v>
      </c>
      <c r="AW41" s="106">
        <v>19800</v>
      </c>
      <c r="AX41" s="106">
        <v>17</v>
      </c>
      <c r="AY41" s="106">
        <v>11220</v>
      </c>
      <c r="AZ41" s="106">
        <v>7</v>
      </c>
      <c r="BA41" s="106">
        <v>4620</v>
      </c>
      <c r="BB41" s="106">
        <v>6</v>
      </c>
      <c r="BC41" s="106">
        <v>3960</v>
      </c>
      <c r="BD41" s="106">
        <v>7</v>
      </c>
      <c r="BE41" s="106">
        <v>4620</v>
      </c>
      <c r="BF41" s="106">
        <v>6</v>
      </c>
      <c r="BG41" s="106">
        <v>3960</v>
      </c>
      <c r="BH41" s="106">
        <v>63</v>
      </c>
      <c r="BI41" s="106">
        <v>41580</v>
      </c>
      <c r="BJ41" s="106">
        <v>67</v>
      </c>
      <c r="BK41" s="106">
        <v>44220</v>
      </c>
      <c r="BL41" s="106">
        <v>42</v>
      </c>
      <c r="BM41" s="106">
        <v>27720</v>
      </c>
      <c r="BN41" s="106">
        <v>73</v>
      </c>
      <c r="BO41" s="106">
        <v>48180</v>
      </c>
      <c r="BP41" s="106">
        <v>23</v>
      </c>
      <c r="BQ41" s="106">
        <v>15180</v>
      </c>
      <c r="BR41" s="106">
        <v>40</v>
      </c>
      <c r="BS41" s="106">
        <v>26400</v>
      </c>
      <c r="BT41" s="106">
        <v>44</v>
      </c>
      <c r="BU41" s="106">
        <v>29040</v>
      </c>
      <c r="BV41" s="106">
        <v>29</v>
      </c>
      <c r="BW41" s="106">
        <v>19140</v>
      </c>
      <c r="BX41" s="106">
        <v>9</v>
      </c>
      <c r="BY41" s="106">
        <v>5940</v>
      </c>
      <c r="BZ41" s="106">
        <v>7</v>
      </c>
      <c r="CA41" s="106">
        <v>4620</v>
      </c>
      <c r="CB41" s="106">
        <v>6</v>
      </c>
      <c r="CC41" s="106">
        <v>3960</v>
      </c>
      <c r="CD41" s="106">
        <v>6</v>
      </c>
      <c r="CE41" s="106">
        <v>3960</v>
      </c>
      <c r="CF41" s="106">
        <v>5</v>
      </c>
      <c r="CG41" s="106">
        <v>3300</v>
      </c>
      <c r="CH41" s="106">
        <v>5</v>
      </c>
      <c r="CI41" s="106">
        <v>3300</v>
      </c>
      <c r="CJ41" s="106">
        <v>6</v>
      </c>
      <c r="CK41" s="106">
        <v>3960</v>
      </c>
      <c r="CL41" s="106">
        <v>7</v>
      </c>
      <c r="CM41" s="106">
        <v>4620</v>
      </c>
      <c r="CN41" s="106">
        <v>4</v>
      </c>
      <c r="CO41" s="106">
        <v>2640</v>
      </c>
      <c r="CP41" s="106">
        <v>4</v>
      </c>
      <c r="CQ41" s="106">
        <v>2640</v>
      </c>
      <c r="CR41" s="106">
        <v>8</v>
      </c>
      <c r="CS41" s="106">
        <v>5280</v>
      </c>
      <c r="CT41" s="106">
        <v>8</v>
      </c>
      <c r="CU41" s="106">
        <v>5280</v>
      </c>
    </row>
    <row r="42" spans="2:99" x14ac:dyDescent="0.2">
      <c r="C42" s="105" t="s">
        <v>208</v>
      </c>
      <c r="D42" s="106">
        <v>10</v>
      </c>
      <c r="E42" s="106">
        <v>8460</v>
      </c>
      <c r="F42" s="106">
        <v>8</v>
      </c>
      <c r="G42" s="106">
        <v>6768</v>
      </c>
      <c r="H42" s="106">
        <v>13</v>
      </c>
      <c r="I42" s="106">
        <v>10998</v>
      </c>
      <c r="J42" s="106">
        <v>14</v>
      </c>
      <c r="K42" s="106">
        <v>11844</v>
      </c>
      <c r="L42" s="106">
        <v>50</v>
      </c>
      <c r="M42" s="106">
        <v>42300</v>
      </c>
      <c r="N42" s="106">
        <v>81</v>
      </c>
      <c r="O42" s="106">
        <v>68526</v>
      </c>
      <c r="P42" s="106">
        <v>55</v>
      </c>
      <c r="Q42" s="106">
        <v>46530</v>
      </c>
      <c r="R42" s="106">
        <v>63</v>
      </c>
      <c r="S42" s="106">
        <v>53298</v>
      </c>
      <c r="T42" s="106">
        <v>5</v>
      </c>
      <c r="U42" s="106">
        <v>4230</v>
      </c>
      <c r="V42" s="106">
        <v>6</v>
      </c>
      <c r="W42" s="106">
        <v>5076</v>
      </c>
      <c r="X42" s="106">
        <v>4</v>
      </c>
      <c r="Y42" s="106">
        <v>3384</v>
      </c>
      <c r="Z42" s="106">
        <v>4</v>
      </c>
      <c r="AA42" s="106">
        <v>3384</v>
      </c>
      <c r="AB42" s="106">
        <v>57</v>
      </c>
      <c r="AC42" s="106">
        <v>48222</v>
      </c>
      <c r="AD42" s="106">
        <v>49</v>
      </c>
      <c r="AE42" s="106">
        <v>41454</v>
      </c>
      <c r="AF42" s="106">
        <v>77</v>
      </c>
      <c r="AG42" s="106">
        <v>65142</v>
      </c>
      <c r="AH42" s="106">
        <v>70</v>
      </c>
      <c r="AI42" s="106">
        <v>59220</v>
      </c>
      <c r="AJ42" s="106">
        <v>47</v>
      </c>
      <c r="AK42" s="106">
        <v>39762</v>
      </c>
      <c r="AL42" s="106">
        <v>68</v>
      </c>
      <c r="AM42" s="106">
        <v>57528</v>
      </c>
      <c r="AN42" s="106">
        <v>42</v>
      </c>
      <c r="AO42" s="106">
        <v>35532</v>
      </c>
      <c r="AP42" s="106">
        <v>71</v>
      </c>
      <c r="AQ42" s="106">
        <v>60066</v>
      </c>
      <c r="AR42" s="106">
        <v>19</v>
      </c>
      <c r="AS42" s="106">
        <v>16074</v>
      </c>
      <c r="AT42" s="106">
        <v>26</v>
      </c>
      <c r="AU42" s="106">
        <v>21996</v>
      </c>
      <c r="AV42" s="106">
        <v>31</v>
      </c>
      <c r="AW42" s="106">
        <v>26226</v>
      </c>
      <c r="AX42" s="106">
        <v>18</v>
      </c>
      <c r="AY42" s="106">
        <v>15228</v>
      </c>
      <c r="AZ42" s="106">
        <v>8</v>
      </c>
      <c r="BA42" s="106">
        <v>6768</v>
      </c>
      <c r="BB42" s="106">
        <v>5</v>
      </c>
      <c r="BC42" s="106">
        <v>4230</v>
      </c>
      <c r="BD42" s="106">
        <v>8</v>
      </c>
      <c r="BE42" s="106">
        <v>6768</v>
      </c>
      <c r="BF42" s="106">
        <v>6</v>
      </c>
      <c r="BG42" s="106">
        <v>5076</v>
      </c>
      <c r="BH42" s="106">
        <v>71</v>
      </c>
      <c r="BI42" s="106">
        <v>60066</v>
      </c>
      <c r="BJ42" s="106">
        <v>64</v>
      </c>
      <c r="BK42" s="106">
        <v>54144</v>
      </c>
      <c r="BL42" s="106">
        <v>44</v>
      </c>
      <c r="BM42" s="106">
        <v>37224</v>
      </c>
      <c r="BN42" s="106">
        <v>64</v>
      </c>
      <c r="BO42" s="106">
        <v>54144</v>
      </c>
      <c r="BP42" s="106">
        <v>23</v>
      </c>
      <c r="BQ42" s="106">
        <v>19458</v>
      </c>
      <c r="BR42" s="106">
        <v>35</v>
      </c>
      <c r="BS42" s="106">
        <v>29610</v>
      </c>
      <c r="BT42" s="106">
        <v>38</v>
      </c>
      <c r="BU42" s="106">
        <v>32148</v>
      </c>
      <c r="BV42" s="106">
        <v>25</v>
      </c>
      <c r="BW42" s="106">
        <v>21150</v>
      </c>
      <c r="BX42" s="106">
        <v>10</v>
      </c>
      <c r="BY42" s="106">
        <v>8460</v>
      </c>
      <c r="BZ42" s="106">
        <v>7</v>
      </c>
      <c r="CA42" s="106">
        <v>5922</v>
      </c>
      <c r="CB42" s="106">
        <v>7</v>
      </c>
      <c r="CC42" s="106">
        <v>5922</v>
      </c>
      <c r="CD42" s="106">
        <v>7</v>
      </c>
      <c r="CE42" s="106">
        <v>5922</v>
      </c>
      <c r="CF42" s="106">
        <v>5</v>
      </c>
      <c r="CG42" s="106">
        <v>4230</v>
      </c>
      <c r="CH42" s="106">
        <v>6</v>
      </c>
      <c r="CI42" s="106">
        <v>5076</v>
      </c>
      <c r="CJ42" s="106">
        <v>6</v>
      </c>
      <c r="CK42" s="106">
        <v>5076</v>
      </c>
      <c r="CL42" s="106">
        <v>7</v>
      </c>
      <c r="CM42" s="106">
        <v>5922</v>
      </c>
      <c r="CN42" s="106">
        <v>4</v>
      </c>
      <c r="CO42" s="106">
        <v>3384</v>
      </c>
      <c r="CP42" s="106">
        <v>4</v>
      </c>
      <c r="CQ42" s="106">
        <v>3384</v>
      </c>
      <c r="CR42" s="106">
        <v>8</v>
      </c>
      <c r="CS42" s="106">
        <v>6768</v>
      </c>
      <c r="CT42" s="106">
        <v>8</v>
      </c>
      <c r="CU42" s="106">
        <v>6768</v>
      </c>
    </row>
    <row r="43" spans="2:99" x14ac:dyDescent="0.2">
      <c r="C43" s="105" t="s">
        <v>209</v>
      </c>
      <c r="D43" s="106">
        <v>10</v>
      </c>
      <c r="E43" s="106">
        <v>10224</v>
      </c>
      <c r="F43" s="106">
        <v>8</v>
      </c>
      <c r="G43" s="106">
        <v>8179.2</v>
      </c>
      <c r="H43" s="106">
        <v>15</v>
      </c>
      <c r="I43" s="106">
        <v>15336</v>
      </c>
      <c r="J43" s="106">
        <v>12</v>
      </c>
      <c r="K43" s="106">
        <v>12268.8</v>
      </c>
      <c r="L43" s="106">
        <v>58</v>
      </c>
      <c r="M43" s="106">
        <v>59299.199999999997</v>
      </c>
      <c r="N43" s="106">
        <v>73</v>
      </c>
      <c r="O43" s="106">
        <v>74635.199999999997</v>
      </c>
      <c r="P43" s="106">
        <v>51</v>
      </c>
      <c r="Q43" s="106">
        <v>52142.400000000001</v>
      </c>
      <c r="R43" s="106">
        <v>65</v>
      </c>
      <c r="S43" s="106">
        <v>66456</v>
      </c>
      <c r="T43" s="106">
        <v>5</v>
      </c>
      <c r="U43" s="106">
        <v>5112</v>
      </c>
      <c r="V43" s="106">
        <v>6</v>
      </c>
      <c r="W43" s="106">
        <v>6134.4</v>
      </c>
      <c r="X43" s="106">
        <v>4</v>
      </c>
      <c r="Y43" s="106">
        <v>4089.6</v>
      </c>
      <c r="Z43" s="106">
        <v>3</v>
      </c>
      <c r="AA43" s="106">
        <v>3067.2</v>
      </c>
      <c r="AB43" s="106">
        <v>56</v>
      </c>
      <c r="AC43" s="106">
        <v>57254.400000000001</v>
      </c>
      <c r="AD43" s="106">
        <v>50</v>
      </c>
      <c r="AE43" s="106">
        <v>51120</v>
      </c>
      <c r="AF43" s="106">
        <v>79</v>
      </c>
      <c r="AG43" s="106">
        <v>80769.599999999991</v>
      </c>
      <c r="AH43" s="106">
        <v>64</v>
      </c>
      <c r="AI43" s="106">
        <v>65433.599999999999</v>
      </c>
      <c r="AJ43" s="106">
        <v>41</v>
      </c>
      <c r="AK43" s="106">
        <v>41918.400000000001</v>
      </c>
      <c r="AL43" s="106">
        <v>59</v>
      </c>
      <c r="AM43" s="106">
        <v>60321.599999999999</v>
      </c>
      <c r="AN43" s="106">
        <v>43</v>
      </c>
      <c r="AO43" s="106">
        <v>43963.199999999997</v>
      </c>
      <c r="AP43" s="106">
        <v>78</v>
      </c>
      <c r="AQ43" s="106">
        <v>79747.199999999997</v>
      </c>
      <c r="AR43" s="106">
        <v>20</v>
      </c>
      <c r="AS43" s="106">
        <v>20448</v>
      </c>
      <c r="AT43" s="106">
        <v>25</v>
      </c>
      <c r="AU43" s="106">
        <v>25560</v>
      </c>
      <c r="AV43" s="106">
        <v>27</v>
      </c>
      <c r="AW43" s="106">
        <v>27604.799999999999</v>
      </c>
      <c r="AX43" s="106">
        <v>16</v>
      </c>
      <c r="AY43" s="106">
        <v>16358.4</v>
      </c>
      <c r="AZ43" s="106">
        <v>7</v>
      </c>
      <c r="BA43" s="106">
        <v>7156.8</v>
      </c>
      <c r="BB43" s="106">
        <v>5</v>
      </c>
      <c r="BC43" s="106">
        <v>5112</v>
      </c>
      <c r="BD43" s="106">
        <v>7</v>
      </c>
      <c r="BE43" s="106">
        <v>7156.8</v>
      </c>
      <c r="BF43" s="106">
        <v>6</v>
      </c>
      <c r="BG43" s="106">
        <v>6134.4</v>
      </c>
      <c r="BH43" s="106">
        <v>67</v>
      </c>
      <c r="BI43" s="106">
        <v>68500.800000000003</v>
      </c>
      <c r="BJ43" s="106">
        <v>61</v>
      </c>
      <c r="BK43" s="106">
        <v>62366.400000000001</v>
      </c>
      <c r="BL43" s="106">
        <v>37</v>
      </c>
      <c r="BM43" s="106">
        <v>37828.799999999996</v>
      </c>
      <c r="BN43" s="106">
        <v>71</v>
      </c>
      <c r="BO43" s="106">
        <v>72590.399999999994</v>
      </c>
      <c r="BP43" s="106">
        <v>23</v>
      </c>
      <c r="BQ43" s="106">
        <v>23515.200000000001</v>
      </c>
      <c r="BR43" s="106">
        <v>34</v>
      </c>
      <c r="BS43" s="106">
        <v>34761.599999999999</v>
      </c>
      <c r="BT43" s="106">
        <v>36</v>
      </c>
      <c r="BU43" s="106">
        <v>36806.400000000001</v>
      </c>
      <c r="BV43" s="106">
        <v>26</v>
      </c>
      <c r="BW43" s="106">
        <v>26582.399999999998</v>
      </c>
      <c r="BX43" s="106">
        <v>10</v>
      </c>
      <c r="BY43" s="106">
        <v>10224</v>
      </c>
      <c r="BZ43" s="106">
        <v>8</v>
      </c>
      <c r="CA43" s="106">
        <v>8179.2</v>
      </c>
      <c r="CB43" s="106">
        <v>6</v>
      </c>
      <c r="CC43" s="106">
        <v>6134.4</v>
      </c>
      <c r="CD43" s="106">
        <v>6</v>
      </c>
      <c r="CE43" s="106">
        <v>6134.4</v>
      </c>
      <c r="CF43" s="106">
        <v>4</v>
      </c>
      <c r="CG43" s="106">
        <v>4089.6</v>
      </c>
      <c r="CH43" s="106">
        <v>6</v>
      </c>
      <c r="CI43" s="106">
        <v>6134.4</v>
      </c>
      <c r="CJ43" s="106">
        <v>6</v>
      </c>
      <c r="CK43" s="106">
        <v>6134.4</v>
      </c>
      <c r="CL43" s="106">
        <v>7</v>
      </c>
      <c r="CM43" s="106">
        <v>7156.8</v>
      </c>
      <c r="CN43" s="106">
        <v>4</v>
      </c>
      <c r="CO43" s="106">
        <v>4089.6</v>
      </c>
      <c r="CP43" s="106">
        <v>4</v>
      </c>
      <c r="CQ43" s="106">
        <v>4089.6</v>
      </c>
      <c r="CR43" s="106">
        <v>7</v>
      </c>
      <c r="CS43" s="106">
        <v>7156.8</v>
      </c>
      <c r="CT43" s="106">
        <v>8</v>
      </c>
      <c r="CU43" s="106">
        <v>8179.2</v>
      </c>
    </row>
    <row r="44" spans="2:99" x14ac:dyDescent="0.2">
      <c r="C44" s="105" t="s">
        <v>210</v>
      </c>
      <c r="D44" s="106">
        <v>9</v>
      </c>
      <c r="E44" s="106">
        <v>9201.6</v>
      </c>
      <c r="F44" s="106">
        <v>9</v>
      </c>
      <c r="G44" s="106">
        <v>9201.6</v>
      </c>
      <c r="H44" s="106">
        <v>12</v>
      </c>
      <c r="I44" s="106">
        <v>12268.8</v>
      </c>
      <c r="J44" s="106">
        <v>13</v>
      </c>
      <c r="K44" s="106">
        <v>13291.199999999999</v>
      </c>
      <c r="L44" s="106">
        <v>49</v>
      </c>
      <c r="M44" s="106">
        <v>50097.599999999999</v>
      </c>
      <c r="N44" s="106">
        <v>86</v>
      </c>
      <c r="O44" s="106">
        <v>87926.399999999994</v>
      </c>
      <c r="P44" s="106">
        <v>57</v>
      </c>
      <c r="Q44" s="106">
        <v>58276.799999999996</v>
      </c>
      <c r="R44" s="106">
        <v>58</v>
      </c>
      <c r="S44" s="106">
        <v>59299.199999999997</v>
      </c>
      <c r="T44" s="106">
        <v>5</v>
      </c>
      <c r="U44" s="106">
        <v>5112</v>
      </c>
      <c r="V44" s="106">
        <v>6</v>
      </c>
      <c r="W44" s="106">
        <v>6134.4</v>
      </c>
      <c r="X44" s="106">
        <v>4</v>
      </c>
      <c r="Y44" s="106">
        <v>4089.6</v>
      </c>
      <c r="Z44" s="106">
        <v>4</v>
      </c>
      <c r="AA44" s="106">
        <v>4089.6</v>
      </c>
      <c r="AB44" s="106">
        <v>47</v>
      </c>
      <c r="AC44" s="106">
        <v>48052.799999999996</v>
      </c>
      <c r="AD44" s="106">
        <v>46</v>
      </c>
      <c r="AE44" s="106">
        <v>47030.400000000001</v>
      </c>
      <c r="AF44" s="106">
        <v>70</v>
      </c>
      <c r="AG44" s="106">
        <v>71568</v>
      </c>
      <c r="AH44" s="106">
        <v>68</v>
      </c>
      <c r="AI44" s="106">
        <v>69523.199999999997</v>
      </c>
      <c r="AJ44" s="106">
        <v>47</v>
      </c>
      <c r="AK44" s="106">
        <v>48052.799999999996</v>
      </c>
      <c r="AL44" s="106">
        <v>58</v>
      </c>
      <c r="AM44" s="106">
        <v>59299.199999999997</v>
      </c>
      <c r="AN44" s="106">
        <v>41</v>
      </c>
      <c r="AO44" s="106">
        <v>41918.400000000001</v>
      </c>
      <c r="AP44" s="106">
        <v>73</v>
      </c>
      <c r="AQ44" s="106">
        <v>74635.199999999997</v>
      </c>
      <c r="AR44" s="106">
        <v>19</v>
      </c>
      <c r="AS44" s="106">
        <v>19425.599999999999</v>
      </c>
      <c r="AT44" s="106">
        <v>25</v>
      </c>
      <c r="AU44" s="106">
        <v>25560</v>
      </c>
      <c r="AV44" s="106">
        <v>27</v>
      </c>
      <c r="AW44" s="106">
        <v>27604.799999999999</v>
      </c>
      <c r="AX44" s="106">
        <v>15</v>
      </c>
      <c r="AY44" s="106">
        <v>15336</v>
      </c>
      <c r="AZ44" s="106">
        <v>8</v>
      </c>
      <c r="BA44" s="106">
        <v>8179.2</v>
      </c>
      <c r="BB44" s="106">
        <v>5</v>
      </c>
      <c r="BC44" s="106">
        <v>5112</v>
      </c>
      <c r="BD44" s="106">
        <v>8</v>
      </c>
      <c r="BE44" s="106">
        <v>8179.2</v>
      </c>
      <c r="BF44" s="106">
        <v>6</v>
      </c>
      <c r="BG44" s="106">
        <v>6134.4</v>
      </c>
      <c r="BH44" s="106">
        <v>62</v>
      </c>
      <c r="BI44" s="106">
        <v>63388.799999999996</v>
      </c>
      <c r="BJ44" s="106">
        <v>54</v>
      </c>
      <c r="BK44" s="106">
        <v>55209.599999999999</v>
      </c>
      <c r="BL44" s="106">
        <v>37</v>
      </c>
      <c r="BM44" s="106">
        <v>37828.799999999996</v>
      </c>
      <c r="BN44" s="106">
        <v>70</v>
      </c>
      <c r="BO44" s="106">
        <v>71568</v>
      </c>
      <c r="BP44" s="106">
        <v>22</v>
      </c>
      <c r="BQ44" s="106">
        <v>22492.799999999999</v>
      </c>
      <c r="BR44" s="106">
        <v>38</v>
      </c>
      <c r="BS44" s="106">
        <v>38851.199999999997</v>
      </c>
      <c r="BT44" s="106">
        <v>42</v>
      </c>
      <c r="BU44" s="106">
        <v>42940.799999999996</v>
      </c>
      <c r="BV44" s="106">
        <v>26</v>
      </c>
      <c r="BW44" s="106">
        <v>26582.399999999998</v>
      </c>
      <c r="BX44" s="106">
        <v>10</v>
      </c>
      <c r="BY44" s="106">
        <v>10224</v>
      </c>
      <c r="BZ44" s="106">
        <v>8</v>
      </c>
      <c r="CA44" s="106">
        <v>8179.2</v>
      </c>
      <c r="CB44" s="106">
        <v>6</v>
      </c>
      <c r="CC44" s="106">
        <v>6134.4</v>
      </c>
      <c r="CD44" s="106">
        <v>6</v>
      </c>
      <c r="CE44" s="106">
        <v>6134.4</v>
      </c>
      <c r="CF44" s="106">
        <v>5</v>
      </c>
      <c r="CG44" s="106">
        <v>5112</v>
      </c>
      <c r="CH44" s="106">
        <v>6</v>
      </c>
      <c r="CI44" s="106">
        <v>6134.4</v>
      </c>
      <c r="CJ44" s="106">
        <v>5</v>
      </c>
      <c r="CK44" s="106">
        <v>5112</v>
      </c>
      <c r="CL44" s="106">
        <v>7</v>
      </c>
      <c r="CM44" s="106">
        <v>7156.8</v>
      </c>
      <c r="CN44" s="106">
        <v>4</v>
      </c>
      <c r="CO44" s="106">
        <v>4089.6</v>
      </c>
      <c r="CP44" s="106">
        <v>4</v>
      </c>
      <c r="CQ44" s="106">
        <v>4089.6</v>
      </c>
      <c r="CR44" s="106">
        <v>7</v>
      </c>
      <c r="CS44" s="106">
        <v>7156.8</v>
      </c>
      <c r="CT44" s="106">
        <v>7</v>
      </c>
      <c r="CU44" s="106">
        <v>7156.8</v>
      </c>
    </row>
    <row r="45" spans="2:99" x14ac:dyDescent="0.2">
      <c r="C45" s="105" t="s">
        <v>211</v>
      </c>
      <c r="D45" s="106">
        <v>9</v>
      </c>
      <c r="E45" s="106">
        <v>11242.800000000001</v>
      </c>
      <c r="F45" s="106">
        <v>9</v>
      </c>
      <c r="G45" s="106">
        <v>11242.800000000001</v>
      </c>
      <c r="H45" s="106">
        <v>14</v>
      </c>
      <c r="I45" s="106">
        <v>17488.8</v>
      </c>
      <c r="J45" s="106">
        <v>13</v>
      </c>
      <c r="K45" s="106">
        <v>16239.6</v>
      </c>
      <c r="L45" s="106">
        <v>51</v>
      </c>
      <c r="M45" s="106">
        <v>63709.200000000004</v>
      </c>
      <c r="N45" s="106">
        <v>80</v>
      </c>
      <c r="O45" s="106">
        <v>99936</v>
      </c>
      <c r="P45" s="106">
        <v>50</v>
      </c>
      <c r="Q45" s="106">
        <v>62460</v>
      </c>
      <c r="R45" s="106">
        <v>64</v>
      </c>
      <c r="S45" s="106">
        <v>79948.800000000003</v>
      </c>
      <c r="T45" s="106">
        <v>5</v>
      </c>
      <c r="U45" s="106">
        <v>6246</v>
      </c>
      <c r="V45" s="106">
        <v>5</v>
      </c>
      <c r="W45" s="106">
        <v>6246</v>
      </c>
      <c r="X45" s="106">
        <v>4</v>
      </c>
      <c r="Y45" s="106">
        <v>4996.8</v>
      </c>
      <c r="Z45" s="106">
        <v>4</v>
      </c>
      <c r="AA45" s="106">
        <v>4996.8</v>
      </c>
      <c r="AB45" s="106">
        <v>54</v>
      </c>
      <c r="AC45" s="106">
        <v>67456.800000000003</v>
      </c>
      <c r="AD45" s="106">
        <v>44</v>
      </c>
      <c r="AE45" s="106">
        <v>54964.800000000003</v>
      </c>
      <c r="AF45" s="106">
        <v>73</v>
      </c>
      <c r="AG45" s="106">
        <v>91191.6</v>
      </c>
      <c r="AH45" s="106">
        <v>67</v>
      </c>
      <c r="AI45" s="106">
        <v>83696.400000000009</v>
      </c>
      <c r="AJ45" s="106">
        <v>40</v>
      </c>
      <c r="AK45" s="106">
        <v>49968</v>
      </c>
      <c r="AL45" s="106">
        <v>56</v>
      </c>
      <c r="AM45" s="106">
        <v>69955.199999999997</v>
      </c>
      <c r="AN45" s="106">
        <v>36</v>
      </c>
      <c r="AO45" s="106">
        <v>44971.200000000004</v>
      </c>
      <c r="AP45" s="106">
        <v>62</v>
      </c>
      <c r="AQ45" s="106">
        <v>77450.400000000009</v>
      </c>
      <c r="AR45" s="106">
        <v>21</v>
      </c>
      <c r="AS45" s="106">
        <v>26233.200000000001</v>
      </c>
      <c r="AT45" s="106">
        <v>26</v>
      </c>
      <c r="AU45" s="106">
        <v>32479.200000000001</v>
      </c>
      <c r="AV45" s="106">
        <v>24</v>
      </c>
      <c r="AW45" s="106">
        <v>29980.800000000003</v>
      </c>
      <c r="AX45" s="106">
        <v>17</v>
      </c>
      <c r="AY45" s="106">
        <v>21236.400000000001</v>
      </c>
      <c r="AZ45" s="106">
        <v>7</v>
      </c>
      <c r="BA45" s="106">
        <v>8744.4</v>
      </c>
      <c r="BB45" s="106">
        <v>5</v>
      </c>
      <c r="BC45" s="106">
        <v>6246</v>
      </c>
      <c r="BD45" s="106">
        <v>7</v>
      </c>
      <c r="BE45" s="106">
        <v>8744.4</v>
      </c>
      <c r="BF45" s="106">
        <v>6</v>
      </c>
      <c r="BG45" s="106">
        <v>7495.2000000000007</v>
      </c>
      <c r="BH45" s="106">
        <v>59</v>
      </c>
      <c r="BI45" s="106">
        <v>73702.8</v>
      </c>
      <c r="BJ45" s="106">
        <v>52</v>
      </c>
      <c r="BK45" s="106">
        <v>64958.400000000001</v>
      </c>
      <c r="BL45" s="106">
        <v>42</v>
      </c>
      <c r="BM45" s="106">
        <v>52466.400000000001</v>
      </c>
      <c r="BN45" s="106">
        <v>67</v>
      </c>
      <c r="BO45" s="106">
        <v>83696.400000000009</v>
      </c>
      <c r="BP45" s="106">
        <v>22</v>
      </c>
      <c r="BQ45" s="106">
        <v>27482.400000000001</v>
      </c>
      <c r="BR45" s="106">
        <v>33</v>
      </c>
      <c r="BS45" s="106">
        <v>41223.599999999999</v>
      </c>
      <c r="BT45" s="106">
        <v>41</v>
      </c>
      <c r="BU45" s="106">
        <v>51217.200000000004</v>
      </c>
      <c r="BV45" s="106">
        <v>26</v>
      </c>
      <c r="BW45" s="106">
        <v>32479.200000000001</v>
      </c>
      <c r="BX45" s="106">
        <v>9</v>
      </c>
      <c r="BY45" s="106">
        <v>11242.800000000001</v>
      </c>
      <c r="BZ45" s="106">
        <v>7</v>
      </c>
      <c r="CA45" s="106">
        <v>8744.4</v>
      </c>
      <c r="CB45" s="106">
        <v>6</v>
      </c>
      <c r="CC45" s="106">
        <v>7495.2000000000007</v>
      </c>
      <c r="CD45" s="106">
        <v>7</v>
      </c>
      <c r="CE45" s="106">
        <v>8744.4</v>
      </c>
      <c r="CF45" s="106">
        <v>4</v>
      </c>
      <c r="CG45" s="106">
        <v>4996.8</v>
      </c>
      <c r="CH45" s="106">
        <v>6</v>
      </c>
      <c r="CI45" s="106">
        <v>7495.2000000000007</v>
      </c>
      <c r="CJ45" s="106">
        <v>5</v>
      </c>
      <c r="CK45" s="106">
        <v>6246</v>
      </c>
      <c r="CL45" s="106">
        <v>6</v>
      </c>
      <c r="CM45" s="106">
        <v>7495.2000000000007</v>
      </c>
      <c r="CN45" s="106">
        <v>4</v>
      </c>
      <c r="CO45" s="106">
        <v>4996.8</v>
      </c>
      <c r="CP45" s="106">
        <v>4</v>
      </c>
      <c r="CQ45" s="106">
        <v>4996.8</v>
      </c>
      <c r="CR45" s="106">
        <v>7</v>
      </c>
      <c r="CS45" s="106">
        <v>8744.4</v>
      </c>
      <c r="CT45" s="106">
        <v>9</v>
      </c>
      <c r="CU45" s="106">
        <v>11242.800000000001</v>
      </c>
    </row>
    <row r="46" spans="2:99" x14ac:dyDescent="0.2">
      <c r="C46" s="105" t="s">
        <v>212</v>
      </c>
      <c r="D46" s="106">
        <v>11</v>
      </c>
      <c r="E46" s="106">
        <v>13332</v>
      </c>
      <c r="F46" s="106">
        <v>8</v>
      </c>
      <c r="G46" s="106">
        <v>9696</v>
      </c>
      <c r="H46" s="106">
        <v>12</v>
      </c>
      <c r="I46" s="106">
        <v>14544</v>
      </c>
      <c r="J46" s="106">
        <v>12</v>
      </c>
      <c r="K46" s="106">
        <v>14544</v>
      </c>
      <c r="L46" s="106">
        <v>49</v>
      </c>
      <c r="M46" s="106">
        <v>59388</v>
      </c>
      <c r="N46" s="106">
        <v>78</v>
      </c>
      <c r="O46" s="106">
        <v>94536</v>
      </c>
      <c r="P46" s="106">
        <v>51</v>
      </c>
      <c r="Q46" s="106">
        <v>61812</v>
      </c>
      <c r="R46" s="106">
        <v>66</v>
      </c>
      <c r="S46" s="106">
        <v>79992</v>
      </c>
      <c r="T46" s="106">
        <v>5</v>
      </c>
      <c r="U46" s="106">
        <v>6060</v>
      </c>
      <c r="V46" s="106">
        <v>5</v>
      </c>
      <c r="W46" s="106">
        <v>6060</v>
      </c>
      <c r="X46" s="106">
        <v>4</v>
      </c>
      <c r="Y46" s="106">
        <v>4848</v>
      </c>
      <c r="Z46" s="106">
        <v>4</v>
      </c>
      <c r="AA46" s="106">
        <v>4848</v>
      </c>
      <c r="AB46" s="106">
        <v>48</v>
      </c>
      <c r="AC46" s="106">
        <v>58176</v>
      </c>
      <c r="AD46" s="106">
        <v>44</v>
      </c>
      <c r="AE46" s="106">
        <v>53328</v>
      </c>
      <c r="AF46" s="106">
        <v>69</v>
      </c>
      <c r="AG46" s="106">
        <v>83628</v>
      </c>
      <c r="AH46" s="106">
        <v>70</v>
      </c>
      <c r="AI46" s="106">
        <v>84840</v>
      </c>
      <c r="AJ46" s="106">
        <v>41</v>
      </c>
      <c r="AK46" s="106">
        <v>49692</v>
      </c>
      <c r="AL46" s="106">
        <v>64</v>
      </c>
      <c r="AM46" s="106">
        <v>77568</v>
      </c>
      <c r="AN46" s="106">
        <v>41</v>
      </c>
      <c r="AO46" s="106">
        <v>49692</v>
      </c>
      <c r="AP46" s="106">
        <v>66</v>
      </c>
      <c r="AQ46" s="106">
        <v>79992</v>
      </c>
      <c r="AR46" s="106">
        <v>19</v>
      </c>
      <c r="AS46" s="106">
        <v>23028</v>
      </c>
      <c r="AT46" s="106">
        <v>27</v>
      </c>
      <c r="AU46" s="106">
        <v>32724</v>
      </c>
      <c r="AV46" s="106">
        <v>27</v>
      </c>
      <c r="AW46" s="106">
        <v>32724</v>
      </c>
      <c r="AX46" s="106">
        <v>15</v>
      </c>
      <c r="AY46" s="106">
        <v>18180</v>
      </c>
      <c r="AZ46" s="106">
        <v>7</v>
      </c>
      <c r="BA46" s="106">
        <v>8484</v>
      </c>
      <c r="BB46" s="106">
        <v>5</v>
      </c>
      <c r="BC46" s="106">
        <v>6060</v>
      </c>
      <c r="BD46" s="106">
        <v>7</v>
      </c>
      <c r="BE46" s="106">
        <v>8484</v>
      </c>
      <c r="BF46" s="106">
        <v>5</v>
      </c>
      <c r="BG46" s="106">
        <v>6060</v>
      </c>
      <c r="BH46" s="106">
        <v>61</v>
      </c>
      <c r="BI46" s="106">
        <v>73932</v>
      </c>
      <c r="BJ46" s="106">
        <v>55</v>
      </c>
      <c r="BK46" s="106">
        <v>66660</v>
      </c>
      <c r="BL46" s="106">
        <v>41</v>
      </c>
      <c r="BM46" s="106">
        <v>49692</v>
      </c>
      <c r="BN46" s="106">
        <v>61</v>
      </c>
      <c r="BO46" s="106">
        <v>73932</v>
      </c>
      <c r="BP46" s="106">
        <v>21</v>
      </c>
      <c r="BQ46" s="106">
        <v>25452</v>
      </c>
      <c r="BR46" s="106">
        <v>39</v>
      </c>
      <c r="BS46" s="106">
        <v>47268</v>
      </c>
      <c r="BT46" s="106">
        <v>36</v>
      </c>
      <c r="BU46" s="106">
        <v>43632</v>
      </c>
      <c r="BV46" s="106">
        <v>23</v>
      </c>
      <c r="BW46" s="106">
        <v>27876</v>
      </c>
      <c r="BX46" s="106">
        <v>10</v>
      </c>
      <c r="BY46" s="106">
        <v>12120</v>
      </c>
      <c r="BZ46" s="106">
        <v>8</v>
      </c>
      <c r="CA46" s="106">
        <v>9696</v>
      </c>
      <c r="CB46" s="106">
        <v>6</v>
      </c>
      <c r="CC46" s="106">
        <v>7272</v>
      </c>
      <c r="CD46" s="106">
        <v>6</v>
      </c>
      <c r="CE46" s="106">
        <v>7272</v>
      </c>
      <c r="CF46" s="106">
        <v>4</v>
      </c>
      <c r="CG46" s="106">
        <v>4848</v>
      </c>
      <c r="CH46" s="106">
        <v>5</v>
      </c>
      <c r="CI46" s="106">
        <v>6060</v>
      </c>
      <c r="CJ46" s="106">
        <v>6</v>
      </c>
      <c r="CK46" s="106">
        <v>7272</v>
      </c>
      <c r="CL46" s="106">
        <v>7</v>
      </c>
      <c r="CM46" s="106">
        <v>8484</v>
      </c>
      <c r="CN46" s="106">
        <v>4</v>
      </c>
      <c r="CO46" s="106">
        <v>4848</v>
      </c>
      <c r="CP46" s="106">
        <v>4</v>
      </c>
      <c r="CQ46" s="106">
        <v>4848</v>
      </c>
      <c r="CR46" s="106">
        <v>8</v>
      </c>
      <c r="CS46" s="106">
        <v>9696</v>
      </c>
      <c r="CT46" s="106">
        <v>8</v>
      </c>
      <c r="CU46" s="106">
        <v>9696</v>
      </c>
    </row>
    <row r="47" spans="2:99" x14ac:dyDescent="0.2">
      <c r="C47" s="105" t="s">
        <v>213</v>
      </c>
      <c r="D47" s="106">
        <v>10</v>
      </c>
      <c r="E47" s="106">
        <v>15276</v>
      </c>
      <c r="F47" s="106">
        <v>8</v>
      </c>
      <c r="G47" s="106">
        <v>12220.8</v>
      </c>
      <c r="H47" s="106">
        <v>12</v>
      </c>
      <c r="I47" s="106">
        <v>18331.199999999997</v>
      </c>
      <c r="J47" s="106">
        <v>11</v>
      </c>
      <c r="K47" s="106">
        <v>16803.599999999999</v>
      </c>
      <c r="L47" s="106">
        <v>52</v>
      </c>
      <c r="M47" s="106">
        <v>79435.199999999997</v>
      </c>
      <c r="N47" s="106">
        <v>66</v>
      </c>
      <c r="O47" s="106">
        <v>100821.59999999999</v>
      </c>
      <c r="P47" s="106">
        <v>47</v>
      </c>
      <c r="Q47" s="106">
        <v>71797.2</v>
      </c>
      <c r="R47" s="106">
        <v>53</v>
      </c>
      <c r="S47" s="106">
        <v>80962.799999999988</v>
      </c>
      <c r="T47" s="106">
        <v>5</v>
      </c>
      <c r="U47" s="106">
        <v>7638</v>
      </c>
      <c r="V47" s="106">
        <v>5</v>
      </c>
      <c r="W47" s="106">
        <v>7638</v>
      </c>
      <c r="X47" s="106">
        <v>4</v>
      </c>
      <c r="Y47" s="106">
        <v>6110.4</v>
      </c>
      <c r="Z47" s="106">
        <v>4</v>
      </c>
      <c r="AA47" s="106">
        <v>6110.4</v>
      </c>
      <c r="AB47" s="106">
        <v>45</v>
      </c>
      <c r="AC47" s="106">
        <v>68742</v>
      </c>
      <c r="AD47" s="106">
        <v>39</v>
      </c>
      <c r="AE47" s="106">
        <v>59576.399999999994</v>
      </c>
      <c r="AF47" s="106">
        <v>66</v>
      </c>
      <c r="AG47" s="106">
        <v>100821.59999999999</v>
      </c>
      <c r="AH47" s="106">
        <v>63</v>
      </c>
      <c r="AI47" s="106">
        <v>96238.799999999988</v>
      </c>
      <c r="AJ47" s="106">
        <v>41</v>
      </c>
      <c r="AK47" s="106">
        <v>62631.6</v>
      </c>
      <c r="AL47" s="106">
        <v>63</v>
      </c>
      <c r="AM47" s="106">
        <v>96238.799999999988</v>
      </c>
      <c r="AN47" s="106">
        <v>39</v>
      </c>
      <c r="AO47" s="106">
        <v>59576.399999999994</v>
      </c>
      <c r="AP47" s="106">
        <v>67</v>
      </c>
      <c r="AQ47" s="106">
        <v>102349.2</v>
      </c>
      <c r="AR47" s="106">
        <v>19</v>
      </c>
      <c r="AS47" s="106">
        <v>29024.399999999998</v>
      </c>
      <c r="AT47" s="106">
        <v>26</v>
      </c>
      <c r="AU47" s="106">
        <v>39717.599999999999</v>
      </c>
      <c r="AV47" s="106">
        <v>27</v>
      </c>
      <c r="AW47" s="106">
        <v>41245.199999999997</v>
      </c>
      <c r="AX47" s="106">
        <v>17</v>
      </c>
      <c r="AY47" s="106">
        <v>25969.199999999997</v>
      </c>
      <c r="AZ47" s="106">
        <v>6</v>
      </c>
      <c r="BA47" s="106">
        <v>9165.5999999999985</v>
      </c>
      <c r="BB47" s="106">
        <v>5</v>
      </c>
      <c r="BC47" s="106">
        <v>7638</v>
      </c>
      <c r="BD47" s="106">
        <v>7</v>
      </c>
      <c r="BE47" s="106">
        <v>10693.199999999999</v>
      </c>
      <c r="BF47" s="106">
        <v>5</v>
      </c>
      <c r="BG47" s="106">
        <v>7638</v>
      </c>
      <c r="BH47" s="106">
        <v>60</v>
      </c>
      <c r="BI47" s="106">
        <v>91656</v>
      </c>
      <c r="BJ47" s="106">
        <v>51</v>
      </c>
      <c r="BK47" s="106">
        <v>77907.599999999991</v>
      </c>
      <c r="BL47" s="106">
        <v>37</v>
      </c>
      <c r="BM47" s="106">
        <v>56521.2</v>
      </c>
      <c r="BN47" s="106">
        <v>56</v>
      </c>
      <c r="BO47" s="106">
        <v>85545.599999999991</v>
      </c>
      <c r="BP47" s="106">
        <v>21</v>
      </c>
      <c r="BQ47" s="106">
        <v>32079.599999999999</v>
      </c>
      <c r="BR47" s="106">
        <v>35</v>
      </c>
      <c r="BS47" s="106">
        <v>53466</v>
      </c>
      <c r="BT47" s="106">
        <v>38</v>
      </c>
      <c r="BU47" s="106">
        <v>58048.799999999996</v>
      </c>
      <c r="BV47" s="106">
        <v>25</v>
      </c>
      <c r="BW47" s="106">
        <v>38190</v>
      </c>
      <c r="BX47" s="106">
        <v>10</v>
      </c>
      <c r="BY47" s="106">
        <v>15276</v>
      </c>
      <c r="BZ47" s="106">
        <v>7</v>
      </c>
      <c r="CA47" s="106">
        <v>10693.199999999999</v>
      </c>
      <c r="CB47" s="106">
        <v>6</v>
      </c>
      <c r="CC47" s="106">
        <v>9165.5999999999985</v>
      </c>
      <c r="CD47" s="106">
        <v>6</v>
      </c>
      <c r="CE47" s="106">
        <v>9165.5999999999985</v>
      </c>
      <c r="CF47" s="106">
        <v>5</v>
      </c>
      <c r="CG47" s="106">
        <v>7638</v>
      </c>
      <c r="CH47" s="106">
        <v>6</v>
      </c>
      <c r="CI47" s="106">
        <v>9165.5999999999985</v>
      </c>
      <c r="CJ47" s="106">
        <v>5</v>
      </c>
      <c r="CK47" s="106">
        <v>7638</v>
      </c>
      <c r="CL47" s="106">
        <v>6</v>
      </c>
      <c r="CM47" s="106">
        <v>9165.5999999999985</v>
      </c>
      <c r="CN47" s="106">
        <v>4</v>
      </c>
      <c r="CO47" s="106">
        <v>6110.4</v>
      </c>
      <c r="CP47" s="106">
        <v>4</v>
      </c>
      <c r="CQ47" s="106">
        <v>6110.4</v>
      </c>
      <c r="CR47" s="106">
        <v>8</v>
      </c>
      <c r="CS47" s="106">
        <v>12220.8</v>
      </c>
      <c r="CT47" s="106">
        <v>7</v>
      </c>
      <c r="CU47" s="106">
        <v>10693.199999999999</v>
      </c>
    </row>
    <row r="48" spans="2:99" x14ac:dyDescent="0.2">
      <c r="C48" s="105" t="s">
        <v>214</v>
      </c>
      <c r="D48" s="106">
        <v>10</v>
      </c>
      <c r="E48" s="106">
        <v>8676</v>
      </c>
      <c r="F48" s="106">
        <v>8</v>
      </c>
      <c r="G48" s="106">
        <v>6940.8</v>
      </c>
      <c r="H48" s="106">
        <v>15</v>
      </c>
      <c r="I48" s="106">
        <v>13014</v>
      </c>
      <c r="J48" s="106">
        <v>15</v>
      </c>
      <c r="K48" s="106">
        <v>13014</v>
      </c>
      <c r="L48" s="106">
        <v>60</v>
      </c>
      <c r="M48" s="106">
        <v>52056</v>
      </c>
      <c r="N48" s="106">
        <v>92</v>
      </c>
      <c r="O48" s="106">
        <v>79819.199999999997</v>
      </c>
      <c r="P48" s="106">
        <v>57</v>
      </c>
      <c r="Q48" s="106">
        <v>49453.200000000004</v>
      </c>
      <c r="R48" s="106">
        <v>70</v>
      </c>
      <c r="S48" s="106">
        <v>60732</v>
      </c>
      <c r="T48" s="106">
        <v>5</v>
      </c>
      <c r="U48" s="106">
        <v>4338</v>
      </c>
      <c r="V48" s="106">
        <v>6</v>
      </c>
      <c r="W48" s="106">
        <v>5205.6000000000004</v>
      </c>
      <c r="X48" s="106">
        <v>4</v>
      </c>
      <c r="Y48" s="106">
        <v>3470.4</v>
      </c>
      <c r="Z48" s="106">
        <v>4</v>
      </c>
      <c r="AA48" s="106">
        <v>3470.4</v>
      </c>
      <c r="AB48" s="106">
        <v>55</v>
      </c>
      <c r="AC48" s="106">
        <v>47718</v>
      </c>
      <c r="AD48" s="106">
        <v>53</v>
      </c>
      <c r="AE48" s="106">
        <v>45982.8</v>
      </c>
      <c r="AF48" s="106">
        <v>70</v>
      </c>
      <c r="AG48" s="106">
        <v>60732</v>
      </c>
      <c r="AH48" s="106">
        <v>72</v>
      </c>
      <c r="AI48" s="106">
        <v>62467.200000000004</v>
      </c>
      <c r="AJ48" s="106">
        <v>45</v>
      </c>
      <c r="AK48" s="106">
        <v>39042</v>
      </c>
      <c r="AL48" s="106">
        <v>67</v>
      </c>
      <c r="AM48" s="106">
        <v>58129.200000000004</v>
      </c>
      <c r="AN48" s="106">
        <v>38</v>
      </c>
      <c r="AO48" s="106">
        <v>32968.800000000003</v>
      </c>
      <c r="AP48" s="106">
        <v>68</v>
      </c>
      <c r="AQ48" s="106">
        <v>58996.800000000003</v>
      </c>
      <c r="AR48" s="106">
        <v>21</v>
      </c>
      <c r="AS48" s="106">
        <v>18219.600000000002</v>
      </c>
      <c r="AT48" s="106">
        <v>28</v>
      </c>
      <c r="AU48" s="106">
        <v>24292.799999999999</v>
      </c>
      <c r="AV48" s="106">
        <v>29</v>
      </c>
      <c r="AW48" s="106">
        <v>25160.400000000001</v>
      </c>
      <c r="AX48" s="106">
        <v>17</v>
      </c>
      <c r="AY48" s="106">
        <v>14749.2</v>
      </c>
      <c r="AZ48" s="106">
        <v>7</v>
      </c>
      <c r="BA48" s="106">
        <v>6073.2</v>
      </c>
      <c r="BB48" s="106">
        <v>6</v>
      </c>
      <c r="BC48" s="106">
        <v>5205.6000000000004</v>
      </c>
      <c r="BD48" s="106">
        <v>6</v>
      </c>
      <c r="BE48" s="106">
        <v>5205.6000000000004</v>
      </c>
      <c r="BF48" s="106">
        <v>6</v>
      </c>
      <c r="BG48" s="106">
        <v>5205.6000000000004</v>
      </c>
      <c r="BH48" s="106">
        <v>60</v>
      </c>
      <c r="BI48" s="106">
        <v>52056</v>
      </c>
      <c r="BJ48" s="106">
        <v>63</v>
      </c>
      <c r="BK48" s="106">
        <v>54658.8</v>
      </c>
      <c r="BL48" s="106">
        <v>39</v>
      </c>
      <c r="BM48" s="106">
        <v>33836.400000000001</v>
      </c>
      <c r="BN48" s="106">
        <v>73</v>
      </c>
      <c r="BO48" s="106">
        <v>63334.8</v>
      </c>
      <c r="BP48" s="106">
        <v>20</v>
      </c>
      <c r="BQ48" s="106">
        <v>17352</v>
      </c>
      <c r="BR48" s="106">
        <v>37</v>
      </c>
      <c r="BS48" s="106">
        <v>32101.200000000001</v>
      </c>
      <c r="BT48" s="106">
        <v>42</v>
      </c>
      <c r="BU48" s="106">
        <v>36439.200000000004</v>
      </c>
      <c r="BV48" s="106">
        <v>25</v>
      </c>
      <c r="BW48" s="106">
        <v>21690</v>
      </c>
      <c r="BX48" s="106">
        <v>10</v>
      </c>
      <c r="BY48" s="106">
        <v>8676</v>
      </c>
      <c r="BZ48" s="106">
        <v>7</v>
      </c>
      <c r="CA48" s="106">
        <v>6073.2</v>
      </c>
      <c r="CB48" s="106">
        <v>6</v>
      </c>
      <c r="CC48" s="106">
        <v>5205.6000000000004</v>
      </c>
      <c r="CD48" s="106">
        <v>6</v>
      </c>
      <c r="CE48" s="106">
        <v>5205.6000000000004</v>
      </c>
      <c r="CF48" s="106">
        <v>5</v>
      </c>
      <c r="CG48" s="106">
        <v>4338</v>
      </c>
      <c r="CH48" s="106">
        <v>6</v>
      </c>
      <c r="CI48" s="106">
        <v>5205.6000000000004</v>
      </c>
      <c r="CJ48" s="106">
        <v>6</v>
      </c>
      <c r="CK48" s="106">
        <v>5205.6000000000004</v>
      </c>
      <c r="CL48" s="106">
        <v>7</v>
      </c>
      <c r="CM48" s="106">
        <v>6073.2</v>
      </c>
      <c r="CN48" s="106">
        <v>4</v>
      </c>
      <c r="CO48" s="106">
        <v>3470.4</v>
      </c>
      <c r="CP48" s="106">
        <v>4</v>
      </c>
      <c r="CQ48" s="106">
        <v>3470.4</v>
      </c>
      <c r="CR48" s="106">
        <v>7</v>
      </c>
      <c r="CS48" s="106">
        <v>6073.2</v>
      </c>
      <c r="CT48" s="106">
        <v>8</v>
      </c>
      <c r="CU48" s="106">
        <v>6940.8</v>
      </c>
    </row>
    <row r="49" spans="2:99" x14ac:dyDescent="0.2">
      <c r="B49" s="105" t="s">
        <v>129</v>
      </c>
      <c r="C49" s="105" t="s">
        <v>215</v>
      </c>
      <c r="D49" s="106">
        <v>5</v>
      </c>
      <c r="E49" s="106">
        <v>4926</v>
      </c>
      <c r="F49" s="106">
        <v>5</v>
      </c>
      <c r="G49" s="106">
        <v>4926</v>
      </c>
      <c r="H49" s="106">
        <v>5</v>
      </c>
      <c r="I49" s="106">
        <v>4926</v>
      </c>
      <c r="J49" s="106">
        <v>5</v>
      </c>
      <c r="K49" s="106">
        <v>4926</v>
      </c>
      <c r="L49" s="106">
        <v>39</v>
      </c>
      <c r="M49" s="106">
        <v>38422.799999999996</v>
      </c>
      <c r="N49" s="106">
        <v>36</v>
      </c>
      <c r="O49" s="106">
        <v>35467.199999999997</v>
      </c>
      <c r="P49" s="106">
        <v>31</v>
      </c>
      <c r="Q49" s="106">
        <v>30541.199999999997</v>
      </c>
      <c r="R49" s="106">
        <v>33</v>
      </c>
      <c r="S49" s="106">
        <v>32511.599999999999</v>
      </c>
      <c r="T49" s="106">
        <v>3</v>
      </c>
      <c r="U49" s="106">
        <v>2955.6</v>
      </c>
      <c r="V49" s="106">
        <v>3</v>
      </c>
      <c r="W49" s="106">
        <v>2955.6</v>
      </c>
      <c r="X49" s="106">
        <v>4</v>
      </c>
      <c r="Y49" s="106">
        <v>3940.7999999999997</v>
      </c>
      <c r="Z49" s="106">
        <v>3</v>
      </c>
      <c r="AA49" s="106">
        <v>2955.6</v>
      </c>
      <c r="AB49" s="106">
        <v>9</v>
      </c>
      <c r="AC49" s="106">
        <v>8866.7999999999993</v>
      </c>
      <c r="AD49" s="106">
        <v>9</v>
      </c>
      <c r="AE49" s="106">
        <v>8866.7999999999993</v>
      </c>
      <c r="AF49" s="106">
        <v>10</v>
      </c>
      <c r="AG49" s="106">
        <v>9852</v>
      </c>
      <c r="AH49" s="106">
        <v>7</v>
      </c>
      <c r="AI49" s="106">
        <v>6896.4</v>
      </c>
      <c r="AJ49" s="106">
        <v>6</v>
      </c>
      <c r="AK49" s="106">
        <v>5911.2</v>
      </c>
      <c r="AL49" s="106">
        <v>7</v>
      </c>
      <c r="AM49" s="106">
        <v>6896.4</v>
      </c>
      <c r="AN49" s="106">
        <v>6</v>
      </c>
      <c r="AO49" s="106">
        <v>5911.2</v>
      </c>
      <c r="AP49" s="106">
        <v>8</v>
      </c>
      <c r="AQ49" s="106">
        <v>7881.5999999999995</v>
      </c>
      <c r="AR49" s="106">
        <v>5</v>
      </c>
      <c r="AS49" s="106">
        <v>4926</v>
      </c>
      <c r="AT49" s="106">
        <v>4</v>
      </c>
      <c r="AU49" s="106">
        <v>3940.7999999999997</v>
      </c>
      <c r="AV49" s="106">
        <v>4</v>
      </c>
      <c r="AW49" s="106">
        <v>3940.7999999999997</v>
      </c>
      <c r="AX49" s="106">
        <v>5</v>
      </c>
      <c r="AY49" s="106">
        <v>4926</v>
      </c>
      <c r="AZ49" s="106">
        <v>4</v>
      </c>
      <c r="BA49" s="106">
        <v>3940.7999999999997</v>
      </c>
      <c r="BB49" s="106">
        <v>7</v>
      </c>
      <c r="BC49" s="106">
        <v>6896.4</v>
      </c>
      <c r="BD49" s="106">
        <v>8</v>
      </c>
      <c r="BE49" s="106">
        <v>7881.5999999999995</v>
      </c>
      <c r="BF49" s="106">
        <v>5</v>
      </c>
      <c r="BG49" s="106">
        <v>4926</v>
      </c>
      <c r="BH49" s="106">
        <v>4</v>
      </c>
      <c r="BI49" s="106">
        <v>3940.7999999999997</v>
      </c>
      <c r="BJ49" s="106">
        <v>4</v>
      </c>
      <c r="BK49" s="106">
        <v>3940.7999999999997</v>
      </c>
      <c r="BL49" s="106">
        <v>4</v>
      </c>
      <c r="BM49" s="106">
        <v>3940.7999999999997</v>
      </c>
      <c r="BN49" s="106">
        <v>5</v>
      </c>
      <c r="BO49" s="106">
        <v>4926</v>
      </c>
      <c r="BP49" s="106">
        <v>3</v>
      </c>
      <c r="BQ49" s="106">
        <v>2955.6</v>
      </c>
      <c r="BR49" s="106">
        <v>3</v>
      </c>
      <c r="BS49" s="106">
        <v>2955.6</v>
      </c>
      <c r="BT49" s="106">
        <v>3</v>
      </c>
      <c r="BU49" s="106">
        <v>2955.6</v>
      </c>
      <c r="BV49" s="106">
        <v>2</v>
      </c>
      <c r="BW49" s="106">
        <v>1970.3999999999999</v>
      </c>
      <c r="BX49" s="106">
        <v>46</v>
      </c>
      <c r="BY49" s="106">
        <v>45319.199999999997</v>
      </c>
      <c r="BZ49" s="106">
        <v>43</v>
      </c>
      <c r="CA49" s="106">
        <v>42363.6</v>
      </c>
      <c r="CB49" s="106">
        <v>61</v>
      </c>
      <c r="CC49" s="106">
        <v>60097.2</v>
      </c>
      <c r="CD49" s="106">
        <v>52</v>
      </c>
      <c r="CE49" s="106">
        <v>51230.399999999994</v>
      </c>
      <c r="CF49" s="106">
        <v>20</v>
      </c>
      <c r="CG49" s="106">
        <v>19704</v>
      </c>
      <c r="CH49" s="106">
        <v>19</v>
      </c>
      <c r="CI49" s="106">
        <v>18718.8</v>
      </c>
      <c r="CJ49" s="106">
        <v>27</v>
      </c>
      <c r="CK49" s="106">
        <v>26600.399999999998</v>
      </c>
      <c r="CL49" s="106">
        <v>23</v>
      </c>
      <c r="CM49" s="106">
        <v>22659.599999999999</v>
      </c>
      <c r="CN49" s="106">
        <v>2</v>
      </c>
      <c r="CO49" s="106">
        <v>1970.3999999999999</v>
      </c>
      <c r="CP49" s="106">
        <v>3</v>
      </c>
      <c r="CQ49" s="106">
        <v>2955.6</v>
      </c>
      <c r="CR49" s="106">
        <v>2</v>
      </c>
      <c r="CS49" s="106">
        <v>1970.3999999999999</v>
      </c>
      <c r="CT49" s="106">
        <v>3</v>
      </c>
      <c r="CU49" s="106">
        <v>2955.6</v>
      </c>
    </row>
    <row r="50" spans="2:99" x14ac:dyDescent="0.2">
      <c r="C50" s="105" t="s">
        <v>216</v>
      </c>
      <c r="D50" s="106">
        <v>5</v>
      </c>
      <c r="E50" s="106">
        <v>1410</v>
      </c>
      <c r="F50" s="106">
        <v>6</v>
      </c>
      <c r="G50" s="106">
        <v>1692</v>
      </c>
      <c r="H50" s="106">
        <v>6</v>
      </c>
      <c r="I50" s="106">
        <v>1692</v>
      </c>
      <c r="J50" s="106">
        <v>5</v>
      </c>
      <c r="K50" s="106">
        <v>1410</v>
      </c>
      <c r="L50" s="106">
        <v>37</v>
      </c>
      <c r="M50" s="106">
        <v>10434</v>
      </c>
      <c r="N50" s="106">
        <v>36</v>
      </c>
      <c r="O50" s="106">
        <v>10152</v>
      </c>
      <c r="P50" s="106">
        <v>39</v>
      </c>
      <c r="Q50" s="106">
        <v>10998</v>
      </c>
      <c r="R50" s="106">
        <v>33</v>
      </c>
      <c r="S50" s="106">
        <v>9306</v>
      </c>
      <c r="T50" s="106">
        <v>3</v>
      </c>
      <c r="U50" s="106">
        <v>846</v>
      </c>
      <c r="V50" s="106">
        <v>3</v>
      </c>
      <c r="W50" s="106">
        <v>846</v>
      </c>
      <c r="X50" s="106">
        <v>4</v>
      </c>
      <c r="Y50" s="106">
        <v>1128</v>
      </c>
      <c r="Z50" s="106">
        <v>4</v>
      </c>
      <c r="AA50" s="106">
        <v>1128</v>
      </c>
      <c r="AB50" s="106">
        <v>10</v>
      </c>
      <c r="AC50" s="106">
        <v>2820</v>
      </c>
      <c r="AD50" s="106">
        <v>10</v>
      </c>
      <c r="AE50" s="106">
        <v>2820</v>
      </c>
      <c r="AF50" s="106">
        <v>11</v>
      </c>
      <c r="AG50" s="106">
        <v>3102</v>
      </c>
      <c r="AH50" s="106">
        <v>7</v>
      </c>
      <c r="AI50" s="106">
        <v>1974</v>
      </c>
      <c r="AJ50" s="106">
        <v>7</v>
      </c>
      <c r="AK50" s="106">
        <v>1974</v>
      </c>
      <c r="AL50" s="106">
        <v>7</v>
      </c>
      <c r="AM50" s="106">
        <v>1974</v>
      </c>
      <c r="AN50" s="106">
        <v>7</v>
      </c>
      <c r="AO50" s="106">
        <v>1974</v>
      </c>
      <c r="AP50" s="106">
        <v>8</v>
      </c>
      <c r="AQ50" s="106">
        <v>2256</v>
      </c>
      <c r="AR50" s="106">
        <v>5</v>
      </c>
      <c r="AS50" s="106">
        <v>1410</v>
      </c>
      <c r="AT50" s="106">
        <v>5</v>
      </c>
      <c r="AU50" s="106">
        <v>1410</v>
      </c>
      <c r="AV50" s="106">
        <v>5</v>
      </c>
      <c r="AW50" s="106">
        <v>1410</v>
      </c>
      <c r="AX50" s="106">
        <v>5</v>
      </c>
      <c r="AY50" s="106">
        <v>1410</v>
      </c>
      <c r="AZ50" s="106">
        <v>5</v>
      </c>
      <c r="BA50" s="106">
        <v>1410</v>
      </c>
      <c r="BB50" s="106">
        <v>8</v>
      </c>
      <c r="BC50" s="106">
        <v>2256</v>
      </c>
      <c r="BD50" s="106">
        <v>7</v>
      </c>
      <c r="BE50" s="106">
        <v>1974</v>
      </c>
      <c r="BF50" s="106">
        <v>5</v>
      </c>
      <c r="BG50" s="106">
        <v>1410</v>
      </c>
      <c r="BH50" s="106">
        <v>5</v>
      </c>
      <c r="BI50" s="106">
        <v>1410</v>
      </c>
      <c r="BJ50" s="106">
        <v>5</v>
      </c>
      <c r="BK50" s="106">
        <v>1410</v>
      </c>
      <c r="BL50" s="106">
        <v>5</v>
      </c>
      <c r="BM50" s="106">
        <v>1410</v>
      </c>
      <c r="BN50" s="106">
        <v>6</v>
      </c>
      <c r="BO50" s="106">
        <v>1692</v>
      </c>
      <c r="BP50" s="106">
        <v>3</v>
      </c>
      <c r="BQ50" s="106">
        <v>846</v>
      </c>
      <c r="BR50" s="106">
        <v>3</v>
      </c>
      <c r="BS50" s="106">
        <v>846</v>
      </c>
      <c r="BT50" s="106">
        <v>3</v>
      </c>
      <c r="BU50" s="106">
        <v>846</v>
      </c>
      <c r="BV50" s="106">
        <v>2</v>
      </c>
      <c r="BW50" s="106">
        <v>564</v>
      </c>
      <c r="BX50" s="106">
        <v>56</v>
      </c>
      <c r="BY50" s="106">
        <v>15792</v>
      </c>
      <c r="BZ50" s="106">
        <v>53</v>
      </c>
      <c r="CA50" s="106">
        <v>14946</v>
      </c>
      <c r="CB50" s="106">
        <v>68</v>
      </c>
      <c r="CC50" s="106">
        <v>19176</v>
      </c>
      <c r="CD50" s="106">
        <v>56</v>
      </c>
      <c r="CE50" s="106">
        <v>15792</v>
      </c>
      <c r="CF50" s="106">
        <v>21</v>
      </c>
      <c r="CG50" s="106">
        <v>5922</v>
      </c>
      <c r="CH50" s="106">
        <v>21</v>
      </c>
      <c r="CI50" s="106">
        <v>5922</v>
      </c>
      <c r="CJ50" s="106">
        <v>31</v>
      </c>
      <c r="CK50" s="106">
        <v>8742</v>
      </c>
      <c r="CL50" s="106">
        <v>23</v>
      </c>
      <c r="CM50" s="106">
        <v>6486</v>
      </c>
      <c r="CN50" s="106">
        <v>3</v>
      </c>
      <c r="CO50" s="106">
        <v>846</v>
      </c>
      <c r="CP50" s="106">
        <v>3</v>
      </c>
      <c r="CQ50" s="106">
        <v>846</v>
      </c>
      <c r="CR50" s="106">
        <v>2</v>
      </c>
      <c r="CS50" s="106">
        <v>564</v>
      </c>
      <c r="CT50" s="106">
        <v>4</v>
      </c>
      <c r="CU50" s="106">
        <v>1128</v>
      </c>
    </row>
    <row r="51" spans="2:99" x14ac:dyDescent="0.2">
      <c r="C51" s="105" t="s">
        <v>217</v>
      </c>
      <c r="D51" s="106">
        <v>5</v>
      </c>
      <c r="E51" s="106">
        <v>4272</v>
      </c>
      <c r="F51" s="106">
        <v>5</v>
      </c>
      <c r="G51" s="106">
        <v>4272</v>
      </c>
      <c r="H51" s="106">
        <v>5</v>
      </c>
      <c r="I51" s="106">
        <v>4272</v>
      </c>
      <c r="J51" s="106">
        <v>5</v>
      </c>
      <c r="K51" s="106">
        <v>4272</v>
      </c>
      <c r="L51" s="106">
        <v>37</v>
      </c>
      <c r="M51" s="106">
        <v>31612.799999999999</v>
      </c>
      <c r="N51" s="106">
        <v>33</v>
      </c>
      <c r="O51" s="106">
        <v>28195.200000000001</v>
      </c>
      <c r="P51" s="106">
        <v>36</v>
      </c>
      <c r="Q51" s="106">
        <v>30758.399999999998</v>
      </c>
      <c r="R51" s="106">
        <v>29</v>
      </c>
      <c r="S51" s="106">
        <v>24777.599999999999</v>
      </c>
      <c r="T51" s="106">
        <v>3</v>
      </c>
      <c r="U51" s="106">
        <v>2563.1999999999998</v>
      </c>
      <c r="V51" s="106">
        <v>4</v>
      </c>
      <c r="W51" s="106">
        <v>3417.6</v>
      </c>
      <c r="X51" s="106">
        <v>4</v>
      </c>
      <c r="Y51" s="106">
        <v>3417.6</v>
      </c>
      <c r="Z51" s="106">
        <v>4</v>
      </c>
      <c r="AA51" s="106">
        <v>3417.6</v>
      </c>
      <c r="AB51" s="106">
        <v>9</v>
      </c>
      <c r="AC51" s="106">
        <v>7689.5999999999995</v>
      </c>
      <c r="AD51" s="106">
        <v>10</v>
      </c>
      <c r="AE51" s="106">
        <v>8544</v>
      </c>
      <c r="AF51" s="106">
        <v>10</v>
      </c>
      <c r="AG51" s="106">
        <v>8544</v>
      </c>
      <c r="AH51" s="106">
        <v>6</v>
      </c>
      <c r="AI51" s="106">
        <v>5126.3999999999996</v>
      </c>
      <c r="AJ51" s="106">
        <v>6</v>
      </c>
      <c r="AK51" s="106">
        <v>5126.3999999999996</v>
      </c>
      <c r="AL51" s="106">
        <v>7</v>
      </c>
      <c r="AM51" s="106">
        <v>5980.8</v>
      </c>
      <c r="AN51" s="106">
        <v>7</v>
      </c>
      <c r="AO51" s="106">
        <v>5980.8</v>
      </c>
      <c r="AP51" s="106">
        <v>8</v>
      </c>
      <c r="AQ51" s="106">
        <v>6835.2</v>
      </c>
      <c r="AR51" s="106">
        <v>5</v>
      </c>
      <c r="AS51" s="106">
        <v>4272</v>
      </c>
      <c r="AT51" s="106">
        <v>4</v>
      </c>
      <c r="AU51" s="106">
        <v>3417.6</v>
      </c>
      <c r="AV51" s="106">
        <v>4</v>
      </c>
      <c r="AW51" s="106">
        <v>3417.6</v>
      </c>
      <c r="AX51" s="106">
        <v>6</v>
      </c>
      <c r="AY51" s="106">
        <v>5126.3999999999996</v>
      </c>
      <c r="AZ51" s="106">
        <v>5</v>
      </c>
      <c r="BA51" s="106">
        <v>4272</v>
      </c>
      <c r="BB51" s="106">
        <v>8</v>
      </c>
      <c r="BC51" s="106">
        <v>6835.2</v>
      </c>
      <c r="BD51" s="106">
        <v>7</v>
      </c>
      <c r="BE51" s="106">
        <v>5980.8</v>
      </c>
      <c r="BF51" s="106">
        <v>5</v>
      </c>
      <c r="BG51" s="106">
        <v>4272</v>
      </c>
      <c r="BH51" s="106">
        <v>4</v>
      </c>
      <c r="BI51" s="106">
        <v>3417.6</v>
      </c>
      <c r="BJ51" s="106">
        <v>4</v>
      </c>
      <c r="BK51" s="106">
        <v>3417.6</v>
      </c>
      <c r="BL51" s="106">
        <v>5</v>
      </c>
      <c r="BM51" s="106">
        <v>4272</v>
      </c>
      <c r="BN51" s="106">
        <v>6</v>
      </c>
      <c r="BO51" s="106">
        <v>5126.3999999999996</v>
      </c>
      <c r="BP51" s="106">
        <v>3</v>
      </c>
      <c r="BQ51" s="106">
        <v>2563.1999999999998</v>
      </c>
      <c r="BR51" s="106">
        <v>3</v>
      </c>
      <c r="BS51" s="106">
        <v>2563.1999999999998</v>
      </c>
      <c r="BT51" s="106">
        <v>3</v>
      </c>
      <c r="BU51" s="106">
        <v>2563.1999999999998</v>
      </c>
      <c r="BV51" s="106">
        <v>3</v>
      </c>
      <c r="BW51" s="106">
        <v>2563.1999999999998</v>
      </c>
      <c r="BX51" s="106">
        <v>53</v>
      </c>
      <c r="BY51" s="106">
        <v>45283.199999999997</v>
      </c>
      <c r="BZ51" s="106">
        <v>42</v>
      </c>
      <c r="CA51" s="106">
        <v>35884.799999999996</v>
      </c>
      <c r="CB51" s="106">
        <v>69</v>
      </c>
      <c r="CC51" s="106">
        <v>58953.599999999999</v>
      </c>
      <c r="CD51" s="106">
        <v>55</v>
      </c>
      <c r="CE51" s="106">
        <v>46992</v>
      </c>
      <c r="CF51" s="106">
        <v>22</v>
      </c>
      <c r="CG51" s="106">
        <v>18796.8</v>
      </c>
      <c r="CH51" s="106">
        <v>19</v>
      </c>
      <c r="CI51" s="106">
        <v>16233.6</v>
      </c>
      <c r="CJ51" s="106">
        <v>26</v>
      </c>
      <c r="CK51" s="106">
        <v>22214.399999999998</v>
      </c>
      <c r="CL51" s="106">
        <v>24</v>
      </c>
      <c r="CM51" s="106">
        <v>20505.599999999999</v>
      </c>
      <c r="CN51" s="106">
        <v>3</v>
      </c>
      <c r="CO51" s="106">
        <v>2563.1999999999998</v>
      </c>
      <c r="CP51" s="106">
        <v>3</v>
      </c>
      <c r="CQ51" s="106">
        <v>2563.1999999999998</v>
      </c>
      <c r="CR51" s="106">
        <v>2</v>
      </c>
      <c r="CS51" s="106">
        <v>1708.8</v>
      </c>
      <c r="CT51" s="106">
        <v>4</v>
      </c>
      <c r="CU51" s="106">
        <v>3417.6</v>
      </c>
    </row>
    <row r="52" spans="2:99" x14ac:dyDescent="0.2">
      <c r="C52" s="105" t="s">
        <v>218</v>
      </c>
      <c r="D52" s="106">
        <v>6</v>
      </c>
      <c r="E52" s="106">
        <v>3240</v>
      </c>
      <c r="F52" s="106">
        <v>5</v>
      </c>
      <c r="G52" s="106">
        <v>2700</v>
      </c>
      <c r="H52" s="106">
        <v>6</v>
      </c>
      <c r="I52" s="106">
        <v>3240</v>
      </c>
      <c r="J52" s="106">
        <v>5</v>
      </c>
      <c r="K52" s="106">
        <v>2700</v>
      </c>
      <c r="L52" s="106">
        <v>41</v>
      </c>
      <c r="M52" s="106">
        <v>22140</v>
      </c>
      <c r="N52" s="106">
        <v>39</v>
      </c>
      <c r="O52" s="106">
        <v>21060</v>
      </c>
      <c r="P52" s="106">
        <v>34</v>
      </c>
      <c r="Q52" s="106">
        <v>18360</v>
      </c>
      <c r="R52" s="106">
        <v>37</v>
      </c>
      <c r="S52" s="106">
        <v>19980</v>
      </c>
      <c r="T52" s="106">
        <v>3</v>
      </c>
      <c r="U52" s="106">
        <v>1620</v>
      </c>
      <c r="V52" s="106">
        <v>4</v>
      </c>
      <c r="W52" s="106">
        <v>2160</v>
      </c>
      <c r="X52" s="106">
        <v>4</v>
      </c>
      <c r="Y52" s="106">
        <v>2160</v>
      </c>
      <c r="Z52" s="106">
        <v>4</v>
      </c>
      <c r="AA52" s="106">
        <v>2160</v>
      </c>
      <c r="AB52" s="106">
        <v>11</v>
      </c>
      <c r="AC52" s="106">
        <v>5940</v>
      </c>
      <c r="AD52" s="106">
        <v>9</v>
      </c>
      <c r="AE52" s="106">
        <v>4860</v>
      </c>
      <c r="AF52" s="106">
        <v>10</v>
      </c>
      <c r="AG52" s="106">
        <v>5400</v>
      </c>
      <c r="AH52" s="106">
        <v>7</v>
      </c>
      <c r="AI52" s="106">
        <v>3780</v>
      </c>
      <c r="AJ52" s="106">
        <v>6</v>
      </c>
      <c r="AK52" s="106">
        <v>3240</v>
      </c>
      <c r="AL52" s="106">
        <v>7</v>
      </c>
      <c r="AM52" s="106">
        <v>3780</v>
      </c>
      <c r="AN52" s="106">
        <v>7</v>
      </c>
      <c r="AO52" s="106">
        <v>3780</v>
      </c>
      <c r="AP52" s="106">
        <v>7</v>
      </c>
      <c r="AQ52" s="106">
        <v>3780</v>
      </c>
      <c r="AR52" s="106">
        <v>5</v>
      </c>
      <c r="AS52" s="106">
        <v>2700</v>
      </c>
      <c r="AT52" s="106">
        <v>5</v>
      </c>
      <c r="AU52" s="106">
        <v>2700</v>
      </c>
      <c r="AV52" s="106">
        <v>4</v>
      </c>
      <c r="AW52" s="106">
        <v>2160</v>
      </c>
      <c r="AX52" s="106">
        <v>5</v>
      </c>
      <c r="AY52" s="106">
        <v>2700</v>
      </c>
      <c r="AZ52" s="106">
        <v>4</v>
      </c>
      <c r="BA52" s="106">
        <v>2160</v>
      </c>
      <c r="BB52" s="106">
        <v>8</v>
      </c>
      <c r="BC52" s="106">
        <v>4320</v>
      </c>
      <c r="BD52" s="106">
        <v>8</v>
      </c>
      <c r="BE52" s="106">
        <v>4320</v>
      </c>
      <c r="BF52" s="106">
        <v>6</v>
      </c>
      <c r="BG52" s="106">
        <v>3240</v>
      </c>
      <c r="BH52" s="106">
        <v>5</v>
      </c>
      <c r="BI52" s="106">
        <v>2700</v>
      </c>
      <c r="BJ52" s="106">
        <v>4</v>
      </c>
      <c r="BK52" s="106">
        <v>2160</v>
      </c>
      <c r="BL52" s="106">
        <v>5</v>
      </c>
      <c r="BM52" s="106">
        <v>2700</v>
      </c>
      <c r="BN52" s="106">
        <v>5</v>
      </c>
      <c r="BO52" s="106">
        <v>2700</v>
      </c>
      <c r="BP52" s="106">
        <v>3</v>
      </c>
      <c r="BQ52" s="106">
        <v>1620</v>
      </c>
      <c r="BR52" s="106">
        <v>3</v>
      </c>
      <c r="BS52" s="106">
        <v>1620</v>
      </c>
      <c r="BT52" s="106">
        <v>3</v>
      </c>
      <c r="BU52" s="106">
        <v>1620</v>
      </c>
      <c r="BV52" s="106">
        <v>3</v>
      </c>
      <c r="BW52" s="106">
        <v>1620</v>
      </c>
      <c r="BX52" s="106">
        <v>54</v>
      </c>
      <c r="BY52" s="106">
        <v>29160</v>
      </c>
      <c r="BZ52" s="106">
        <v>53</v>
      </c>
      <c r="CA52" s="106">
        <v>28620</v>
      </c>
      <c r="CB52" s="106">
        <v>69</v>
      </c>
      <c r="CC52" s="106">
        <v>37260</v>
      </c>
      <c r="CD52" s="106">
        <v>52</v>
      </c>
      <c r="CE52" s="106">
        <v>28080</v>
      </c>
      <c r="CF52" s="106">
        <v>24</v>
      </c>
      <c r="CG52" s="106">
        <v>12960</v>
      </c>
      <c r="CH52" s="106">
        <v>23</v>
      </c>
      <c r="CI52" s="106">
        <v>12420</v>
      </c>
      <c r="CJ52" s="106">
        <v>31</v>
      </c>
      <c r="CK52" s="106">
        <v>16740</v>
      </c>
      <c r="CL52" s="106">
        <v>21</v>
      </c>
      <c r="CM52" s="106">
        <v>11340</v>
      </c>
      <c r="CN52" s="106">
        <v>3</v>
      </c>
      <c r="CO52" s="106">
        <v>1620</v>
      </c>
      <c r="CP52" s="106">
        <v>3</v>
      </c>
      <c r="CQ52" s="106">
        <v>1620</v>
      </c>
      <c r="CR52" s="106">
        <v>3</v>
      </c>
      <c r="CS52" s="106">
        <v>1620</v>
      </c>
      <c r="CT52" s="106">
        <v>4</v>
      </c>
      <c r="CU52" s="106">
        <v>2160</v>
      </c>
    </row>
    <row r="53" spans="2:99" x14ac:dyDescent="0.2">
      <c r="C53" s="105" t="s">
        <v>219</v>
      </c>
      <c r="D53" s="106">
        <v>5</v>
      </c>
      <c r="E53" s="106">
        <v>2034</v>
      </c>
      <c r="F53" s="106">
        <v>5</v>
      </c>
      <c r="G53" s="106">
        <v>2034</v>
      </c>
      <c r="H53" s="106">
        <v>6</v>
      </c>
      <c r="I53" s="106">
        <v>2440.8000000000002</v>
      </c>
      <c r="J53" s="106">
        <v>5</v>
      </c>
      <c r="K53" s="106">
        <v>2034</v>
      </c>
      <c r="L53" s="106">
        <v>42</v>
      </c>
      <c r="M53" s="106">
        <v>17085.600000000002</v>
      </c>
      <c r="N53" s="106">
        <v>39</v>
      </c>
      <c r="O53" s="106">
        <v>15865.2</v>
      </c>
      <c r="P53" s="106">
        <v>40</v>
      </c>
      <c r="Q53" s="106">
        <v>16272</v>
      </c>
      <c r="R53" s="106">
        <v>37</v>
      </c>
      <c r="S53" s="106">
        <v>15051.6</v>
      </c>
      <c r="T53" s="106">
        <v>3</v>
      </c>
      <c r="U53" s="106">
        <v>1220.4000000000001</v>
      </c>
      <c r="V53" s="106">
        <v>4</v>
      </c>
      <c r="W53" s="106">
        <v>1627.2</v>
      </c>
      <c r="X53" s="106">
        <v>4</v>
      </c>
      <c r="Y53" s="106">
        <v>1627.2</v>
      </c>
      <c r="Z53" s="106">
        <v>4</v>
      </c>
      <c r="AA53" s="106">
        <v>1627.2</v>
      </c>
      <c r="AB53" s="106">
        <v>9</v>
      </c>
      <c r="AC53" s="106">
        <v>3661.2000000000003</v>
      </c>
      <c r="AD53" s="106">
        <v>10</v>
      </c>
      <c r="AE53" s="106">
        <v>4068</v>
      </c>
      <c r="AF53" s="106">
        <v>11</v>
      </c>
      <c r="AG53" s="106">
        <v>4474.8</v>
      </c>
      <c r="AH53" s="106">
        <v>7</v>
      </c>
      <c r="AI53" s="106">
        <v>2847.6</v>
      </c>
      <c r="AJ53" s="106">
        <v>6</v>
      </c>
      <c r="AK53" s="106">
        <v>2440.8000000000002</v>
      </c>
      <c r="AL53" s="106">
        <v>8</v>
      </c>
      <c r="AM53" s="106">
        <v>3254.4</v>
      </c>
      <c r="AN53" s="106">
        <v>8</v>
      </c>
      <c r="AO53" s="106">
        <v>3254.4</v>
      </c>
      <c r="AP53" s="106">
        <v>7</v>
      </c>
      <c r="AQ53" s="106">
        <v>2847.6</v>
      </c>
      <c r="AR53" s="106">
        <v>5</v>
      </c>
      <c r="AS53" s="106">
        <v>2034</v>
      </c>
      <c r="AT53" s="106">
        <v>4</v>
      </c>
      <c r="AU53" s="106">
        <v>1627.2</v>
      </c>
      <c r="AV53" s="106">
        <v>4</v>
      </c>
      <c r="AW53" s="106">
        <v>1627.2</v>
      </c>
      <c r="AX53" s="106">
        <v>6</v>
      </c>
      <c r="AY53" s="106">
        <v>2440.8000000000002</v>
      </c>
      <c r="AZ53" s="106">
        <v>4</v>
      </c>
      <c r="BA53" s="106">
        <v>1627.2</v>
      </c>
      <c r="BB53" s="106">
        <v>7</v>
      </c>
      <c r="BC53" s="106">
        <v>2847.6</v>
      </c>
      <c r="BD53" s="106">
        <v>8</v>
      </c>
      <c r="BE53" s="106">
        <v>3254.4</v>
      </c>
      <c r="BF53" s="106">
        <v>6</v>
      </c>
      <c r="BG53" s="106">
        <v>2440.8000000000002</v>
      </c>
      <c r="BH53" s="106">
        <v>4</v>
      </c>
      <c r="BI53" s="106">
        <v>1627.2</v>
      </c>
      <c r="BJ53" s="106">
        <v>5</v>
      </c>
      <c r="BK53" s="106">
        <v>2034</v>
      </c>
      <c r="BL53" s="106">
        <v>5</v>
      </c>
      <c r="BM53" s="106">
        <v>2034</v>
      </c>
      <c r="BN53" s="106">
        <v>5</v>
      </c>
      <c r="BO53" s="106">
        <v>2034</v>
      </c>
      <c r="BP53" s="106">
        <v>3</v>
      </c>
      <c r="BQ53" s="106">
        <v>1220.4000000000001</v>
      </c>
      <c r="BR53" s="106">
        <v>3</v>
      </c>
      <c r="BS53" s="106">
        <v>1220.4000000000001</v>
      </c>
      <c r="BT53" s="106">
        <v>3</v>
      </c>
      <c r="BU53" s="106">
        <v>1220.4000000000001</v>
      </c>
      <c r="BV53" s="106">
        <v>3</v>
      </c>
      <c r="BW53" s="106">
        <v>1220.4000000000001</v>
      </c>
      <c r="BX53" s="106">
        <v>62</v>
      </c>
      <c r="BY53" s="106">
        <v>25221.600000000002</v>
      </c>
      <c r="BZ53" s="106">
        <v>55</v>
      </c>
      <c r="CA53" s="106">
        <v>22374</v>
      </c>
      <c r="CB53" s="106">
        <v>68</v>
      </c>
      <c r="CC53" s="106">
        <v>27662.400000000001</v>
      </c>
      <c r="CD53" s="106">
        <v>56</v>
      </c>
      <c r="CE53" s="106">
        <v>22780.799999999999</v>
      </c>
      <c r="CF53" s="106">
        <v>23</v>
      </c>
      <c r="CG53" s="106">
        <v>9356.4</v>
      </c>
      <c r="CH53" s="106">
        <v>22</v>
      </c>
      <c r="CI53" s="106">
        <v>8949.6</v>
      </c>
      <c r="CJ53" s="106">
        <v>32</v>
      </c>
      <c r="CK53" s="106">
        <v>13017.6</v>
      </c>
      <c r="CL53" s="106">
        <v>26</v>
      </c>
      <c r="CM53" s="106">
        <v>10576.800000000001</v>
      </c>
      <c r="CN53" s="106">
        <v>2</v>
      </c>
      <c r="CO53" s="106">
        <v>813.6</v>
      </c>
      <c r="CP53" s="106">
        <v>3</v>
      </c>
      <c r="CQ53" s="106">
        <v>1220.4000000000001</v>
      </c>
      <c r="CR53" s="106">
        <v>2</v>
      </c>
      <c r="CS53" s="106">
        <v>813.6</v>
      </c>
      <c r="CT53" s="106">
        <v>4</v>
      </c>
      <c r="CU53" s="106">
        <v>1627.2</v>
      </c>
    </row>
    <row r="54" spans="2:99" x14ac:dyDescent="0.2">
      <c r="C54" s="105" t="s">
        <v>220</v>
      </c>
      <c r="D54" s="106">
        <v>5</v>
      </c>
      <c r="E54" s="106">
        <v>1674</v>
      </c>
      <c r="F54" s="106">
        <v>5</v>
      </c>
      <c r="G54" s="106">
        <v>1674</v>
      </c>
      <c r="H54" s="106">
        <v>6</v>
      </c>
      <c r="I54" s="106">
        <v>2008.8000000000002</v>
      </c>
      <c r="J54" s="106">
        <v>5</v>
      </c>
      <c r="K54" s="106">
        <v>1674</v>
      </c>
      <c r="L54" s="106">
        <v>41</v>
      </c>
      <c r="M54" s="106">
        <v>13726.800000000001</v>
      </c>
      <c r="N54" s="106">
        <v>36</v>
      </c>
      <c r="O54" s="106">
        <v>12052.800000000001</v>
      </c>
      <c r="P54" s="106">
        <v>37</v>
      </c>
      <c r="Q54" s="106">
        <v>12387.6</v>
      </c>
      <c r="R54" s="106">
        <v>32</v>
      </c>
      <c r="S54" s="106">
        <v>10713.6</v>
      </c>
      <c r="T54" s="106">
        <v>3</v>
      </c>
      <c r="U54" s="106">
        <v>1004.4000000000001</v>
      </c>
      <c r="V54" s="106">
        <v>4</v>
      </c>
      <c r="W54" s="106">
        <v>1339.2</v>
      </c>
      <c r="X54" s="106">
        <v>4</v>
      </c>
      <c r="Y54" s="106">
        <v>1339.2</v>
      </c>
      <c r="Z54" s="106">
        <v>3</v>
      </c>
      <c r="AA54" s="106">
        <v>1004.4000000000001</v>
      </c>
      <c r="AB54" s="106">
        <v>11</v>
      </c>
      <c r="AC54" s="106">
        <v>3682.8</v>
      </c>
      <c r="AD54" s="106">
        <v>11</v>
      </c>
      <c r="AE54" s="106">
        <v>3682.8</v>
      </c>
      <c r="AF54" s="106">
        <v>11</v>
      </c>
      <c r="AG54" s="106">
        <v>3682.8</v>
      </c>
      <c r="AH54" s="106">
        <v>7</v>
      </c>
      <c r="AI54" s="106">
        <v>2343.6</v>
      </c>
      <c r="AJ54" s="106">
        <v>6</v>
      </c>
      <c r="AK54" s="106">
        <v>2008.8000000000002</v>
      </c>
      <c r="AL54" s="106">
        <v>7</v>
      </c>
      <c r="AM54" s="106">
        <v>2343.6</v>
      </c>
      <c r="AN54" s="106">
        <v>8</v>
      </c>
      <c r="AO54" s="106">
        <v>2678.4</v>
      </c>
      <c r="AP54" s="106">
        <v>8</v>
      </c>
      <c r="AQ54" s="106">
        <v>2678.4</v>
      </c>
      <c r="AR54" s="106">
        <v>5</v>
      </c>
      <c r="AS54" s="106">
        <v>1674</v>
      </c>
      <c r="AT54" s="106">
        <v>4</v>
      </c>
      <c r="AU54" s="106">
        <v>1339.2</v>
      </c>
      <c r="AV54" s="106">
        <v>5</v>
      </c>
      <c r="AW54" s="106">
        <v>1674</v>
      </c>
      <c r="AX54" s="106">
        <v>5</v>
      </c>
      <c r="AY54" s="106">
        <v>1674</v>
      </c>
      <c r="AZ54" s="106">
        <v>5</v>
      </c>
      <c r="BA54" s="106">
        <v>1674</v>
      </c>
      <c r="BB54" s="106">
        <v>8</v>
      </c>
      <c r="BC54" s="106">
        <v>2678.4</v>
      </c>
      <c r="BD54" s="106">
        <v>7</v>
      </c>
      <c r="BE54" s="106">
        <v>2343.6</v>
      </c>
      <c r="BF54" s="106">
        <v>6</v>
      </c>
      <c r="BG54" s="106">
        <v>2008.8000000000002</v>
      </c>
      <c r="BH54" s="106">
        <v>4</v>
      </c>
      <c r="BI54" s="106">
        <v>1339.2</v>
      </c>
      <c r="BJ54" s="106">
        <v>4</v>
      </c>
      <c r="BK54" s="106">
        <v>1339.2</v>
      </c>
      <c r="BL54" s="106">
        <v>5</v>
      </c>
      <c r="BM54" s="106">
        <v>1674</v>
      </c>
      <c r="BN54" s="106">
        <v>6</v>
      </c>
      <c r="BO54" s="106">
        <v>2008.8000000000002</v>
      </c>
      <c r="BP54" s="106">
        <v>3</v>
      </c>
      <c r="BQ54" s="106">
        <v>1004.4000000000001</v>
      </c>
      <c r="BR54" s="106">
        <v>3</v>
      </c>
      <c r="BS54" s="106">
        <v>1004.4000000000001</v>
      </c>
      <c r="BT54" s="106">
        <v>3</v>
      </c>
      <c r="BU54" s="106">
        <v>1004.4000000000001</v>
      </c>
      <c r="BV54" s="106">
        <v>3</v>
      </c>
      <c r="BW54" s="106">
        <v>1004.4000000000001</v>
      </c>
      <c r="BX54" s="106">
        <v>59</v>
      </c>
      <c r="BY54" s="106">
        <v>19753.2</v>
      </c>
      <c r="BZ54" s="106">
        <v>48</v>
      </c>
      <c r="CA54" s="106">
        <v>16070.400000000001</v>
      </c>
      <c r="CB54" s="106">
        <v>68</v>
      </c>
      <c r="CC54" s="106">
        <v>22766.400000000001</v>
      </c>
      <c r="CD54" s="106">
        <v>61</v>
      </c>
      <c r="CE54" s="106">
        <v>20422.8</v>
      </c>
      <c r="CF54" s="106">
        <v>23</v>
      </c>
      <c r="CG54" s="106">
        <v>7700.4000000000005</v>
      </c>
      <c r="CH54" s="106">
        <v>24</v>
      </c>
      <c r="CI54" s="106">
        <v>8035.2000000000007</v>
      </c>
      <c r="CJ54" s="106">
        <v>32</v>
      </c>
      <c r="CK54" s="106">
        <v>10713.6</v>
      </c>
      <c r="CL54" s="106">
        <v>22</v>
      </c>
      <c r="CM54" s="106">
        <v>7365.6</v>
      </c>
      <c r="CN54" s="106">
        <v>3</v>
      </c>
      <c r="CO54" s="106">
        <v>1004.4000000000001</v>
      </c>
      <c r="CP54" s="106">
        <v>3</v>
      </c>
      <c r="CQ54" s="106">
        <v>1004.4000000000001</v>
      </c>
      <c r="CR54" s="106">
        <v>2</v>
      </c>
      <c r="CS54" s="106">
        <v>669.6</v>
      </c>
      <c r="CT54" s="106">
        <v>4</v>
      </c>
      <c r="CU54" s="106">
        <v>1339.2</v>
      </c>
    </row>
    <row r="55" spans="2:99" x14ac:dyDescent="0.2">
      <c r="C55" s="105" t="s">
        <v>221</v>
      </c>
      <c r="D55" s="106">
        <v>5</v>
      </c>
      <c r="E55" s="106">
        <v>3318</v>
      </c>
      <c r="F55" s="106">
        <v>5</v>
      </c>
      <c r="G55" s="106">
        <v>3318</v>
      </c>
      <c r="H55" s="106">
        <v>6</v>
      </c>
      <c r="I55" s="106">
        <v>3981.6000000000004</v>
      </c>
      <c r="J55" s="106">
        <v>5</v>
      </c>
      <c r="K55" s="106">
        <v>3318</v>
      </c>
      <c r="L55" s="106">
        <v>35</v>
      </c>
      <c r="M55" s="106">
        <v>23226</v>
      </c>
      <c r="N55" s="106">
        <v>39</v>
      </c>
      <c r="O55" s="106">
        <v>25880.400000000001</v>
      </c>
      <c r="P55" s="106">
        <v>35</v>
      </c>
      <c r="Q55" s="106">
        <v>23226</v>
      </c>
      <c r="R55" s="106">
        <v>35</v>
      </c>
      <c r="S55" s="106">
        <v>23226</v>
      </c>
      <c r="T55" s="106">
        <v>3</v>
      </c>
      <c r="U55" s="106">
        <v>1990.8000000000002</v>
      </c>
      <c r="V55" s="106">
        <v>4</v>
      </c>
      <c r="W55" s="106">
        <v>2654.4</v>
      </c>
      <c r="X55" s="106">
        <v>4</v>
      </c>
      <c r="Y55" s="106">
        <v>2654.4</v>
      </c>
      <c r="Z55" s="106">
        <v>3</v>
      </c>
      <c r="AA55" s="106">
        <v>1990.8000000000002</v>
      </c>
      <c r="AB55" s="106">
        <v>9</v>
      </c>
      <c r="AC55" s="106">
        <v>5972.4000000000005</v>
      </c>
      <c r="AD55" s="106">
        <v>11</v>
      </c>
      <c r="AE55" s="106">
        <v>7299.6</v>
      </c>
      <c r="AF55" s="106">
        <v>10</v>
      </c>
      <c r="AG55" s="106">
        <v>6636</v>
      </c>
      <c r="AH55" s="106">
        <v>7</v>
      </c>
      <c r="AI55" s="106">
        <v>4645.2</v>
      </c>
      <c r="AJ55" s="106">
        <v>6</v>
      </c>
      <c r="AK55" s="106">
        <v>3981.6000000000004</v>
      </c>
      <c r="AL55" s="106">
        <v>8</v>
      </c>
      <c r="AM55" s="106">
        <v>5308.8</v>
      </c>
      <c r="AN55" s="106">
        <v>7</v>
      </c>
      <c r="AO55" s="106">
        <v>4645.2</v>
      </c>
      <c r="AP55" s="106">
        <v>7</v>
      </c>
      <c r="AQ55" s="106">
        <v>4645.2</v>
      </c>
      <c r="AR55" s="106">
        <v>5</v>
      </c>
      <c r="AS55" s="106">
        <v>3318</v>
      </c>
      <c r="AT55" s="106">
        <v>4</v>
      </c>
      <c r="AU55" s="106">
        <v>2654.4</v>
      </c>
      <c r="AV55" s="106">
        <v>4</v>
      </c>
      <c r="AW55" s="106">
        <v>2654.4</v>
      </c>
      <c r="AX55" s="106">
        <v>5</v>
      </c>
      <c r="AY55" s="106">
        <v>3318</v>
      </c>
      <c r="AZ55" s="106">
        <v>4</v>
      </c>
      <c r="BA55" s="106">
        <v>2654.4</v>
      </c>
      <c r="BB55" s="106">
        <v>8</v>
      </c>
      <c r="BC55" s="106">
        <v>5308.8</v>
      </c>
      <c r="BD55" s="106">
        <v>7</v>
      </c>
      <c r="BE55" s="106">
        <v>4645.2</v>
      </c>
      <c r="BF55" s="106">
        <v>6</v>
      </c>
      <c r="BG55" s="106">
        <v>3981.6000000000004</v>
      </c>
      <c r="BH55" s="106">
        <v>4</v>
      </c>
      <c r="BI55" s="106">
        <v>2654.4</v>
      </c>
      <c r="BJ55" s="106">
        <v>4</v>
      </c>
      <c r="BK55" s="106">
        <v>2654.4</v>
      </c>
      <c r="BL55" s="106">
        <v>5</v>
      </c>
      <c r="BM55" s="106">
        <v>3318</v>
      </c>
      <c r="BN55" s="106">
        <v>6</v>
      </c>
      <c r="BO55" s="106">
        <v>3981.6000000000004</v>
      </c>
      <c r="BP55" s="106">
        <v>3</v>
      </c>
      <c r="BQ55" s="106">
        <v>1990.8000000000002</v>
      </c>
      <c r="BR55" s="106">
        <v>3</v>
      </c>
      <c r="BS55" s="106">
        <v>1990.8000000000002</v>
      </c>
      <c r="BT55" s="106">
        <v>3</v>
      </c>
      <c r="BU55" s="106">
        <v>1990.8000000000002</v>
      </c>
      <c r="BV55" s="106">
        <v>2</v>
      </c>
      <c r="BW55" s="106">
        <v>1327.2</v>
      </c>
      <c r="BX55" s="106">
        <v>54</v>
      </c>
      <c r="BY55" s="106">
        <v>35834.400000000001</v>
      </c>
      <c r="BZ55" s="106">
        <v>45</v>
      </c>
      <c r="CA55" s="106">
        <v>29862</v>
      </c>
      <c r="CB55" s="106">
        <v>70</v>
      </c>
      <c r="CC55" s="106">
        <v>46452</v>
      </c>
      <c r="CD55" s="106">
        <v>60</v>
      </c>
      <c r="CE55" s="106">
        <v>39816</v>
      </c>
      <c r="CF55" s="106">
        <v>22</v>
      </c>
      <c r="CG55" s="106">
        <v>14599.2</v>
      </c>
      <c r="CH55" s="106">
        <v>19</v>
      </c>
      <c r="CI55" s="106">
        <v>12608.4</v>
      </c>
      <c r="CJ55" s="106">
        <v>27</v>
      </c>
      <c r="CK55" s="106">
        <v>17917.2</v>
      </c>
      <c r="CL55" s="106">
        <v>24</v>
      </c>
      <c r="CM55" s="106">
        <v>15926.400000000001</v>
      </c>
      <c r="CN55" s="106">
        <v>3</v>
      </c>
      <c r="CO55" s="106">
        <v>1990.8000000000002</v>
      </c>
      <c r="CP55" s="106">
        <v>3</v>
      </c>
      <c r="CQ55" s="106">
        <v>1990.8000000000002</v>
      </c>
      <c r="CR55" s="106">
        <v>2</v>
      </c>
      <c r="CS55" s="106">
        <v>1327.2</v>
      </c>
      <c r="CT55" s="106">
        <v>4</v>
      </c>
      <c r="CU55" s="106">
        <v>2654.4</v>
      </c>
    </row>
    <row r="56" spans="2:99" x14ac:dyDescent="0.2">
      <c r="C56" s="105" t="s">
        <v>222</v>
      </c>
      <c r="D56" s="106">
        <v>5</v>
      </c>
      <c r="E56" s="106">
        <v>5754</v>
      </c>
      <c r="F56" s="106">
        <v>5</v>
      </c>
      <c r="G56" s="106">
        <v>5754</v>
      </c>
      <c r="H56" s="106">
        <v>5</v>
      </c>
      <c r="I56" s="106">
        <v>5754</v>
      </c>
      <c r="J56" s="106">
        <v>5</v>
      </c>
      <c r="K56" s="106">
        <v>5754</v>
      </c>
      <c r="L56" s="106">
        <v>33</v>
      </c>
      <c r="M56" s="106">
        <v>37976.400000000001</v>
      </c>
      <c r="N56" s="106">
        <v>35</v>
      </c>
      <c r="O56" s="106">
        <v>40278</v>
      </c>
      <c r="P56" s="106">
        <v>34</v>
      </c>
      <c r="Q56" s="106">
        <v>39127.199999999997</v>
      </c>
      <c r="R56" s="106">
        <v>30</v>
      </c>
      <c r="S56" s="106">
        <v>34524</v>
      </c>
      <c r="T56" s="106">
        <v>3</v>
      </c>
      <c r="U56" s="106">
        <v>3452.3999999999996</v>
      </c>
      <c r="V56" s="106">
        <v>4</v>
      </c>
      <c r="W56" s="106">
        <v>4603.2</v>
      </c>
      <c r="X56" s="106">
        <v>4</v>
      </c>
      <c r="Y56" s="106">
        <v>4603.2</v>
      </c>
      <c r="Z56" s="106">
        <v>3</v>
      </c>
      <c r="AA56" s="106">
        <v>3452.3999999999996</v>
      </c>
      <c r="AB56" s="106">
        <v>8</v>
      </c>
      <c r="AC56" s="106">
        <v>9206.4</v>
      </c>
      <c r="AD56" s="106">
        <v>9</v>
      </c>
      <c r="AE56" s="106">
        <v>10357.199999999999</v>
      </c>
      <c r="AF56" s="106">
        <v>9</v>
      </c>
      <c r="AG56" s="106">
        <v>10357.199999999999</v>
      </c>
      <c r="AH56" s="106">
        <v>7</v>
      </c>
      <c r="AI56" s="106">
        <v>8055.5999999999995</v>
      </c>
      <c r="AJ56" s="106">
        <v>6</v>
      </c>
      <c r="AK56" s="106">
        <v>6904.7999999999993</v>
      </c>
      <c r="AL56" s="106">
        <v>7</v>
      </c>
      <c r="AM56" s="106">
        <v>8055.5999999999995</v>
      </c>
      <c r="AN56" s="106">
        <v>6</v>
      </c>
      <c r="AO56" s="106">
        <v>6904.7999999999993</v>
      </c>
      <c r="AP56" s="106">
        <v>8</v>
      </c>
      <c r="AQ56" s="106">
        <v>9206.4</v>
      </c>
      <c r="AR56" s="106">
        <v>5</v>
      </c>
      <c r="AS56" s="106">
        <v>5754</v>
      </c>
      <c r="AT56" s="106">
        <v>4</v>
      </c>
      <c r="AU56" s="106">
        <v>4603.2</v>
      </c>
      <c r="AV56" s="106">
        <v>4</v>
      </c>
      <c r="AW56" s="106">
        <v>4603.2</v>
      </c>
      <c r="AX56" s="106">
        <v>5</v>
      </c>
      <c r="AY56" s="106">
        <v>5754</v>
      </c>
      <c r="AZ56" s="106">
        <v>4</v>
      </c>
      <c r="BA56" s="106">
        <v>4603.2</v>
      </c>
      <c r="BB56" s="106">
        <v>7</v>
      </c>
      <c r="BC56" s="106">
        <v>8055.5999999999995</v>
      </c>
      <c r="BD56" s="106">
        <v>7</v>
      </c>
      <c r="BE56" s="106">
        <v>8055.5999999999995</v>
      </c>
      <c r="BF56" s="106">
        <v>6</v>
      </c>
      <c r="BG56" s="106">
        <v>6904.7999999999993</v>
      </c>
      <c r="BH56" s="106">
        <v>4</v>
      </c>
      <c r="BI56" s="106">
        <v>4603.2</v>
      </c>
      <c r="BJ56" s="106">
        <v>5</v>
      </c>
      <c r="BK56" s="106">
        <v>5754</v>
      </c>
      <c r="BL56" s="106">
        <v>5</v>
      </c>
      <c r="BM56" s="106">
        <v>5754</v>
      </c>
      <c r="BN56" s="106">
        <v>6</v>
      </c>
      <c r="BO56" s="106">
        <v>6904.7999999999993</v>
      </c>
      <c r="BP56" s="106">
        <v>3</v>
      </c>
      <c r="BQ56" s="106">
        <v>3452.3999999999996</v>
      </c>
      <c r="BR56" s="106">
        <v>3</v>
      </c>
      <c r="BS56" s="106">
        <v>3452.3999999999996</v>
      </c>
      <c r="BT56" s="106">
        <v>3</v>
      </c>
      <c r="BU56" s="106">
        <v>3452.3999999999996</v>
      </c>
      <c r="BV56" s="106">
        <v>2</v>
      </c>
      <c r="BW56" s="106">
        <v>2301.6</v>
      </c>
      <c r="BX56" s="106">
        <v>44</v>
      </c>
      <c r="BY56" s="106">
        <v>50635.199999999997</v>
      </c>
      <c r="BZ56" s="106">
        <v>42</v>
      </c>
      <c r="CA56" s="106">
        <v>48333.599999999999</v>
      </c>
      <c r="CB56" s="106">
        <v>66</v>
      </c>
      <c r="CC56" s="106">
        <v>75952.800000000003</v>
      </c>
      <c r="CD56" s="106">
        <v>52</v>
      </c>
      <c r="CE56" s="106">
        <v>59841.599999999999</v>
      </c>
      <c r="CF56" s="106">
        <v>21</v>
      </c>
      <c r="CG56" s="106">
        <v>24166.799999999999</v>
      </c>
      <c r="CH56" s="106">
        <v>20</v>
      </c>
      <c r="CI56" s="106">
        <v>23016</v>
      </c>
      <c r="CJ56" s="106">
        <v>24</v>
      </c>
      <c r="CK56" s="106">
        <v>27619.199999999997</v>
      </c>
      <c r="CL56" s="106">
        <v>20</v>
      </c>
      <c r="CM56" s="106">
        <v>23016</v>
      </c>
      <c r="CN56" s="106">
        <v>3</v>
      </c>
      <c r="CO56" s="106">
        <v>3452.3999999999996</v>
      </c>
      <c r="CP56" s="106">
        <v>3</v>
      </c>
      <c r="CQ56" s="106">
        <v>3452.3999999999996</v>
      </c>
      <c r="CR56" s="106">
        <v>2</v>
      </c>
      <c r="CS56" s="106">
        <v>2301.6</v>
      </c>
      <c r="CT56" s="106">
        <v>4</v>
      </c>
      <c r="CU56" s="106">
        <v>4603.2</v>
      </c>
    </row>
    <row r="57" spans="2:99" x14ac:dyDescent="0.2">
      <c r="C57" s="105" t="s">
        <v>223</v>
      </c>
      <c r="D57" s="106">
        <v>5</v>
      </c>
      <c r="E57" s="106">
        <v>7056</v>
      </c>
      <c r="F57" s="106">
        <v>5</v>
      </c>
      <c r="G57" s="106">
        <v>7056</v>
      </c>
      <c r="H57" s="106">
        <v>6</v>
      </c>
      <c r="I57" s="106">
        <v>8467.2000000000007</v>
      </c>
      <c r="J57" s="106">
        <v>5</v>
      </c>
      <c r="K57" s="106">
        <v>7056</v>
      </c>
      <c r="L57" s="106">
        <v>30</v>
      </c>
      <c r="M57" s="106">
        <v>42336</v>
      </c>
      <c r="N57" s="106">
        <v>32</v>
      </c>
      <c r="O57" s="106">
        <v>45158.400000000001</v>
      </c>
      <c r="P57" s="106">
        <v>30</v>
      </c>
      <c r="Q57" s="106">
        <v>42336</v>
      </c>
      <c r="R57" s="106">
        <v>29</v>
      </c>
      <c r="S57" s="106">
        <v>40924.800000000003</v>
      </c>
      <c r="T57" s="106">
        <v>3</v>
      </c>
      <c r="U57" s="106">
        <v>4233.6000000000004</v>
      </c>
      <c r="V57" s="106">
        <v>4</v>
      </c>
      <c r="W57" s="106">
        <v>5644.8</v>
      </c>
      <c r="X57" s="106">
        <v>4</v>
      </c>
      <c r="Y57" s="106">
        <v>5644.8</v>
      </c>
      <c r="Z57" s="106">
        <v>3</v>
      </c>
      <c r="AA57" s="106">
        <v>4233.6000000000004</v>
      </c>
      <c r="AB57" s="106">
        <v>9</v>
      </c>
      <c r="AC57" s="106">
        <v>12700.800000000001</v>
      </c>
      <c r="AD57" s="106">
        <v>10</v>
      </c>
      <c r="AE57" s="106">
        <v>14112</v>
      </c>
      <c r="AF57" s="106">
        <v>8</v>
      </c>
      <c r="AG57" s="106">
        <v>11289.6</v>
      </c>
      <c r="AH57" s="106">
        <v>7</v>
      </c>
      <c r="AI57" s="106">
        <v>9878.4</v>
      </c>
      <c r="AJ57" s="106">
        <v>5</v>
      </c>
      <c r="AK57" s="106">
        <v>7056</v>
      </c>
      <c r="AL57" s="106">
        <v>7</v>
      </c>
      <c r="AM57" s="106">
        <v>9878.4</v>
      </c>
      <c r="AN57" s="106">
        <v>7</v>
      </c>
      <c r="AO57" s="106">
        <v>9878.4</v>
      </c>
      <c r="AP57" s="106">
        <v>7</v>
      </c>
      <c r="AQ57" s="106">
        <v>9878.4</v>
      </c>
      <c r="AR57" s="106">
        <v>5</v>
      </c>
      <c r="AS57" s="106">
        <v>7056</v>
      </c>
      <c r="AT57" s="106">
        <v>4</v>
      </c>
      <c r="AU57" s="106">
        <v>5644.8</v>
      </c>
      <c r="AV57" s="106">
        <v>4</v>
      </c>
      <c r="AW57" s="106">
        <v>5644.8</v>
      </c>
      <c r="AX57" s="106">
        <v>5</v>
      </c>
      <c r="AY57" s="106">
        <v>7056</v>
      </c>
      <c r="AZ57" s="106">
        <v>4</v>
      </c>
      <c r="BA57" s="106">
        <v>5644.8</v>
      </c>
      <c r="BB57" s="106">
        <v>7</v>
      </c>
      <c r="BC57" s="106">
        <v>9878.4</v>
      </c>
      <c r="BD57" s="106">
        <v>7</v>
      </c>
      <c r="BE57" s="106">
        <v>9878.4</v>
      </c>
      <c r="BF57" s="106">
        <v>5</v>
      </c>
      <c r="BG57" s="106">
        <v>7056</v>
      </c>
      <c r="BH57" s="106">
        <v>4</v>
      </c>
      <c r="BI57" s="106">
        <v>5644.8</v>
      </c>
      <c r="BJ57" s="106">
        <v>4</v>
      </c>
      <c r="BK57" s="106">
        <v>5644.8</v>
      </c>
      <c r="BL57" s="106">
        <v>5</v>
      </c>
      <c r="BM57" s="106">
        <v>7056</v>
      </c>
      <c r="BN57" s="106">
        <v>5</v>
      </c>
      <c r="BO57" s="106">
        <v>7056</v>
      </c>
      <c r="BP57" s="106">
        <v>3</v>
      </c>
      <c r="BQ57" s="106">
        <v>4233.6000000000004</v>
      </c>
      <c r="BR57" s="106">
        <v>3</v>
      </c>
      <c r="BS57" s="106">
        <v>4233.6000000000004</v>
      </c>
      <c r="BT57" s="106">
        <v>3</v>
      </c>
      <c r="BU57" s="106">
        <v>4233.6000000000004</v>
      </c>
      <c r="BV57" s="106">
        <v>2</v>
      </c>
      <c r="BW57" s="106">
        <v>2822.4</v>
      </c>
      <c r="BX57" s="106">
        <v>45</v>
      </c>
      <c r="BY57" s="106">
        <v>63504</v>
      </c>
      <c r="BZ57" s="106">
        <v>43</v>
      </c>
      <c r="CA57" s="106">
        <v>60681.599999999999</v>
      </c>
      <c r="CB57" s="106">
        <v>57</v>
      </c>
      <c r="CC57" s="106">
        <v>80438.400000000009</v>
      </c>
      <c r="CD57" s="106">
        <v>48</v>
      </c>
      <c r="CE57" s="106">
        <v>67737.600000000006</v>
      </c>
      <c r="CF57" s="106">
        <v>20</v>
      </c>
      <c r="CG57" s="106">
        <v>28224</v>
      </c>
      <c r="CH57" s="106">
        <v>19</v>
      </c>
      <c r="CI57" s="106">
        <v>26812.799999999999</v>
      </c>
      <c r="CJ57" s="106">
        <v>25</v>
      </c>
      <c r="CK57" s="106">
        <v>35280</v>
      </c>
      <c r="CL57" s="106">
        <v>21</v>
      </c>
      <c r="CM57" s="106">
        <v>29635.200000000001</v>
      </c>
      <c r="CN57" s="106">
        <v>3</v>
      </c>
      <c r="CO57" s="106">
        <v>4233.6000000000004</v>
      </c>
      <c r="CP57" s="106">
        <v>3</v>
      </c>
      <c r="CQ57" s="106">
        <v>4233.6000000000004</v>
      </c>
      <c r="CR57" s="106">
        <v>2</v>
      </c>
      <c r="CS57" s="106">
        <v>2822.4</v>
      </c>
      <c r="CT57" s="106">
        <v>4</v>
      </c>
      <c r="CU57" s="106">
        <v>5644.8</v>
      </c>
    </row>
    <row r="58" spans="2:99" x14ac:dyDescent="0.2">
      <c r="C58" s="105" t="s">
        <v>224</v>
      </c>
      <c r="D58" s="106">
        <v>5</v>
      </c>
      <c r="E58" s="106">
        <v>5886</v>
      </c>
      <c r="F58" s="106">
        <v>5</v>
      </c>
      <c r="G58" s="106">
        <v>5886</v>
      </c>
      <c r="H58" s="106">
        <v>5</v>
      </c>
      <c r="I58" s="106">
        <v>5886</v>
      </c>
      <c r="J58" s="106">
        <v>4</v>
      </c>
      <c r="K58" s="106">
        <v>4708.8</v>
      </c>
      <c r="L58" s="106">
        <v>34</v>
      </c>
      <c r="M58" s="106">
        <v>40024.800000000003</v>
      </c>
      <c r="N58" s="106">
        <v>30</v>
      </c>
      <c r="O58" s="106">
        <v>35316</v>
      </c>
      <c r="P58" s="106">
        <v>33</v>
      </c>
      <c r="Q58" s="106">
        <v>38847.599999999999</v>
      </c>
      <c r="R58" s="106">
        <v>30</v>
      </c>
      <c r="S58" s="106">
        <v>35316</v>
      </c>
      <c r="T58" s="106">
        <v>3</v>
      </c>
      <c r="U58" s="106">
        <v>3531.6000000000004</v>
      </c>
      <c r="V58" s="106">
        <v>4</v>
      </c>
      <c r="W58" s="106">
        <v>4708.8</v>
      </c>
      <c r="X58" s="106">
        <v>4</v>
      </c>
      <c r="Y58" s="106">
        <v>4708.8</v>
      </c>
      <c r="Z58" s="106">
        <v>3</v>
      </c>
      <c r="AA58" s="106">
        <v>3531.6000000000004</v>
      </c>
      <c r="AB58" s="106">
        <v>10</v>
      </c>
      <c r="AC58" s="106">
        <v>11772</v>
      </c>
      <c r="AD58" s="106">
        <v>10</v>
      </c>
      <c r="AE58" s="106">
        <v>11772</v>
      </c>
      <c r="AF58" s="106">
        <v>9</v>
      </c>
      <c r="AG58" s="106">
        <v>10594.800000000001</v>
      </c>
      <c r="AH58" s="106">
        <v>7</v>
      </c>
      <c r="AI58" s="106">
        <v>8240.4</v>
      </c>
      <c r="AJ58" s="106">
        <v>5</v>
      </c>
      <c r="AK58" s="106">
        <v>5886</v>
      </c>
      <c r="AL58" s="106">
        <v>7</v>
      </c>
      <c r="AM58" s="106">
        <v>8240.4</v>
      </c>
      <c r="AN58" s="106">
        <v>7</v>
      </c>
      <c r="AO58" s="106">
        <v>8240.4</v>
      </c>
      <c r="AP58" s="106">
        <v>7</v>
      </c>
      <c r="AQ58" s="106">
        <v>8240.4</v>
      </c>
      <c r="AR58" s="106">
        <v>5</v>
      </c>
      <c r="AS58" s="106">
        <v>5886</v>
      </c>
      <c r="AT58" s="106">
        <v>4</v>
      </c>
      <c r="AU58" s="106">
        <v>4708.8</v>
      </c>
      <c r="AV58" s="106">
        <v>4</v>
      </c>
      <c r="AW58" s="106">
        <v>4708.8</v>
      </c>
      <c r="AX58" s="106">
        <v>5</v>
      </c>
      <c r="AY58" s="106">
        <v>5886</v>
      </c>
      <c r="AZ58" s="106">
        <v>5</v>
      </c>
      <c r="BA58" s="106">
        <v>5886</v>
      </c>
      <c r="BB58" s="106">
        <v>7</v>
      </c>
      <c r="BC58" s="106">
        <v>8240.4</v>
      </c>
      <c r="BD58" s="106">
        <v>6</v>
      </c>
      <c r="BE58" s="106">
        <v>7063.2000000000007</v>
      </c>
      <c r="BF58" s="106">
        <v>5</v>
      </c>
      <c r="BG58" s="106">
        <v>5886</v>
      </c>
      <c r="BH58" s="106">
        <v>4</v>
      </c>
      <c r="BI58" s="106">
        <v>4708.8</v>
      </c>
      <c r="BJ58" s="106">
        <v>4</v>
      </c>
      <c r="BK58" s="106">
        <v>4708.8</v>
      </c>
      <c r="BL58" s="106">
        <v>4</v>
      </c>
      <c r="BM58" s="106">
        <v>4708.8</v>
      </c>
      <c r="BN58" s="106">
        <v>5</v>
      </c>
      <c r="BO58" s="106">
        <v>5886</v>
      </c>
      <c r="BP58" s="106">
        <v>3</v>
      </c>
      <c r="BQ58" s="106">
        <v>3531.6000000000004</v>
      </c>
      <c r="BR58" s="106">
        <v>3</v>
      </c>
      <c r="BS58" s="106">
        <v>3531.6000000000004</v>
      </c>
      <c r="BT58" s="106">
        <v>3</v>
      </c>
      <c r="BU58" s="106">
        <v>3531.6000000000004</v>
      </c>
      <c r="BV58" s="106">
        <v>2</v>
      </c>
      <c r="BW58" s="106">
        <v>2354.4</v>
      </c>
      <c r="BX58" s="106">
        <v>44</v>
      </c>
      <c r="BY58" s="106">
        <v>51796.800000000003</v>
      </c>
      <c r="BZ58" s="106">
        <v>42</v>
      </c>
      <c r="CA58" s="106">
        <v>49442.400000000001</v>
      </c>
      <c r="CB58" s="106">
        <v>66</v>
      </c>
      <c r="CC58" s="106">
        <v>77695.199999999997</v>
      </c>
      <c r="CD58" s="106">
        <v>47</v>
      </c>
      <c r="CE58" s="106">
        <v>55328.4</v>
      </c>
      <c r="CF58" s="106">
        <v>21</v>
      </c>
      <c r="CG58" s="106">
        <v>24721.200000000001</v>
      </c>
      <c r="CH58" s="106">
        <v>18</v>
      </c>
      <c r="CI58" s="106">
        <v>21189.600000000002</v>
      </c>
      <c r="CJ58" s="106">
        <v>27</v>
      </c>
      <c r="CK58" s="106">
        <v>31784.400000000001</v>
      </c>
      <c r="CL58" s="106">
        <v>20</v>
      </c>
      <c r="CM58" s="106">
        <v>23544</v>
      </c>
      <c r="CN58" s="106">
        <v>2</v>
      </c>
      <c r="CO58" s="106">
        <v>2354.4</v>
      </c>
      <c r="CP58" s="106">
        <v>3</v>
      </c>
      <c r="CQ58" s="106">
        <v>3531.6000000000004</v>
      </c>
      <c r="CR58" s="106">
        <v>2</v>
      </c>
      <c r="CS58" s="106">
        <v>2354.4</v>
      </c>
      <c r="CT58" s="106">
        <v>4</v>
      </c>
      <c r="CU58" s="106">
        <v>4708.8</v>
      </c>
    </row>
    <row r="59" spans="2:99" x14ac:dyDescent="0.2">
      <c r="C59" s="105" t="s">
        <v>225</v>
      </c>
      <c r="D59" s="106">
        <v>5</v>
      </c>
      <c r="E59" s="106">
        <v>1517.9999999999998</v>
      </c>
      <c r="F59" s="106">
        <v>5</v>
      </c>
      <c r="G59" s="106">
        <v>1517.9999999999998</v>
      </c>
      <c r="H59" s="106">
        <v>6</v>
      </c>
      <c r="I59" s="106">
        <v>1821.6</v>
      </c>
      <c r="J59" s="106">
        <v>5</v>
      </c>
      <c r="K59" s="106">
        <v>1517.9999999999998</v>
      </c>
      <c r="L59" s="106">
        <v>41</v>
      </c>
      <c r="M59" s="106">
        <v>12447.599999999999</v>
      </c>
      <c r="N59" s="106">
        <v>42</v>
      </c>
      <c r="O59" s="106">
        <v>12751.199999999999</v>
      </c>
      <c r="P59" s="106">
        <v>35</v>
      </c>
      <c r="Q59" s="106">
        <v>10625.999999999998</v>
      </c>
      <c r="R59" s="106">
        <v>33</v>
      </c>
      <c r="S59" s="106">
        <v>10018.799999999999</v>
      </c>
      <c r="T59" s="106">
        <v>3</v>
      </c>
      <c r="U59" s="106">
        <v>910.8</v>
      </c>
      <c r="V59" s="106">
        <v>3</v>
      </c>
      <c r="W59" s="106">
        <v>910.8</v>
      </c>
      <c r="X59" s="106">
        <v>4</v>
      </c>
      <c r="Y59" s="106">
        <v>1214.3999999999999</v>
      </c>
      <c r="Z59" s="106">
        <v>3</v>
      </c>
      <c r="AA59" s="106">
        <v>910.8</v>
      </c>
      <c r="AB59" s="106">
        <v>10</v>
      </c>
      <c r="AC59" s="106">
        <v>3035.9999999999995</v>
      </c>
      <c r="AD59" s="106">
        <v>11</v>
      </c>
      <c r="AE59" s="106">
        <v>3339.5999999999995</v>
      </c>
      <c r="AF59" s="106">
        <v>9</v>
      </c>
      <c r="AG59" s="106">
        <v>2732.3999999999996</v>
      </c>
      <c r="AH59" s="106">
        <v>7</v>
      </c>
      <c r="AI59" s="106">
        <v>2125.1999999999998</v>
      </c>
      <c r="AJ59" s="106">
        <v>7</v>
      </c>
      <c r="AK59" s="106">
        <v>2125.1999999999998</v>
      </c>
      <c r="AL59" s="106">
        <v>7</v>
      </c>
      <c r="AM59" s="106">
        <v>2125.1999999999998</v>
      </c>
      <c r="AN59" s="106">
        <v>7</v>
      </c>
      <c r="AO59" s="106">
        <v>2125.1999999999998</v>
      </c>
      <c r="AP59" s="106">
        <v>8</v>
      </c>
      <c r="AQ59" s="106">
        <v>2428.7999999999997</v>
      </c>
      <c r="AR59" s="106">
        <v>5</v>
      </c>
      <c r="AS59" s="106">
        <v>1517.9999999999998</v>
      </c>
      <c r="AT59" s="106">
        <v>5</v>
      </c>
      <c r="AU59" s="106">
        <v>1517.9999999999998</v>
      </c>
      <c r="AV59" s="106">
        <v>5</v>
      </c>
      <c r="AW59" s="106">
        <v>1517.9999999999998</v>
      </c>
      <c r="AX59" s="106">
        <v>5</v>
      </c>
      <c r="AY59" s="106">
        <v>1517.9999999999998</v>
      </c>
      <c r="AZ59" s="106">
        <v>5</v>
      </c>
      <c r="BA59" s="106">
        <v>1517.9999999999998</v>
      </c>
      <c r="BB59" s="106">
        <v>7</v>
      </c>
      <c r="BC59" s="106">
        <v>2125.1999999999998</v>
      </c>
      <c r="BD59" s="106">
        <v>7</v>
      </c>
      <c r="BE59" s="106">
        <v>2125.1999999999998</v>
      </c>
      <c r="BF59" s="106">
        <v>6</v>
      </c>
      <c r="BG59" s="106">
        <v>1821.6</v>
      </c>
      <c r="BH59" s="106">
        <v>4</v>
      </c>
      <c r="BI59" s="106">
        <v>1214.3999999999999</v>
      </c>
      <c r="BJ59" s="106">
        <v>4</v>
      </c>
      <c r="BK59" s="106">
        <v>1214.3999999999999</v>
      </c>
      <c r="BL59" s="106">
        <v>5</v>
      </c>
      <c r="BM59" s="106">
        <v>1517.9999999999998</v>
      </c>
      <c r="BN59" s="106">
        <v>5</v>
      </c>
      <c r="BO59" s="106">
        <v>1517.9999999999998</v>
      </c>
      <c r="BP59" s="106">
        <v>3</v>
      </c>
      <c r="BQ59" s="106">
        <v>910.8</v>
      </c>
      <c r="BR59" s="106">
        <v>3</v>
      </c>
      <c r="BS59" s="106">
        <v>910.8</v>
      </c>
      <c r="BT59" s="106">
        <v>3</v>
      </c>
      <c r="BU59" s="106">
        <v>910.8</v>
      </c>
      <c r="BV59" s="106">
        <v>3</v>
      </c>
      <c r="BW59" s="106">
        <v>910.8</v>
      </c>
      <c r="BX59" s="106">
        <v>59</v>
      </c>
      <c r="BY59" s="106">
        <v>17912.399999999998</v>
      </c>
      <c r="BZ59" s="106">
        <v>58</v>
      </c>
      <c r="CA59" s="106">
        <v>17608.8</v>
      </c>
      <c r="CB59" s="106">
        <v>74</v>
      </c>
      <c r="CC59" s="106">
        <v>22466.399999999998</v>
      </c>
      <c r="CD59" s="106">
        <v>56</v>
      </c>
      <c r="CE59" s="106">
        <v>17001.599999999999</v>
      </c>
      <c r="CF59" s="106">
        <v>25</v>
      </c>
      <c r="CG59" s="106">
        <v>7589.9999999999991</v>
      </c>
      <c r="CH59" s="106">
        <v>24</v>
      </c>
      <c r="CI59" s="106">
        <v>7286.4</v>
      </c>
      <c r="CJ59" s="106">
        <v>29</v>
      </c>
      <c r="CK59" s="106">
        <v>8804.4</v>
      </c>
      <c r="CL59" s="106">
        <v>24</v>
      </c>
      <c r="CM59" s="106">
        <v>7286.4</v>
      </c>
      <c r="CN59" s="106">
        <v>2</v>
      </c>
      <c r="CO59" s="106">
        <v>607.19999999999993</v>
      </c>
      <c r="CP59" s="106">
        <v>3</v>
      </c>
      <c r="CQ59" s="106">
        <v>910.8</v>
      </c>
      <c r="CR59" s="106">
        <v>2</v>
      </c>
      <c r="CS59" s="106">
        <v>607.19999999999993</v>
      </c>
      <c r="CT59" s="106">
        <v>4</v>
      </c>
      <c r="CU59" s="106">
        <v>1214.3999999999999</v>
      </c>
    </row>
    <row r="60" spans="2:99" x14ac:dyDescent="0.2">
      <c r="C60" s="105" t="s">
        <v>226</v>
      </c>
      <c r="D60" s="106">
        <v>5</v>
      </c>
      <c r="E60" s="106">
        <v>3258</v>
      </c>
      <c r="F60" s="106">
        <v>5</v>
      </c>
      <c r="G60" s="106">
        <v>3258</v>
      </c>
      <c r="H60" s="106">
        <v>5</v>
      </c>
      <c r="I60" s="106">
        <v>3258</v>
      </c>
      <c r="J60" s="106">
        <v>5</v>
      </c>
      <c r="K60" s="106">
        <v>3258</v>
      </c>
      <c r="L60" s="106">
        <v>41</v>
      </c>
      <c r="M60" s="106">
        <v>26715.600000000002</v>
      </c>
      <c r="N60" s="106">
        <v>36</v>
      </c>
      <c r="O60" s="106">
        <v>23457.600000000002</v>
      </c>
      <c r="P60" s="106">
        <v>36</v>
      </c>
      <c r="Q60" s="106">
        <v>23457.600000000002</v>
      </c>
      <c r="R60" s="106">
        <v>34</v>
      </c>
      <c r="S60" s="106">
        <v>22154.400000000001</v>
      </c>
      <c r="T60" s="106">
        <v>3</v>
      </c>
      <c r="U60" s="106">
        <v>1954.8000000000002</v>
      </c>
      <c r="V60" s="106">
        <v>4</v>
      </c>
      <c r="W60" s="106">
        <v>2606.4</v>
      </c>
      <c r="X60" s="106">
        <v>4</v>
      </c>
      <c r="Y60" s="106">
        <v>2606.4</v>
      </c>
      <c r="Z60" s="106">
        <v>3</v>
      </c>
      <c r="AA60" s="106">
        <v>1954.8000000000002</v>
      </c>
      <c r="AB60" s="106">
        <v>9</v>
      </c>
      <c r="AC60" s="106">
        <v>5864.4000000000005</v>
      </c>
      <c r="AD60" s="106">
        <v>10</v>
      </c>
      <c r="AE60" s="106">
        <v>6516</v>
      </c>
      <c r="AF60" s="106">
        <v>9</v>
      </c>
      <c r="AG60" s="106">
        <v>5864.4000000000005</v>
      </c>
      <c r="AH60" s="106">
        <v>7</v>
      </c>
      <c r="AI60" s="106">
        <v>4561.2</v>
      </c>
      <c r="AJ60" s="106">
        <v>6</v>
      </c>
      <c r="AK60" s="106">
        <v>3909.6000000000004</v>
      </c>
      <c r="AL60" s="106">
        <v>7</v>
      </c>
      <c r="AM60" s="106">
        <v>4561.2</v>
      </c>
      <c r="AN60" s="106">
        <v>7</v>
      </c>
      <c r="AO60" s="106">
        <v>4561.2</v>
      </c>
      <c r="AP60" s="106">
        <v>8</v>
      </c>
      <c r="AQ60" s="106">
        <v>5212.8</v>
      </c>
      <c r="AR60" s="106">
        <v>5</v>
      </c>
      <c r="AS60" s="106">
        <v>3258</v>
      </c>
      <c r="AT60" s="106">
        <v>5</v>
      </c>
      <c r="AU60" s="106">
        <v>3258</v>
      </c>
      <c r="AV60" s="106">
        <v>5</v>
      </c>
      <c r="AW60" s="106">
        <v>3258</v>
      </c>
      <c r="AX60" s="106">
        <v>6</v>
      </c>
      <c r="AY60" s="106">
        <v>3909.6000000000004</v>
      </c>
      <c r="AZ60" s="106">
        <v>4</v>
      </c>
      <c r="BA60" s="106">
        <v>2606.4</v>
      </c>
      <c r="BB60" s="106">
        <v>7</v>
      </c>
      <c r="BC60" s="106">
        <v>4561.2</v>
      </c>
      <c r="BD60" s="106">
        <v>6</v>
      </c>
      <c r="BE60" s="106">
        <v>3909.6000000000004</v>
      </c>
      <c r="BF60" s="106">
        <v>6</v>
      </c>
      <c r="BG60" s="106">
        <v>3909.6000000000004</v>
      </c>
      <c r="BH60" s="106">
        <v>4</v>
      </c>
      <c r="BI60" s="106">
        <v>2606.4</v>
      </c>
      <c r="BJ60" s="106">
        <v>5</v>
      </c>
      <c r="BK60" s="106">
        <v>3258</v>
      </c>
      <c r="BL60" s="106">
        <v>5</v>
      </c>
      <c r="BM60" s="106">
        <v>3258</v>
      </c>
      <c r="BN60" s="106">
        <v>5</v>
      </c>
      <c r="BO60" s="106">
        <v>3258</v>
      </c>
      <c r="BP60" s="106">
        <v>3</v>
      </c>
      <c r="BQ60" s="106">
        <v>1954.8000000000002</v>
      </c>
      <c r="BR60" s="106">
        <v>3</v>
      </c>
      <c r="BS60" s="106">
        <v>1954.8000000000002</v>
      </c>
      <c r="BT60" s="106">
        <v>3</v>
      </c>
      <c r="BU60" s="106">
        <v>1954.8000000000002</v>
      </c>
      <c r="BV60" s="106">
        <v>3</v>
      </c>
      <c r="BW60" s="106">
        <v>1954.8000000000002</v>
      </c>
      <c r="BX60" s="106">
        <v>55</v>
      </c>
      <c r="BY60" s="106">
        <v>35838</v>
      </c>
      <c r="BZ60" s="106">
        <v>46</v>
      </c>
      <c r="CA60" s="106">
        <v>29973.600000000002</v>
      </c>
      <c r="CB60" s="106">
        <v>74</v>
      </c>
      <c r="CC60" s="106">
        <v>48218.400000000001</v>
      </c>
      <c r="CD60" s="106">
        <v>55</v>
      </c>
      <c r="CE60" s="106">
        <v>35838</v>
      </c>
      <c r="CF60" s="106">
        <v>23</v>
      </c>
      <c r="CG60" s="106">
        <v>14986.800000000001</v>
      </c>
      <c r="CH60" s="106">
        <v>23</v>
      </c>
      <c r="CI60" s="106">
        <v>14986.800000000001</v>
      </c>
      <c r="CJ60" s="106">
        <v>31</v>
      </c>
      <c r="CK60" s="106">
        <v>20199.600000000002</v>
      </c>
      <c r="CL60" s="106">
        <v>23</v>
      </c>
      <c r="CM60" s="106">
        <v>14986.800000000001</v>
      </c>
      <c r="CN60" s="106">
        <v>3</v>
      </c>
      <c r="CO60" s="106">
        <v>1954.8000000000002</v>
      </c>
      <c r="CP60" s="106">
        <v>3</v>
      </c>
      <c r="CQ60" s="106">
        <v>1954.8000000000002</v>
      </c>
      <c r="CR60" s="106">
        <v>2</v>
      </c>
      <c r="CS60" s="106">
        <v>1303.2</v>
      </c>
      <c r="CT60" s="106">
        <v>4</v>
      </c>
      <c r="CU60" s="106">
        <v>2606.4</v>
      </c>
    </row>
    <row r="61" spans="2:99" x14ac:dyDescent="0.2">
      <c r="C61" s="105" t="s">
        <v>227</v>
      </c>
      <c r="D61" s="106">
        <v>5</v>
      </c>
      <c r="E61" s="106">
        <v>4758</v>
      </c>
      <c r="F61" s="106">
        <v>5</v>
      </c>
      <c r="G61" s="106">
        <v>4758</v>
      </c>
      <c r="H61" s="106">
        <v>6</v>
      </c>
      <c r="I61" s="106">
        <v>5709.5999999999995</v>
      </c>
      <c r="J61" s="106">
        <v>4</v>
      </c>
      <c r="K61" s="106">
        <v>3806.3999999999996</v>
      </c>
      <c r="L61" s="106">
        <v>35</v>
      </c>
      <c r="M61" s="106">
        <v>33306</v>
      </c>
      <c r="N61" s="106">
        <v>34</v>
      </c>
      <c r="O61" s="106">
        <v>32354.399999999998</v>
      </c>
      <c r="P61" s="106">
        <v>36</v>
      </c>
      <c r="Q61" s="106">
        <v>34257.599999999999</v>
      </c>
      <c r="R61" s="106">
        <v>33</v>
      </c>
      <c r="S61" s="106">
        <v>31402.799999999996</v>
      </c>
      <c r="T61" s="106">
        <v>3</v>
      </c>
      <c r="U61" s="106">
        <v>2854.7999999999997</v>
      </c>
      <c r="V61" s="106">
        <v>4</v>
      </c>
      <c r="W61" s="106">
        <v>3806.3999999999996</v>
      </c>
      <c r="X61" s="106">
        <v>4</v>
      </c>
      <c r="Y61" s="106">
        <v>3806.3999999999996</v>
      </c>
      <c r="Z61" s="106">
        <v>4</v>
      </c>
      <c r="AA61" s="106">
        <v>3806.3999999999996</v>
      </c>
      <c r="AB61" s="106">
        <v>9</v>
      </c>
      <c r="AC61" s="106">
        <v>8564.4</v>
      </c>
      <c r="AD61" s="106">
        <v>11</v>
      </c>
      <c r="AE61" s="106">
        <v>10467.599999999999</v>
      </c>
      <c r="AF61" s="106">
        <v>9</v>
      </c>
      <c r="AG61" s="106">
        <v>8564.4</v>
      </c>
      <c r="AH61" s="106">
        <v>6</v>
      </c>
      <c r="AI61" s="106">
        <v>5709.5999999999995</v>
      </c>
      <c r="AJ61" s="106">
        <v>5</v>
      </c>
      <c r="AK61" s="106">
        <v>4758</v>
      </c>
      <c r="AL61" s="106">
        <v>7</v>
      </c>
      <c r="AM61" s="106">
        <v>6661.1999999999989</v>
      </c>
      <c r="AN61" s="106">
        <v>6</v>
      </c>
      <c r="AO61" s="106">
        <v>5709.5999999999995</v>
      </c>
      <c r="AP61" s="106">
        <v>7</v>
      </c>
      <c r="AQ61" s="106">
        <v>6661.1999999999989</v>
      </c>
      <c r="AR61" s="106">
        <v>4</v>
      </c>
      <c r="AS61" s="106">
        <v>3806.3999999999996</v>
      </c>
      <c r="AT61" s="106">
        <v>4</v>
      </c>
      <c r="AU61" s="106">
        <v>3806.3999999999996</v>
      </c>
      <c r="AV61" s="106">
        <v>4</v>
      </c>
      <c r="AW61" s="106">
        <v>3806.3999999999996</v>
      </c>
      <c r="AX61" s="106">
        <v>5</v>
      </c>
      <c r="AY61" s="106">
        <v>4758</v>
      </c>
      <c r="AZ61" s="106">
        <v>4</v>
      </c>
      <c r="BA61" s="106">
        <v>3806.3999999999996</v>
      </c>
      <c r="BB61" s="106">
        <v>8</v>
      </c>
      <c r="BC61" s="106">
        <v>7612.7999999999993</v>
      </c>
      <c r="BD61" s="106">
        <v>7</v>
      </c>
      <c r="BE61" s="106">
        <v>6661.1999999999989</v>
      </c>
      <c r="BF61" s="106">
        <v>6</v>
      </c>
      <c r="BG61" s="106">
        <v>5709.5999999999995</v>
      </c>
      <c r="BH61" s="106">
        <v>4</v>
      </c>
      <c r="BI61" s="106">
        <v>3806.3999999999996</v>
      </c>
      <c r="BJ61" s="106">
        <v>5</v>
      </c>
      <c r="BK61" s="106">
        <v>4758</v>
      </c>
      <c r="BL61" s="106">
        <v>4</v>
      </c>
      <c r="BM61" s="106">
        <v>3806.3999999999996</v>
      </c>
      <c r="BN61" s="106">
        <v>6</v>
      </c>
      <c r="BO61" s="106">
        <v>5709.5999999999995</v>
      </c>
      <c r="BP61" s="106">
        <v>3</v>
      </c>
      <c r="BQ61" s="106">
        <v>2854.7999999999997</v>
      </c>
      <c r="BR61" s="106">
        <v>3</v>
      </c>
      <c r="BS61" s="106">
        <v>2854.7999999999997</v>
      </c>
      <c r="BT61" s="106">
        <v>3</v>
      </c>
      <c r="BU61" s="106">
        <v>2854.7999999999997</v>
      </c>
      <c r="BV61" s="106">
        <v>2</v>
      </c>
      <c r="BW61" s="106">
        <v>1903.1999999999998</v>
      </c>
      <c r="BX61" s="106">
        <v>47</v>
      </c>
      <c r="BY61" s="106">
        <v>44725.2</v>
      </c>
      <c r="BZ61" s="106">
        <v>49</v>
      </c>
      <c r="CA61" s="106">
        <v>46628.399999999994</v>
      </c>
      <c r="CB61" s="106">
        <v>63</v>
      </c>
      <c r="CC61" s="106">
        <v>59950.799999999996</v>
      </c>
      <c r="CD61" s="106">
        <v>54</v>
      </c>
      <c r="CE61" s="106">
        <v>51386.399999999994</v>
      </c>
      <c r="CF61" s="106">
        <v>21</v>
      </c>
      <c r="CG61" s="106">
        <v>19983.599999999999</v>
      </c>
      <c r="CH61" s="106">
        <v>22</v>
      </c>
      <c r="CI61" s="106">
        <v>20935.199999999997</v>
      </c>
      <c r="CJ61" s="106">
        <v>25</v>
      </c>
      <c r="CK61" s="106">
        <v>23789.999999999996</v>
      </c>
      <c r="CL61" s="106">
        <v>19</v>
      </c>
      <c r="CM61" s="106">
        <v>18080.399999999998</v>
      </c>
      <c r="CN61" s="106">
        <v>3</v>
      </c>
      <c r="CO61" s="106">
        <v>2854.7999999999997</v>
      </c>
      <c r="CP61" s="106">
        <v>3</v>
      </c>
      <c r="CQ61" s="106">
        <v>2854.7999999999997</v>
      </c>
      <c r="CR61" s="106">
        <v>2</v>
      </c>
      <c r="CS61" s="106">
        <v>1903.1999999999998</v>
      </c>
      <c r="CT61" s="106">
        <v>4</v>
      </c>
      <c r="CU61" s="106">
        <v>3806.3999999999996</v>
      </c>
    </row>
    <row r="62" spans="2:99" x14ac:dyDescent="0.2">
      <c r="C62" s="105" t="s">
        <v>228</v>
      </c>
      <c r="D62" s="106">
        <v>5</v>
      </c>
      <c r="E62" s="106">
        <v>8526</v>
      </c>
      <c r="F62" s="106">
        <v>4</v>
      </c>
      <c r="G62" s="106">
        <v>6820.8</v>
      </c>
      <c r="H62" s="106">
        <v>5</v>
      </c>
      <c r="I62" s="106">
        <v>8526</v>
      </c>
      <c r="J62" s="106">
        <v>4</v>
      </c>
      <c r="K62" s="106">
        <v>6820.8</v>
      </c>
      <c r="L62" s="106">
        <v>29</v>
      </c>
      <c r="M62" s="106">
        <v>49450.8</v>
      </c>
      <c r="N62" s="106">
        <v>32</v>
      </c>
      <c r="O62" s="106">
        <v>54566.400000000001</v>
      </c>
      <c r="P62" s="106">
        <v>31</v>
      </c>
      <c r="Q62" s="106">
        <v>52861.200000000004</v>
      </c>
      <c r="R62" s="106">
        <v>25</v>
      </c>
      <c r="S62" s="106">
        <v>42630</v>
      </c>
      <c r="T62" s="106">
        <v>3</v>
      </c>
      <c r="U62" s="106">
        <v>5115.6000000000004</v>
      </c>
      <c r="V62" s="106">
        <v>3</v>
      </c>
      <c r="W62" s="106">
        <v>5115.6000000000004</v>
      </c>
      <c r="X62" s="106">
        <v>4</v>
      </c>
      <c r="Y62" s="106">
        <v>6820.8</v>
      </c>
      <c r="Z62" s="106">
        <v>3</v>
      </c>
      <c r="AA62" s="106">
        <v>5115.6000000000004</v>
      </c>
      <c r="AB62" s="106">
        <v>9</v>
      </c>
      <c r="AC62" s="106">
        <v>15346.800000000001</v>
      </c>
      <c r="AD62" s="106">
        <v>8</v>
      </c>
      <c r="AE62" s="106">
        <v>13641.6</v>
      </c>
      <c r="AF62" s="106">
        <v>8</v>
      </c>
      <c r="AG62" s="106">
        <v>13641.6</v>
      </c>
      <c r="AH62" s="106">
        <v>7</v>
      </c>
      <c r="AI62" s="106">
        <v>11936.4</v>
      </c>
      <c r="AJ62" s="106">
        <v>6</v>
      </c>
      <c r="AK62" s="106">
        <v>10231.200000000001</v>
      </c>
      <c r="AL62" s="106">
        <v>7</v>
      </c>
      <c r="AM62" s="106">
        <v>11936.4</v>
      </c>
      <c r="AN62" s="106">
        <v>6</v>
      </c>
      <c r="AO62" s="106">
        <v>10231.200000000001</v>
      </c>
      <c r="AP62" s="106">
        <v>7</v>
      </c>
      <c r="AQ62" s="106">
        <v>11936.4</v>
      </c>
      <c r="AR62" s="106">
        <v>5</v>
      </c>
      <c r="AS62" s="106">
        <v>8526</v>
      </c>
      <c r="AT62" s="106">
        <v>4</v>
      </c>
      <c r="AU62" s="106">
        <v>6820.8</v>
      </c>
      <c r="AV62" s="106">
        <v>4</v>
      </c>
      <c r="AW62" s="106">
        <v>6820.8</v>
      </c>
      <c r="AX62" s="106">
        <v>5</v>
      </c>
      <c r="AY62" s="106">
        <v>8526</v>
      </c>
      <c r="AZ62" s="106">
        <v>4</v>
      </c>
      <c r="BA62" s="106">
        <v>6820.8</v>
      </c>
      <c r="BB62" s="106">
        <v>7</v>
      </c>
      <c r="BC62" s="106">
        <v>11936.4</v>
      </c>
      <c r="BD62" s="106">
        <v>6</v>
      </c>
      <c r="BE62" s="106">
        <v>10231.200000000001</v>
      </c>
      <c r="BF62" s="106">
        <v>5</v>
      </c>
      <c r="BG62" s="106">
        <v>8526</v>
      </c>
      <c r="BH62" s="106">
        <v>4</v>
      </c>
      <c r="BI62" s="106">
        <v>6820.8</v>
      </c>
      <c r="BJ62" s="106">
        <v>4</v>
      </c>
      <c r="BK62" s="106">
        <v>6820.8</v>
      </c>
      <c r="BL62" s="106">
        <v>4</v>
      </c>
      <c r="BM62" s="106">
        <v>6820.8</v>
      </c>
      <c r="BN62" s="106">
        <v>5</v>
      </c>
      <c r="BO62" s="106">
        <v>8526</v>
      </c>
      <c r="BP62" s="106">
        <v>3</v>
      </c>
      <c r="BQ62" s="106">
        <v>5115.6000000000004</v>
      </c>
      <c r="BR62" s="106">
        <v>3</v>
      </c>
      <c r="BS62" s="106">
        <v>5115.6000000000004</v>
      </c>
      <c r="BT62" s="106">
        <v>3</v>
      </c>
      <c r="BU62" s="106">
        <v>5115.6000000000004</v>
      </c>
      <c r="BV62" s="106">
        <v>3</v>
      </c>
      <c r="BW62" s="106">
        <v>5115.6000000000004</v>
      </c>
      <c r="BX62" s="106">
        <v>39</v>
      </c>
      <c r="BY62" s="106">
        <v>66502.8</v>
      </c>
      <c r="BZ62" s="106">
        <v>39</v>
      </c>
      <c r="CA62" s="106">
        <v>66502.8</v>
      </c>
      <c r="CB62" s="106">
        <v>57</v>
      </c>
      <c r="CC62" s="106">
        <v>97196.400000000009</v>
      </c>
      <c r="CD62" s="106">
        <v>47</v>
      </c>
      <c r="CE62" s="106">
        <v>80144.400000000009</v>
      </c>
      <c r="CF62" s="106">
        <v>18</v>
      </c>
      <c r="CG62" s="106">
        <v>30693.600000000002</v>
      </c>
      <c r="CH62" s="106">
        <v>20</v>
      </c>
      <c r="CI62" s="106">
        <v>34104</v>
      </c>
      <c r="CJ62" s="106">
        <v>25</v>
      </c>
      <c r="CK62" s="106">
        <v>42630</v>
      </c>
      <c r="CL62" s="106">
        <v>18</v>
      </c>
      <c r="CM62" s="106">
        <v>30693.600000000002</v>
      </c>
      <c r="CN62" s="106">
        <v>2</v>
      </c>
      <c r="CO62" s="106">
        <v>3410.4</v>
      </c>
      <c r="CP62" s="106">
        <v>3</v>
      </c>
      <c r="CQ62" s="106">
        <v>5115.6000000000004</v>
      </c>
      <c r="CR62" s="106">
        <v>2</v>
      </c>
      <c r="CS62" s="106">
        <v>3410.4</v>
      </c>
      <c r="CT62" s="106">
        <v>4</v>
      </c>
      <c r="CU62" s="106">
        <v>6820.8</v>
      </c>
    </row>
    <row r="63" spans="2:99" x14ac:dyDescent="0.2">
      <c r="C63" s="105" t="s">
        <v>229</v>
      </c>
      <c r="D63" s="106">
        <v>5</v>
      </c>
      <c r="E63" s="106">
        <v>3978</v>
      </c>
      <c r="F63" s="106">
        <v>6</v>
      </c>
      <c r="G63" s="106">
        <v>4773.6000000000004</v>
      </c>
      <c r="H63" s="106">
        <v>6</v>
      </c>
      <c r="I63" s="106">
        <v>4773.6000000000004</v>
      </c>
      <c r="J63" s="106">
        <v>4</v>
      </c>
      <c r="K63" s="106">
        <v>3182.4</v>
      </c>
      <c r="L63" s="106">
        <v>41</v>
      </c>
      <c r="M63" s="106">
        <v>32619.600000000002</v>
      </c>
      <c r="N63" s="106">
        <v>33</v>
      </c>
      <c r="O63" s="106">
        <v>26254.799999999999</v>
      </c>
      <c r="P63" s="106">
        <v>36</v>
      </c>
      <c r="Q63" s="106">
        <v>28641.600000000002</v>
      </c>
      <c r="R63" s="106">
        <v>30</v>
      </c>
      <c r="S63" s="106">
        <v>23868</v>
      </c>
      <c r="T63" s="106">
        <v>3</v>
      </c>
      <c r="U63" s="106">
        <v>2386.8000000000002</v>
      </c>
      <c r="V63" s="106">
        <v>4</v>
      </c>
      <c r="W63" s="106">
        <v>3182.4</v>
      </c>
      <c r="X63" s="106">
        <v>4</v>
      </c>
      <c r="Y63" s="106">
        <v>3182.4</v>
      </c>
      <c r="Z63" s="106">
        <v>3</v>
      </c>
      <c r="AA63" s="106">
        <v>2386.8000000000002</v>
      </c>
      <c r="AB63" s="106">
        <v>10</v>
      </c>
      <c r="AC63" s="106">
        <v>7956</v>
      </c>
      <c r="AD63" s="106">
        <v>10</v>
      </c>
      <c r="AE63" s="106">
        <v>7956</v>
      </c>
      <c r="AF63" s="106">
        <v>10</v>
      </c>
      <c r="AG63" s="106">
        <v>7956</v>
      </c>
      <c r="AH63" s="106">
        <v>7</v>
      </c>
      <c r="AI63" s="106">
        <v>5569.2</v>
      </c>
      <c r="AJ63" s="106">
        <v>6</v>
      </c>
      <c r="AK63" s="106">
        <v>4773.6000000000004</v>
      </c>
      <c r="AL63" s="106">
        <v>7</v>
      </c>
      <c r="AM63" s="106">
        <v>5569.2</v>
      </c>
      <c r="AN63" s="106">
        <v>8</v>
      </c>
      <c r="AO63" s="106">
        <v>6364.8</v>
      </c>
      <c r="AP63" s="106">
        <v>8</v>
      </c>
      <c r="AQ63" s="106">
        <v>6364.8</v>
      </c>
      <c r="AR63" s="106">
        <v>5</v>
      </c>
      <c r="AS63" s="106">
        <v>3978</v>
      </c>
      <c r="AT63" s="106">
        <v>5</v>
      </c>
      <c r="AU63" s="106">
        <v>3978</v>
      </c>
      <c r="AV63" s="106">
        <v>4</v>
      </c>
      <c r="AW63" s="106">
        <v>3182.4</v>
      </c>
      <c r="AX63" s="106">
        <v>5</v>
      </c>
      <c r="AY63" s="106">
        <v>3978</v>
      </c>
      <c r="AZ63" s="106">
        <v>4</v>
      </c>
      <c r="BA63" s="106">
        <v>3182.4</v>
      </c>
      <c r="BB63" s="106">
        <v>8</v>
      </c>
      <c r="BC63" s="106">
        <v>6364.8</v>
      </c>
      <c r="BD63" s="106">
        <v>8</v>
      </c>
      <c r="BE63" s="106">
        <v>6364.8</v>
      </c>
      <c r="BF63" s="106">
        <v>6</v>
      </c>
      <c r="BG63" s="106">
        <v>4773.6000000000004</v>
      </c>
      <c r="BH63" s="106">
        <v>4</v>
      </c>
      <c r="BI63" s="106">
        <v>3182.4</v>
      </c>
      <c r="BJ63" s="106">
        <v>5</v>
      </c>
      <c r="BK63" s="106">
        <v>3978</v>
      </c>
      <c r="BL63" s="106">
        <v>4</v>
      </c>
      <c r="BM63" s="106">
        <v>3182.4</v>
      </c>
      <c r="BN63" s="106">
        <v>5</v>
      </c>
      <c r="BO63" s="106">
        <v>3978</v>
      </c>
      <c r="BP63" s="106">
        <v>3</v>
      </c>
      <c r="BQ63" s="106">
        <v>2386.8000000000002</v>
      </c>
      <c r="BR63" s="106">
        <v>3</v>
      </c>
      <c r="BS63" s="106">
        <v>2386.8000000000002</v>
      </c>
      <c r="BT63" s="106">
        <v>3</v>
      </c>
      <c r="BU63" s="106">
        <v>2386.8000000000002</v>
      </c>
      <c r="BV63" s="106">
        <v>3</v>
      </c>
      <c r="BW63" s="106">
        <v>2386.8000000000002</v>
      </c>
      <c r="BX63" s="106">
        <v>57</v>
      </c>
      <c r="BY63" s="106">
        <v>45349.200000000004</v>
      </c>
      <c r="BZ63" s="106">
        <v>44</v>
      </c>
      <c r="CA63" s="106">
        <v>35006.400000000001</v>
      </c>
      <c r="CB63" s="106">
        <v>62</v>
      </c>
      <c r="CC63" s="106">
        <v>49327.200000000004</v>
      </c>
      <c r="CD63" s="106">
        <v>50</v>
      </c>
      <c r="CE63" s="106">
        <v>39780</v>
      </c>
      <c r="CF63" s="106">
        <v>23</v>
      </c>
      <c r="CG63" s="106">
        <v>18298.8</v>
      </c>
      <c r="CH63" s="106">
        <v>22</v>
      </c>
      <c r="CI63" s="106">
        <v>17503.2</v>
      </c>
      <c r="CJ63" s="106">
        <v>26</v>
      </c>
      <c r="CK63" s="106">
        <v>20685.600000000002</v>
      </c>
      <c r="CL63" s="106">
        <v>23</v>
      </c>
      <c r="CM63" s="106">
        <v>18298.8</v>
      </c>
      <c r="CN63" s="106">
        <v>2</v>
      </c>
      <c r="CO63" s="106">
        <v>1591.2</v>
      </c>
      <c r="CP63" s="106">
        <v>3</v>
      </c>
      <c r="CQ63" s="106">
        <v>2386.8000000000002</v>
      </c>
      <c r="CR63" s="106">
        <v>2</v>
      </c>
      <c r="CS63" s="106">
        <v>1591.2</v>
      </c>
      <c r="CT63" s="106">
        <v>4</v>
      </c>
      <c r="CU63" s="106">
        <v>3182.4</v>
      </c>
    </row>
    <row r="64" spans="2:99" x14ac:dyDescent="0.2">
      <c r="C64" s="105" t="s">
        <v>230</v>
      </c>
      <c r="D64" s="106">
        <v>5</v>
      </c>
      <c r="E64" s="106">
        <v>5045.9999999999991</v>
      </c>
      <c r="F64" s="106">
        <v>5</v>
      </c>
      <c r="G64" s="106">
        <v>5045.9999999999991</v>
      </c>
      <c r="H64" s="106">
        <v>5</v>
      </c>
      <c r="I64" s="106">
        <v>5045.9999999999991</v>
      </c>
      <c r="J64" s="106">
        <v>4</v>
      </c>
      <c r="K64" s="106">
        <v>4036.7999999999993</v>
      </c>
      <c r="L64" s="106">
        <v>38</v>
      </c>
      <c r="M64" s="106">
        <v>38349.599999999991</v>
      </c>
      <c r="N64" s="106">
        <v>37</v>
      </c>
      <c r="O64" s="106">
        <v>37340.399999999994</v>
      </c>
      <c r="P64" s="106">
        <v>34</v>
      </c>
      <c r="Q64" s="106">
        <v>34312.799999999996</v>
      </c>
      <c r="R64" s="106">
        <v>28</v>
      </c>
      <c r="S64" s="106">
        <v>28257.599999999995</v>
      </c>
      <c r="T64" s="106">
        <v>3</v>
      </c>
      <c r="U64" s="106">
        <v>3027.5999999999995</v>
      </c>
      <c r="V64" s="106">
        <v>4</v>
      </c>
      <c r="W64" s="106">
        <v>4036.7999999999993</v>
      </c>
      <c r="X64" s="106">
        <v>4</v>
      </c>
      <c r="Y64" s="106">
        <v>4036.7999999999993</v>
      </c>
      <c r="Z64" s="106">
        <v>3</v>
      </c>
      <c r="AA64" s="106">
        <v>3027.5999999999995</v>
      </c>
      <c r="AB64" s="106">
        <v>9</v>
      </c>
      <c r="AC64" s="106">
        <v>9082.7999999999993</v>
      </c>
      <c r="AD64" s="106">
        <v>10</v>
      </c>
      <c r="AE64" s="106">
        <v>10091.999999999998</v>
      </c>
      <c r="AF64" s="106">
        <v>9</v>
      </c>
      <c r="AG64" s="106">
        <v>9082.7999999999993</v>
      </c>
      <c r="AH64" s="106">
        <v>7</v>
      </c>
      <c r="AI64" s="106">
        <v>7064.3999999999987</v>
      </c>
      <c r="AJ64" s="106">
        <v>6</v>
      </c>
      <c r="AK64" s="106">
        <v>6055.1999999999989</v>
      </c>
      <c r="AL64" s="106">
        <v>7</v>
      </c>
      <c r="AM64" s="106">
        <v>7064.3999999999987</v>
      </c>
      <c r="AN64" s="106">
        <v>7</v>
      </c>
      <c r="AO64" s="106">
        <v>7064.3999999999987</v>
      </c>
      <c r="AP64" s="106">
        <v>7</v>
      </c>
      <c r="AQ64" s="106">
        <v>7064.3999999999987</v>
      </c>
      <c r="AR64" s="106">
        <v>4</v>
      </c>
      <c r="AS64" s="106">
        <v>4036.7999999999993</v>
      </c>
      <c r="AT64" s="106">
        <v>4</v>
      </c>
      <c r="AU64" s="106">
        <v>4036.7999999999993</v>
      </c>
      <c r="AV64" s="106">
        <v>5</v>
      </c>
      <c r="AW64" s="106">
        <v>5045.9999999999991</v>
      </c>
      <c r="AX64" s="106">
        <v>5</v>
      </c>
      <c r="AY64" s="106">
        <v>5045.9999999999991</v>
      </c>
      <c r="AZ64" s="106">
        <v>5</v>
      </c>
      <c r="BA64" s="106">
        <v>5045.9999999999991</v>
      </c>
      <c r="BB64" s="106">
        <v>7</v>
      </c>
      <c r="BC64" s="106">
        <v>7064.3999999999987</v>
      </c>
      <c r="BD64" s="106">
        <v>7</v>
      </c>
      <c r="BE64" s="106">
        <v>7064.3999999999987</v>
      </c>
      <c r="BF64" s="106">
        <v>6</v>
      </c>
      <c r="BG64" s="106">
        <v>6055.1999999999989</v>
      </c>
      <c r="BH64" s="106">
        <v>4</v>
      </c>
      <c r="BI64" s="106">
        <v>4036.7999999999993</v>
      </c>
      <c r="BJ64" s="106">
        <v>5</v>
      </c>
      <c r="BK64" s="106">
        <v>5045.9999999999991</v>
      </c>
      <c r="BL64" s="106">
        <v>5</v>
      </c>
      <c r="BM64" s="106">
        <v>5045.9999999999991</v>
      </c>
      <c r="BN64" s="106">
        <v>5</v>
      </c>
      <c r="BO64" s="106">
        <v>5045.9999999999991</v>
      </c>
      <c r="BP64" s="106">
        <v>3</v>
      </c>
      <c r="BQ64" s="106">
        <v>3027.5999999999995</v>
      </c>
      <c r="BR64" s="106">
        <v>2</v>
      </c>
      <c r="BS64" s="106">
        <v>2018.3999999999996</v>
      </c>
      <c r="BT64" s="106">
        <v>3</v>
      </c>
      <c r="BU64" s="106">
        <v>3027.5999999999995</v>
      </c>
      <c r="BV64" s="106">
        <v>2</v>
      </c>
      <c r="BW64" s="106">
        <v>2018.3999999999996</v>
      </c>
      <c r="BX64" s="106">
        <v>52</v>
      </c>
      <c r="BY64" s="106">
        <v>52478.399999999994</v>
      </c>
      <c r="BZ64" s="106">
        <v>48</v>
      </c>
      <c r="CA64" s="106">
        <v>48441.599999999991</v>
      </c>
      <c r="CB64" s="106">
        <v>58</v>
      </c>
      <c r="CC64" s="106">
        <v>58533.599999999991</v>
      </c>
      <c r="CD64" s="106">
        <v>53</v>
      </c>
      <c r="CE64" s="106">
        <v>53487.599999999991</v>
      </c>
      <c r="CF64" s="106">
        <v>21</v>
      </c>
      <c r="CG64" s="106">
        <v>21193.199999999997</v>
      </c>
      <c r="CH64" s="106">
        <v>22</v>
      </c>
      <c r="CI64" s="106">
        <v>22202.399999999994</v>
      </c>
      <c r="CJ64" s="106">
        <v>29</v>
      </c>
      <c r="CK64" s="106">
        <v>29266.799999999996</v>
      </c>
      <c r="CL64" s="106">
        <v>21</v>
      </c>
      <c r="CM64" s="106">
        <v>21193.199999999997</v>
      </c>
      <c r="CN64" s="106">
        <v>2</v>
      </c>
      <c r="CO64" s="106">
        <v>2018.3999999999996</v>
      </c>
      <c r="CP64" s="106">
        <v>3</v>
      </c>
      <c r="CQ64" s="106">
        <v>3027.5999999999995</v>
      </c>
      <c r="CR64" s="106">
        <v>2</v>
      </c>
      <c r="CS64" s="106">
        <v>2018.3999999999996</v>
      </c>
      <c r="CT64" s="106">
        <v>3</v>
      </c>
      <c r="CU64" s="106">
        <v>3027.5999999999995</v>
      </c>
    </row>
    <row r="65" spans="2:99" x14ac:dyDescent="0.2">
      <c r="C65" s="105" t="s">
        <v>231</v>
      </c>
      <c r="D65" s="106">
        <v>5</v>
      </c>
      <c r="E65" s="106">
        <v>5130</v>
      </c>
      <c r="F65" s="106">
        <v>5</v>
      </c>
      <c r="G65" s="106">
        <v>5130</v>
      </c>
      <c r="H65" s="106">
        <v>6</v>
      </c>
      <c r="I65" s="106">
        <v>6156</v>
      </c>
      <c r="J65" s="106">
        <v>5</v>
      </c>
      <c r="K65" s="106">
        <v>5130</v>
      </c>
      <c r="L65" s="106">
        <v>36</v>
      </c>
      <c r="M65" s="106">
        <v>36936</v>
      </c>
      <c r="N65" s="106">
        <v>34</v>
      </c>
      <c r="O65" s="106">
        <v>34884</v>
      </c>
      <c r="P65" s="106">
        <v>31</v>
      </c>
      <c r="Q65" s="106">
        <v>31806</v>
      </c>
      <c r="R65" s="106">
        <v>32</v>
      </c>
      <c r="S65" s="106">
        <v>32832</v>
      </c>
      <c r="T65" s="106">
        <v>3</v>
      </c>
      <c r="U65" s="106">
        <v>3078</v>
      </c>
      <c r="V65" s="106">
        <v>4</v>
      </c>
      <c r="W65" s="106">
        <v>4104</v>
      </c>
      <c r="X65" s="106">
        <v>4</v>
      </c>
      <c r="Y65" s="106">
        <v>4104</v>
      </c>
      <c r="Z65" s="106">
        <v>3</v>
      </c>
      <c r="AA65" s="106">
        <v>3078</v>
      </c>
      <c r="AB65" s="106">
        <v>10</v>
      </c>
      <c r="AC65" s="106">
        <v>10260</v>
      </c>
      <c r="AD65" s="106">
        <v>9</v>
      </c>
      <c r="AE65" s="106">
        <v>9234</v>
      </c>
      <c r="AF65" s="106">
        <v>9</v>
      </c>
      <c r="AG65" s="106">
        <v>9234</v>
      </c>
      <c r="AH65" s="106">
        <v>6</v>
      </c>
      <c r="AI65" s="106">
        <v>6156</v>
      </c>
      <c r="AJ65" s="106">
        <v>6</v>
      </c>
      <c r="AK65" s="106">
        <v>6156</v>
      </c>
      <c r="AL65" s="106">
        <v>7</v>
      </c>
      <c r="AM65" s="106">
        <v>7182</v>
      </c>
      <c r="AN65" s="106">
        <v>7</v>
      </c>
      <c r="AO65" s="106">
        <v>7182</v>
      </c>
      <c r="AP65" s="106">
        <v>7</v>
      </c>
      <c r="AQ65" s="106">
        <v>7182</v>
      </c>
      <c r="AR65" s="106">
        <v>5</v>
      </c>
      <c r="AS65" s="106">
        <v>5130</v>
      </c>
      <c r="AT65" s="106">
        <v>5</v>
      </c>
      <c r="AU65" s="106">
        <v>5130</v>
      </c>
      <c r="AV65" s="106">
        <v>4</v>
      </c>
      <c r="AW65" s="106">
        <v>4104</v>
      </c>
      <c r="AX65" s="106">
        <v>5</v>
      </c>
      <c r="AY65" s="106">
        <v>5130</v>
      </c>
      <c r="AZ65" s="106">
        <v>4</v>
      </c>
      <c r="BA65" s="106">
        <v>4104</v>
      </c>
      <c r="BB65" s="106">
        <v>6</v>
      </c>
      <c r="BC65" s="106">
        <v>6156</v>
      </c>
      <c r="BD65" s="106">
        <v>7</v>
      </c>
      <c r="BE65" s="106">
        <v>7182</v>
      </c>
      <c r="BF65" s="106">
        <v>5</v>
      </c>
      <c r="BG65" s="106">
        <v>5130</v>
      </c>
      <c r="BH65" s="106">
        <v>4</v>
      </c>
      <c r="BI65" s="106">
        <v>4104</v>
      </c>
      <c r="BJ65" s="106">
        <v>4</v>
      </c>
      <c r="BK65" s="106">
        <v>4104</v>
      </c>
      <c r="BL65" s="106">
        <v>5</v>
      </c>
      <c r="BM65" s="106">
        <v>5130</v>
      </c>
      <c r="BN65" s="106">
        <v>5</v>
      </c>
      <c r="BO65" s="106">
        <v>5130</v>
      </c>
      <c r="BP65" s="106">
        <v>3</v>
      </c>
      <c r="BQ65" s="106">
        <v>3078</v>
      </c>
      <c r="BR65" s="106">
        <v>3</v>
      </c>
      <c r="BS65" s="106">
        <v>3078</v>
      </c>
      <c r="BT65" s="106">
        <v>3</v>
      </c>
      <c r="BU65" s="106">
        <v>3078</v>
      </c>
      <c r="BV65" s="106">
        <v>3</v>
      </c>
      <c r="BW65" s="106">
        <v>3078</v>
      </c>
      <c r="BX65" s="106">
        <v>52</v>
      </c>
      <c r="BY65" s="106">
        <v>53352</v>
      </c>
      <c r="BZ65" s="106">
        <v>42</v>
      </c>
      <c r="CA65" s="106">
        <v>43092</v>
      </c>
      <c r="CB65" s="106">
        <v>68</v>
      </c>
      <c r="CC65" s="106">
        <v>69768</v>
      </c>
      <c r="CD65" s="106">
        <v>56</v>
      </c>
      <c r="CE65" s="106">
        <v>57456</v>
      </c>
      <c r="CF65" s="106">
        <v>22</v>
      </c>
      <c r="CG65" s="106">
        <v>22572</v>
      </c>
      <c r="CH65" s="106">
        <v>22</v>
      </c>
      <c r="CI65" s="106">
        <v>22572</v>
      </c>
      <c r="CJ65" s="106">
        <v>29</v>
      </c>
      <c r="CK65" s="106">
        <v>29754</v>
      </c>
      <c r="CL65" s="106">
        <v>20</v>
      </c>
      <c r="CM65" s="106">
        <v>20520</v>
      </c>
      <c r="CN65" s="106">
        <v>3</v>
      </c>
      <c r="CO65" s="106">
        <v>3078</v>
      </c>
      <c r="CP65" s="106">
        <v>3</v>
      </c>
      <c r="CQ65" s="106">
        <v>3078</v>
      </c>
      <c r="CR65" s="106">
        <v>2</v>
      </c>
      <c r="CS65" s="106">
        <v>2052</v>
      </c>
      <c r="CT65" s="106">
        <v>3</v>
      </c>
      <c r="CU65" s="106">
        <v>3078</v>
      </c>
    </row>
    <row r="66" spans="2:99" x14ac:dyDescent="0.2">
      <c r="C66" s="105" t="s">
        <v>232</v>
      </c>
      <c r="D66" s="106">
        <v>5</v>
      </c>
      <c r="E66" s="106">
        <v>5951.9999999999991</v>
      </c>
      <c r="F66" s="106">
        <v>5</v>
      </c>
      <c r="G66" s="106">
        <v>5951.9999999999991</v>
      </c>
      <c r="H66" s="106">
        <v>5</v>
      </c>
      <c r="I66" s="106">
        <v>5951.9999999999991</v>
      </c>
      <c r="J66" s="106">
        <v>4</v>
      </c>
      <c r="K66" s="106">
        <v>4761.5999999999995</v>
      </c>
      <c r="L66" s="106">
        <v>35</v>
      </c>
      <c r="M66" s="106">
        <v>41663.999999999993</v>
      </c>
      <c r="N66" s="106">
        <v>31</v>
      </c>
      <c r="O66" s="106">
        <v>36902.399999999994</v>
      </c>
      <c r="P66" s="106">
        <v>31</v>
      </c>
      <c r="Q66" s="106">
        <v>36902.399999999994</v>
      </c>
      <c r="R66" s="106">
        <v>27</v>
      </c>
      <c r="S66" s="106">
        <v>32140.799999999996</v>
      </c>
      <c r="T66" s="106">
        <v>3</v>
      </c>
      <c r="U66" s="106">
        <v>3571.2</v>
      </c>
      <c r="V66" s="106">
        <v>4</v>
      </c>
      <c r="W66" s="106">
        <v>4761.5999999999995</v>
      </c>
      <c r="X66" s="106">
        <v>4</v>
      </c>
      <c r="Y66" s="106">
        <v>4761.5999999999995</v>
      </c>
      <c r="Z66" s="106">
        <v>4</v>
      </c>
      <c r="AA66" s="106">
        <v>4761.5999999999995</v>
      </c>
      <c r="AB66" s="106">
        <v>9</v>
      </c>
      <c r="AC66" s="106">
        <v>10713.599999999999</v>
      </c>
      <c r="AD66" s="106">
        <v>10</v>
      </c>
      <c r="AE66" s="106">
        <v>11903.999999999998</v>
      </c>
      <c r="AF66" s="106">
        <v>9</v>
      </c>
      <c r="AG66" s="106">
        <v>10713.599999999999</v>
      </c>
      <c r="AH66" s="106">
        <v>7</v>
      </c>
      <c r="AI66" s="106">
        <v>8332.7999999999993</v>
      </c>
      <c r="AJ66" s="106">
        <v>5</v>
      </c>
      <c r="AK66" s="106">
        <v>5951.9999999999991</v>
      </c>
      <c r="AL66" s="106">
        <v>7</v>
      </c>
      <c r="AM66" s="106">
        <v>8332.7999999999993</v>
      </c>
      <c r="AN66" s="106">
        <v>7</v>
      </c>
      <c r="AO66" s="106">
        <v>8332.7999999999993</v>
      </c>
      <c r="AP66" s="106">
        <v>7</v>
      </c>
      <c r="AQ66" s="106">
        <v>8332.7999999999993</v>
      </c>
      <c r="AR66" s="106">
        <v>5</v>
      </c>
      <c r="AS66" s="106">
        <v>5951.9999999999991</v>
      </c>
      <c r="AT66" s="106">
        <v>4</v>
      </c>
      <c r="AU66" s="106">
        <v>4761.5999999999995</v>
      </c>
      <c r="AV66" s="106">
        <v>4</v>
      </c>
      <c r="AW66" s="106">
        <v>4761.5999999999995</v>
      </c>
      <c r="AX66" s="106">
        <v>5</v>
      </c>
      <c r="AY66" s="106">
        <v>5951.9999999999991</v>
      </c>
      <c r="AZ66" s="106">
        <v>4</v>
      </c>
      <c r="BA66" s="106">
        <v>4761.5999999999995</v>
      </c>
      <c r="BB66" s="106">
        <v>7</v>
      </c>
      <c r="BC66" s="106">
        <v>8332.7999999999993</v>
      </c>
      <c r="BD66" s="106">
        <v>6</v>
      </c>
      <c r="BE66" s="106">
        <v>7142.4</v>
      </c>
      <c r="BF66" s="106">
        <v>5</v>
      </c>
      <c r="BG66" s="106">
        <v>5951.9999999999991</v>
      </c>
      <c r="BH66" s="106">
        <v>4</v>
      </c>
      <c r="BI66" s="106">
        <v>4761.5999999999995</v>
      </c>
      <c r="BJ66" s="106">
        <v>4</v>
      </c>
      <c r="BK66" s="106">
        <v>4761.5999999999995</v>
      </c>
      <c r="BL66" s="106">
        <v>4</v>
      </c>
      <c r="BM66" s="106">
        <v>4761.5999999999995</v>
      </c>
      <c r="BN66" s="106">
        <v>5</v>
      </c>
      <c r="BO66" s="106">
        <v>5951.9999999999991</v>
      </c>
      <c r="BP66" s="106">
        <v>3</v>
      </c>
      <c r="BQ66" s="106">
        <v>3571.2</v>
      </c>
      <c r="BR66" s="106">
        <v>2</v>
      </c>
      <c r="BS66" s="106">
        <v>2380.7999999999997</v>
      </c>
      <c r="BT66" s="106">
        <v>3</v>
      </c>
      <c r="BU66" s="106">
        <v>3571.2</v>
      </c>
      <c r="BV66" s="106">
        <v>3</v>
      </c>
      <c r="BW66" s="106">
        <v>3571.2</v>
      </c>
      <c r="BX66" s="106">
        <v>46</v>
      </c>
      <c r="BY66" s="106">
        <v>54758.399999999994</v>
      </c>
      <c r="BZ66" s="106">
        <v>39</v>
      </c>
      <c r="CA66" s="106">
        <v>46425.599999999991</v>
      </c>
      <c r="CB66" s="106">
        <v>55</v>
      </c>
      <c r="CC66" s="106">
        <v>65471.999999999993</v>
      </c>
      <c r="CD66" s="106">
        <v>54</v>
      </c>
      <c r="CE66" s="106">
        <v>64281.599999999991</v>
      </c>
      <c r="CF66" s="106">
        <v>20</v>
      </c>
      <c r="CG66" s="106">
        <v>23807.999999999996</v>
      </c>
      <c r="CH66" s="106">
        <v>20</v>
      </c>
      <c r="CI66" s="106">
        <v>23807.999999999996</v>
      </c>
      <c r="CJ66" s="106">
        <v>25</v>
      </c>
      <c r="CK66" s="106">
        <v>29759.999999999996</v>
      </c>
      <c r="CL66" s="106">
        <v>19</v>
      </c>
      <c r="CM66" s="106">
        <v>22617.599999999999</v>
      </c>
      <c r="CN66" s="106">
        <v>3</v>
      </c>
      <c r="CO66" s="106">
        <v>3571.2</v>
      </c>
      <c r="CP66" s="106">
        <v>3</v>
      </c>
      <c r="CQ66" s="106">
        <v>3571.2</v>
      </c>
      <c r="CR66" s="106">
        <v>2</v>
      </c>
      <c r="CS66" s="106">
        <v>2380.7999999999997</v>
      </c>
      <c r="CT66" s="106">
        <v>4</v>
      </c>
      <c r="CU66" s="106">
        <v>4761.5999999999995</v>
      </c>
    </row>
    <row r="67" spans="2:99" x14ac:dyDescent="0.2">
      <c r="C67" s="105" t="s">
        <v>233</v>
      </c>
      <c r="D67" s="106">
        <v>5</v>
      </c>
      <c r="E67" s="106">
        <v>5616</v>
      </c>
      <c r="F67" s="106">
        <v>5</v>
      </c>
      <c r="G67" s="106">
        <v>5616</v>
      </c>
      <c r="H67" s="106">
        <v>5</v>
      </c>
      <c r="I67" s="106">
        <v>5616</v>
      </c>
      <c r="J67" s="106">
        <v>5</v>
      </c>
      <c r="K67" s="106">
        <v>5616</v>
      </c>
      <c r="L67" s="106">
        <v>35</v>
      </c>
      <c r="M67" s="106">
        <v>39312</v>
      </c>
      <c r="N67" s="106">
        <v>34</v>
      </c>
      <c r="O67" s="106">
        <v>38188.800000000003</v>
      </c>
      <c r="P67" s="106">
        <v>35</v>
      </c>
      <c r="Q67" s="106">
        <v>39312</v>
      </c>
      <c r="R67" s="106">
        <v>28</v>
      </c>
      <c r="S67" s="106">
        <v>31449.600000000002</v>
      </c>
      <c r="T67" s="106">
        <v>3</v>
      </c>
      <c r="U67" s="106">
        <v>3369.6000000000004</v>
      </c>
      <c r="V67" s="106">
        <v>3</v>
      </c>
      <c r="W67" s="106">
        <v>3369.6000000000004</v>
      </c>
      <c r="X67" s="106">
        <v>4</v>
      </c>
      <c r="Y67" s="106">
        <v>4492.8</v>
      </c>
      <c r="Z67" s="106">
        <v>4</v>
      </c>
      <c r="AA67" s="106">
        <v>4492.8</v>
      </c>
      <c r="AB67" s="106">
        <v>10</v>
      </c>
      <c r="AC67" s="106">
        <v>11232</v>
      </c>
      <c r="AD67" s="106">
        <v>9</v>
      </c>
      <c r="AE67" s="106">
        <v>10108.800000000001</v>
      </c>
      <c r="AF67" s="106">
        <v>10</v>
      </c>
      <c r="AG67" s="106">
        <v>11232</v>
      </c>
      <c r="AH67" s="106">
        <v>7</v>
      </c>
      <c r="AI67" s="106">
        <v>7862.4000000000005</v>
      </c>
      <c r="AJ67" s="106">
        <v>6</v>
      </c>
      <c r="AK67" s="106">
        <v>6739.2000000000007</v>
      </c>
      <c r="AL67" s="106">
        <v>7</v>
      </c>
      <c r="AM67" s="106">
        <v>7862.4000000000005</v>
      </c>
      <c r="AN67" s="106">
        <v>7</v>
      </c>
      <c r="AO67" s="106">
        <v>7862.4000000000005</v>
      </c>
      <c r="AP67" s="106">
        <v>7</v>
      </c>
      <c r="AQ67" s="106">
        <v>7862.4000000000005</v>
      </c>
      <c r="AR67" s="106">
        <v>4</v>
      </c>
      <c r="AS67" s="106">
        <v>4492.8</v>
      </c>
      <c r="AT67" s="106">
        <v>4</v>
      </c>
      <c r="AU67" s="106">
        <v>4492.8</v>
      </c>
      <c r="AV67" s="106">
        <v>4</v>
      </c>
      <c r="AW67" s="106">
        <v>4492.8</v>
      </c>
      <c r="AX67" s="106">
        <v>5</v>
      </c>
      <c r="AY67" s="106">
        <v>5616</v>
      </c>
      <c r="AZ67" s="106">
        <v>5</v>
      </c>
      <c r="BA67" s="106">
        <v>5616</v>
      </c>
      <c r="BB67" s="106">
        <v>7</v>
      </c>
      <c r="BC67" s="106">
        <v>7862.4000000000005</v>
      </c>
      <c r="BD67" s="106">
        <v>7</v>
      </c>
      <c r="BE67" s="106">
        <v>7862.4000000000005</v>
      </c>
      <c r="BF67" s="106">
        <v>6</v>
      </c>
      <c r="BG67" s="106">
        <v>6739.2000000000007</v>
      </c>
      <c r="BH67" s="106">
        <v>4</v>
      </c>
      <c r="BI67" s="106">
        <v>4492.8</v>
      </c>
      <c r="BJ67" s="106">
        <v>4</v>
      </c>
      <c r="BK67" s="106">
        <v>4492.8</v>
      </c>
      <c r="BL67" s="106">
        <v>5</v>
      </c>
      <c r="BM67" s="106">
        <v>5616</v>
      </c>
      <c r="BN67" s="106">
        <v>6</v>
      </c>
      <c r="BO67" s="106">
        <v>6739.2000000000007</v>
      </c>
      <c r="BP67" s="106">
        <v>3</v>
      </c>
      <c r="BQ67" s="106">
        <v>3369.6000000000004</v>
      </c>
      <c r="BR67" s="106">
        <v>3</v>
      </c>
      <c r="BS67" s="106">
        <v>3369.6000000000004</v>
      </c>
      <c r="BT67" s="106">
        <v>3</v>
      </c>
      <c r="BU67" s="106">
        <v>3369.6000000000004</v>
      </c>
      <c r="BV67" s="106">
        <v>3</v>
      </c>
      <c r="BW67" s="106">
        <v>3369.6000000000004</v>
      </c>
      <c r="BX67" s="106">
        <v>45</v>
      </c>
      <c r="BY67" s="106">
        <v>50544</v>
      </c>
      <c r="BZ67" s="106">
        <v>44</v>
      </c>
      <c r="CA67" s="106">
        <v>49420.800000000003</v>
      </c>
      <c r="CB67" s="106">
        <v>61</v>
      </c>
      <c r="CC67" s="106">
        <v>68515.199999999997</v>
      </c>
      <c r="CD67" s="106">
        <v>50</v>
      </c>
      <c r="CE67" s="106">
        <v>56160</v>
      </c>
      <c r="CF67" s="106">
        <v>19</v>
      </c>
      <c r="CG67" s="106">
        <v>21340.799999999999</v>
      </c>
      <c r="CH67" s="106">
        <v>18</v>
      </c>
      <c r="CI67" s="106">
        <v>20217.600000000002</v>
      </c>
      <c r="CJ67" s="106">
        <v>27</v>
      </c>
      <c r="CK67" s="106">
        <v>30326.400000000001</v>
      </c>
      <c r="CL67" s="106">
        <v>21</v>
      </c>
      <c r="CM67" s="106">
        <v>23587.200000000001</v>
      </c>
      <c r="CN67" s="106">
        <v>2</v>
      </c>
      <c r="CO67" s="106">
        <v>2246.4</v>
      </c>
      <c r="CP67" s="106">
        <v>3</v>
      </c>
      <c r="CQ67" s="106">
        <v>3369.6000000000004</v>
      </c>
      <c r="CR67" s="106">
        <v>2</v>
      </c>
      <c r="CS67" s="106">
        <v>2246.4</v>
      </c>
      <c r="CT67" s="106">
        <v>4</v>
      </c>
      <c r="CU67" s="106">
        <v>4492.8</v>
      </c>
    </row>
    <row r="68" spans="2:99" x14ac:dyDescent="0.2">
      <c r="C68" s="105" t="s">
        <v>234</v>
      </c>
      <c r="D68" s="106">
        <v>5</v>
      </c>
      <c r="E68" s="106">
        <v>5166</v>
      </c>
      <c r="F68" s="106">
        <v>5</v>
      </c>
      <c r="G68" s="106">
        <v>5166</v>
      </c>
      <c r="H68" s="106">
        <v>6</v>
      </c>
      <c r="I68" s="106">
        <v>6199.2000000000007</v>
      </c>
      <c r="J68" s="106">
        <v>4</v>
      </c>
      <c r="K68" s="106">
        <v>4132.8</v>
      </c>
      <c r="L68" s="106">
        <v>36</v>
      </c>
      <c r="M68" s="106">
        <v>37195.200000000004</v>
      </c>
      <c r="N68" s="106">
        <v>36</v>
      </c>
      <c r="O68" s="106">
        <v>37195.200000000004</v>
      </c>
      <c r="P68" s="106">
        <v>36</v>
      </c>
      <c r="Q68" s="106">
        <v>37195.200000000004</v>
      </c>
      <c r="R68" s="106">
        <v>31</v>
      </c>
      <c r="S68" s="106">
        <v>32029.200000000001</v>
      </c>
      <c r="T68" s="106">
        <v>3</v>
      </c>
      <c r="U68" s="106">
        <v>3099.6000000000004</v>
      </c>
      <c r="V68" s="106">
        <v>4</v>
      </c>
      <c r="W68" s="106">
        <v>4132.8</v>
      </c>
      <c r="X68" s="106">
        <v>4</v>
      </c>
      <c r="Y68" s="106">
        <v>4132.8</v>
      </c>
      <c r="Z68" s="106">
        <v>4</v>
      </c>
      <c r="AA68" s="106">
        <v>4132.8</v>
      </c>
      <c r="AB68" s="106">
        <v>9</v>
      </c>
      <c r="AC68" s="106">
        <v>9298.8000000000011</v>
      </c>
      <c r="AD68" s="106">
        <v>10</v>
      </c>
      <c r="AE68" s="106">
        <v>10332</v>
      </c>
      <c r="AF68" s="106">
        <v>9</v>
      </c>
      <c r="AG68" s="106">
        <v>9298.8000000000011</v>
      </c>
      <c r="AH68" s="106">
        <v>6</v>
      </c>
      <c r="AI68" s="106">
        <v>6199.2000000000007</v>
      </c>
      <c r="AJ68" s="106">
        <v>5</v>
      </c>
      <c r="AK68" s="106">
        <v>5166</v>
      </c>
      <c r="AL68" s="106">
        <v>7</v>
      </c>
      <c r="AM68" s="106">
        <v>7232.4000000000005</v>
      </c>
      <c r="AN68" s="106">
        <v>6</v>
      </c>
      <c r="AO68" s="106">
        <v>6199.2000000000007</v>
      </c>
      <c r="AP68" s="106">
        <v>8</v>
      </c>
      <c r="AQ68" s="106">
        <v>8265.6</v>
      </c>
      <c r="AR68" s="106">
        <v>5</v>
      </c>
      <c r="AS68" s="106">
        <v>5166</v>
      </c>
      <c r="AT68" s="106">
        <v>4</v>
      </c>
      <c r="AU68" s="106">
        <v>4132.8</v>
      </c>
      <c r="AV68" s="106">
        <v>4</v>
      </c>
      <c r="AW68" s="106">
        <v>4132.8</v>
      </c>
      <c r="AX68" s="106">
        <v>5</v>
      </c>
      <c r="AY68" s="106">
        <v>5166</v>
      </c>
      <c r="AZ68" s="106">
        <v>4</v>
      </c>
      <c r="BA68" s="106">
        <v>4132.8</v>
      </c>
      <c r="BB68" s="106">
        <v>7</v>
      </c>
      <c r="BC68" s="106">
        <v>7232.4000000000005</v>
      </c>
      <c r="BD68" s="106">
        <v>7</v>
      </c>
      <c r="BE68" s="106">
        <v>7232.4000000000005</v>
      </c>
      <c r="BF68" s="106">
        <v>6</v>
      </c>
      <c r="BG68" s="106">
        <v>6199.2000000000007</v>
      </c>
      <c r="BH68" s="106">
        <v>4</v>
      </c>
      <c r="BI68" s="106">
        <v>4132.8</v>
      </c>
      <c r="BJ68" s="106">
        <v>4</v>
      </c>
      <c r="BK68" s="106">
        <v>4132.8</v>
      </c>
      <c r="BL68" s="106">
        <v>5</v>
      </c>
      <c r="BM68" s="106">
        <v>5166</v>
      </c>
      <c r="BN68" s="106">
        <v>6</v>
      </c>
      <c r="BO68" s="106">
        <v>6199.2000000000007</v>
      </c>
      <c r="BP68" s="106">
        <v>3</v>
      </c>
      <c r="BQ68" s="106">
        <v>3099.6000000000004</v>
      </c>
      <c r="BR68" s="106">
        <v>3</v>
      </c>
      <c r="BS68" s="106">
        <v>3099.6000000000004</v>
      </c>
      <c r="BT68" s="106">
        <v>3</v>
      </c>
      <c r="BU68" s="106">
        <v>3099.6000000000004</v>
      </c>
      <c r="BV68" s="106">
        <v>3</v>
      </c>
      <c r="BW68" s="106">
        <v>3099.6000000000004</v>
      </c>
      <c r="BX68" s="106">
        <v>46</v>
      </c>
      <c r="BY68" s="106">
        <v>47527.200000000004</v>
      </c>
      <c r="BZ68" s="106">
        <v>43</v>
      </c>
      <c r="CA68" s="106">
        <v>44427.6</v>
      </c>
      <c r="CB68" s="106">
        <v>56</v>
      </c>
      <c r="CC68" s="106">
        <v>57859.200000000004</v>
      </c>
      <c r="CD68" s="106">
        <v>53</v>
      </c>
      <c r="CE68" s="106">
        <v>54759.600000000006</v>
      </c>
      <c r="CF68" s="106">
        <v>21</v>
      </c>
      <c r="CG68" s="106">
        <v>21697.200000000001</v>
      </c>
      <c r="CH68" s="106">
        <v>20</v>
      </c>
      <c r="CI68" s="106">
        <v>20664</v>
      </c>
      <c r="CJ68" s="106">
        <v>24</v>
      </c>
      <c r="CK68" s="106">
        <v>24796.800000000003</v>
      </c>
      <c r="CL68" s="106">
        <v>20</v>
      </c>
      <c r="CM68" s="106">
        <v>20664</v>
      </c>
      <c r="CN68" s="106">
        <v>2</v>
      </c>
      <c r="CO68" s="106">
        <v>2066.4</v>
      </c>
      <c r="CP68" s="106">
        <v>3</v>
      </c>
      <c r="CQ68" s="106">
        <v>3099.6000000000004</v>
      </c>
      <c r="CR68" s="106">
        <v>2</v>
      </c>
      <c r="CS68" s="106">
        <v>2066.4</v>
      </c>
      <c r="CT68" s="106">
        <v>4</v>
      </c>
      <c r="CU68" s="106">
        <v>4132.8</v>
      </c>
    </row>
    <row r="69" spans="2:99" x14ac:dyDescent="0.2">
      <c r="C69" s="105" t="s">
        <v>235</v>
      </c>
      <c r="D69" s="106">
        <v>5</v>
      </c>
      <c r="E69" s="106">
        <v>3792</v>
      </c>
      <c r="F69" s="106">
        <v>5</v>
      </c>
      <c r="G69" s="106">
        <v>3792</v>
      </c>
      <c r="H69" s="106">
        <v>6</v>
      </c>
      <c r="I69" s="106">
        <v>4550.3999999999996</v>
      </c>
      <c r="J69" s="106">
        <v>5</v>
      </c>
      <c r="K69" s="106">
        <v>3792</v>
      </c>
      <c r="L69" s="106">
        <v>35</v>
      </c>
      <c r="M69" s="106">
        <v>26544</v>
      </c>
      <c r="N69" s="106">
        <v>33</v>
      </c>
      <c r="O69" s="106">
        <v>25027.200000000001</v>
      </c>
      <c r="P69" s="106">
        <v>37</v>
      </c>
      <c r="Q69" s="106">
        <v>28060.799999999999</v>
      </c>
      <c r="R69" s="106">
        <v>34</v>
      </c>
      <c r="S69" s="106">
        <v>25785.599999999999</v>
      </c>
      <c r="T69" s="106">
        <v>3</v>
      </c>
      <c r="U69" s="106">
        <v>2275.1999999999998</v>
      </c>
      <c r="V69" s="106">
        <v>3</v>
      </c>
      <c r="W69" s="106">
        <v>2275.1999999999998</v>
      </c>
      <c r="X69" s="106">
        <v>4</v>
      </c>
      <c r="Y69" s="106">
        <v>3033.6</v>
      </c>
      <c r="Z69" s="106">
        <v>4</v>
      </c>
      <c r="AA69" s="106">
        <v>3033.6</v>
      </c>
      <c r="AB69" s="106">
        <v>9</v>
      </c>
      <c r="AC69" s="106">
        <v>6825.5999999999995</v>
      </c>
      <c r="AD69" s="106">
        <v>11</v>
      </c>
      <c r="AE69" s="106">
        <v>8342.4</v>
      </c>
      <c r="AF69" s="106">
        <v>9</v>
      </c>
      <c r="AG69" s="106">
        <v>6825.5999999999995</v>
      </c>
      <c r="AH69" s="106">
        <v>7</v>
      </c>
      <c r="AI69" s="106">
        <v>5308.8</v>
      </c>
      <c r="AJ69" s="106">
        <v>6</v>
      </c>
      <c r="AK69" s="106">
        <v>4550.3999999999996</v>
      </c>
      <c r="AL69" s="106">
        <v>8</v>
      </c>
      <c r="AM69" s="106">
        <v>6067.2</v>
      </c>
      <c r="AN69" s="106">
        <v>7</v>
      </c>
      <c r="AO69" s="106">
        <v>5308.8</v>
      </c>
      <c r="AP69" s="106">
        <v>7</v>
      </c>
      <c r="AQ69" s="106">
        <v>5308.8</v>
      </c>
      <c r="AR69" s="106">
        <v>5</v>
      </c>
      <c r="AS69" s="106">
        <v>3792</v>
      </c>
      <c r="AT69" s="106">
        <v>5</v>
      </c>
      <c r="AU69" s="106">
        <v>3792</v>
      </c>
      <c r="AV69" s="106">
        <v>4</v>
      </c>
      <c r="AW69" s="106">
        <v>3033.6</v>
      </c>
      <c r="AX69" s="106">
        <v>5</v>
      </c>
      <c r="AY69" s="106">
        <v>3792</v>
      </c>
      <c r="AZ69" s="106">
        <v>5</v>
      </c>
      <c r="BA69" s="106">
        <v>3792</v>
      </c>
      <c r="BB69" s="106">
        <v>7</v>
      </c>
      <c r="BC69" s="106">
        <v>5308.8</v>
      </c>
      <c r="BD69" s="106">
        <v>7</v>
      </c>
      <c r="BE69" s="106">
        <v>5308.8</v>
      </c>
      <c r="BF69" s="106">
        <v>6</v>
      </c>
      <c r="BG69" s="106">
        <v>4550.3999999999996</v>
      </c>
      <c r="BH69" s="106">
        <v>4</v>
      </c>
      <c r="BI69" s="106">
        <v>3033.6</v>
      </c>
      <c r="BJ69" s="106">
        <v>4</v>
      </c>
      <c r="BK69" s="106">
        <v>3033.6</v>
      </c>
      <c r="BL69" s="106">
        <v>4</v>
      </c>
      <c r="BM69" s="106">
        <v>3033.6</v>
      </c>
      <c r="BN69" s="106">
        <v>5</v>
      </c>
      <c r="BO69" s="106">
        <v>3792</v>
      </c>
      <c r="BP69" s="106">
        <v>3</v>
      </c>
      <c r="BQ69" s="106">
        <v>2275.1999999999998</v>
      </c>
      <c r="BR69" s="106">
        <v>3</v>
      </c>
      <c r="BS69" s="106">
        <v>2275.1999999999998</v>
      </c>
      <c r="BT69" s="106">
        <v>3</v>
      </c>
      <c r="BU69" s="106">
        <v>2275.1999999999998</v>
      </c>
      <c r="BV69" s="106">
        <v>2</v>
      </c>
      <c r="BW69" s="106">
        <v>1516.8</v>
      </c>
      <c r="BX69" s="106">
        <v>49</v>
      </c>
      <c r="BY69" s="106">
        <v>37161.599999999999</v>
      </c>
      <c r="BZ69" s="106">
        <v>48</v>
      </c>
      <c r="CA69" s="106">
        <v>36403.199999999997</v>
      </c>
      <c r="CB69" s="106">
        <v>61</v>
      </c>
      <c r="CC69" s="106">
        <v>46262.400000000001</v>
      </c>
      <c r="CD69" s="106">
        <v>59</v>
      </c>
      <c r="CE69" s="106">
        <v>44745.599999999999</v>
      </c>
      <c r="CF69" s="106">
        <v>23</v>
      </c>
      <c r="CG69" s="106">
        <v>17443.2</v>
      </c>
      <c r="CH69" s="106">
        <v>21</v>
      </c>
      <c r="CI69" s="106">
        <v>15926.4</v>
      </c>
      <c r="CJ69" s="106">
        <v>25</v>
      </c>
      <c r="CK69" s="106">
        <v>18960</v>
      </c>
      <c r="CL69" s="106">
        <v>21</v>
      </c>
      <c r="CM69" s="106">
        <v>15926.4</v>
      </c>
      <c r="CN69" s="106">
        <v>2</v>
      </c>
      <c r="CO69" s="106">
        <v>1516.8</v>
      </c>
      <c r="CP69" s="106">
        <v>3</v>
      </c>
      <c r="CQ69" s="106">
        <v>2275.1999999999998</v>
      </c>
      <c r="CR69" s="106">
        <v>2</v>
      </c>
      <c r="CS69" s="106">
        <v>1516.8</v>
      </c>
      <c r="CT69" s="106">
        <v>4</v>
      </c>
      <c r="CU69" s="106">
        <v>3033.6</v>
      </c>
    </row>
    <row r="70" spans="2:99" x14ac:dyDescent="0.2">
      <c r="C70" s="105" t="s">
        <v>236</v>
      </c>
      <c r="D70" s="106">
        <v>6</v>
      </c>
      <c r="E70" s="106">
        <v>3211.2</v>
      </c>
      <c r="F70" s="106">
        <v>6</v>
      </c>
      <c r="G70" s="106">
        <v>3211.2</v>
      </c>
      <c r="H70" s="106">
        <v>6</v>
      </c>
      <c r="I70" s="106">
        <v>3211.2</v>
      </c>
      <c r="J70" s="106">
        <v>5</v>
      </c>
      <c r="K70" s="106">
        <v>2675.9999999999995</v>
      </c>
      <c r="L70" s="106">
        <v>40</v>
      </c>
      <c r="M70" s="106">
        <v>21407.999999999996</v>
      </c>
      <c r="N70" s="106">
        <v>40</v>
      </c>
      <c r="O70" s="106">
        <v>21407.999999999996</v>
      </c>
      <c r="P70" s="106">
        <v>37</v>
      </c>
      <c r="Q70" s="106">
        <v>19802.399999999998</v>
      </c>
      <c r="R70" s="106">
        <v>32</v>
      </c>
      <c r="S70" s="106">
        <v>17126.399999999998</v>
      </c>
      <c r="T70" s="106">
        <v>3</v>
      </c>
      <c r="U70" s="106">
        <v>1605.6</v>
      </c>
      <c r="V70" s="106">
        <v>4</v>
      </c>
      <c r="W70" s="106">
        <v>2140.7999999999997</v>
      </c>
      <c r="X70" s="106">
        <v>4</v>
      </c>
      <c r="Y70" s="106">
        <v>2140.7999999999997</v>
      </c>
      <c r="Z70" s="106">
        <v>4</v>
      </c>
      <c r="AA70" s="106">
        <v>2140.7999999999997</v>
      </c>
      <c r="AB70" s="106">
        <v>10</v>
      </c>
      <c r="AC70" s="106">
        <v>5351.9999999999991</v>
      </c>
      <c r="AD70" s="106">
        <v>10</v>
      </c>
      <c r="AE70" s="106">
        <v>5351.9999999999991</v>
      </c>
      <c r="AF70" s="106">
        <v>11</v>
      </c>
      <c r="AG70" s="106">
        <v>5887.1999999999989</v>
      </c>
      <c r="AH70" s="106">
        <v>7</v>
      </c>
      <c r="AI70" s="106">
        <v>3746.3999999999996</v>
      </c>
      <c r="AJ70" s="106">
        <v>6</v>
      </c>
      <c r="AK70" s="106">
        <v>3211.2</v>
      </c>
      <c r="AL70" s="106">
        <v>8</v>
      </c>
      <c r="AM70" s="106">
        <v>4281.5999999999995</v>
      </c>
      <c r="AN70" s="106">
        <v>7</v>
      </c>
      <c r="AO70" s="106">
        <v>3746.3999999999996</v>
      </c>
      <c r="AP70" s="106">
        <v>7</v>
      </c>
      <c r="AQ70" s="106">
        <v>3746.3999999999996</v>
      </c>
      <c r="AR70" s="106">
        <v>5</v>
      </c>
      <c r="AS70" s="106">
        <v>2675.9999999999995</v>
      </c>
      <c r="AT70" s="106">
        <v>5</v>
      </c>
      <c r="AU70" s="106">
        <v>2675.9999999999995</v>
      </c>
      <c r="AV70" s="106">
        <v>4</v>
      </c>
      <c r="AW70" s="106">
        <v>2140.7999999999997</v>
      </c>
      <c r="AX70" s="106">
        <v>5</v>
      </c>
      <c r="AY70" s="106">
        <v>2675.9999999999995</v>
      </c>
      <c r="AZ70" s="106">
        <v>5</v>
      </c>
      <c r="BA70" s="106">
        <v>2675.9999999999995</v>
      </c>
      <c r="BB70" s="106">
        <v>8</v>
      </c>
      <c r="BC70" s="106">
        <v>4281.5999999999995</v>
      </c>
      <c r="BD70" s="106">
        <v>7</v>
      </c>
      <c r="BE70" s="106">
        <v>3746.3999999999996</v>
      </c>
      <c r="BF70" s="106">
        <v>5</v>
      </c>
      <c r="BG70" s="106">
        <v>2675.9999999999995</v>
      </c>
      <c r="BH70" s="106">
        <v>5</v>
      </c>
      <c r="BI70" s="106">
        <v>2675.9999999999995</v>
      </c>
      <c r="BJ70" s="106">
        <v>4</v>
      </c>
      <c r="BK70" s="106">
        <v>2140.7999999999997</v>
      </c>
      <c r="BL70" s="106">
        <v>5</v>
      </c>
      <c r="BM70" s="106">
        <v>2675.9999999999995</v>
      </c>
      <c r="BN70" s="106">
        <v>6</v>
      </c>
      <c r="BO70" s="106">
        <v>3211.2</v>
      </c>
      <c r="BP70" s="106">
        <v>3</v>
      </c>
      <c r="BQ70" s="106">
        <v>1605.6</v>
      </c>
      <c r="BR70" s="106">
        <v>3</v>
      </c>
      <c r="BS70" s="106">
        <v>1605.6</v>
      </c>
      <c r="BT70" s="106">
        <v>3</v>
      </c>
      <c r="BU70" s="106">
        <v>1605.6</v>
      </c>
      <c r="BV70" s="106">
        <v>2</v>
      </c>
      <c r="BW70" s="106">
        <v>1070.3999999999999</v>
      </c>
      <c r="BX70" s="106">
        <v>61</v>
      </c>
      <c r="BY70" s="106">
        <v>32647.199999999997</v>
      </c>
      <c r="BZ70" s="106">
        <v>48</v>
      </c>
      <c r="CA70" s="106">
        <v>25689.599999999999</v>
      </c>
      <c r="CB70" s="106">
        <v>67</v>
      </c>
      <c r="CC70" s="106">
        <v>35858.399999999994</v>
      </c>
      <c r="CD70" s="106">
        <v>53</v>
      </c>
      <c r="CE70" s="106">
        <v>28365.599999999995</v>
      </c>
      <c r="CF70" s="106">
        <v>23</v>
      </c>
      <c r="CG70" s="106">
        <v>12309.599999999999</v>
      </c>
      <c r="CH70" s="106">
        <v>22</v>
      </c>
      <c r="CI70" s="106">
        <v>11774.399999999998</v>
      </c>
      <c r="CJ70" s="106">
        <v>27</v>
      </c>
      <c r="CK70" s="106">
        <v>14450.399999999998</v>
      </c>
      <c r="CL70" s="106">
        <v>22</v>
      </c>
      <c r="CM70" s="106">
        <v>11774.399999999998</v>
      </c>
      <c r="CN70" s="106">
        <v>3</v>
      </c>
      <c r="CO70" s="106">
        <v>1605.6</v>
      </c>
      <c r="CP70" s="106">
        <v>3</v>
      </c>
      <c r="CQ70" s="106">
        <v>1605.6</v>
      </c>
      <c r="CR70" s="106">
        <v>2</v>
      </c>
      <c r="CS70" s="106">
        <v>1070.3999999999999</v>
      </c>
      <c r="CT70" s="106">
        <v>4</v>
      </c>
      <c r="CU70" s="106">
        <v>2140.7999999999997</v>
      </c>
    </row>
    <row r="71" spans="2:99" x14ac:dyDescent="0.2">
      <c r="B71" s="105" t="s">
        <v>130</v>
      </c>
      <c r="C71" s="105" t="s">
        <v>237</v>
      </c>
      <c r="D71" s="106">
        <v>14</v>
      </c>
      <c r="E71" s="106">
        <v>7896</v>
      </c>
      <c r="F71" s="106">
        <v>19</v>
      </c>
      <c r="G71" s="106">
        <v>10716</v>
      </c>
      <c r="H71" s="106">
        <v>17</v>
      </c>
      <c r="I71" s="106">
        <v>9588</v>
      </c>
      <c r="J71" s="106">
        <v>13</v>
      </c>
      <c r="K71" s="106">
        <v>7332</v>
      </c>
      <c r="L71" s="106">
        <v>20</v>
      </c>
      <c r="M71" s="106">
        <v>11280</v>
      </c>
      <c r="N71" s="106">
        <v>12</v>
      </c>
      <c r="O71" s="106">
        <v>6768</v>
      </c>
      <c r="P71" s="106">
        <v>16</v>
      </c>
      <c r="Q71" s="106">
        <v>9024</v>
      </c>
      <c r="R71" s="106">
        <v>18</v>
      </c>
      <c r="S71" s="106">
        <v>10152</v>
      </c>
      <c r="T71" s="106">
        <v>5</v>
      </c>
      <c r="U71" s="106">
        <v>2820</v>
      </c>
      <c r="V71" s="106">
        <v>6</v>
      </c>
      <c r="W71" s="106">
        <v>3384</v>
      </c>
      <c r="X71" s="106">
        <v>5</v>
      </c>
      <c r="Y71" s="106">
        <v>2820</v>
      </c>
      <c r="Z71" s="106">
        <v>7</v>
      </c>
      <c r="AA71" s="106">
        <v>3948</v>
      </c>
      <c r="AB71" s="106">
        <v>9</v>
      </c>
      <c r="AC71" s="106">
        <v>5076</v>
      </c>
      <c r="AD71" s="106">
        <v>6</v>
      </c>
      <c r="AE71" s="106">
        <v>3384</v>
      </c>
      <c r="AF71" s="106">
        <v>6</v>
      </c>
      <c r="AG71" s="106">
        <v>3384</v>
      </c>
      <c r="AH71" s="106">
        <v>9</v>
      </c>
      <c r="AI71" s="106">
        <v>5076</v>
      </c>
      <c r="AJ71" s="106">
        <v>5</v>
      </c>
      <c r="AK71" s="106">
        <v>2820</v>
      </c>
      <c r="AL71" s="106">
        <v>3</v>
      </c>
      <c r="AM71" s="106">
        <v>1692</v>
      </c>
      <c r="AN71" s="106">
        <v>4</v>
      </c>
      <c r="AO71" s="106">
        <v>2256</v>
      </c>
      <c r="AP71" s="106">
        <v>4</v>
      </c>
      <c r="AQ71" s="106">
        <v>2256</v>
      </c>
      <c r="AR71" s="106">
        <v>43</v>
      </c>
      <c r="AS71" s="106">
        <v>24252</v>
      </c>
      <c r="AT71" s="106">
        <v>38</v>
      </c>
      <c r="AU71" s="106">
        <v>21432</v>
      </c>
      <c r="AV71" s="106">
        <v>45</v>
      </c>
      <c r="AW71" s="106">
        <v>25380</v>
      </c>
      <c r="AX71" s="106">
        <v>47</v>
      </c>
      <c r="AY71" s="106">
        <v>26508</v>
      </c>
      <c r="AZ71" s="106">
        <v>57</v>
      </c>
      <c r="BA71" s="106">
        <v>32148</v>
      </c>
      <c r="BB71" s="106">
        <v>58</v>
      </c>
      <c r="BC71" s="106">
        <v>32712</v>
      </c>
      <c r="BD71" s="106">
        <v>60</v>
      </c>
      <c r="BE71" s="106">
        <v>33840</v>
      </c>
      <c r="BF71" s="106">
        <v>55</v>
      </c>
      <c r="BG71" s="106">
        <v>31020</v>
      </c>
      <c r="BH71" s="106">
        <v>4</v>
      </c>
      <c r="BI71" s="106">
        <v>2256</v>
      </c>
      <c r="BJ71" s="106">
        <v>4</v>
      </c>
      <c r="BK71" s="106">
        <v>2256</v>
      </c>
      <c r="BL71" s="106">
        <v>6</v>
      </c>
      <c r="BM71" s="106">
        <v>3384</v>
      </c>
      <c r="BN71" s="106">
        <v>6</v>
      </c>
      <c r="BO71" s="106">
        <v>3384</v>
      </c>
      <c r="BP71" s="106">
        <v>3</v>
      </c>
      <c r="BQ71" s="106">
        <v>1692</v>
      </c>
      <c r="BR71" s="106">
        <v>6</v>
      </c>
      <c r="BS71" s="106">
        <v>3384</v>
      </c>
      <c r="BT71" s="106">
        <v>5</v>
      </c>
      <c r="BU71" s="106">
        <v>2820</v>
      </c>
      <c r="BV71" s="106">
        <v>4</v>
      </c>
      <c r="BW71" s="106">
        <v>2256</v>
      </c>
      <c r="BX71" s="106">
        <v>4</v>
      </c>
      <c r="BY71" s="106">
        <v>2256</v>
      </c>
      <c r="BZ71" s="106">
        <v>6</v>
      </c>
      <c r="CA71" s="106">
        <v>3384</v>
      </c>
      <c r="CB71" s="106">
        <v>5</v>
      </c>
      <c r="CC71" s="106">
        <v>2820</v>
      </c>
      <c r="CD71" s="106">
        <v>6</v>
      </c>
      <c r="CE71" s="106">
        <v>3384</v>
      </c>
      <c r="CF71" s="106">
        <v>17</v>
      </c>
      <c r="CG71" s="106">
        <v>9588</v>
      </c>
      <c r="CH71" s="106">
        <v>27</v>
      </c>
      <c r="CI71" s="106">
        <v>15228</v>
      </c>
      <c r="CJ71" s="106">
        <v>20</v>
      </c>
      <c r="CK71" s="106">
        <v>11280</v>
      </c>
      <c r="CL71" s="106">
        <v>26</v>
      </c>
      <c r="CM71" s="106">
        <v>14664</v>
      </c>
      <c r="CN71" s="106">
        <v>2</v>
      </c>
      <c r="CO71" s="106">
        <v>1128</v>
      </c>
      <c r="CP71" s="106">
        <v>3</v>
      </c>
      <c r="CQ71" s="106">
        <v>1692</v>
      </c>
      <c r="CR71" s="106">
        <v>3</v>
      </c>
      <c r="CS71" s="106">
        <v>1692</v>
      </c>
      <c r="CT71" s="106">
        <v>4</v>
      </c>
      <c r="CU71" s="106">
        <v>2256</v>
      </c>
    </row>
    <row r="72" spans="2:99" x14ac:dyDescent="0.2">
      <c r="C72" s="105" t="s">
        <v>238</v>
      </c>
      <c r="D72" s="106">
        <v>14</v>
      </c>
      <c r="E72" s="106">
        <v>1041.5999999999999</v>
      </c>
      <c r="F72" s="106">
        <v>18</v>
      </c>
      <c r="G72" s="106">
        <v>1339.1999999999998</v>
      </c>
      <c r="H72" s="106">
        <v>17</v>
      </c>
      <c r="I72" s="106">
        <v>1264.8</v>
      </c>
      <c r="J72" s="106">
        <v>12</v>
      </c>
      <c r="K72" s="106">
        <v>892.8</v>
      </c>
      <c r="L72" s="106">
        <v>20</v>
      </c>
      <c r="M72" s="106">
        <v>1487.9999999999998</v>
      </c>
      <c r="N72" s="106">
        <v>13</v>
      </c>
      <c r="O72" s="106">
        <v>967.19999999999993</v>
      </c>
      <c r="P72" s="106">
        <v>15</v>
      </c>
      <c r="Q72" s="106">
        <v>1115.9999999999998</v>
      </c>
      <c r="R72" s="106">
        <v>21</v>
      </c>
      <c r="S72" s="106">
        <v>1562.3999999999999</v>
      </c>
      <c r="T72" s="106">
        <v>6</v>
      </c>
      <c r="U72" s="106">
        <v>446.4</v>
      </c>
      <c r="V72" s="106">
        <v>6</v>
      </c>
      <c r="W72" s="106">
        <v>446.4</v>
      </c>
      <c r="X72" s="106">
        <v>6</v>
      </c>
      <c r="Y72" s="106">
        <v>446.4</v>
      </c>
      <c r="Z72" s="106">
        <v>8</v>
      </c>
      <c r="AA72" s="106">
        <v>595.19999999999993</v>
      </c>
      <c r="AB72" s="106">
        <v>11</v>
      </c>
      <c r="AC72" s="106">
        <v>818.39999999999986</v>
      </c>
      <c r="AD72" s="106">
        <v>7</v>
      </c>
      <c r="AE72" s="106">
        <v>520.79999999999995</v>
      </c>
      <c r="AF72" s="106">
        <v>7</v>
      </c>
      <c r="AG72" s="106">
        <v>520.79999999999995</v>
      </c>
      <c r="AH72" s="106">
        <v>11</v>
      </c>
      <c r="AI72" s="106">
        <v>818.39999999999986</v>
      </c>
      <c r="AJ72" s="106">
        <v>6</v>
      </c>
      <c r="AK72" s="106">
        <v>446.4</v>
      </c>
      <c r="AL72" s="106">
        <v>3</v>
      </c>
      <c r="AM72" s="106">
        <v>223.2</v>
      </c>
      <c r="AN72" s="106">
        <v>4</v>
      </c>
      <c r="AO72" s="106">
        <v>297.59999999999997</v>
      </c>
      <c r="AP72" s="106">
        <v>4</v>
      </c>
      <c r="AQ72" s="106">
        <v>297.59999999999997</v>
      </c>
      <c r="AR72" s="106">
        <v>48</v>
      </c>
      <c r="AS72" s="106">
        <v>3571.2</v>
      </c>
      <c r="AT72" s="106">
        <v>42</v>
      </c>
      <c r="AU72" s="106">
        <v>3124.7999999999997</v>
      </c>
      <c r="AV72" s="106">
        <v>48</v>
      </c>
      <c r="AW72" s="106">
        <v>3571.2</v>
      </c>
      <c r="AX72" s="106">
        <v>47</v>
      </c>
      <c r="AY72" s="106">
        <v>3496.7999999999997</v>
      </c>
      <c r="AZ72" s="106">
        <v>70</v>
      </c>
      <c r="BA72" s="106">
        <v>5207.9999999999991</v>
      </c>
      <c r="BB72" s="106">
        <v>65</v>
      </c>
      <c r="BC72" s="106">
        <v>4835.9999999999991</v>
      </c>
      <c r="BD72" s="106">
        <v>72</v>
      </c>
      <c r="BE72" s="106">
        <v>5356.7999999999993</v>
      </c>
      <c r="BF72" s="106">
        <v>65</v>
      </c>
      <c r="BG72" s="106">
        <v>4835.9999999999991</v>
      </c>
      <c r="BH72" s="106">
        <v>4</v>
      </c>
      <c r="BI72" s="106">
        <v>297.59999999999997</v>
      </c>
      <c r="BJ72" s="106">
        <v>5</v>
      </c>
      <c r="BK72" s="106">
        <v>371.99999999999994</v>
      </c>
      <c r="BL72" s="106">
        <v>6</v>
      </c>
      <c r="BM72" s="106">
        <v>446.4</v>
      </c>
      <c r="BN72" s="106">
        <v>6</v>
      </c>
      <c r="BO72" s="106">
        <v>446.4</v>
      </c>
      <c r="BP72" s="106">
        <v>3</v>
      </c>
      <c r="BQ72" s="106">
        <v>223.2</v>
      </c>
      <c r="BR72" s="106">
        <v>6</v>
      </c>
      <c r="BS72" s="106">
        <v>446.4</v>
      </c>
      <c r="BT72" s="106">
        <v>5</v>
      </c>
      <c r="BU72" s="106">
        <v>371.99999999999994</v>
      </c>
      <c r="BV72" s="106">
        <v>4</v>
      </c>
      <c r="BW72" s="106">
        <v>297.59999999999997</v>
      </c>
      <c r="BX72" s="106">
        <v>5</v>
      </c>
      <c r="BY72" s="106">
        <v>371.99999999999994</v>
      </c>
      <c r="BZ72" s="106">
        <v>6</v>
      </c>
      <c r="CA72" s="106">
        <v>446.4</v>
      </c>
      <c r="CB72" s="106">
        <v>6</v>
      </c>
      <c r="CC72" s="106">
        <v>446.4</v>
      </c>
      <c r="CD72" s="106">
        <v>6</v>
      </c>
      <c r="CE72" s="106">
        <v>446.4</v>
      </c>
      <c r="CF72" s="106">
        <v>18</v>
      </c>
      <c r="CG72" s="106">
        <v>1339.1999999999998</v>
      </c>
      <c r="CH72" s="106">
        <v>28</v>
      </c>
      <c r="CI72" s="106">
        <v>2083.1999999999998</v>
      </c>
      <c r="CJ72" s="106">
        <v>19</v>
      </c>
      <c r="CK72" s="106">
        <v>1413.6</v>
      </c>
      <c r="CL72" s="106">
        <v>28</v>
      </c>
      <c r="CM72" s="106">
        <v>2083.1999999999998</v>
      </c>
      <c r="CN72" s="106">
        <v>3</v>
      </c>
      <c r="CO72" s="106">
        <v>223.2</v>
      </c>
      <c r="CP72" s="106">
        <v>3</v>
      </c>
      <c r="CQ72" s="106">
        <v>223.2</v>
      </c>
      <c r="CR72" s="106">
        <v>3</v>
      </c>
      <c r="CS72" s="106">
        <v>223.2</v>
      </c>
      <c r="CT72" s="106">
        <v>4</v>
      </c>
      <c r="CU72" s="106">
        <v>297.59999999999997</v>
      </c>
    </row>
    <row r="73" spans="2:99" x14ac:dyDescent="0.2">
      <c r="C73" s="105" t="s">
        <v>239</v>
      </c>
      <c r="D73" s="106">
        <v>14</v>
      </c>
      <c r="E73" s="106">
        <v>7828.7999999999993</v>
      </c>
      <c r="F73" s="106">
        <v>17</v>
      </c>
      <c r="G73" s="106">
        <v>9506.4</v>
      </c>
      <c r="H73" s="106">
        <v>15</v>
      </c>
      <c r="I73" s="106">
        <v>8387.9999999999982</v>
      </c>
      <c r="J73" s="106">
        <v>14</v>
      </c>
      <c r="K73" s="106">
        <v>7828.7999999999993</v>
      </c>
      <c r="L73" s="106">
        <v>22</v>
      </c>
      <c r="M73" s="106">
        <v>12302.399999999998</v>
      </c>
      <c r="N73" s="106">
        <v>12</v>
      </c>
      <c r="O73" s="106">
        <v>6710.4</v>
      </c>
      <c r="P73" s="106">
        <v>14</v>
      </c>
      <c r="Q73" s="106">
        <v>7828.7999999999993</v>
      </c>
      <c r="R73" s="106">
        <v>22</v>
      </c>
      <c r="S73" s="106">
        <v>12302.399999999998</v>
      </c>
      <c r="T73" s="106">
        <v>5</v>
      </c>
      <c r="U73" s="106">
        <v>2795.9999999999995</v>
      </c>
      <c r="V73" s="106">
        <v>7</v>
      </c>
      <c r="W73" s="106">
        <v>3914.3999999999996</v>
      </c>
      <c r="X73" s="106">
        <v>5</v>
      </c>
      <c r="Y73" s="106">
        <v>2795.9999999999995</v>
      </c>
      <c r="Z73" s="106">
        <v>8</v>
      </c>
      <c r="AA73" s="106">
        <v>4473.5999999999995</v>
      </c>
      <c r="AB73" s="106">
        <v>9</v>
      </c>
      <c r="AC73" s="106">
        <v>5032.7999999999993</v>
      </c>
      <c r="AD73" s="106">
        <v>6</v>
      </c>
      <c r="AE73" s="106">
        <v>3355.2</v>
      </c>
      <c r="AF73" s="106">
        <v>6</v>
      </c>
      <c r="AG73" s="106">
        <v>3355.2</v>
      </c>
      <c r="AH73" s="106">
        <v>9</v>
      </c>
      <c r="AI73" s="106">
        <v>5032.7999999999993</v>
      </c>
      <c r="AJ73" s="106">
        <v>6</v>
      </c>
      <c r="AK73" s="106">
        <v>3355.2</v>
      </c>
      <c r="AL73" s="106">
        <v>3</v>
      </c>
      <c r="AM73" s="106">
        <v>1677.6</v>
      </c>
      <c r="AN73" s="106">
        <v>3</v>
      </c>
      <c r="AO73" s="106">
        <v>1677.6</v>
      </c>
      <c r="AP73" s="106">
        <v>4</v>
      </c>
      <c r="AQ73" s="106">
        <v>2236.7999999999997</v>
      </c>
      <c r="AR73" s="106">
        <v>45</v>
      </c>
      <c r="AS73" s="106">
        <v>25163.999999999996</v>
      </c>
      <c r="AT73" s="106">
        <v>37</v>
      </c>
      <c r="AU73" s="106">
        <v>20690.399999999998</v>
      </c>
      <c r="AV73" s="106">
        <v>47</v>
      </c>
      <c r="AW73" s="106">
        <v>26282.399999999998</v>
      </c>
      <c r="AX73" s="106">
        <v>45</v>
      </c>
      <c r="AY73" s="106">
        <v>25163.999999999996</v>
      </c>
      <c r="AZ73" s="106">
        <v>55</v>
      </c>
      <c r="BA73" s="106">
        <v>30755.999999999996</v>
      </c>
      <c r="BB73" s="106">
        <v>56</v>
      </c>
      <c r="BC73" s="106">
        <v>31315.199999999997</v>
      </c>
      <c r="BD73" s="106">
        <v>63</v>
      </c>
      <c r="BE73" s="106">
        <v>35229.599999999999</v>
      </c>
      <c r="BF73" s="106">
        <v>58</v>
      </c>
      <c r="BG73" s="106">
        <v>32433.599999999995</v>
      </c>
      <c r="BH73" s="106">
        <v>4</v>
      </c>
      <c r="BI73" s="106">
        <v>2236.7999999999997</v>
      </c>
      <c r="BJ73" s="106">
        <v>4</v>
      </c>
      <c r="BK73" s="106">
        <v>2236.7999999999997</v>
      </c>
      <c r="BL73" s="106">
        <v>6</v>
      </c>
      <c r="BM73" s="106">
        <v>3355.2</v>
      </c>
      <c r="BN73" s="106">
        <v>6</v>
      </c>
      <c r="BO73" s="106">
        <v>3355.2</v>
      </c>
      <c r="BP73" s="106">
        <v>3</v>
      </c>
      <c r="BQ73" s="106">
        <v>1677.6</v>
      </c>
      <c r="BR73" s="106">
        <v>6</v>
      </c>
      <c r="BS73" s="106">
        <v>3355.2</v>
      </c>
      <c r="BT73" s="106">
        <v>5</v>
      </c>
      <c r="BU73" s="106">
        <v>2795.9999999999995</v>
      </c>
      <c r="BV73" s="106">
        <v>3</v>
      </c>
      <c r="BW73" s="106">
        <v>1677.6</v>
      </c>
      <c r="BX73" s="106">
        <v>4</v>
      </c>
      <c r="BY73" s="106">
        <v>2236.7999999999997</v>
      </c>
      <c r="BZ73" s="106">
        <v>5</v>
      </c>
      <c r="CA73" s="106">
        <v>2795.9999999999995</v>
      </c>
      <c r="CB73" s="106">
        <v>5</v>
      </c>
      <c r="CC73" s="106">
        <v>2795.9999999999995</v>
      </c>
      <c r="CD73" s="106">
        <v>5</v>
      </c>
      <c r="CE73" s="106">
        <v>2795.9999999999995</v>
      </c>
      <c r="CF73" s="106">
        <v>16</v>
      </c>
      <c r="CG73" s="106">
        <v>8947.1999999999989</v>
      </c>
      <c r="CH73" s="106">
        <v>24</v>
      </c>
      <c r="CI73" s="106">
        <v>13420.8</v>
      </c>
      <c r="CJ73" s="106">
        <v>21</v>
      </c>
      <c r="CK73" s="106">
        <v>11743.199999999999</v>
      </c>
      <c r="CL73" s="106">
        <v>23</v>
      </c>
      <c r="CM73" s="106">
        <v>12861.599999999999</v>
      </c>
      <c r="CN73" s="106">
        <v>3</v>
      </c>
      <c r="CO73" s="106">
        <v>1677.6</v>
      </c>
      <c r="CP73" s="106">
        <v>3</v>
      </c>
      <c r="CQ73" s="106">
        <v>1677.6</v>
      </c>
      <c r="CR73" s="106">
        <v>3</v>
      </c>
      <c r="CS73" s="106">
        <v>1677.6</v>
      </c>
      <c r="CT73" s="106">
        <v>4</v>
      </c>
      <c r="CU73" s="106">
        <v>2236.7999999999997</v>
      </c>
    </row>
    <row r="74" spans="2:99" x14ac:dyDescent="0.2">
      <c r="C74" s="105" t="s">
        <v>240</v>
      </c>
      <c r="D74" s="106">
        <v>14</v>
      </c>
      <c r="E74" s="106">
        <v>5644.8</v>
      </c>
      <c r="F74" s="106">
        <v>19</v>
      </c>
      <c r="G74" s="106">
        <v>7660.8</v>
      </c>
      <c r="H74" s="106">
        <v>16</v>
      </c>
      <c r="I74" s="106">
        <v>6451.2</v>
      </c>
      <c r="J74" s="106">
        <v>14</v>
      </c>
      <c r="K74" s="106">
        <v>5644.8</v>
      </c>
      <c r="L74" s="106">
        <v>20</v>
      </c>
      <c r="M74" s="106">
        <v>8064</v>
      </c>
      <c r="N74" s="106">
        <v>12</v>
      </c>
      <c r="O74" s="106">
        <v>4838.3999999999996</v>
      </c>
      <c r="P74" s="106">
        <v>14</v>
      </c>
      <c r="Q74" s="106">
        <v>5644.8</v>
      </c>
      <c r="R74" s="106">
        <v>21</v>
      </c>
      <c r="S74" s="106">
        <v>8467.1999999999989</v>
      </c>
      <c r="T74" s="106">
        <v>5</v>
      </c>
      <c r="U74" s="106">
        <v>2016</v>
      </c>
      <c r="V74" s="106">
        <v>7</v>
      </c>
      <c r="W74" s="106">
        <v>2822.4</v>
      </c>
      <c r="X74" s="106">
        <v>6</v>
      </c>
      <c r="Y74" s="106">
        <v>2419.1999999999998</v>
      </c>
      <c r="Z74" s="106">
        <v>8</v>
      </c>
      <c r="AA74" s="106">
        <v>3225.6</v>
      </c>
      <c r="AB74" s="106">
        <v>10</v>
      </c>
      <c r="AC74" s="106">
        <v>4032</v>
      </c>
      <c r="AD74" s="106">
        <v>7</v>
      </c>
      <c r="AE74" s="106">
        <v>2822.4</v>
      </c>
      <c r="AF74" s="106">
        <v>6</v>
      </c>
      <c r="AG74" s="106">
        <v>2419.1999999999998</v>
      </c>
      <c r="AH74" s="106">
        <v>11</v>
      </c>
      <c r="AI74" s="106">
        <v>4435.2</v>
      </c>
      <c r="AJ74" s="106">
        <v>6</v>
      </c>
      <c r="AK74" s="106">
        <v>2419.1999999999998</v>
      </c>
      <c r="AL74" s="106">
        <v>3</v>
      </c>
      <c r="AM74" s="106">
        <v>1209.5999999999999</v>
      </c>
      <c r="AN74" s="106">
        <v>4</v>
      </c>
      <c r="AO74" s="106">
        <v>1612.8</v>
      </c>
      <c r="AP74" s="106">
        <v>4</v>
      </c>
      <c r="AQ74" s="106">
        <v>1612.8</v>
      </c>
      <c r="AR74" s="106">
        <v>39</v>
      </c>
      <c r="AS74" s="106">
        <v>15724.8</v>
      </c>
      <c r="AT74" s="106">
        <v>39</v>
      </c>
      <c r="AU74" s="106">
        <v>15724.8</v>
      </c>
      <c r="AV74" s="106">
        <v>45</v>
      </c>
      <c r="AW74" s="106">
        <v>18144</v>
      </c>
      <c r="AX74" s="106">
        <v>43</v>
      </c>
      <c r="AY74" s="106">
        <v>17337.599999999999</v>
      </c>
      <c r="AZ74" s="106">
        <v>54</v>
      </c>
      <c r="BA74" s="106">
        <v>21772.799999999999</v>
      </c>
      <c r="BB74" s="106">
        <v>58</v>
      </c>
      <c r="BC74" s="106">
        <v>23385.599999999999</v>
      </c>
      <c r="BD74" s="106">
        <v>58</v>
      </c>
      <c r="BE74" s="106">
        <v>23385.599999999999</v>
      </c>
      <c r="BF74" s="106">
        <v>55</v>
      </c>
      <c r="BG74" s="106">
        <v>22176</v>
      </c>
      <c r="BH74" s="106">
        <v>4</v>
      </c>
      <c r="BI74" s="106">
        <v>1612.8</v>
      </c>
      <c r="BJ74" s="106">
        <v>4</v>
      </c>
      <c r="BK74" s="106">
        <v>1612.8</v>
      </c>
      <c r="BL74" s="106">
        <v>6</v>
      </c>
      <c r="BM74" s="106">
        <v>2419.1999999999998</v>
      </c>
      <c r="BN74" s="106">
        <v>7</v>
      </c>
      <c r="BO74" s="106">
        <v>2822.4</v>
      </c>
      <c r="BP74" s="106">
        <v>3</v>
      </c>
      <c r="BQ74" s="106">
        <v>1209.5999999999999</v>
      </c>
      <c r="BR74" s="106">
        <v>5</v>
      </c>
      <c r="BS74" s="106">
        <v>2016</v>
      </c>
      <c r="BT74" s="106">
        <v>5</v>
      </c>
      <c r="BU74" s="106">
        <v>2016</v>
      </c>
      <c r="BV74" s="106">
        <v>4</v>
      </c>
      <c r="BW74" s="106">
        <v>1612.8</v>
      </c>
      <c r="BX74" s="106">
        <v>5</v>
      </c>
      <c r="BY74" s="106">
        <v>2016</v>
      </c>
      <c r="BZ74" s="106">
        <v>5</v>
      </c>
      <c r="CA74" s="106">
        <v>2016</v>
      </c>
      <c r="CB74" s="106">
        <v>6</v>
      </c>
      <c r="CC74" s="106">
        <v>2419.1999999999998</v>
      </c>
      <c r="CD74" s="106">
        <v>5</v>
      </c>
      <c r="CE74" s="106">
        <v>2016</v>
      </c>
      <c r="CF74" s="106">
        <v>18</v>
      </c>
      <c r="CG74" s="106">
        <v>7257.5999999999995</v>
      </c>
      <c r="CH74" s="106">
        <v>26</v>
      </c>
      <c r="CI74" s="106">
        <v>10483.199999999999</v>
      </c>
      <c r="CJ74" s="106">
        <v>20</v>
      </c>
      <c r="CK74" s="106">
        <v>8064</v>
      </c>
      <c r="CL74" s="106">
        <v>24</v>
      </c>
      <c r="CM74" s="106">
        <v>9676.7999999999993</v>
      </c>
      <c r="CN74" s="106">
        <v>3</v>
      </c>
      <c r="CO74" s="106">
        <v>1209.5999999999999</v>
      </c>
      <c r="CP74" s="106">
        <v>3</v>
      </c>
      <c r="CQ74" s="106">
        <v>1209.5999999999999</v>
      </c>
      <c r="CR74" s="106">
        <v>3</v>
      </c>
      <c r="CS74" s="106">
        <v>1209.5999999999999</v>
      </c>
      <c r="CT74" s="106">
        <v>4</v>
      </c>
      <c r="CU74" s="106">
        <v>1612.8</v>
      </c>
    </row>
    <row r="75" spans="2:99" x14ac:dyDescent="0.2">
      <c r="C75" s="105" t="s">
        <v>241</v>
      </c>
      <c r="D75" s="106">
        <v>13</v>
      </c>
      <c r="E75" s="106">
        <v>8361.5999999999985</v>
      </c>
      <c r="F75" s="106">
        <v>18</v>
      </c>
      <c r="G75" s="106">
        <v>11577.599999999999</v>
      </c>
      <c r="H75" s="106">
        <v>16</v>
      </c>
      <c r="I75" s="106">
        <v>10291.199999999999</v>
      </c>
      <c r="J75" s="106">
        <v>14</v>
      </c>
      <c r="K75" s="106">
        <v>9004.7999999999993</v>
      </c>
      <c r="L75" s="106">
        <v>18</v>
      </c>
      <c r="M75" s="106">
        <v>11577.599999999999</v>
      </c>
      <c r="N75" s="106">
        <v>11</v>
      </c>
      <c r="O75" s="106">
        <v>7075.1999999999989</v>
      </c>
      <c r="P75" s="106">
        <v>13</v>
      </c>
      <c r="Q75" s="106">
        <v>8361.5999999999985</v>
      </c>
      <c r="R75" s="106">
        <v>21</v>
      </c>
      <c r="S75" s="106">
        <v>13507.199999999999</v>
      </c>
      <c r="T75" s="106">
        <v>5</v>
      </c>
      <c r="U75" s="106">
        <v>3215.9999999999995</v>
      </c>
      <c r="V75" s="106">
        <v>6</v>
      </c>
      <c r="W75" s="106">
        <v>3859.2</v>
      </c>
      <c r="X75" s="106">
        <v>5</v>
      </c>
      <c r="Y75" s="106">
        <v>3215.9999999999995</v>
      </c>
      <c r="Z75" s="106">
        <v>8</v>
      </c>
      <c r="AA75" s="106">
        <v>5145.5999999999995</v>
      </c>
      <c r="AB75" s="106">
        <v>9</v>
      </c>
      <c r="AC75" s="106">
        <v>5788.7999999999993</v>
      </c>
      <c r="AD75" s="106">
        <v>6</v>
      </c>
      <c r="AE75" s="106">
        <v>3859.2</v>
      </c>
      <c r="AF75" s="106">
        <v>6</v>
      </c>
      <c r="AG75" s="106">
        <v>3859.2</v>
      </c>
      <c r="AH75" s="106">
        <v>9</v>
      </c>
      <c r="AI75" s="106">
        <v>5788.7999999999993</v>
      </c>
      <c r="AJ75" s="106">
        <v>5</v>
      </c>
      <c r="AK75" s="106">
        <v>3215.9999999999995</v>
      </c>
      <c r="AL75" s="106">
        <v>3</v>
      </c>
      <c r="AM75" s="106">
        <v>1929.6</v>
      </c>
      <c r="AN75" s="106">
        <v>4</v>
      </c>
      <c r="AO75" s="106">
        <v>2572.7999999999997</v>
      </c>
      <c r="AP75" s="106">
        <v>4</v>
      </c>
      <c r="AQ75" s="106">
        <v>2572.7999999999997</v>
      </c>
      <c r="AR75" s="106">
        <v>40</v>
      </c>
      <c r="AS75" s="106">
        <v>25727.999999999996</v>
      </c>
      <c r="AT75" s="106">
        <v>34</v>
      </c>
      <c r="AU75" s="106">
        <v>21868.799999999999</v>
      </c>
      <c r="AV75" s="106">
        <v>38</v>
      </c>
      <c r="AW75" s="106">
        <v>24441.599999999999</v>
      </c>
      <c r="AX75" s="106">
        <v>41</v>
      </c>
      <c r="AY75" s="106">
        <v>26371.199999999997</v>
      </c>
      <c r="AZ75" s="106">
        <v>57</v>
      </c>
      <c r="BA75" s="106">
        <v>36662.399999999994</v>
      </c>
      <c r="BB75" s="106">
        <v>57</v>
      </c>
      <c r="BC75" s="106">
        <v>36662.399999999994</v>
      </c>
      <c r="BD75" s="106">
        <v>52</v>
      </c>
      <c r="BE75" s="106">
        <v>33446.399999999994</v>
      </c>
      <c r="BF75" s="106">
        <v>49</v>
      </c>
      <c r="BG75" s="106">
        <v>31516.799999999996</v>
      </c>
      <c r="BH75" s="106">
        <v>4</v>
      </c>
      <c r="BI75" s="106">
        <v>2572.7999999999997</v>
      </c>
      <c r="BJ75" s="106">
        <v>4</v>
      </c>
      <c r="BK75" s="106">
        <v>2572.7999999999997</v>
      </c>
      <c r="BL75" s="106">
        <v>6</v>
      </c>
      <c r="BM75" s="106">
        <v>3859.2</v>
      </c>
      <c r="BN75" s="106">
        <v>7</v>
      </c>
      <c r="BO75" s="106">
        <v>4502.3999999999996</v>
      </c>
      <c r="BP75" s="106">
        <v>3</v>
      </c>
      <c r="BQ75" s="106">
        <v>1929.6</v>
      </c>
      <c r="BR75" s="106">
        <v>5</v>
      </c>
      <c r="BS75" s="106">
        <v>3215.9999999999995</v>
      </c>
      <c r="BT75" s="106">
        <v>5</v>
      </c>
      <c r="BU75" s="106">
        <v>3215.9999999999995</v>
      </c>
      <c r="BV75" s="106">
        <v>4</v>
      </c>
      <c r="BW75" s="106">
        <v>2572.7999999999997</v>
      </c>
      <c r="BX75" s="106">
        <v>4</v>
      </c>
      <c r="BY75" s="106">
        <v>2572.7999999999997</v>
      </c>
      <c r="BZ75" s="106">
        <v>6</v>
      </c>
      <c r="CA75" s="106">
        <v>3859.2</v>
      </c>
      <c r="CB75" s="106">
        <v>5</v>
      </c>
      <c r="CC75" s="106">
        <v>3215.9999999999995</v>
      </c>
      <c r="CD75" s="106">
        <v>5</v>
      </c>
      <c r="CE75" s="106">
        <v>3215.9999999999995</v>
      </c>
      <c r="CF75" s="106">
        <v>19</v>
      </c>
      <c r="CG75" s="106">
        <v>12220.8</v>
      </c>
      <c r="CH75" s="106">
        <v>24</v>
      </c>
      <c r="CI75" s="106">
        <v>15436.8</v>
      </c>
      <c r="CJ75" s="106">
        <v>20</v>
      </c>
      <c r="CK75" s="106">
        <v>12863.999999999998</v>
      </c>
      <c r="CL75" s="106">
        <v>24</v>
      </c>
      <c r="CM75" s="106">
        <v>15436.8</v>
      </c>
      <c r="CN75" s="106">
        <v>2</v>
      </c>
      <c r="CO75" s="106">
        <v>1286.3999999999999</v>
      </c>
      <c r="CP75" s="106">
        <v>3</v>
      </c>
      <c r="CQ75" s="106">
        <v>1929.6</v>
      </c>
      <c r="CR75" s="106">
        <v>3</v>
      </c>
      <c r="CS75" s="106">
        <v>1929.6</v>
      </c>
      <c r="CT75" s="106">
        <v>4</v>
      </c>
      <c r="CU75" s="106">
        <v>2572.7999999999997</v>
      </c>
    </row>
    <row r="76" spans="2:99" x14ac:dyDescent="0.2">
      <c r="C76" s="105" t="s">
        <v>242</v>
      </c>
      <c r="D76" s="106">
        <v>12</v>
      </c>
      <c r="E76" s="106">
        <v>9345.5999999999985</v>
      </c>
      <c r="F76" s="106">
        <v>16</v>
      </c>
      <c r="G76" s="106">
        <v>12460.8</v>
      </c>
      <c r="H76" s="106">
        <v>16</v>
      </c>
      <c r="I76" s="106">
        <v>12460.8</v>
      </c>
      <c r="J76" s="106">
        <v>11</v>
      </c>
      <c r="K76" s="106">
        <v>8566.7999999999993</v>
      </c>
      <c r="L76" s="106">
        <v>20</v>
      </c>
      <c r="M76" s="106">
        <v>15576</v>
      </c>
      <c r="N76" s="106">
        <v>13</v>
      </c>
      <c r="O76" s="106">
        <v>10124.4</v>
      </c>
      <c r="P76" s="106">
        <v>14</v>
      </c>
      <c r="Q76" s="106">
        <v>10903.199999999999</v>
      </c>
      <c r="R76" s="106">
        <v>19</v>
      </c>
      <c r="S76" s="106">
        <v>14797.199999999999</v>
      </c>
      <c r="T76" s="106">
        <v>5</v>
      </c>
      <c r="U76" s="106">
        <v>3894</v>
      </c>
      <c r="V76" s="106">
        <v>6</v>
      </c>
      <c r="W76" s="106">
        <v>4672.7999999999993</v>
      </c>
      <c r="X76" s="106">
        <v>6</v>
      </c>
      <c r="Y76" s="106">
        <v>4672.7999999999993</v>
      </c>
      <c r="Z76" s="106">
        <v>7</v>
      </c>
      <c r="AA76" s="106">
        <v>5451.5999999999995</v>
      </c>
      <c r="AB76" s="106">
        <v>9</v>
      </c>
      <c r="AC76" s="106">
        <v>7009.2</v>
      </c>
      <c r="AD76" s="106">
        <v>6</v>
      </c>
      <c r="AE76" s="106">
        <v>4672.7999999999993</v>
      </c>
      <c r="AF76" s="106">
        <v>6</v>
      </c>
      <c r="AG76" s="106">
        <v>4672.7999999999993</v>
      </c>
      <c r="AH76" s="106">
        <v>10</v>
      </c>
      <c r="AI76" s="106">
        <v>7788</v>
      </c>
      <c r="AJ76" s="106">
        <v>5</v>
      </c>
      <c r="AK76" s="106">
        <v>3894</v>
      </c>
      <c r="AL76" s="106">
        <v>3</v>
      </c>
      <c r="AM76" s="106">
        <v>2336.3999999999996</v>
      </c>
      <c r="AN76" s="106">
        <v>3</v>
      </c>
      <c r="AO76" s="106">
        <v>2336.3999999999996</v>
      </c>
      <c r="AP76" s="106">
        <v>4</v>
      </c>
      <c r="AQ76" s="106">
        <v>3115.2</v>
      </c>
      <c r="AR76" s="106">
        <v>38</v>
      </c>
      <c r="AS76" s="106">
        <v>29594.399999999998</v>
      </c>
      <c r="AT76" s="106">
        <v>35</v>
      </c>
      <c r="AU76" s="106">
        <v>27258</v>
      </c>
      <c r="AV76" s="106">
        <v>41</v>
      </c>
      <c r="AW76" s="106">
        <v>31930.799999999999</v>
      </c>
      <c r="AX76" s="106">
        <v>44</v>
      </c>
      <c r="AY76" s="106">
        <v>34267.199999999997</v>
      </c>
      <c r="AZ76" s="106">
        <v>57</v>
      </c>
      <c r="BA76" s="106">
        <v>44391.6</v>
      </c>
      <c r="BB76" s="106">
        <v>53</v>
      </c>
      <c r="BC76" s="106">
        <v>41276.399999999994</v>
      </c>
      <c r="BD76" s="106">
        <v>52</v>
      </c>
      <c r="BE76" s="106">
        <v>40497.599999999999</v>
      </c>
      <c r="BF76" s="106">
        <v>55</v>
      </c>
      <c r="BG76" s="106">
        <v>42834</v>
      </c>
      <c r="BH76" s="106">
        <v>4</v>
      </c>
      <c r="BI76" s="106">
        <v>3115.2</v>
      </c>
      <c r="BJ76" s="106">
        <v>4</v>
      </c>
      <c r="BK76" s="106">
        <v>3115.2</v>
      </c>
      <c r="BL76" s="106">
        <v>5</v>
      </c>
      <c r="BM76" s="106">
        <v>3894</v>
      </c>
      <c r="BN76" s="106">
        <v>6</v>
      </c>
      <c r="BO76" s="106">
        <v>4672.7999999999993</v>
      </c>
      <c r="BP76" s="106">
        <v>3</v>
      </c>
      <c r="BQ76" s="106">
        <v>2336.3999999999996</v>
      </c>
      <c r="BR76" s="106">
        <v>5</v>
      </c>
      <c r="BS76" s="106">
        <v>3894</v>
      </c>
      <c r="BT76" s="106">
        <v>5</v>
      </c>
      <c r="BU76" s="106">
        <v>3894</v>
      </c>
      <c r="BV76" s="106">
        <v>3</v>
      </c>
      <c r="BW76" s="106">
        <v>2336.3999999999996</v>
      </c>
      <c r="BX76" s="106">
        <v>5</v>
      </c>
      <c r="BY76" s="106">
        <v>3894</v>
      </c>
      <c r="BZ76" s="106">
        <v>5</v>
      </c>
      <c r="CA76" s="106">
        <v>3894</v>
      </c>
      <c r="CB76" s="106">
        <v>5</v>
      </c>
      <c r="CC76" s="106">
        <v>3894</v>
      </c>
      <c r="CD76" s="106">
        <v>5</v>
      </c>
      <c r="CE76" s="106">
        <v>3894</v>
      </c>
      <c r="CF76" s="106">
        <v>17</v>
      </c>
      <c r="CG76" s="106">
        <v>13239.599999999999</v>
      </c>
      <c r="CH76" s="106">
        <v>27</v>
      </c>
      <c r="CI76" s="106">
        <v>21027.599999999999</v>
      </c>
      <c r="CJ76" s="106">
        <v>20</v>
      </c>
      <c r="CK76" s="106">
        <v>15576</v>
      </c>
      <c r="CL76" s="106">
        <v>25</v>
      </c>
      <c r="CM76" s="106">
        <v>19470</v>
      </c>
      <c r="CN76" s="106">
        <v>2</v>
      </c>
      <c r="CO76" s="106">
        <v>1557.6</v>
      </c>
      <c r="CP76" s="106">
        <v>3</v>
      </c>
      <c r="CQ76" s="106">
        <v>2336.3999999999996</v>
      </c>
      <c r="CR76" s="106">
        <v>3</v>
      </c>
      <c r="CS76" s="106">
        <v>2336.3999999999996</v>
      </c>
      <c r="CT76" s="106">
        <v>4</v>
      </c>
      <c r="CU76" s="106">
        <v>3115.2</v>
      </c>
    </row>
    <row r="77" spans="2:99" x14ac:dyDescent="0.2">
      <c r="C77" s="105" t="s">
        <v>243</v>
      </c>
      <c r="D77" s="106">
        <v>13</v>
      </c>
      <c r="E77" s="106">
        <v>3619.2</v>
      </c>
      <c r="F77" s="106">
        <v>18</v>
      </c>
      <c r="G77" s="106">
        <v>5011.2</v>
      </c>
      <c r="H77" s="106">
        <v>16</v>
      </c>
      <c r="I77" s="106">
        <v>4454.3999999999996</v>
      </c>
      <c r="J77" s="106">
        <v>12</v>
      </c>
      <c r="K77" s="106">
        <v>3340.7999999999997</v>
      </c>
      <c r="L77" s="106">
        <v>20</v>
      </c>
      <c r="M77" s="106">
        <v>5568</v>
      </c>
      <c r="N77" s="106">
        <v>12</v>
      </c>
      <c r="O77" s="106">
        <v>3340.7999999999997</v>
      </c>
      <c r="P77" s="106">
        <v>16</v>
      </c>
      <c r="Q77" s="106">
        <v>4454.3999999999996</v>
      </c>
      <c r="R77" s="106">
        <v>20</v>
      </c>
      <c r="S77" s="106">
        <v>5568</v>
      </c>
      <c r="T77" s="106">
        <v>5</v>
      </c>
      <c r="U77" s="106">
        <v>1392</v>
      </c>
      <c r="V77" s="106">
        <v>7</v>
      </c>
      <c r="W77" s="106">
        <v>1948.7999999999997</v>
      </c>
      <c r="X77" s="106">
        <v>5</v>
      </c>
      <c r="Y77" s="106">
        <v>1392</v>
      </c>
      <c r="Z77" s="106">
        <v>7</v>
      </c>
      <c r="AA77" s="106">
        <v>1948.7999999999997</v>
      </c>
      <c r="AB77" s="106">
        <v>9</v>
      </c>
      <c r="AC77" s="106">
        <v>2505.6</v>
      </c>
      <c r="AD77" s="106">
        <v>7</v>
      </c>
      <c r="AE77" s="106">
        <v>1948.7999999999997</v>
      </c>
      <c r="AF77" s="106">
        <v>6</v>
      </c>
      <c r="AG77" s="106">
        <v>1670.3999999999999</v>
      </c>
      <c r="AH77" s="106">
        <v>11</v>
      </c>
      <c r="AI77" s="106">
        <v>3062.3999999999996</v>
      </c>
      <c r="AJ77" s="106">
        <v>6</v>
      </c>
      <c r="AK77" s="106">
        <v>1670.3999999999999</v>
      </c>
      <c r="AL77" s="106">
        <v>3</v>
      </c>
      <c r="AM77" s="106">
        <v>835.19999999999993</v>
      </c>
      <c r="AN77" s="106">
        <v>4</v>
      </c>
      <c r="AO77" s="106">
        <v>1113.5999999999999</v>
      </c>
      <c r="AP77" s="106">
        <v>4</v>
      </c>
      <c r="AQ77" s="106">
        <v>1113.5999999999999</v>
      </c>
      <c r="AR77" s="106">
        <v>46</v>
      </c>
      <c r="AS77" s="106">
        <v>12806.4</v>
      </c>
      <c r="AT77" s="106">
        <v>41</v>
      </c>
      <c r="AU77" s="106">
        <v>11414.4</v>
      </c>
      <c r="AV77" s="106">
        <v>45</v>
      </c>
      <c r="AW77" s="106">
        <v>12527.999999999998</v>
      </c>
      <c r="AX77" s="106">
        <v>43</v>
      </c>
      <c r="AY77" s="106">
        <v>11971.199999999999</v>
      </c>
      <c r="AZ77" s="106">
        <v>63</v>
      </c>
      <c r="BA77" s="106">
        <v>17539.199999999997</v>
      </c>
      <c r="BB77" s="106">
        <v>59</v>
      </c>
      <c r="BC77" s="106">
        <v>16425.599999999999</v>
      </c>
      <c r="BD77" s="106">
        <v>57</v>
      </c>
      <c r="BE77" s="106">
        <v>15868.8</v>
      </c>
      <c r="BF77" s="106">
        <v>61</v>
      </c>
      <c r="BG77" s="106">
        <v>16982.399999999998</v>
      </c>
      <c r="BH77" s="106">
        <v>4</v>
      </c>
      <c r="BI77" s="106">
        <v>1113.5999999999999</v>
      </c>
      <c r="BJ77" s="106">
        <v>5</v>
      </c>
      <c r="BK77" s="106">
        <v>1392</v>
      </c>
      <c r="BL77" s="106">
        <v>6</v>
      </c>
      <c r="BM77" s="106">
        <v>1670.3999999999999</v>
      </c>
      <c r="BN77" s="106">
        <v>6</v>
      </c>
      <c r="BO77" s="106">
        <v>1670.3999999999999</v>
      </c>
      <c r="BP77" s="106">
        <v>3</v>
      </c>
      <c r="BQ77" s="106">
        <v>835.19999999999993</v>
      </c>
      <c r="BR77" s="106">
        <v>6</v>
      </c>
      <c r="BS77" s="106">
        <v>1670.3999999999999</v>
      </c>
      <c r="BT77" s="106">
        <v>5</v>
      </c>
      <c r="BU77" s="106">
        <v>1392</v>
      </c>
      <c r="BV77" s="106">
        <v>4</v>
      </c>
      <c r="BW77" s="106">
        <v>1113.5999999999999</v>
      </c>
      <c r="BX77" s="106">
        <v>4</v>
      </c>
      <c r="BY77" s="106">
        <v>1113.5999999999999</v>
      </c>
      <c r="BZ77" s="106">
        <v>6</v>
      </c>
      <c r="CA77" s="106">
        <v>1670.3999999999999</v>
      </c>
      <c r="CB77" s="106">
        <v>6</v>
      </c>
      <c r="CC77" s="106">
        <v>1670.3999999999999</v>
      </c>
      <c r="CD77" s="106">
        <v>5</v>
      </c>
      <c r="CE77" s="106">
        <v>1392</v>
      </c>
      <c r="CF77" s="106">
        <v>17</v>
      </c>
      <c r="CG77" s="106">
        <v>4732.7999999999993</v>
      </c>
      <c r="CH77" s="106">
        <v>25</v>
      </c>
      <c r="CI77" s="106">
        <v>6959.9999999999991</v>
      </c>
      <c r="CJ77" s="106">
        <v>21</v>
      </c>
      <c r="CK77" s="106">
        <v>5846.4</v>
      </c>
      <c r="CL77" s="106">
        <v>25</v>
      </c>
      <c r="CM77" s="106">
        <v>6959.9999999999991</v>
      </c>
      <c r="CN77" s="106">
        <v>2</v>
      </c>
      <c r="CO77" s="106">
        <v>556.79999999999995</v>
      </c>
      <c r="CP77" s="106">
        <v>3</v>
      </c>
      <c r="CQ77" s="106">
        <v>835.19999999999993</v>
      </c>
      <c r="CR77" s="106">
        <v>3</v>
      </c>
      <c r="CS77" s="106">
        <v>835.19999999999993</v>
      </c>
      <c r="CT77" s="106">
        <v>3</v>
      </c>
      <c r="CU77" s="106">
        <v>835.19999999999993</v>
      </c>
    </row>
    <row r="78" spans="2:99" x14ac:dyDescent="0.2">
      <c r="C78" s="105" t="s">
        <v>244</v>
      </c>
      <c r="D78" s="106">
        <v>14</v>
      </c>
      <c r="E78" s="106">
        <v>7728</v>
      </c>
      <c r="F78" s="106">
        <v>16</v>
      </c>
      <c r="G78" s="106">
        <v>8832</v>
      </c>
      <c r="H78" s="106">
        <v>18</v>
      </c>
      <c r="I78" s="106">
        <v>9936</v>
      </c>
      <c r="J78" s="106">
        <v>11</v>
      </c>
      <c r="K78" s="106">
        <v>6072</v>
      </c>
      <c r="L78" s="106">
        <v>21</v>
      </c>
      <c r="M78" s="106">
        <v>11592</v>
      </c>
      <c r="N78" s="106">
        <v>11</v>
      </c>
      <c r="O78" s="106">
        <v>6072</v>
      </c>
      <c r="P78" s="106">
        <v>15</v>
      </c>
      <c r="Q78" s="106">
        <v>8280</v>
      </c>
      <c r="R78" s="106">
        <v>20</v>
      </c>
      <c r="S78" s="106">
        <v>11040</v>
      </c>
      <c r="T78" s="106">
        <v>5</v>
      </c>
      <c r="U78" s="106">
        <v>2760</v>
      </c>
      <c r="V78" s="106">
        <v>6</v>
      </c>
      <c r="W78" s="106">
        <v>3312</v>
      </c>
      <c r="X78" s="106">
        <v>5</v>
      </c>
      <c r="Y78" s="106">
        <v>2760</v>
      </c>
      <c r="Z78" s="106">
        <v>7</v>
      </c>
      <c r="AA78" s="106">
        <v>3864</v>
      </c>
      <c r="AB78" s="106">
        <v>10</v>
      </c>
      <c r="AC78" s="106">
        <v>5520</v>
      </c>
      <c r="AD78" s="106">
        <v>6</v>
      </c>
      <c r="AE78" s="106">
        <v>3312</v>
      </c>
      <c r="AF78" s="106">
        <v>6</v>
      </c>
      <c r="AG78" s="106">
        <v>3312</v>
      </c>
      <c r="AH78" s="106">
        <v>9</v>
      </c>
      <c r="AI78" s="106">
        <v>4968</v>
      </c>
      <c r="AJ78" s="106">
        <v>5</v>
      </c>
      <c r="AK78" s="106">
        <v>2760</v>
      </c>
      <c r="AL78" s="106">
        <v>3</v>
      </c>
      <c r="AM78" s="106">
        <v>1656</v>
      </c>
      <c r="AN78" s="106">
        <v>4</v>
      </c>
      <c r="AO78" s="106">
        <v>2208</v>
      </c>
      <c r="AP78" s="106">
        <v>3</v>
      </c>
      <c r="AQ78" s="106">
        <v>1656</v>
      </c>
      <c r="AR78" s="106">
        <v>42</v>
      </c>
      <c r="AS78" s="106">
        <v>23184</v>
      </c>
      <c r="AT78" s="106">
        <v>36</v>
      </c>
      <c r="AU78" s="106">
        <v>19872</v>
      </c>
      <c r="AV78" s="106">
        <v>41</v>
      </c>
      <c r="AW78" s="106">
        <v>22632</v>
      </c>
      <c r="AX78" s="106">
        <v>47</v>
      </c>
      <c r="AY78" s="106">
        <v>25944</v>
      </c>
      <c r="AZ78" s="106">
        <v>54</v>
      </c>
      <c r="BA78" s="106">
        <v>29808</v>
      </c>
      <c r="BB78" s="106">
        <v>58</v>
      </c>
      <c r="BC78" s="106">
        <v>32016</v>
      </c>
      <c r="BD78" s="106">
        <v>63</v>
      </c>
      <c r="BE78" s="106">
        <v>34776</v>
      </c>
      <c r="BF78" s="106">
        <v>49</v>
      </c>
      <c r="BG78" s="106">
        <v>27048</v>
      </c>
      <c r="BH78" s="106">
        <v>4</v>
      </c>
      <c r="BI78" s="106">
        <v>2208</v>
      </c>
      <c r="BJ78" s="106">
        <v>4</v>
      </c>
      <c r="BK78" s="106">
        <v>2208</v>
      </c>
      <c r="BL78" s="106">
        <v>6</v>
      </c>
      <c r="BM78" s="106">
        <v>3312</v>
      </c>
      <c r="BN78" s="106">
        <v>7</v>
      </c>
      <c r="BO78" s="106">
        <v>3864</v>
      </c>
      <c r="BP78" s="106">
        <v>3</v>
      </c>
      <c r="BQ78" s="106">
        <v>1656</v>
      </c>
      <c r="BR78" s="106">
        <v>6</v>
      </c>
      <c r="BS78" s="106">
        <v>3312</v>
      </c>
      <c r="BT78" s="106">
        <v>5</v>
      </c>
      <c r="BU78" s="106">
        <v>2760</v>
      </c>
      <c r="BV78" s="106">
        <v>4</v>
      </c>
      <c r="BW78" s="106">
        <v>2208</v>
      </c>
      <c r="BX78" s="106">
        <v>5</v>
      </c>
      <c r="BY78" s="106">
        <v>2760</v>
      </c>
      <c r="BZ78" s="106">
        <v>6</v>
      </c>
      <c r="CA78" s="106">
        <v>3312</v>
      </c>
      <c r="CB78" s="106">
        <v>5</v>
      </c>
      <c r="CC78" s="106">
        <v>2760</v>
      </c>
      <c r="CD78" s="106">
        <v>5</v>
      </c>
      <c r="CE78" s="106">
        <v>2760</v>
      </c>
      <c r="CF78" s="106">
        <v>18</v>
      </c>
      <c r="CG78" s="106">
        <v>9936</v>
      </c>
      <c r="CH78" s="106">
        <v>25</v>
      </c>
      <c r="CI78" s="106">
        <v>13800</v>
      </c>
      <c r="CJ78" s="106">
        <v>18</v>
      </c>
      <c r="CK78" s="106">
        <v>9936</v>
      </c>
      <c r="CL78" s="106">
        <v>23</v>
      </c>
      <c r="CM78" s="106">
        <v>12696</v>
      </c>
      <c r="CN78" s="106">
        <v>3</v>
      </c>
      <c r="CO78" s="106">
        <v>1656</v>
      </c>
      <c r="CP78" s="106">
        <v>3</v>
      </c>
      <c r="CQ78" s="106">
        <v>1656</v>
      </c>
      <c r="CR78" s="106">
        <v>3</v>
      </c>
      <c r="CS78" s="106">
        <v>1656</v>
      </c>
      <c r="CT78" s="106">
        <v>4</v>
      </c>
      <c r="CU78" s="106">
        <v>2208</v>
      </c>
    </row>
    <row r="79" spans="2:99" x14ac:dyDescent="0.2">
      <c r="C79" s="105" t="s">
        <v>245</v>
      </c>
      <c r="D79" s="106">
        <v>13</v>
      </c>
      <c r="E79" s="106">
        <v>9843.5999999999985</v>
      </c>
      <c r="F79" s="106">
        <v>15</v>
      </c>
      <c r="G79" s="106">
        <v>11357.999999999998</v>
      </c>
      <c r="H79" s="106">
        <v>16</v>
      </c>
      <c r="I79" s="106">
        <v>12115.199999999999</v>
      </c>
      <c r="J79" s="106">
        <v>11</v>
      </c>
      <c r="K79" s="106">
        <v>8329.1999999999989</v>
      </c>
      <c r="L79" s="106">
        <v>18</v>
      </c>
      <c r="M79" s="106">
        <v>13629.599999999999</v>
      </c>
      <c r="N79" s="106">
        <v>11</v>
      </c>
      <c r="O79" s="106">
        <v>8329.1999999999989</v>
      </c>
      <c r="P79" s="106">
        <v>15</v>
      </c>
      <c r="Q79" s="106">
        <v>11357.999999999998</v>
      </c>
      <c r="R79" s="106">
        <v>18</v>
      </c>
      <c r="S79" s="106">
        <v>13629.599999999999</v>
      </c>
      <c r="T79" s="106">
        <v>5</v>
      </c>
      <c r="U79" s="106">
        <v>3785.9999999999995</v>
      </c>
      <c r="V79" s="106">
        <v>7</v>
      </c>
      <c r="W79" s="106">
        <v>5300.4</v>
      </c>
      <c r="X79" s="106">
        <v>5</v>
      </c>
      <c r="Y79" s="106">
        <v>3785.9999999999995</v>
      </c>
      <c r="Z79" s="106">
        <v>8</v>
      </c>
      <c r="AA79" s="106">
        <v>6057.5999999999995</v>
      </c>
      <c r="AB79" s="106">
        <v>10</v>
      </c>
      <c r="AC79" s="106">
        <v>7571.9999999999991</v>
      </c>
      <c r="AD79" s="106">
        <v>6</v>
      </c>
      <c r="AE79" s="106">
        <v>4543.2</v>
      </c>
      <c r="AF79" s="106">
        <v>5</v>
      </c>
      <c r="AG79" s="106">
        <v>3785.9999999999995</v>
      </c>
      <c r="AH79" s="106">
        <v>9</v>
      </c>
      <c r="AI79" s="106">
        <v>6814.7999999999993</v>
      </c>
      <c r="AJ79" s="106">
        <v>5</v>
      </c>
      <c r="AK79" s="106">
        <v>3785.9999999999995</v>
      </c>
      <c r="AL79" s="106">
        <v>3</v>
      </c>
      <c r="AM79" s="106">
        <v>2271.6</v>
      </c>
      <c r="AN79" s="106">
        <v>4</v>
      </c>
      <c r="AO79" s="106">
        <v>3028.7999999999997</v>
      </c>
      <c r="AP79" s="106">
        <v>3</v>
      </c>
      <c r="AQ79" s="106">
        <v>2271.6</v>
      </c>
      <c r="AR79" s="106">
        <v>41</v>
      </c>
      <c r="AS79" s="106">
        <v>31045.199999999997</v>
      </c>
      <c r="AT79" s="106">
        <v>32</v>
      </c>
      <c r="AU79" s="106">
        <v>24230.399999999998</v>
      </c>
      <c r="AV79" s="106">
        <v>44</v>
      </c>
      <c r="AW79" s="106">
        <v>33316.799999999996</v>
      </c>
      <c r="AX79" s="106">
        <v>39</v>
      </c>
      <c r="AY79" s="106">
        <v>29530.799999999996</v>
      </c>
      <c r="AZ79" s="106">
        <v>57</v>
      </c>
      <c r="BA79" s="106">
        <v>43160.399999999994</v>
      </c>
      <c r="BB79" s="106">
        <v>57</v>
      </c>
      <c r="BC79" s="106">
        <v>43160.399999999994</v>
      </c>
      <c r="BD79" s="106">
        <v>56</v>
      </c>
      <c r="BE79" s="106">
        <v>42403.199999999997</v>
      </c>
      <c r="BF79" s="106">
        <v>49</v>
      </c>
      <c r="BG79" s="106">
        <v>37102.799999999996</v>
      </c>
      <c r="BH79" s="106">
        <v>4</v>
      </c>
      <c r="BI79" s="106">
        <v>3028.7999999999997</v>
      </c>
      <c r="BJ79" s="106">
        <v>4</v>
      </c>
      <c r="BK79" s="106">
        <v>3028.7999999999997</v>
      </c>
      <c r="BL79" s="106">
        <v>6</v>
      </c>
      <c r="BM79" s="106">
        <v>4543.2</v>
      </c>
      <c r="BN79" s="106">
        <v>7</v>
      </c>
      <c r="BO79" s="106">
        <v>5300.4</v>
      </c>
      <c r="BP79" s="106">
        <v>3</v>
      </c>
      <c r="BQ79" s="106">
        <v>2271.6</v>
      </c>
      <c r="BR79" s="106">
        <v>5</v>
      </c>
      <c r="BS79" s="106">
        <v>3785.9999999999995</v>
      </c>
      <c r="BT79" s="106">
        <v>5</v>
      </c>
      <c r="BU79" s="106">
        <v>3785.9999999999995</v>
      </c>
      <c r="BV79" s="106">
        <v>4</v>
      </c>
      <c r="BW79" s="106">
        <v>3028.7999999999997</v>
      </c>
      <c r="BX79" s="106">
        <v>4</v>
      </c>
      <c r="BY79" s="106">
        <v>3028.7999999999997</v>
      </c>
      <c r="BZ79" s="106">
        <v>5</v>
      </c>
      <c r="CA79" s="106">
        <v>3785.9999999999995</v>
      </c>
      <c r="CB79" s="106">
        <v>5</v>
      </c>
      <c r="CC79" s="106">
        <v>3785.9999999999995</v>
      </c>
      <c r="CD79" s="106">
        <v>5</v>
      </c>
      <c r="CE79" s="106">
        <v>3785.9999999999995</v>
      </c>
      <c r="CF79" s="106">
        <v>18</v>
      </c>
      <c r="CG79" s="106">
        <v>13629.599999999999</v>
      </c>
      <c r="CH79" s="106">
        <v>26</v>
      </c>
      <c r="CI79" s="106">
        <v>19687.199999999997</v>
      </c>
      <c r="CJ79" s="106">
        <v>19</v>
      </c>
      <c r="CK79" s="106">
        <v>14386.8</v>
      </c>
      <c r="CL79" s="106">
        <v>23</v>
      </c>
      <c r="CM79" s="106">
        <v>17415.599999999999</v>
      </c>
      <c r="CN79" s="106">
        <v>2</v>
      </c>
      <c r="CO79" s="106">
        <v>1514.3999999999999</v>
      </c>
      <c r="CP79" s="106">
        <v>3</v>
      </c>
      <c r="CQ79" s="106">
        <v>2271.6</v>
      </c>
      <c r="CR79" s="106">
        <v>3</v>
      </c>
      <c r="CS79" s="106">
        <v>2271.6</v>
      </c>
      <c r="CT79" s="106">
        <v>3</v>
      </c>
      <c r="CU79" s="106">
        <v>2271.6</v>
      </c>
    </row>
    <row r="80" spans="2:99" x14ac:dyDescent="0.2">
      <c r="C80" s="105" t="s">
        <v>246</v>
      </c>
      <c r="D80" s="106">
        <v>12</v>
      </c>
      <c r="E80" s="106">
        <v>9662.4</v>
      </c>
      <c r="F80" s="106">
        <v>16</v>
      </c>
      <c r="G80" s="106">
        <v>12883.199999999999</v>
      </c>
      <c r="H80" s="106">
        <v>16</v>
      </c>
      <c r="I80" s="106">
        <v>12883.199999999999</v>
      </c>
      <c r="J80" s="106">
        <v>13</v>
      </c>
      <c r="K80" s="106">
        <v>10467.599999999999</v>
      </c>
      <c r="L80" s="106">
        <v>19</v>
      </c>
      <c r="M80" s="106">
        <v>15298.8</v>
      </c>
      <c r="N80" s="106">
        <v>12</v>
      </c>
      <c r="O80" s="106">
        <v>9662.4</v>
      </c>
      <c r="P80" s="106">
        <v>14</v>
      </c>
      <c r="Q80" s="106">
        <v>11272.8</v>
      </c>
      <c r="R80" s="106">
        <v>19</v>
      </c>
      <c r="S80" s="106">
        <v>15298.8</v>
      </c>
      <c r="T80" s="106">
        <v>5</v>
      </c>
      <c r="U80" s="106">
        <v>4025.9999999999995</v>
      </c>
      <c r="V80" s="106">
        <v>6</v>
      </c>
      <c r="W80" s="106">
        <v>4831.2</v>
      </c>
      <c r="X80" s="106">
        <v>5</v>
      </c>
      <c r="Y80" s="106">
        <v>4025.9999999999995</v>
      </c>
      <c r="Z80" s="106">
        <v>8</v>
      </c>
      <c r="AA80" s="106">
        <v>6441.5999999999995</v>
      </c>
      <c r="AB80" s="106">
        <v>9</v>
      </c>
      <c r="AC80" s="106">
        <v>7246.7999999999993</v>
      </c>
      <c r="AD80" s="106">
        <v>6</v>
      </c>
      <c r="AE80" s="106">
        <v>4831.2</v>
      </c>
      <c r="AF80" s="106">
        <v>6</v>
      </c>
      <c r="AG80" s="106">
        <v>4831.2</v>
      </c>
      <c r="AH80" s="106">
        <v>10</v>
      </c>
      <c r="AI80" s="106">
        <v>8051.9999999999991</v>
      </c>
      <c r="AJ80" s="106">
        <v>6</v>
      </c>
      <c r="AK80" s="106">
        <v>4831.2</v>
      </c>
      <c r="AL80" s="106">
        <v>3</v>
      </c>
      <c r="AM80" s="106">
        <v>2415.6</v>
      </c>
      <c r="AN80" s="106">
        <v>3</v>
      </c>
      <c r="AO80" s="106">
        <v>2415.6</v>
      </c>
      <c r="AP80" s="106">
        <v>4</v>
      </c>
      <c r="AQ80" s="106">
        <v>3220.7999999999997</v>
      </c>
      <c r="AR80" s="106">
        <v>37</v>
      </c>
      <c r="AS80" s="106">
        <v>29792.399999999998</v>
      </c>
      <c r="AT80" s="106">
        <v>31</v>
      </c>
      <c r="AU80" s="106">
        <v>24961.199999999997</v>
      </c>
      <c r="AV80" s="106">
        <v>44</v>
      </c>
      <c r="AW80" s="106">
        <v>35428.799999999996</v>
      </c>
      <c r="AX80" s="106">
        <v>39</v>
      </c>
      <c r="AY80" s="106">
        <v>31402.799999999996</v>
      </c>
      <c r="AZ80" s="106">
        <v>49</v>
      </c>
      <c r="BA80" s="106">
        <v>39454.799999999996</v>
      </c>
      <c r="BB80" s="106">
        <v>56</v>
      </c>
      <c r="BC80" s="106">
        <v>45091.199999999997</v>
      </c>
      <c r="BD80" s="106">
        <v>55</v>
      </c>
      <c r="BE80" s="106">
        <v>44285.999999999993</v>
      </c>
      <c r="BF80" s="106">
        <v>48</v>
      </c>
      <c r="BG80" s="106">
        <v>38649.599999999999</v>
      </c>
      <c r="BH80" s="106">
        <v>4</v>
      </c>
      <c r="BI80" s="106">
        <v>3220.7999999999997</v>
      </c>
      <c r="BJ80" s="106">
        <v>4</v>
      </c>
      <c r="BK80" s="106">
        <v>3220.7999999999997</v>
      </c>
      <c r="BL80" s="106">
        <v>6</v>
      </c>
      <c r="BM80" s="106">
        <v>4831.2</v>
      </c>
      <c r="BN80" s="106">
        <v>6</v>
      </c>
      <c r="BO80" s="106">
        <v>4831.2</v>
      </c>
      <c r="BP80" s="106">
        <v>3</v>
      </c>
      <c r="BQ80" s="106">
        <v>2415.6</v>
      </c>
      <c r="BR80" s="106">
        <v>5</v>
      </c>
      <c r="BS80" s="106">
        <v>4025.9999999999995</v>
      </c>
      <c r="BT80" s="106">
        <v>5</v>
      </c>
      <c r="BU80" s="106">
        <v>4025.9999999999995</v>
      </c>
      <c r="BV80" s="106">
        <v>4</v>
      </c>
      <c r="BW80" s="106">
        <v>3220.7999999999997</v>
      </c>
      <c r="BX80" s="106">
        <v>5</v>
      </c>
      <c r="BY80" s="106">
        <v>4025.9999999999995</v>
      </c>
      <c r="BZ80" s="106">
        <v>6</v>
      </c>
      <c r="CA80" s="106">
        <v>4831.2</v>
      </c>
      <c r="CB80" s="106">
        <v>6</v>
      </c>
      <c r="CC80" s="106">
        <v>4831.2</v>
      </c>
      <c r="CD80" s="106">
        <v>5</v>
      </c>
      <c r="CE80" s="106">
        <v>4025.9999999999995</v>
      </c>
      <c r="CF80" s="106">
        <v>17</v>
      </c>
      <c r="CG80" s="106">
        <v>13688.4</v>
      </c>
      <c r="CH80" s="106">
        <v>25</v>
      </c>
      <c r="CI80" s="106">
        <v>20130</v>
      </c>
      <c r="CJ80" s="106">
        <v>20</v>
      </c>
      <c r="CK80" s="106">
        <v>16103.999999999998</v>
      </c>
      <c r="CL80" s="106">
        <v>26</v>
      </c>
      <c r="CM80" s="106">
        <v>20935.199999999997</v>
      </c>
      <c r="CN80" s="106">
        <v>2</v>
      </c>
      <c r="CO80" s="106">
        <v>1610.3999999999999</v>
      </c>
      <c r="CP80" s="106">
        <v>3</v>
      </c>
      <c r="CQ80" s="106">
        <v>2415.6</v>
      </c>
      <c r="CR80" s="106">
        <v>3</v>
      </c>
      <c r="CS80" s="106">
        <v>2415.6</v>
      </c>
      <c r="CT80" s="106">
        <v>4</v>
      </c>
      <c r="CU80" s="106">
        <v>3220.7999999999997</v>
      </c>
    </row>
    <row r="81" spans="2:99" x14ac:dyDescent="0.2">
      <c r="C81" s="105" t="s">
        <v>247</v>
      </c>
      <c r="D81" s="106">
        <v>12</v>
      </c>
      <c r="E81" s="106">
        <v>9043.2000000000007</v>
      </c>
      <c r="F81" s="106">
        <v>17</v>
      </c>
      <c r="G81" s="106">
        <v>12811.2</v>
      </c>
      <c r="H81" s="106">
        <v>15</v>
      </c>
      <c r="I81" s="106">
        <v>11304</v>
      </c>
      <c r="J81" s="106">
        <v>13</v>
      </c>
      <c r="K81" s="106">
        <v>9796.8000000000011</v>
      </c>
      <c r="L81" s="106">
        <v>21</v>
      </c>
      <c r="M81" s="106">
        <v>15825.6</v>
      </c>
      <c r="N81" s="106">
        <v>12</v>
      </c>
      <c r="O81" s="106">
        <v>9043.2000000000007</v>
      </c>
      <c r="P81" s="106">
        <v>15</v>
      </c>
      <c r="Q81" s="106">
        <v>11304</v>
      </c>
      <c r="R81" s="106">
        <v>19</v>
      </c>
      <c r="S81" s="106">
        <v>14318.4</v>
      </c>
      <c r="T81" s="106">
        <v>5</v>
      </c>
      <c r="U81" s="106">
        <v>3768</v>
      </c>
      <c r="V81" s="106">
        <v>6</v>
      </c>
      <c r="W81" s="106">
        <v>4521.6000000000004</v>
      </c>
      <c r="X81" s="106">
        <v>5</v>
      </c>
      <c r="Y81" s="106">
        <v>3768</v>
      </c>
      <c r="Z81" s="106">
        <v>7</v>
      </c>
      <c r="AA81" s="106">
        <v>5275.2</v>
      </c>
      <c r="AB81" s="106">
        <v>10</v>
      </c>
      <c r="AC81" s="106">
        <v>7536</v>
      </c>
      <c r="AD81" s="106">
        <v>7</v>
      </c>
      <c r="AE81" s="106">
        <v>5275.2</v>
      </c>
      <c r="AF81" s="106">
        <v>5</v>
      </c>
      <c r="AG81" s="106">
        <v>3768</v>
      </c>
      <c r="AH81" s="106">
        <v>9</v>
      </c>
      <c r="AI81" s="106">
        <v>6782.4000000000005</v>
      </c>
      <c r="AJ81" s="106">
        <v>6</v>
      </c>
      <c r="AK81" s="106">
        <v>4521.6000000000004</v>
      </c>
      <c r="AL81" s="106">
        <v>3</v>
      </c>
      <c r="AM81" s="106">
        <v>2260.8000000000002</v>
      </c>
      <c r="AN81" s="106">
        <v>4</v>
      </c>
      <c r="AO81" s="106">
        <v>3014.4</v>
      </c>
      <c r="AP81" s="106">
        <v>4</v>
      </c>
      <c r="AQ81" s="106">
        <v>3014.4</v>
      </c>
      <c r="AR81" s="106">
        <v>44</v>
      </c>
      <c r="AS81" s="106">
        <v>33158.400000000001</v>
      </c>
      <c r="AT81" s="106">
        <v>32</v>
      </c>
      <c r="AU81" s="106">
        <v>24115.200000000001</v>
      </c>
      <c r="AV81" s="106">
        <v>38</v>
      </c>
      <c r="AW81" s="106">
        <v>28636.799999999999</v>
      </c>
      <c r="AX81" s="106">
        <v>42</v>
      </c>
      <c r="AY81" s="106">
        <v>31651.200000000001</v>
      </c>
      <c r="AZ81" s="106">
        <v>49</v>
      </c>
      <c r="BA81" s="106">
        <v>36926.400000000001</v>
      </c>
      <c r="BB81" s="106">
        <v>52</v>
      </c>
      <c r="BC81" s="106">
        <v>39187.200000000004</v>
      </c>
      <c r="BD81" s="106">
        <v>61</v>
      </c>
      <c r="BE81" s="106">
        <v>45969.599999999999</v>
      </c>
      <c r="BF81" s="106">
        <v>52</v>
      </c>
      <c r="BG81" s="106">
        <v>39187.200000000004</v>
      </c>
      <c r="BH81" s="106">
        <v>4</v>
      </c>
      <c r="BI81" s="106">
        <v>3014.4</v>
      </c>
      <c r="BJ81" s="106">
        <v>4</v>
      </c>
      <c r="BK81" s="106">
        <v>3014.4</v>
      </c>
      <c r="BL81" s="106">
        <v>6</v>
      </c>
      <c r="BM81" s="106">
        <v>4521.6000000000004</v>
      </c>
      <c r="BN81" s="106">
        <v>6</v>
      </c>
      <c r="BO81" s="106">
        <v>4521.6000000000004</v>
      </c>
      <c r="BP81" s="106">
        <v>3</v>
      </c>
      <c r="BQ81" s="106">
        <v>2260.8000000000002</v>
      </c>
      <c r="BR81" s="106">
        <v>6</v>
      </c>
      <c r="BS81" s="106">
        <v>4521.6000000000004</v>
      </c>
      <c r="BT81" s="106">
        <v>5</v>
      </c>
      <c r="BU81" s="106">
        <v>3768</v>
      </c>
      <c r="BV81" s="106">
        <v>4</v>
      </c>
      <c r="BW81" s="106">
        <v>3014.4</v>
      </c>
      <c r="BX81" s="106">
        <v>5</v>
      </c>
      <c r="BY81" s="106">
        <v>3768</v>
      </c>
      <c r="BZ81" s="106">
        <v>5</v>
      </c>
      <c r="CA81" s="106">
        <v>3768</v>
      </c>
      <c r="CB81" s="106">
        <v>5</v>
      </c>
      <c r="CC81" s="106">
        <v>3768</v>
      </c>
      <c r="CD81" s="106">
        <v>5</v>
      </c>
      <c r="CE81" s="106">
        <v>3768</v>
      </c>
      <c r="CF81" s="106">
        <v>18</v>
      </c>
      <c r="CG81" s="106">
        <v>13564.800000000001</v>
      </c>
      <c r="CH81" s="106">
        <v>26</v>
      </c>
      <c r="CI81" s="106">
        <v>19593.600000000002</v>
      </c>
      <c r="CJ81" s="106">
        <v>17</v>
      </c>
      <c r="CK81" s="106">
        <v>12811.2</v>
      </c>
      <c r="CL81" s="106">
        <v>22</v>
      </c>
      <c r="CM81" s="106">
        <v>16579.2</v>
      </c>
      <c r="CN81" s="106">
        <v>2</v>
      </c>
      <c r="CO81" s="106">
        <v>1507.2</v>
      </c>
      <c r="CP81" s="106">
        <v>3</v>
      </c>
      <c r="CQ81" s="106">
        <v>2260.8000000000002</v>
      </c>
      <c r="CR81" s="106">
        <v>3</v>
      </c>
      <c r="CS81" s="106">
        <v>2260.8000000000002</v>
      </c>
      <c r="CT81" s="106">
        <v>4</v>
      </c>
      <c r="CU81" s="106">
        <v>3014.4</v>
      </c>
    </row>
    <row r="82" spans="2:99" x14ac:dyDescent="0.2">
      <c r="C82" s="105" t="s">
        <v>248</v>
      </c>
      <c r="D82" s="106">
        <v>13</v>
      </c>
      <c r="E82" s="106">
        <v>6614.3999999999987</v>
      </c>
      <c r="F82" s="106">
        <v>19</v>
      </c>
      <c r="G82" s="106">
        <v>9667.1999999999989</v>
      </c>
      <c r="H82" s="106">
        <v>16</v>
      </c>
      <c r="I82" s="106">
        <v>8140.7999999999984</v>
      </c>
      <c r="J82" s="106">
        <v>13</v>
      </c>
      <c r="K82" s="106">
        <v>6614.3999999999987</v>
      </c>
      <c r="L82" s="106">
        <v>18</v>
      </c>
      <c r="M82" s="106">
        <v>9158.3999999999978</v>
      </c>
      <c r="N82" s="106">
        <v>13</v>
      </c>
      <c r="O82" s="106">
        <v>6614.3999999999987</v>
      </c>
      <c r="P82" s="106">
        <v>14</v>
      </c>
      <c r="Q82" s="106">
        <v>7123.1999999999989</v>
      </c>
      <c r="R82" s="106">
        <v>19</v>
      </c>
      <c r="S82" s="106">
        <v>9667.1999999999989</v>
      </c>
      <c r="T82" s="106">
        <v>5</v>
      </c>
      <c r="U82" s="106">
        <v>2543.9999999999995</v>
      </c>
      <c r="V82" s="106">
        <v>6</v>
      </c>
      <c r="W82" s="106">
        <v>3052.7999999999993</v>
      </c>
      <c r="X82" s="106">
        <v>5</v>
      </c>
      <c r="Y82" s="106">
        <v>2543.9999999999995</v>
      </c>
      <c r="Z82" s="106">
        <v>7</v>
      </c>
      <c r="AA82" s="106">
        <v>3561.5999999999995</v>
      </c>
      <c r="AB82" s="106">
        <v>9</v>
      </c>
      <c r="AC82" s="106">
        <v>4579.1999999999989</v>
      </c>
      <c r="AD82" s="106">
        <v>7</v>
      </c>
      <c r="AE82" s="106">
        <v>3561.5999999999995</v>
      </c>
      <c r="AF82" s="106">
        <v>6</v>
      </c>
      <c r="AG82" s="106">
        <v>3052.7999999999993</v>
      </c>
      <c r="AH82" s="106">
        <v>10</v>
      </c>
      <c r="AI82" s="106">
        <v>5087.9999999999991</v>
      </c>
      <c r="AJ82" s="106">
        <v>6</v>
      </c>
      <c r="AK82" s="106">
        <v>3052.7999999999993</v>
      </c>
      <c r="AL82" s="106">
        <v>3</v>
      </c>
      <c r="AM82" s="106">
        <v>1526.3999999999996</v>
      </c>
      <c r="AN82" s="106">
        <v>4</v>
      </c>
      <c r="AO82" s="106">
        <v>2035.1999999999996</v>
      </c>
      <c r="AP82" s="106">
        <v>4</v>
      </c>
      <c r="AQ82" s="106">
        <v>2035.1999999999996</v>
      </c>
      <c r="AR82" s="106">
        <v>45</v>
      </c>
      <c r="AS82" s="106">
        <v>22895.999999999996</v>
      </c>
      <c r="AT82" s="106">
        <v>36</v>
      </c>
      <c r="AU82" s="106">
        <v>18316.799999999996</v>
      </c>
      <c r="AV82" s="106">
        <v>44</v>
      </c>
      <c r="AW82" s="106">
        <v>22387.199999999997</v>
      </c>
      <c r="AX82" s="106">
        <v>41</v>
      </c>
      <c r="AY82" s="106">
        <v>20860.799999999996</v>
      </c>
      <c r="AZ82" s="106">
        <v>53</v>
      </c>
      <c r="BA82" s="106">
        <v>26966.399999999994</v>
      </c>
      <c r="BB82" s="106">
        <v>57</v>
      </c>
      <c r="BC82" s="106">
        <v>29001.599999999995</v>
      </c>
      <c r="BD82" s="106">
        <v>59</v>
      </c>
      <c r="BE82" s="106">
        <v>30019.199999999993</v>
      </c>
      <c r="BF82" s="106">
        <v>58</v>
      </c>
      <c r="BG82" s="106">
        <v>29510.399999999994</v>
      </c>
      <c r="BH82" s="106">
        <v>4</v>
      </c>
      <c r="BI82" s="106">
        <v>2035.1999999999996</v>
      </c>
      <c r="BJ82" s="106">
        <v>4</v>
      </c>
      <c r="BK82" s="106">
        <v>2035.1999999999996</v>
      </c>
      <c r="BL82" s="106">
        <v>7</v>
      </c>
      <c r="BM82" s="106">
        <v>3561.5999999999995</v>
      </c>
      <c r="BN82" s="106">
        <v>7</v>
      </c>
      <c r="BO82" s="106">
        <v>3561.5999999999995</v>
      </c>
      <c r="BP82" s="106">
        <v>3</v>
      </c>
      <c r="BQ82" s="106">
        <v>1526.3999999999996</v>
      </c>
      <c r="BR82" s="106">
        <v>5</v>
      </c>
      <c r="BS82" s="106">
        <v>2543.9999999999995</v>
      </c>
      <c r="BT82" s="106">
        <v>5</v>
      </c>
      <c r="BU82" s="106">
        <v>2543.9999999999995</v>
      </c>
      <c r="BV82" s="106">
        <v>4</v>
      </c>
      <c r="BW82" s="106">
        <v>2035.1999999999996</v>
      </c>
      <c r="BX82" s="106">
        <v>5</v>
      </c>
      <c r="BY82" s="106">
        <v>2543.9999999999995</v>
      </c>
      <c r="BZ82" s="106">
        <v>6</v>
      </c>
      <c r="CA82" s="106">
        <v>3052.7999999999993</v>
      </c>
      <c r="CB82" s="106">
        <v>6</v>
      </c>
      <c r="CC82" s="106">
        <v>3052.7999999999993</v>
      </c>
      <c r="CD82" s="106">
        <v>5</v>
      </c>
      <c r="CE82" s="106">
        <v>2543.9999999999995</v>
      </c>
      <c r="CF82" s="106">
        <v>19</v>
      </c>
      <c r="CG82" s="106">
        <v>9667.1999999999989</v>
      </c>
      <c r="CH82" s="106">
        <v>26</v>
      </c>
      <c r="CI82" s="106">
        <v>13228.799999999997</v>
      </c>
      <c r="CJ82" s="106">
        <v>18</v>
      </c>
      <c r="CK82" s="106">
        <v>9158.3999999999978</v>
      </c>
      <c r="CL82" s="106">
        <v>23</v>
      </c>
      <c r="CM82" s="106">
        <v>11702.399999999998</v>
      </c>
      <c r="CN82" s="106">
        <v>2</v>
      </c>
      <c r="CO82" s="106">
        <v>1017.5999999999998</v>
      </c>
      <c r="CP82" s="106">
        <v>3</v>
      </c>
      <c r="CQ82" s="106">
        <v>1526.3999999999996</v>
      </c>
      <c r="CR82" s="106">
        <v>3</v>
      </c>
      <c r="CS82" s="106">
        <v>1526.3999999999996</v>
      </c>
      <c r="CT82" s="106">
        <v>4</v>
      </c>
      <c r="CU82" s="106">
        <v>2035.1999999999996</v>
      </c>
    </row>
    <row r="83" spans="2:99" x14ac:dyDescent="0.2">
      <c r="C83" s="105" t="s">
        <v>249</v>
      </c>
      <c r="D83" s="106">
        <v>11</v>
      </c>
      <c r="E83" s="106">
        <v>9464.4</v>
      </c>
      <c r="F83" s="106">
        <v>16</v>
      </c>
      <c r="G83" s="106">
        <v>13766.4</v>
      </c>
      <c r="H83" s="106">
        <v>15</v>
      </c>
      <c r="I83" s="106">
        <v>12906</v>
      </c>
      <c r="J83" s="106">
        <v>13</v>
      </c>
      <c r="K83" s="106">
        <v>11185.199999999999</v>
      </c>
      <c r="L83" s="106">
        <v>18</v>
      </c>
      <c r="M83" s="106">
        <v>15487.199999999999</v>
      </c>
      <c r="N83" s="106">
        <v>11</v>
      </c>
      <c r="O83" s="106">
        <v>9464.4</v>
      </c>
      <c r="P83" s="106">
        <v>13</v>
      </c>
      <c r="Q83" s="106">
        <v>11185.199999999999</v>
      </c>
      <c r="R83" s="106">
        <v>21</v>
      </c>
      <c r="S83" s="106">
        <v>18068.399999999998</v>
      </c>
      <c r="T83" s="106">
        <v>5</v>
      </c>
      <c r="U83" s="106">
        <v>4302</v>
      </c>
      <c r="V83" s="106">
        <v>6</v>
      </c>
      <c r="W83" s="106">
        <v>5162.3999999999996</v>
      </c>
      <c r="X83" s="106">
        <v>5</v>
      </c>
      <c r="Y83" s="106">
        <v>4302</v>
      </c>
      <c r="Z83" s="106">
        <v>7</v>
      </c>
      <c r="AA83" s="106">
        <v>6022.8</v>
      </c>
      <c r="AB83" s="106">
        <v>8</v>
      </c>
      <c r="AC83" s="106">
        <v>6883.2</v>
      </c>
      <c r="AD83" s="106">
        <v>6</v>
      </c>
      <c r="AE83" s="106">
        <v>5162.3999999999996</v>
      </c>
      <c r="AF83" s="106">
        <v>6</v>
      </c>
      <c r="AG83" s="106">
        <v>5162.3999999999996</v>
      </c>
      <c r="AH83" s="106">
        <v>9</v>
      </c>
      <c r="AI83" s="106">
        <v>7743.5999999999995</v>
      </c>
      <c r="AJ83" s="106">
        <v>5</v>
      </c>
      <c r="AK83" s="106">
        <v>4302</v>
      </c>
      <c r="AL83" s="106">
        <v>3</v>
      </c>
      <c r="AM83" s="106">
        <v>2581.1999999999998</v>
      </c>
      <c r="AN83" s="106">
        <v>3</v>
      </c>
      <c r="AO83" s="106">
        <v>2581.1999999999998</v>
      </c>
      <c r="AP83" s="106">
        <v>3</v>
      </c>
      <c r="AQ83" s="106">
        <v>2581.1999999999998</v>
      </c>
      <c r="AR83" s="106">
        <v>39</v>
      </c>
      <c r="AS83" s="106">
        <v>33555.599999999999</v>
      </c>
      <c r="AT83" s="106">
        <v>36</v>
      </c>
      <c r="AU83" s="106">
        <v>30974.399999999998</v>
      </c>
      <c r="AV83" s="106">
        <v>42</v>
      </c>
      <c r="AW83" s="106">
        <v>36136.799999999996</v>
      </c>
      <c r="AX83" s="106">
        <v>41</v>
      </c>
      <c r="AY83" s="106">
        <v>35276.400000000001</v>
      </c>
      <c r="AZ83" s="106">
        <v>54</v>
      </c>
      <c r="BA83" s="106">
        <v>46461.599999999999</v>
      </c>
      <c r="BB83" s="106">
        <v>57</v>
      </c>
      <c r="BC83" s="106">
        <v>49042.799999999996</v>
      </c>
      <c r="BD83" s="106">
        <v>49</v>
      </c>
      <c r="BE83" s="106">
        <v>42159.6</v>
      </c>
      <c r="BF83" s="106">
        <v>45</v>
      </c>
      <c r="BG83" s="106">
        <v>38718</v>
      </c>
      <c r="BH83" s="106">
        <v>4</v>
      </c>
      <c r="BI83" s="106">
        <v>3441.6</v>
      </c>
      <c r="BJ83" s="106">
        <v>4</v>
      </c>
      <c r="BK83" s="106">
        <v>3441.6</v>
      </c>
      <c r="BL83" s="106">
        <v>6</v>
      </c>
      <c r="BM83" s="106">
        <v>5162.3999999999996</v>
      </c>
      <c r="BN83" s="106">
        <v>6</v>
      </c>
      <c r="BO83" s="106">
        <v>5162.3999999999996</v>
      </c>
      <c r="BP83" s="106">
        <v>3</v>
      </c>
      <c r="BQ83" s="106">
        <v>2581.1999999999998</v>
      </c>
      <c r="BR83" s="106">
        <v>6</v>
      </c>
      <c r="BS83" s="106">
        <v>5162.3999999999996</v>
      </c>
      <c r="BT83" s="106">
        <v>5</v>
      </c>
      <c r="BU83" s="106">
        <v>4302</v>
      </c>
      <c r="BV83" s="106">
        <v>3</v>
      </c>
      <c r="BW83" s="106">
        <v>2581.1999999999998</v>
      </c>
      <c r="BX83" s="106">
        <v>4</v>
      </c>
      <c r="BY83" s="106">
        <v>3441.6</v>
      </c>
      <c r="BZ83" s="106">
        <v>5</v>
      </c>
      <c r="CA83" s="106">
        <v>4302</v>
      </c>
      <c r="CB83" s="106">
        <v>6</v>
      </c>
      <c r="CC83" s="106">
        <v>5162.3999999999996</v>
      </c>
      <c r="CD83" s="106">
        <v>5</v>
      </c>
      <c r="CE83" s="106">
        <v>4302</v>
      </c>
      <c r="CF83" s="106">
        <v>17</v>
      </c>
      <c r="CG83" s="106">
        <v>14626.8</v>
      </c>
      <c r="CH83" s="106">
        <v>23</v>
      </c>
      <c r="CI83" s="106">
        <v>19789.2</v>
      </c>
      <c r="CJ83" s="106">
        <v>20</v>
      </c>
      <c r="CK83" s="106">
        <v>17208</v>
      </c>
      <c r="CL83" s="106">
        <v>22</v>
      </c>
      <c r="CM83" s="106">
        <v>18928.8</v>
      </c>
      <c r="CN83" s="106">
        <v>3</v>
      </c>
      <c r="CO83" s="106">
        <v>2581.1999999999998</v>
      </c>
      <c r="CP83" s="106">
        <v>3</v>
      </c>
      <c r="CQ83" s="106">
        <v>2581.1999999999998</v>
      </c>
      <c r="CR83" s="106">
        <v>3</v>
      </c>
      <c r="CS83" s="106">
        <v>2581.1999999999998</v>
      </c>
      <c r="CT83" s="106">
        <v>4</v>
      </c>
      <c r="CU83" s="106">
        <v>3441.6</v>
      </c>
    </row>
    <row r="84" spans="2:99" x14ac:dyDescent="0.2">
      <c r="C84" s="105" t="s">
        <v>250</v>
      </c>
      <c r="D84" s="106">
        <v>12</v>
      </c>
      <c r="E84" s="106">
        <v>9374.4</v>
      </c>
      <c r="F84" s="106">
        <v>17</v>
      </c>
      <c r="G84" s="106">
        <v>13280.4</v>
      </c>
      <c r="H84" s="106">
        <v>16</v>
      </c>
      <c r="I84" s="106">
        <v>12499.199999999999</v>
      </c>
      <c r="J84" s="106">
        <v>13</v>
      </c>
      <c r="K84" s="106">
        <v>10155.599999999999</v>
      </c>
      <c r="L84" s="106">
        <v>18</v>
      </c>
      <c r="M84" s="106">
        <v>14061.599999999999</v>
      </c>
      <c r="N84" s="106">
        <v>12</v>
      </c>
      <c r="O84" s="106">
        <v>9374.4</v>
      </c>
      <c r="P84" s="106">
        <v>15</v>
      </c>
      <c r="Q84" s="106">
        <v>11717.999999999998</v>
      </c>
      <c r="R84" s="106">
        <v>19</v>
      </c>
      <c r="S84" s="106">
        <v>14842.8</v>
      </c>
      <c r="T84" s="106">
        <v>4</v>
      </c>
      <c r="U84" s="106">
        <v>3124.7999999999997</v>
      </c>
      <c r="V84" s="106">
        <v>6</v>
      </c>
      <c r="W84" s="106">
        <v>4687.2</v>
      </c>
      <c r="X84" s="106">
        <v>5</v>
      </c>
      <c r="Y84" s="106">
        <v>3905.9999999999995</v>
      </c>
      <c r="Z84" s="106">
        <v>8</v>
      </c>
      <c r="AA84" s="106">
        <v>6249.5999999999995</v>
      </c>
      <c r="AB84" s="106">
        <v>9</v>
      </c>
      <c r="AC84" s="106">
        <v>7030.7999999999993</v>
      </c>
      <c r="AD84" s="106">
        <v>6</v>
      </c>
      <c r="AE84" s="106">
        <v>4687.2</v>
      </c>
      <c r="AF84" s="106">
        <v>6</v>
      </c>
      <c r="AG84" s="106">
        <v>4687.2</v>
      </c>
      <c r="AH84" s="106">
        <v>9</v>
      </c>
      <c r="AI84" s="106">
        <v>7030.7999999999993</v>
      </c>
      <c r="AJ84" s="106">
        <v>5</v>
      </c>
      <c r="AK84" s="106">
        <v>3905.9999999999995</v>
      </c>
      <c r="AL84" s="106">
        <v>3</v>
      </c>
      <c r="AM84" s="106">
        <v>2343.6</v>
      </c>
      <c r="AN84" s="106">
        <v>3</v>
      </c>
      <c r="AO84" s="106">
        <v>2343.6</v>
      </c>
      <c r="AP84" s="106">
        <v>4</v>
      </c>
      <c r="AQ84" s="106">
        <v>3124.7999999999997</v>
      </c>
      <c r="AR84" s="106">
        <v>39</v>
      </c>
      <c r="AS84" s="106">
        <v>30466.799999999996</v>
      </c>
      <c r="AT84" s="106">
        <v>31</v>
      </c>
      <c r="AU84" s="106">
        <v>24217.199999999997</v>
      </c>
      <c r="AV84" s="106">
        <v>39</v>
      </c>
      <c r="AW84" s="106">
        <v>30466.799999999996</v>
      </c>
      <c r="AX84" s="106">
        <v>40</v>
      </c>
      <c r="AY84" s="106">
        <v>31247.999999999996</v>
      </c>
      <c r="AZ84" s="106">
        <v>53</v>
      </c>
      <c r="BA84" s="106">
        <v>41403.599999999999</v>
      </c>
      <c r="BB84" s="106">
        <v>51</v>
      </c>
      <c r="BC84" s="106">
        <v>39841.199999999997</v>
      </c>
      <c r="BD84" s="106">
        <v>54</v>
      </c>
      <c r="BE84" s="106">
        <v>42184.799999999996</v>
      </c>
      <c r="BF84" s="106">
        <v>54</v>
      </c>
      <c r="BG84" s="106">
        <v>42184.799999999996</v>
      </c>
      <c r="BH84" s="106">
        <v>4</v>
      </c>
      <c r="BI84" s="106">
        <v>3124.7999999999997</v>
      </c>
      <c r="BJ84" s="106">
        <v>4</v>
      </c>
      <c r="BK84" s="106">
        <v>3124.7999999999997</v>
      </c>
      <c r="BL84" s="106">
        <v>6</v>
      </c>
      <c r="BM84" s="106">
        <v>4687.2</v>
      </c>
      <c r="BN84" s="106">
        <v>6</v>
      </c>
      <c r="BO84" s="106">
        <v>4687.2</v>
      </c>
      <c r="BP84" s="106">
        <v>3</v>
      </c>
      <c r="BQ84" s="106">
        <v>2343.6</v>
      </c>
      <c r="BR84" s="106">
        <v>5</v>
      </c>
      <c r="BS84" s="106">
        <v>3905.9999999999995</v>
      </c>
      <c r="BT84" s="106">
        <v>5</v>
      </c>
      <c r="BU84" s="106">
        <v>3905.9999999999995</v>
      </c>
      <c r="BV84" s="106">
        <v>4</v>
      </c>
      <c r="BW84" s="106">
        <v>3124.7999999999997</v>
      </c>
      <c r="BX84" s="106">
        <v>5</v>
      </c>
      <c r="BY84" s="106">
        <v>3905.9999999999995</v>
      </c>
      <c r="BZ84" s="106">
        <v>5</v>
      </c>
      <c r="CA84" s="106">
        <v>3905.9999999999995</v>
      </c>
      <c r="CB84" s="106">
        <v>6</v>
      </c>
      <c r="CC84" s="106">
        <v>4687.2</v>
      </c>
      <c r="CD84" s="106">
        <v>5</v>
      </c>
      <c r="CE84" s="106">
        <v>3905.9999999999995</v>
      </c>
      <c r="CF84" s="106">
        <v>16</v>
      </c>
      <c r="CG84" s="106">
        <v>12499.199999999999</v>
      </c>
      <c r="CH84" s="106">
        <v>23</v>
      </c>
      <c r="CI84" s="106">
        <v>17967.599999999999</v>
      </c>
      <c r="CJ84" s="106">
        <v>18</v>
      </c>
      <c r="CK84" s="106">
        <v>14061.599999999999</v>
      </c>
      <c r="CL84" s="106">
        <v>22</v>
      </c>
      <c r="CM84" s="106">
        <v>17186.399999999998</v>
      </c>
      <c r="CN84" s="106">
        <v>3</v>
      </c>
      <c r="CO84" s="106">
        <v>2343.6</v>
      </c>
      <c r="CP84" s="106">
        <v>3</v>
      </c>
      <c r="CQ84" s="106">
        <v>2343.6</v>
      </c>
      <c r="CR84" s="106">
        <v>3</v>
      </c>
      <c r="CS84" s="106">
        <v>2343.6</v>
      </c>
      <c r="CT84" s="106">
        <v>3</v>
      </c>
      <c r="CU84" s="106">
        <v>2343.6</v>
      </c>
    </row>
    <row r="85" spans="2:99" x14ac:dyDescent="0.2">
      <c r="C85" s="105" t="s">
        <v>251</v>
      </c>
      <c r="D85" s="106">
        <v>13</v>
      </c>
      <c r="E85" s="106">
        <v>1950</v>
      </c>
      <c r="F85" s="106">
        <v>17</v>
      </c>
      <c r="G85" s="106">
        <v>2550</v>
      </c>
      <c r="H85" s="106">
        <v>17</v>
      </c>
      <c r="I85" s="106">
        <v>2550</v>
      </c>
      <c r="J85" s="106">
        <v>13</v>
      </c>
      <c r="K85" s="106">
        <v>1950</v>
      </c>
      <c r="L85" s="106">
        <v>21</v>
      </c>
      <c r="M85" s="106">
        <v>3150</v>
      </c>
      <c r="N85" s="106">
        <v>12</v>
      </c>
      <c r="O85" s="106">
        <v>1800</v>
      </c>
      <c r="P85" s="106">
        <v>15</v>
      </c>
      <c r="Q85" s="106">
        <v>2250</v>
      </c>
      <c r="R85" s="106">
        <v>21</v>
      </c>
      <c r="S85" s="106">
        <v>3150</v>
      </c>
      <c r="T85" s="106">
        <v>5</v>
      </c>
      <c r="U85" s="106">
        <v>750</v>
      </c>
      <c r="V85" s="106">
        <v>6</v>
      </c>
      <c r="W85" s="106">
        <v>900</v>
      </c>
      <c r="X85" s="106">
        <v>6</v>
      </c>
      <c r="Y85" s="106">
        <v>900</v>
      </c>
      <c r="Z85" s="106">
        <v>8</v>
      </c>
      <c r="AA85" s="106">
        <v>1200</v>
      </c>
      <c r="AB85" s="106">
        <v>11</v>
      </c>
      <c r="AC85" s="106">
        <v>1650</v>
      </c>
      <c r="AD85" s="106">
        <v>7</v>
      </c>
      <c r="AE85" s="106">
        <v>1050</v>
      </c>
      <c r="AF85" s="106">
        <v>6</v>
      </c>
      <c r="AG85" s="106">
        <v>900</v>
      </c>
      <c r="AH85" s="106">
        <v>10</v>
      </c>
      <c r="AI85" s="106">
        <v>1500</v>
      </c>
      <c r="AJ85" s="106">
        <v>5</v>
      </c>
      <c r="AK85" s="106">
        <v>750</v>
      </c>
      <c r="AL85" s="106">
        <v>4</v>
      </c>
      <c r="AM85" s="106">
        <v>600</v>
      </c>
      <c r="AN85" s="106">
        <v>4</v>
      </c>
      <c r="AO85" s="106">
        <v>600</v>
      </c>
      <c r="AP85" s="106">
        <v>4</v>
      </c>
      <c r="AQ85" s="106">
        <v>600</v>
      </c>
      <c r="AR85" s="106">
        <v>46</v>
      </c>
      <c r="AS85" s="106">
        <v>6900</v>
      </c>
      <c r="AT85" s="106">
        <v>40</v>
      </c>
      <c r="AU85" s="106">
        <v>6000</v>
      </c>
      <c r="AV85" s="106">
        <v>47</v>
      </c>
      <c r="AW85" s="106">
        <v>7050</v>
      </c>
      <c r="AX85" s="106">
        <v>51</v>
      </c>
      <c r="AY85" s="106">
        <v>7650</v>
      </c>
      <c r="AZ85" s="106">
        <v>68</v>
      </c>
      <c r="BA85" s="106">
        <v>10200</v>
      </c>
      <c r="BB85" s="106">
        <v>65</v>
      </c>
      <c r="BC85" s="106">
        <v>9750</v>
      </c>
      <c r="BD85" s="106">
        <v>67</v>
      </c>
      <c r="BE85" s="106">
        <v>10050</v>
      </c>
      <c r="BF85" s="106">
        <v>63</v>
      </c>
      <c r="BG85" s="106">
        <v>9450</v>
      </c>
      <c r="BH85" s="106">
        <v>4</v>
      </c>
      <c r="BI85" s="106">
        <v>600</v>
      </c>
      <c r="BJ85" s="106">
        <v>4</v>
      </c>
      <c r="BK85" s="106">
        <v>600</v>
      </c>
      <c r="BL85" s="106">
        <v>7</v>
      </c>
      <c r="BM85" s="106">
        <v>1050</v>
      </c>
      <c r="BN85" s="106">
        <v>7</v>
      </c>
      <c r="BO85" s="106">
        <v>1050</v>
      </c>
      <c r="BP85" s="106">
        <v>3</v>
      </c>
      <c r="BQ85" s="106">
        <v>450</v>
      </c>
      <c r="BR85" s="106">
        <v>5</v>
      </c>
      <c r="BS85" s="106">
        <v>750</v>
      </c>
      <c r="BT85" s="106">
        <v>5</v>
      </c>
      <c r="BU85" s="106">
        <v>750</v>
      </c>
      <c r="BV85" s="106">
        <v>4</v>
      </c>
      <c r="BW85" s="106">
        <v>600</v>
      </c>
      <c r="BX85" s="106">
        <v>5</v>
      </c>
      <c r="BY85" s="106">
        <v>750</v>
      </c>
      <c r="BZ85" s="106">
        <v>5</v>
      </c>
      <c r="CA85" s="106">
        <v>750</v>
      </c>
      <c r="CB85" s="106">
        <v>6</v>
      </c>
      <c r="CC85" s="106">
        <v>900</v>
      </c>
      <c r="CD85" s="106">
        <v>6</v>
      </c>
      <c r="CE85" s="106">
        <v>900</v>
      </c>
      <c r="CF85" s="106">
        <v>17</v>
      </c>
      <c r="CG85" s="106">
        <v>2550</v>
      </c>
      <c r="CH85" s="106">
        <v>26</v>
      </c>
      <c r="CI85" s="106">
        <v>3900</v>
      </c>
      <c r="CJ85" s="106">
        <v>21</v>
      </c>
      <c r="CK85" s="106">
        <v>3150</v>
      </c>
      <c r="CL85" s="106">
        <v>26</v>
      </c>
      <c r="CM85" s="106">
        <v>3900</v>
      </c>
      <c r="CN85" s="106">
        <v>2</v>
      </c>
      <c r="CO85" s="106">
        <v>300</v>
      </c>
      <c r="CP85" s="106">
        <v>3</v>
      </c>
      <c r="CQ85" s="106">
        <v>450</v>
      </c>
      <c r="CR85" s="106">
        <v>3</v>
      </c>
      <c r="CS85" s="106">
        <v>450</v>
      </c>
      <c r="CT85" s="106">
        <v>4</v>
      </c>
      <c r="CU85" s="106">
        <v>600</v>
      </c>
    </row>
    <row r="86" spans="2:99" x14ac:dyDescent="0.2">
      <c r="C86" s="105" t="s">
        <v>252</v>
      </c>
      <c r="D86" s="106">
        <v>13</v>
      </c>
      <c r="E86" s="106">
        <v>7020</v>
      </c>
      <c r="F86" s="106">
        <v>18</v>
      </c>
      <c r="G86" s="106">
        <v>9720</v>
      </c>
      <c r="H86" s="106">
        <v>17</v>
      </c>
      <c r="I86" s="106">
        <v>9180</v>
      </c>
      <c r="J86" s="106">
        <v>14</v>
      </c>
      <c r="K86" s="106">
        <v>7560</v>
      </c>
      <c r="L86" s="106">
        <v>19</v>
      </c>
      <c r="M86" s="106">
        <v>10260</v>
      </c>
      <c r="N86" s="106">
        <v>12</v>
      </c>
      <c r="O86" s="106">
        <v>6480</v>
      </c>
      <c r="P86" s="106">
        <v>14</v>
      </c>
      <c r="Q86" s="106">
        <v>7560</v>
      </c>
      <c r="R86" s="106">
        <v>21</v>
      </c>
      <c r="S86" s="106">
        <v>11340</v>
      </c>
      <c r="T86" s="106">
        <v>5</v>
      </c>
      <c r="U86" s="106">
        <v>2700</v>
      </c>
      <c r="V86" s="106">
        <v>6</v>
      </c>
      <c r="W86" s="106">
        <v>3240</v>
      </c>
      <c r="X86" s="106">
        <v>6</v>
      </c>
      <c r="Y86" s="106">
        <v>3240</v>
      </c>
      <c r="Z86" s="106">
        <v>7</v>
      </c>
      <c r="AA86" s="106">
        <v>3780</v>
      </c>
      <c r="AB86" s="106">
        <v>10</v>
      </c>
      <c r="AC86" s="106">
        <v>5400</v>
      </c>
      <c r="AD86" s="106">
        <v>7</v>
      </c>
      <c r="AE86" s="106">
        <v>3780</v>
      </c>
      <c r="AF86" s="106">
        <v>6</v>
      </c>
      <c r="AG86" s="106">
        <v>3240</v>
      </c>
      <c r="AH86" s="106">
        <v>11</v>
      </c>
      <c r="AI86" s="106">
        <v>5940</v>
      </c>
      <c r="AJ86" s="106">
        <v>6</v>
      </c>
      <c r="AK86" s="106">
        <v>3240</v>
      </c>
      <c r="AL86" s="106">
        <v>3</v>
      </c>
      <c r="AM86" s="106">
        <v>1620</v>
      </c>
      <c r="AN86" s="106">
        <v>4</v>
      </c>
      <c r="AO86" s="106">
        <v>2160</v>
      </c>
      <c r="AP86" s="106">
        <v>4</v>
      </c>
      <c r="AQ86" s="106">
        <v>2160</v>
      </c>
      <c r="AR86" s="106">
        <v>45</v>
      </c>
      <c r="AS86" s="106">
        <v>24300</v>
      </c>
      <c r="AT86" s="106">
        <v>36</v>
      </c>
      <c r="AU86" s="106">
        <v>19440</v>
      </c>
      <c r="AV86" s="106">
        <v>40</v>
      </c>
      <c r="AW86" s="106">
        <v>21600</v>
      </c>
      <c r="AX86" s="106">
        <v>46</v>
      </c>
      <c r="AY86" s="106">
        <v>24840</v>
      </c>
      <c r="AZ86" s="106">
        <v>55</v>
      </c>
      <c r="BA86" s="106">
        <v>29700</v>
      </c>
      <c r="BB86" s="106">
        <v>60</v>
      </c>
      <c r="BC86" s="106">
        <v>32400</v>
      </c>
      <c r="BD86" s="106">
        <v>61</v>
      </c>
      <c r="BE86" s="106">
        <v>32940</v>
      </c>
      <c r="BF86" s="106">
        <v>49</v>
      </c>
      <c r="BG86" s="106">
        <v>26460</v>
      </c>
      <c r="BH86" s="106">
        <v>5</v>
      </c>
      <c r="BI86" s="106">
        <v>2700</v>
      </c>
      <c r="BJ86" s="106">
        <v>4</v>
      </c>
      <c r="BK86" s="106">
        <v>2160</v>
      </c>
      <c r="BL86" s="106">
        <v>7</v>
      </c>
      <c r="BM86" s="106">
        <v>3780</v>
      </c>
      <c r="BN86" s="106">
        <v>6</v>
      </c>
      <c r="BO86" s="106">
        <v>3240</v>
      </c>
      <c r="BP86" s="106">
        <v>3</v>
      </c>
      <c r="BQ86" s="106">
        <v>1620</v>
      </c>
      <c r="BR86" s="106">
        <v>6</v>
      </c>
      <c r="BS86" s="106">
        <v>3240</v>
      </c>
      <c r="BT86" s="106">
        <v>5</v>
      </c>
      <c r="BU86" s="106">
        <v>2700</v>
      </c>
      <c r="BV86" s="106">
        <v>3</v>
      </c>
      <c r="BW86" s="106">
        <v>1620</v>
      </c>
      <c r="BX86" s="106">
        <v>5</v>
      </c>
      <c r="BY86" s="106">
        <v>2700</v>
      </c>
      <c r="BZ86" s="106">
        <v>6</v>
      </c>
      <c r="CA86" s="106">
        <v>3240</v>
      </c>
      <c r="CB86" s="106">
        <v>6</v>
      </c>
      <c r="CC86" s="106">
        <v>3240</v>
      </c>
      <c r="CD86" s="106">
        <v>5</v>
      </c>
      <c r="CE86" s="106">
        <v>2700</v>
      </c>
      <c r="CF86" s="106">
        <v>16</v>
      </c>
      <c r="CG86" s="106">
        <v>8640</v>
      </c>
      <c r="CH86" s="106">
        <v>28</v>
      </c>
      <c r="CI86" s="106">
        <v>15120</v>
      </c>
      <c r="CJ86" s="106">
        <v>20</v>
      </c>
      <c r="CK86" s="106">
        <v>10800</v>
      </c>
      <c r="CL86" s="106">
        <v>24</v>
      </c>
      <c r="CM86" s="106">
        <v>12960</v>
      </c>
      <c r="CN86" s="106">
        <v>2</v>
      </c>
      <c r="CO86" s="106">
        <v>1080</v>
      </c>
      <c r="CP86" s="106">
        <v>3</v>
      </c>
      <c r="CQ86" s="106">
        <v>1620</v>
      </c>
      <c r="CR86" s="106">
        <v>3</v>
      </c>
      <c r="CS86" s="106">
        <v>1620</v>
      </c>
      <c r="CT86" s="106">
        <v>4</v>
      </c>
      <c r="CU86" s="106">
        <v>2160</v>
      </c>
    </row>
    <row r="87" spans="2:99" x14ac:dyDescent="0.2">
      <c r="B87" s="105" t="s">
        <v>131</v>
      </c>
      <c r="C87" s="105" t="s">
        <v>253</v>
      </c>
      <c r="D87" s="106">
        <v>5</v>
      </c>
      <c r="E87" s="106">
        <v>9774</v>
      </c>
      <c r="F87" s="106">
        <v>4</v>
      </c>
      <c r="G87" s="106">
        <v>7819.2</v>
      </c>
      <c r="H87" s="106">
        <v>5</v>
      </c>
      <c r="I87" s="106">
        <v>9774</v>
      </c>
      <c r="J87" s="106">
        <v>5</v>
      </c>
      <c r="K87" s="106">
        <v>9774</v>
      </c>
      <c r="L87" s="106">
        <v>10</v>
      </c>
      <c r="M87" s="106">
        <v>19548</v>
      </c>
      <c r="N87" s="106">
        <v>8</v>
      </c>
      <c r="O87" s="106">
        <v>15638.4</v>
      </c>
      <c r="P87" s="106">
        <v>6</v>
      </c>
      <c r="Q87" s="106">
        <v>11728.8</v>
      </c>
      <c r="R87" s="106">
        <v>9</v>
      </c>
      <c r="S87" s="106">
        <v>17593.2</v>
      </c>
      <c r="T87" s="106">
        <v>6</v>
      </c>
      <c r="U87" s="106">
        <v>11728.8</v>
      </c>
      <c r="V87" s="106">
        <v>8</v>
      </c>
      <c r="W87" s="106">
        <v>15638.4</v>
      </c>
      <c r="X87" s="106">
        <v>5</v>
      </c>
      <c r="Y87" s="106">
        <v>9774</v>
      </c>
      <c r="Z87" s="106">
        <v>6</v>
      </c>
      <c r="AA87" s="106">
        <v>11728.8</v>
      </c>
      <c r="AB87" s="106">
        <v>11</v>
      </c>
      <c r="AC87" s="106">
        <v>21502.799999999999</v>
      </c>
      <c r="AD87" s="106">
        <v>14</v>
      </c>
      <c r="AE87" s="106">
        <v>27367.200000000001</v>
      </c>
      <c r="AF87" s="106">
        <v>14</v>
      </c>
      <c r="AG87" s="106">
        <v>27367.200000000001</v>
      </c>
      <c r="AH87" s="106">
        <v>21</v>
      </c>
      <c r="AI87" s="106">
        <v>41050.799999999996</v>
      </c>
      <c r="AJ87" s="106">
        <v>3</v>
      </c>
      <c r="AK87" s="106">
        <v>5864.4</v>
      </c>
      <c r="AL87" s="106">
        <v>2</v>
      </c>
      <c r="AM87" s="106">
        <v>3909.6</v>
      </c>
      <c r="AN87" s="106">
        <v>2</v>
      </c>
      <c r="AO87" s="106">
        <v>3909.6</v>
      </c>
      <c r="AP87" s="106">
        <v>2</v>
      </c>
      <c r="AQ87" s="106">
        <v>3909.6</v>
      </c>
      <c r="AR87" s="106">
        <v>34</v>
      </c>
      <c r="AS87" s="106">
        <v>66463.199999999997</v>
      </c>
      <c r="AT87" s="106">
        <v>42</v>
      </c>
      <c r="AU87" s="106">
        <v>82101.599999999991</v>
      </c>
      <c r="AV87" s="106">
        <v>30</v>
      </c>
      <c r="AW87" s="106">
        <v>58644</v>
      </c>
      <c r="AX87" s="106">
        <v>36</v>
      </c>
      <c r="AY87" s="106">
        <v>70372.800000000003</v>
      </c>
      <c r="AZ87" s="106">
        <v>30</v>
      </c>
      <c r="BA87" s="106">
        <v>58644</v>
      </c>
      <c r="BB87" s="106">
        <v>23</v>
      </c>
      <c r="BC87" s="106">
        <v>44960.4</v>
      </c>
      <c r="BD87" s="106">
        <v>28</v>
      </c>
      <c r="BE87" s="106">
        <v>54734.400000000001</v>
      </c>
      <c r="BF87" s="106">
        <v>34</v>
      </c>
      <c r="BG87" s="106">
        <v>66463.199999999997</v>
      </c>
      <c r="BH87" s="106">
        <v>3</v>
      </c>
      <c r="BI87" s="106">
        <v>5864.4</v>
      </c>
      <c r="BJ87" s="106">
        <v>5</v>
      </c>
      <c r="BK87" s="106">
        <v>9774</v>
      </c>
      <c r="BL87" s="106">
        <v>3</v>
      </c>
      <c r="BM87" s="106">
        <v>5864.4</v>
      </c>
      <c r="BN87" s="106">
        <v>3</v>
      </c>
      <c r="BO87" s="106">
        <v>5864.4</v>
      </c>
      <c r="BP87" s="106">
        <v>13</v>
      </c>
      <c r="BQ87" s="106">
        <v>25412.399999999998</v>
      </c>
      <c r="BR87" s="106">
        <v>17</v>
      </c>
      <c r="BS87" s="106">
        <v>33231.599999999999</v>
      </c>
      <c r="BT87" s="106">
        <v>16</v>
      </c>
      <c r="BU87" s="106">
        <v>31276.799999999999</v>
      </c>
      <c r="BV87" s="106">
        <v>15</v>
      </c>
      <c r="BW87" s="106">
        <v>29322</v>
      </c>
      <c r="BX87" s="106">
        <v>9</v>
      </c>
      <c r="BY87" s="106">
        <v>17593.2</v>
      </c>
      <c r="BZ87" s="106">
        <v>7</v>
      </c>
      <c r="CA87" s="106">
        <v>13683.6</v>
      </c>
      <c r="CB87" s="106">
        <v>9</v>
      </c>
      <c r="CC87" s="106">
        <v>17593.2</v>
      </c>
      <c r="CD87" s="106">
        <v>6</v>
      </c>
      <c r="CE87" s="106">
        <v>11728.8</v>
      </c>
      <c r="CF87" s="106">
        <v>8</v>
      </c>
      <c r="CG87" s="106">
        <v>15638.4</v>
      </c>
      <c r="CH87" s="106">
        <v>10</v>
      </c>
      <c r="CI87" s="106">
        <v>19548</v>
      </c>
      <c r="CJ87" s="106">
        <v>6</v>
      </c>
      <c r="CK87" s="106">
        <v>11728.8</v>
      </c>
      <c r="CL87" s="106">
        <v>11</v>
      </c>
      <c r="CM87" s="106">
        <v>21502.799999999999</v>
      </c>
      <c r="CN87" s="106">
        <v>27</v>
      </c>
      <c r="CO87" s="106">
        <v>52779.6</v>
      </c>
      <c r="CP87" s="106">
        <v>23</v>
      </c>
      <c r="CQ87" s="106">
        <v>44960.4</v>
      </c>
      <c r="CR87" s="106">
        <v>29</v>
      </c>
      <c r="CS87" s="106">
        <v>56689.2</v>
      </c>
      <c r="CT87" s="106">
        <v>19</v>
      </c>
      <c r="CU87" s="106">
        <v>37141.199999999997</v>
      </c>
    </row>
    <row r="88" spans="2:99" x14ac:dyDescent="0.2">
      <c r="C88" s="105" t="s">
        <v>254</v>
      </c>
      <c r="D88" s="106">
        <v>6</v>
      </c>
      <c r="E88" s="106">
        <v>11354.4</v>
      </c>
      <c r="F88" s="106">
        <v>4</v>
      </c>
      <c r="G88" s="106">
        <v>7569.5999999999995</v>
      </c>
      <c r="H88" s="106">
        <v>6</v>
      </c>
      <c r="I88" s="106">
        <v>11354.4</v>
      </c>
      <c r="J88" s="106">
        <v>6</v>
      </c>
      <c r="K88" s="106">
        <v>11354.4</v>
      </c>
      <c r="L88" s="106">
        <v>9</v>
      </c>
      <c r="M88" s="106">
        <v>17031.599999999999</v>
      </c>
      <c r="N88" s="106">
        <v>8</v>
      </c>
      <c r="O88" s="106">
        <v>15139.199999999999</v>
      </c>
      <c r="P88" s="106">
        <v>6</v>
      </c>
      <c r="Q88" s="106">
        <v>11354.4</v>
      </c>
      <c r="R88" s="106">
        <v>9</v>
      </c>
      <c r="S88" s="106">
        <v>17031.599999999999</v>
      </c>
      <c r="T88" s="106">
        <v>6</v>
      </c>
      <c r="U88" s="106">
        <v>11354.4</v>
      </c>
      <c r="V88" s="106">
        <v>8</v>
      </c>
      <c r="W88" s="106">
        <v>15139.199999999999</v>
      </c>
      <c r="X88" s="106">
        <v>5</v>
      </c>
      <c r="Y88" s="106">
        <v>9462</v>
      </c>
      <c r="Z88" s="106">
        <v>7</v>
      </c>
      <c r="AA88" s="106">
        <v>13246.8</v>
      </c>
      <c r="AB88" s="106">
        <v>12</v>
      </c>
      <c r="AC88" s="106">
        <v>22708.799999999999</v>
      </c>
      <c r="AD88" s="106">
        <v>13</v>
      </c>
      <c r="AE88" s="106">
        <v>24601.199999999997</v>
      </c>
      <c r="AF88" s="106">
        <v>14</v>
      </c>
      <c r="AG88" s="106">
        <v>26493.599999999999</v>
      </c>
      <c r="AH88" s="106">
        <v>22</v>
      </c>
      <c r="AI88" s="106">
        <v>41632.799999999996</v>
      </c>
      <c r="AJ88" s="106">
        <v>4</v>
      </c>
      <c r="AK88" s="106">
        <v>7569.5999999999995</v>
      </c>
      <c r="AL88" s="106">
        <v>3</v>
      </c>
      <c r="AM88" s="106">
        <v>5677.2</v>
      </c>
      <c r="AN88" s="106">
        <v>2</v>
      </c>
      <c r="AO88" s="106">
        <v>3784.7999999999997</v>
      </c>
      <c r="AP88" s="106">
        <v>2</v>
      </c>
      <c r="AQ88" s="106">
        <v>3784.7999999999997</v>
      </c>
      <c r="AR88" s="106">
        <v>35</v>
      </c>
      <c r="AS88" s="106">
        <v>66234</v>
      </c>
      <c r="AT88" s="106">
        <v>38</v>
      </c>
      <c r="AU88" s="106">
        <v>71911.199999999997</v>
      </c>
      <c r="AV88" s="106">
        <v>27</v>
      </c>
      <c r="AW88" s="106">
        <v>51094.799999999996</v>
      </c>
      <c r="AX88" s="106">
        <v>32</v>
      </c>
      <c r="AY88" s="106">
        <v>60556.799999999996</v>
      </c>
      <c r="AZ88" s="106">
        <v>30</v>
      </c>
      <c r="BA88" s="106">
        <v>56771.999999999993</v>
      </c>
      <c r="BB88" s="106">
        <v>24</v>
      </c>
      <c r="BC88" s="106">
        <v>45417.599999999999</v>
      </c>
      <c r="BD88" s="106">
        <v>28</v>
      </c>
      <c r="BE88" s="106">
        <v>52987.199999999997</v>
      </c>
      <c r="BF88" s="106">
        <v>31</v>
      </c>
      <c r="BG88" s="106">
        <v>58664.399999999994</v>
      </c>
      <c r="BH88" s="106">
        <v>3</v>
      </c>
      <c r="BI88" s="106">
        <v>5677.2</v>
      </c>
      <c r="BJ88" s="106">
        <v>4</v>
      </c>
      <c r="BK88" s="106">
        <v>7569.5999999999995</v>
      </c>
      <c r="BL88" s="106">
        <v>3</v>
      </c>
      <c r="BM88" s="106">
        <v>5677.2</v>
      </c>
      <c r="BN88" s="106">
        <v>4</v>
      </c>
      <c r="BO88" s="106">
        <v>7569.5999999999995</v>
      </c>
      <c r="BP88" s="106">
        <v>15</v>
      </c>
      <c r="BQ88" s="106">
        <v>28385.999999999996</v>
      </c>
      <c r="BR88" s="106">
        <v>17</v>
      </c>
      <c r="BS88" s="106">
        <v>32170.799999999999</v>
      </c>
      <c r="BT88" s="106">
        <v>17</v>
      </c>
      <c r="BU88" s="106">
        <v>32170.799999999999</v>
      </c>
      <c r="BV88" s="106">
        <v>17</v>
      </c>
      <c r="BW88" s="106">
        <v>32170.799999999999</v>
      </c>
      <c r="BX88" s="106">
        <v>11</v>
      </c>
      <c r="BY88" s="106">
        <v>20816.399999999998</v>
      </c>
      <c r="BZ88" s="106">
        <v>9</v>
      </c>
      <c r="CA88" s="106">
        <v>17031.599999999999</v>
      </c>
      <c r="CB88" s="106">
        <v>9</v>
      </c>
      <c r="CC88" s="106">
        <v>17031.599999999999</v>
      </c>
      <c r="CD88" s="106">
        <v>6</v>
      </c>
      <c r="CE88" s="106">
        <v>11354.4</v>
      </c>
      <c r="CF88" s="106">
        <v>7</v>
      </c>
      <c r="CG88" s="106">
        <v>13246.8</v>
      </c>
      <c r="CH88" s="106">
        <v>11</v>
      </c>
      <c r="CI88" s="106">
        <v>20816.399999999998</v>
      </c>
      <c r="CJ88" s="106">
        <v>6</v>
      </c>
      <c r="CK88" s="106">
        <v>11354.4</v>
      </c>
      <c r="CL88" s="106">
        <v>11</v>
      </c>
      <c r="CM88" s="106">
        <v>20816.399999999998</v>
      </c>
      <c r="CN88" s="106">
        <v>25</v>
      </c>
      <c r="CO88" s="106">
        <v>47310</v>
      </c>
      <c r="CP88" s="106">
        <v>25</v>
      </c>
      <c r="CQ88" s="106">
        <v>47310</v>
      </c>
      <c r="CR88" s="106">
        <v>30</v>
      </c>
      <c r="CS88" s="106">
        <v>56771.999999999993</v>
      </c>
      <c r="CT88" s="106">
        <v>21</v>
      </c>
      <c r="CU88" s="106">
        <v>39740.399999999994</v>
      </c>
    </row>
    <row r="89" spans="2:99" x14ac:dyDescent="0.2">
      <c r="C89" s="105" t="s">
        <v>255</v>
      </c>
      <c r="D89" s="106">
        <v>5</v>
      </c>
      <c r="E89" s="106">
        <v>11988</v>
      </c>
      <c r="F89" s="106">
        <v>3</v>
      </c>
      <c r="G89" s="106">
        <v>7192.7999999999993</v>
      </c>
      <c r="H89" s="106">
        <v>5</v>
      </c>
      <c r="I89" s="106">
        <v>11988</v>
      </c>
      <c r="J89" s="106">
        <v>5</v>
      </c>
      <c r="K89" s="106">
        <v>11988</v>
      </c>
      <c r="L89" s="106">
        <v>8</v>
      </c>
      <c r="M89" s="106">
        <v>19180.8</v>
      </c>
      <c r="N89" s="106">
        <v>8</v>
      </c>
      <c r="O89" s="106">
        <v>19180.8</v>
      </c>
      <c r="P89" s="106">
        <v>5</v>
      </c>
      <c r="Q89" s="106">
        <v>11988</v>
      </c>
      <c r="R89" s="106">
        <v>9</v>
      </c>
      <c r="S89" s="106">
        <v>21578.399999999998</v>
      </c>
      <c r="T89" s="106">
        <v>5</v>
      </c>
      <c r="U89" s="106">
        <v>11988</v>
      </c>
      <c r="V89" s="106">
        <v>7</v>
      </c>
      <c r="W89" s="106">
        <v>16783.2</v>
      </c>
      <c r="X89" s="106">
        <v>5</v>
      </c>
      <c r="Y89" s="106">
        <v>11988</v>
      </c>
      <c r="Z89" s="106">
        <v>6</v>
      </c>
      <c r="AA89" s="106">
        <v>14385.599999999999</v>
      </c>
      <c r="AB89" s="106">
        <v>11</v>
      </c>
      <c r="AC89" s="106">
        <v>26373.599999999999</v>
      </c>
      <c r="AD89" s="106">
        <v>12</v>
      </c>
      <c r="AE89" s="106">
        <v>28771.199999999997</v>
      </c>
      <c r="AF89" s="106">
        <v>15</v>
      </c>
      <c r="AG89" s="106">
        <v>35964</v>
      </c>
      <c r="AH89" s="106">
        <v>18</v>
      </c>
      <c r="AI89" s="106">
        <v>43156.799999999996</v>
      </c>
      <c r="AJ89" s="106">
        <v>4</v>
      </c>
      <c r="AK89" s="106">
        <v>9590.4</v>
      </c>
      <c r="AL89" s="106">
        <v>2</v>
      </c>
      <c r="AM89" s="106">
        <v>4795.2</v>
      </c>
      <c r="AN89" s="106">
        <v>2</v>
      </c>
      <c r="AO89" s="106">
        <v>4795.2</v>
      </c>
      <c r="AP89" s="106">
        <v>2</v>
      </c>
      <c r="AQ89" s="106">
        <v>4795.2</v>
      </c>
      <c r="AR89" s="106">
        <v>29</v>
      </c>
      <c r="AS89" s="106">
        <v>69530.399999999994</v>
      </c>
      <c r="AT89" s="106">
        <v>33</v>
      </c>
      <c r="AU89" s="106">
        <v>79120.800000000003</v>
      </c>
      <c r="AV89" s="106">
        <v>26</v>
      </c>
      <c r="AW89" s="106">
        <v>62337.599999999999</v>
      </c>
      <c r="AX89" s="106">
        <v>30</v>
      </c>
      <c r="AY89" s="106">
        <v>71928</v>
      </c>
      <c r="AZ89" s="106">
        <v>27</v>
      </c>
      <c r="BA89" s="106">
        <v>64735.199999999997</v>
      </c>
      <c r="BB89" s="106">
        <v>22</v>
      </c>
      <c r="BC89" s="106">
        <v>52747.199999999997</v>
      </c>
      <c r="BD89" s="106">
        <v>25</v>
      </c>
      <c r="BE89" s="106">
        <v>59940</v>
      </c>
      <c r="BF89" s="106">
        <v>29</v>
      </c>
      <c r="BG89" s="106">
        <v>69530.399999999994</v>
      </c>
      <c r="BH89" s="106">
        <v>3</v>
      </c>
      <c r="BI89" s="106">
        <v>7192.7999999999993</v>
      </c>
      <c r="BJ89" s="106">
        <v>5</v>
      </c>
      <c r="BK89" s="106">
        <v>11988</v>
      </c>
      <c r="BL89" s="106">
        <v>3</v>
      </c>
      <c r="BM89" s="106">
        <v>7192.7999999999993</v>
      </c>
      <c r="BN89" s="106">
        <v>4</v>
      </c>
      <c r="BO89" s="106">
        <v>9590.4</v>
      </c>
      <c r="BP89" s="106">
        <v>14</v>
      </c>
      <c r="BQ89" s="106">
        <v>33566.400000000001</v>
      </c>
      <c r="BR89" s="106">
        <v>17</v>
      </c>
      <c r="BS89" s="106">
        <v>40759.199999999997</v>
      </c>
      <c r="BT89" s="106">
        <v>16</v>
      </c>
      <c r="BU89" s="106">
        <v>38361.599999999999</v>
      </c>
      <c r="BV89" s="106">
        <v>15</v>
      </c>
      <c r="BW89" s="106">
        <v>35964</v>
      </c>
      <c r="BX89" s="106">
        <v>9</v>
      </c>
      <c r="BY89" s="106">
        <v>21578.399999999998</v>
      </c>
      <c r="BZ89" s="106">
        <v>8</v>
      </c>
      <c r="CA89" s="106">
        <v>19180.8</v>
      </c>
      <c r="CB89" s="106">
        <v>8</v>
      </c>
      <c r="CC89" s="106">
        <v>19180.8</v>
      </c>
      <c r="CD89" s="106">
        <v>5</v>
      </c>
      <c r="CE89" s="106">
        <v>11988</v>
      </c>
      <c r="CF89" s="106">
        <v>7</v>
      </c>
      <c r="CG89" s="106">
        <v>16783.2</v>
      </c>
      <c r="CH89" s="106">
        <v>11</v>
      </c>
      <c r="CI89" s="106">
        <v>26373.599999999999</v>
      </c>
      <c r="CJ89" s="106">
        <v>6</v>
      </c>
      <c r="CK89" s="106">
        <v>14385.599999999999</v>
      </c>
      <c r="CL89" s="106">
        <v>11</v>
      </c>
      <c r="CM89" s="106">
        <v>26373.599999999999</v>
      </c>
      <c r="CN89" s="106">
        <v>24</v>
      </c>
      <c r="CO89" s="106">
        <v>57542.399999999994</v>
      </c>
      <c r="CP89" s="106">
        <v>20</v>
      </c>
      <c r="CQ89" s="106">
        <v>47952</v>
      </c>
      <c r="CR89" s="106">
        <v>26</v>
      </c>
      <c r="CS89" s="106">
        <v>62337.599999999999</v>
      </c>
      <c r="CT89" s="106">
        <v>19</v>
      </c>
      <c r="CU89" s="106">
        <v>45554.400000000001</v>
      </c>
    </row>
    <row r="90" spans="2:99" x14ac:dyDescent="0.2">
      <c r="C90" s="105" t="s">
        <v>256</v>
      </c>
      <c r="D90" s="106">
        <v>5</v>
      </c>
      <c r="E90" s="106">
        <v>10986</v>
      </c>
      <c r="F90" s="106">
        <v>4</v>
      </c>
      <c r="G90" s="106">
        <v>8788.7999999999993</v>
      </c>
      <c r="H90" s="106">
        <v>6</v>
      </c>
      <c r="I90" s="106">
        <v>13183.199999999999</v>
      </c>
      <c r="J90" s="106">
        <v>6</v>
      </c>
      <c r="K90" s="106">
        <v>13183.199999999999</v>
      </c>
      <c r="L90" s="106">
        <v>9</v>
      </c>
      <c r="M90" s="106">
        <v>19774.8</v>
      </c>
      <c r="N90" s="106">
        <v>8</v>
      </c>
      <c r="O90" s="106">
        <v>17577.599999999999</v>
      </c>
      <c r="P90" s="106">
        <v>5</v>
      </c>
      <c r="Q90" s="106">
        <v>10986</v>
      </c>
      <c r="R90" s="106">
        <v>8</v>
      </c>
      <c r="S90" s="106">
        <v>17577.599999999999</v>
      </c>
      <c r="T90" s="106">
        <v>6</v>
      </c>
      <c r="U90" s="106">
        <v>13183.199999999999</v>
      </c>
      <c r="V90" s="106">
        <v>7</v>
      </c>
      <c r="W90" s="106">
        <v>15380.399999999998</v>
      </c>
      <c r="X90" s="106">
        <v>5</v>
      </c>
      <c r="Y90" s="106">
        <v>10986</v>
      </c>
      <c r="Z90" s="106">
        <v>7</v>
      </c>
      <c r="AA90" s="106">
        <v>15380.399999999998</v>
      </c>
      <c r="AB90" s="106">
        <v>10</v>
      </c>
      <c r="AC90" s="106">
        <v>21972</v>
      </c>
      <c r="AD90" s="106">
        <v>13</v>
      </c>
      <c r="AE90" s="106">
        <v>28563.599999999999</v>
      </c>
      <c r="AF90" s="106">
        <v>14</v>
      </c>
      <c r="AG90" s="106">
        <v>30760.799999999996</v>
      </c>
      <c r="AH90" s="106">
        <v>21</v>
      </c>
      <c r="AI90" s="106">
        <v>46141.2</v>
      </c>
      <c r="AJ90" s="106">
        <v>4</v>
      </c>
      <c r="AK90" s="106">
        <v>8788.7999999999993</v>
      </c>
      <c r="AL90" s="106">
        <v>3</v>
      </c>
      <c r="AM90" s="106">
        <v>6591.5999999999995</v>
      </c>
      <c r="AN90" s="106">
        <v>2</v>
      </c>
      <c r="AO90" s="106">
        <v>4394.3999999999996</v>
      </c>
      <c r="AP90" s="106">
        <v>2</v>
      </c>
      <c r="AQ90" s="106">
        <v>4394.3999999999996</v>
      </c>
      <c r="AR90" s="106">
        <v>30</v>
      </c>
      <c r="AS90" s="106">
        <v>65916</v>
      </c>
      <c r="AT90" s="106">
        <v>35</v>
      </c>
      <c r="AU90" s="106">
        <v>76902</v>
      </c>
      <c r="AV90" s="106">
        <v>27</v>
      </c>
      <c r="AW90" s="106">
        <v>59324.399999999994</v>
      </c>
      <c r="AX90" s="106">
        <v>32</v>
      </c>
      <c r="AY90" s="106">
        <v>70310.399999999994</v>
      </c>
      <c r="AZ90" s="106">
        <v>27</v>
      </c>
      <c r="BA90" s="106">
        <v>59324.399999999994</v>
      </c>
      <c r="BB90" s="106">
        <v>20</v>
      </c>
      <c r="BC90" s="106">
        <v>43944</v>
      </c>
      <c r="BD90" s="106">
        <v>25</v>
      </c>
      <c r="BE90" s="106">
        <v>54929.999999999993</v>
      </c>
      <c r="BF90" s="106">
        <v>28</v>
      </c>
      <c r="BG90" s="106">
        <v>61521.599999999991</v>
      </c>
      <c r="BH90" s="106">
        <v>3</v>
      </c>
      <c r="BI90" s="106">
        <v>6591.5999999999995</v>
      </c>
      <c r="BJ90" s="106">
        <v>4</v>
      </c>
      <c r="BK90" s="106">
        <v>8788.7999999999993</v>
      </c>
      <c r="BL90" s="106">
        <v>3</v>
      </c>
      <c r="BM90" s="106">
        <v>6591.5999999999995</v>
      </c>
      <c r="BN90" s="106">
        <v>3</v>
      </c>
      <c r="BO90" s="106">
        <v>6591.5999999999995</v>
      </c>
      <c r="BP90" s="106">
        <v>13</v>
      </c>
      <c r="BQ90" s="106">
        <v>28563.599999999999</v>
      </c>
      <c r="BR90" s="106">
        <v>17</v>
      </c>
      <c r="BS90" s="106">
        <v>37352.399999999994</v>
      </c>
      <c r="BT90" s="106">
        <v>17</v>
      </c>
      <c r="BU90" s="106">
        <v>37352.399999999994</v>
      </c>
      <c r="BV90" s="106">
        <v>13</v>
      </c>
      <c r="BW90" s="106">
        <v>28563.599999999999</v>
      </c>
      <c r="BX90" s="106">
        <v>10</v>
      </c>
      <c r="BY90" s="106">
        <v>21972</v>
      </c>
      <c r="BZ90" s="106">
        <v>8</v>
      </c>
      <c r="CA90" s="106">
        <v>17577.599999999999</v>
      </c>
      <c r="CB90" s="106">
        <v>7</v>
      </c>
      <c r="CC90" s="106">
        <v>15380.399999999998</v>
      </c>
      <c r="CD90" s="106">
        <v>5</v>
      </c>
      <c r="CE90" s="106">
        <v>10986</v>
      </c>
      <c r="CF90" s="106">
        <v>6</v>
      </c>
      <c r="CG90" s="106">
        <v>13183.199999999999</v>
      </c>
      <c r="CH90" s="106">
        <v>11</v>
      </c>
      <c r="CI90" s="106">
        <v>24169.199999999997</v>
      </c>
      <c r="CJ90" s="106">
        <v>6</v>
      </c>
      <c r="CK90" s="106">
        <v>13183.199999999999</v>
      </c>
      <c r="CL90" s="106">
        <v>11</v>
      </c>
      <c r="CM90" s="106">
        <v>24169.199999999997</v>
      </c>
      <c r="CN90" s="106">
        <v>23</v>
      </c>
      <c r="CO90" s="106">
        <v>50535.6</v>
      </c>
      <c r="CP90" s="106">
        <v>20</v>
      </c>
      <c r="CQ90" s="106">
        <v>43944</v>
      </c>
      <c r="CR90" s="106">
        <v>28</v>
      </c>
      <c r="CS90" s="106">
        <v>61521.599999999991</v>
      </c>
      <c r="CT90" s="106">
        <v>19</v>
      </c>
      <c r="CU90" s="106">
        <v>41746.799999999996</v>
      </c>
    </row>
    <row r="91" spans="2:99" x14ac:dyDescent="0.2">
      <c r="C91" s="105" t="s">
        <v>257</v>
      </c>
      <c r="D91" s="106">
        <v>5</v>
      </c>
      <c r="E91" s="106">
        <v>11483.999999999998</v>
      </c>
      <c r="F91" s="106">
        <v>3</v>
      </c>
      <c r="G91" s="106">
        <v>6890.4</v>
      </c>
      <c r="H91" s="106">
        <v>6</v>
      </c>
      <c r="I91" s="106">
        <v>13780.8</v>
      </c>
      <c r="J91" s="106">
        <v>6</v>
      </c>
      <c r="K91" s="106">
        <v>13780.8</v>
      </c>
      <c r="L91" s="106">
        <v>9</v>
      </c>
      <c r="M91" s="106">
        <v>20671.199999999997</v>
      </c>
      <c r="N91" s="106">
        <v>6</v>
      </c>
      <c r="O91" s="106">
        <v>13780.8</v>
      </c>
      <c r="P91" s="106">
        <v>5</v>
      </c>
      <c r="Q91" s="106">
        <v>11483.999999999998</v>
      </c>
      <c r="R91" s="106">
        <v>8</v>
      </c>
      <c r="S91" s="106">
        <v>18374.399999999998</v>
      </c>
      <c r="T91" s="106">
        <v>6</v>
      </c>
      <c r="U91" s="106">
        <v>13780.8</v>
      </c>
      <c r="V91" s="106">
        <v>7</v>
      </c>
      <c r="W91" s="106">
        <v>16077.599999999999</v>
      </c>
      <c r="X91" s="106">
        <v>5</v>
      </c>
      <c r="Y91" s="106">
        <v>11483.999999999998</v>
      </c>
      <c r="Z91" s="106">
        <v>6</v>
      </c>
      <c r="AA91" s="106">
        <v>13780.8</v>
      </c>
      <c r="AB91" s="106">
        <v>12</v>
      </c>
      <c r="AC91" s="106">
        <v>27561.599999999999</v>
      </c>
      <c r="AD91" s="106">
        <v>12</v>
      </c>
      <c r="AE91" s="106">
        <v>27561.599999999999</v>
      </c>
      <c r="AF91" s="106">
        <v>14</v>
      </c>
      <c r="AG91" s="106">
        <v>32155.199999999997</v>
      </c>
      <c r="AH91" s="106">
        <v>20</v>
      </c>
      <c r="AI91" s="106">
        <v>45935.999999999993</v>
      </c>
      <c r="AJ91" s="106">
        <v>3</v>
      </c>
      <c r="AK91" s="106">
        <v>6890.4</v>
      </c>
      <c r="AL91" s="106">
        <v>2</v>
      </c>
      <c r="AM91" s="106">
        <v>4593.5999999999995</v>
      </c>
      <c r="AN91" s="106">
        <v>2</v>
      </c>
      <c r="AO91" s="106">
        <v>4593.5999999999995</v>
      </c>
      <c r="AP91" s="106">
        <v>2</v>
      </c>
      <c r="AQ91" s="106">
        <v>4593.5999999999995</v>
      </c>
      <c r="AR91" s="106">
        <v>31</v>
      </c>
      <c r="AS91" s="106">
        <v>71200.799999999988</v>
      </c>
      <c r="AT91" s="106">
        <v>35</v>
      </c>
      <c r="AU91" s="106">
        <v>80387.999999999985</v>
      </c>
      <c r="AV91" s="106">
        <v>25</v>
      </c>
      <c r="AW91" s="106">
        <v>57419.999999999993</v>
      </c>
      <c r="AX91" s="106">
        <v>31</v>
      </c>
      <c r="AY91" s="106">
        <v>71200.799999999988</v>
      </c>
      <c r="AZ91" s="106">
        <v>28</v>
      </c>
      <c r="BA91" s="106">
        <v>64310.399999999994</v>
      </c>
      <c r="BB91" s="106">
        <v>20</v>
      </c>
      <c r="BC91" s="106">
        <v>45935.999999999993</v>
      </c>
      <c r="BD91" s="106">
        <v>27</v>
      </c>
      <c r="BE91" s="106">
        <v>62013.599999999991</v>
      </c>
      <c r="BF91" s="106">
        <v>29</v>
      </c>
      <c r="BG91" s="106">
        <v>66607.199999999997</v>
      </c>
      <c r="BH91" s="106">
        <v>3</v>
      </c>
      <c r="BI91" s="106">
        <v>6890.4</v>
      </c>
      <c r="BJ91" s="106">
        <v>5</v>
      </c>
      <c r="BK91" s="106">
        <v>11483.999999999998</v>
      </c>
      <c r="BL91" s="106">
        <v>2</v>
      </c>
      <c r="BM91" s="106">
        <v>4593.5999999999995</v>
      </c>
      <c r="BN91" s="106">
        <v>3</v>
      </c>
      <c r="BO91" s="106">
        <v>6890.4</v>
      </c>
      <c r="BP91" s="106">
        <v>12</v>
      </c>
      <c r="BQ91" s="106">
        <v>27561.599999999999</v>
      </c>
      <c r="BR91" s="106">
        <v>17</v>
      </c>
      <c r="BS91" s="106">
        <v>39045.599999999999</v>
      </c>
      <c r="BT91" s="106">
        <v>16</v>
      </c>
      <c r="BU91" s="106">
        <v>36748.799999999996</v>
      </c>
      <c r="BV91" s="106">
        <v>14</v>
      </c>
      <c r="BW91" s="106">
        <v>32155.199999999997</v>
      </c>
      <c r="BX91" s="106">
        <v>10</v>
      </c>
      <c r="BY91" s="106">
        <v>22967.999999999996</v>
      </c>
      <c r="BZ91" s="106">
        <v>8</v>
      </c>
      <c r="CA91" s="106">
        <v>18374.399999999998</v>
      </c>
      <c r="CB91" s="106">
        <v>7</v>
      </c>
      <c r="CC91" s="106">
        <v>16077.599999999999</v>
      </c>
      <c r="CD91" s="106">
        <v>6</v>
      </c>
      <c r="CE91" s="106">
        <v>13780.8</v>
      </c>
      <c r="CF91" s="106">
        <v>7</v>
      </c>
      <c r="CG91" s="106">
        <v>16077.599999999999</v>
      </c>
      <c r="CH91" s="106">
        <v>10</v>
      </c>
      <c r="CI91" s="106">
        <v>22967.999999999996</v>
      </c>
      <c r="CJ91" s="106">
        <v>6</v>
      </c>
      <c r="CK91" s="106">
        <v>13780.8</v>
      </c>
      <c r="CL91" s="106">
        <v>10</v>
      </c>
      <c r="CM91" s="106">
        <v>22967.999999999996</v>
      </c>
      <c r="CN91" s="106">
        <v>22</v>
      </c>
      <c r="CO91" s="106">
        <v>50529.599999999991</v>
      </c>
      <c r="CP91" s="106">
        <v>19</v>
      </c>
      <c r="CQ91" s="106">
        <v>43639.199999999997</v>
      </c>
      <c r="CR91" s="106">
        <v>28</v>
      </c>
      <c r="CS91" s="106">
        <v>64310.399999999994</v>
      </c>
      <c r="CT91" s="106">
        <v>18</v>
      </c>
      <c r="CU91" s="106">
        <v>41342.399999999994</v>
      </c>
    </row>
    <row r="92" spans="2:99" x14ac:dyDescent="0.2">
      <c r="C92" s="105" t="s">
        <v>258</v>
      </c>
      <c r="D92" s="106">
        <v>6</v>
      </c>
      <c r="E92" s="106">
        <v>8524.7999999999993</v>
      </c>
      <c r="F92" s="106">
        <v>4</v>
      </c>
      <c r="G92" s="106">
        <v>5683.2</v>
      </c>
      <c r="H92" s="106">
        <v>6</v>
      </c>
      <c r="I92" s="106">
        <v>8524.7999999999993</v>
      </c>
      <c r="J92" s="106">
        <v>6</v>
      </c>
      <c r="K92" s="106">
        <v>8524.7999999999993</v>
      </c>
      <c r="L92" s="106">
        <v>9</v>
      </c>
      <c r="M92" s="106">
        <v>12787.199999999999</v>
      </c>
      <c r="N92" s="106">
        <v>8</v>
      </c>
      <c r="O92" s="106">
        <v>11366.4</v>
      </c>
      <c r="P92" s="106">
        <v>5</v>
      </c>
      <c r="Q92" s="106">
        <v>7104</v>
      </c>
      <c r="R92" s="106">
        <v>9</v>
      </c>
      <c r="S92" s="106">
        <v>12787.199999999999</v>
      </c>
      <c r="T92" s="106">
        <v>7</v>
      </c>
      <c r="U92" s="106">
        <v>9945.6</v>
      </c>
      <c r="V92" s="106">
        <v>8</v>
      </c>
      <c r="W92" s="106">
        <v>11366.4</v>
      </c>
      <c r="X92" s="106">
        <v>5</v>
      </c>
      <c r="Y92" s="106">
        <v>7104</v>
      </c>
      <c r="Z92" s="106">
        <v>7</v>
      </c>
      <c r="AA92" s="106">
        <v>9945.6</v>
      </c>
      <c r="AB92" s="106">
        <v>13</v>
      </c>
      <c r="AC92" s="106">
        <v>18470.399999999998</v>
      </c>
      <c r="AD92" s="106">
        <v>16</v>
      </c>
      <c r="AE92" s="106">
        <v>22732.799999999999</v>
      </c>
      <c r="AF92" s="106">
        <v>16</v>
      </c>
      <c r="AG92" s="106">
        <v>22732.799999999999</v>
      </c>
      <c r="AH92" s="106">
        <v>24</v>
      </c>
      <c r="AI92" s="106">
        <v>34099.199999999997</v>
      </c>
      <c r="AJ92" s="106">
        <v>4</v>
      </c>
      <c r="AK92" s="106">
        <v>5683.2</v>
      </c>
      <c r="AL92" s="106">
        <v>3</v>
      </c>
      <c r="AM92" s="106">
        <v>4262.3999999999996</v>
      </c>
      <c r="AN92" s="106">
        <v>2</v>
      </c>
      <c r="AO92" s="106">
        <v>2841.6</v>
      </c>
      <c r="AP92" s="106">
        <v>2</v>
      </c>
      <c r="AQ92" s="106">
        <v>2841.6</v>
      </c>
      <c r="AR92" s="106">
        <v>37</v>
      </c>
      <c r="AS92" s="106">
        <v>52569.599999999999</v>
      </c>
      <c r="AT92" s="106">
        <v>44</v>
      </c>
      <c r="AU92" s="106">
        <v>62515.199999999997</v>
      </c>
      <c r="AV92" s="106">
        <v>28</v>
      </c>
      <c r="AW92" s="106">
        <v>39782.400000000001</v>
      </c>
      <c r="AX92" s="106">
        <v>40</v>
      </c>
      <c r="AY92" s="106">
        <v>56832</v>
      </c>
      <c r="AZ92" s="106">
        <v>31</v>
      </c>
      <c r="BA92" s="106">
        <v>44044.799999999996</v>
      </c>
      <c r="BB92" s="106">
        <v>26</v>
      </c>
      <c r="BC92" s="106">
        <v>36940.799999999996</v>
      </c>
      <c r="BD92" s="106">
        <v>29</v>
      </c>
      <c r="BE92" s="106">
        <v>41203.199999999997</v>
      </c>
      <c r="BF92" s="106">
        <v>36</v>
      </c>
      <c r="BG92" s="106">
        <v>51148.799999999996</v>
      </c>
      <c r="BH92" s="106">
        <v>3</v>
      </c>
      <c r="BI92" s="106">
        <v>4262.3999999999996</v>
      </c>
      <c r="BJ92" s="106">
        <v>5</v>
      </c>
      <c r="BK92" s="106">
        <v>7104</v>
      </c>
      <c r="BL92" s="106">
        <v>3</v>
      </c>
      <c r="BM92" s="106">
        <v>4262.3999999999996</v>
      </c>
      <c r="BN92" s="106">
        <v>4</v>
      </c>
      <c r="BO92" s="106">
        <v>5683.2</v>
      </c>
      <c r="BP92" s="106">
        <v>16</v>
      </c>
      <c r="BQ92" s="106">
        <v>22732.799999999999</v>
      </c>
      <c r="BR92" s="106">
        <v>18</v>
      </c>
      <c r="BS92" s="106">
        <v>25574.399999999998</v>
      </c>
      <c r="BT92" s="106">
        <v>18</v>
      </c>
      <c r="BU92" s="106">
        <v>25574.399999999998</v>
      </c>
      <c r="BV92" s="106">
        <v>16</v>
      </c>
      <c r="BW92" s="106">
        <v>22732.799999999999</v>
      </c>
      <c r="BX92" s="106">
        <v>10</v>
      </c>
      <c r="BY92" s="106">
        <v>14208</v>
      </c>
      <c r="BZ92" s="106">
        <v>9</v>
      </c>
      <c r="CA92" s="106">
        <v>12787.199999999999</v>
      </c>
      <c r="CB92" s="106">
        <v>9</v>
      </c>
      <c r="CC92" s="106">
        <v>12787.199999999999</v>
      </c>
      <c r="CD92" s="106">
        <v>6</v>
      </c>
      <c r="CE92" s="106">
        <v>8524.7999999999993</v>
      </c>
      <c r="CF92" s="106">
        <v>8</v>
      </c>
      <c r="CG92" s="106">
        <v>11366.4</v>
      </c>
      <c r="CH92" s="106">
        <v>10</v>
      </c>
      <c r="CI92" s="106">
        <v>14208</v>
      </c>
      <c r="CJ92" s="106">
        <v>7</v>
      </c>
      <c r="CK92" s="106">
        <v>9945.6</v>
      </c>
      <c r="CL92" s="106">
        <v>12</v>
      </c>
      <c r="CM92" s="106">
        <v>17049.599999999999</v>
      </c>
      <c r="CN92" s="106">
        <v>29</v>
      </c>
      <c r="CO92" s="106">
        <v>41203.199999999997</v>
      </c>
      <c r="CP92" s="106">
        <v>25</v>
      </c>
      <c r="CQ92" s="106">
        <v>35520</v>
      </c>
      <c r="CR92" s="106">
        <v>33</v>
      </c>
      <c r="CS92" s="106">
        <v>46886.400000000001</v>
      </c>
      <c r="CT92" s="106">
        <v>23</v>
      </c>
      <c r="CU92" s="106">
        <v>32678.399999999998</v>
      </c>
    </row>
    <row r="93" spans="2:99" x14ac:dyDescent="0.2">
      <c r="C93" s="105" t="s">
        <v>259</v>
      </c>
      <c r="D93" s="106">
        <v>6</v>
      </c>
      <c r="E93" s="106">
        <v>10634.4</v>
      </c>
      <c r="F93" s="106">
        <v>4</v>
      </c>
      <c r="G93" s="106">
        <v>7089.5999999999995</v>
      </c>
      <c r="H93" s="106">
        <v>6</v>
      </c>
      <c r="I93" s="106">
        <v>10634.4</v>
      </c>
      <c r="J93" s="106">
        <v>6</v>
      </c>
      <c r="K93" s="106">
        <v>10634.4</v>
      </c>
      <c r="L93" s="106">
        <v>8</v>
      </c>
      <c r="M93" s="106">
        <v>14179.199999999999</v>
      </c>
      <c r="N93" s="106">
        <v>7</v>
      </c>
      <c r="O93" s="106">
        <v>12406.8</v>
      </c>
      <c r="P93" s="106">
        <v>5</v>
      </c>
      <c r="Q93" s="106">
        <v>8862</v>
      </c>
      <c r="R93" s="106">
        <v>8</v>
      </c>
      <c r="S93" s="106">
        <v>14179.199999999999</v>
      </c>
      <c r="T93" s="106">
        <v>6</v>
      </c>
      <c r="U93" s="106">
        <v>10634.4</v>
      </c>
      <c r="V93" s="106">
        <v>8</v>
      </c>
      <c r="W93" s="106">
        <v>14179.199999999999</v>
      </c>
      <c r="X93" s="106">
        <v>5</v>
      </c>
      <c r="Y93" s="106">
        <v>8862</v>
      </c>
      <c r="Z93" s="106">
        <v>7</v>
      </c>
      <c r="AA93" s="106">
        <v>12406.8</v>
      </c>
      <c r="AB93" s="106">
        <v>12</v>
      </c>
      <c r="AC93" s="106">
        <v>21268.799999999999</v>
      </c>
      <c r="AD93" s="106">
        <v>14</v>
      </c>
      <c r="AE93" s="106">
        <v>24813.599999999999</v>
      </c>
      <c r="AF93" s="106">
        <v>16</v>
      </c>
      <c r="AG93" s="106">
        <v>28358.399999999998</v>
      </c>
      <c r="AH93" s="106">
        <v>22</v>
      </c>
      <c r="AI93" s="106">
        <v>38992.799999999996</v>
      </c>
      <c r="AJ93" s="106">
        <v>4</v>
      </c>
      <c r="AK93" s="106">
        <v>7089.5999999999995</v>
      </c>
      <c r="AL93" s="106">
        <v>2</v>
      </c>
      <c r="AM93" s="106">
        <v>3544.7999999999997</v>
      </c>
      <c r="AN93" s="106">
        <v>2</v>
      </c>
      <c r="AO93" s="106">
        <v>3544.7999999999997</v>
      </c>
      <c r="AP93" s="106">
        <v>2</v>
      </c>
      <c r="AQ93" s="106">
        <v>3544.7999999999997</v>
      </c>
      <c r="AR93" s="106">
        <v>32</v>
      </c>
      <c r="AS93" s="106">
        <v>56716.799999999996</v>
      </c>
      <c r="AT93" s="106">
        <v>38</v>
      </c>
      <c r="AU93" s="106">
        <v>67351.199999999997</v>
      </c>
      <c r="AV93" s="106">
        <v>29</v>
      </c>
      <c r="AW93" s="106">
        <v>51399.6</v>
      </c>
      <c r="AX93" s="106">
        <v>37</v>
      </c>
      <c r="AY93" s="106">
        <v>65578.799999999988</v>
      </c>
      <c r="AZ93" s="106">
        <v>28</v>
      </c>
      <c r="BA93" s="106">
        <v>49627.199999999997</v>
      </c>
      <c r="BB93" s="106">
        <v>22</v>
      </c>
      <c r="BC93" s="106">
        <v>38992.799999999996</v>
      </c>
      <c r="BD93" s="106">
        <v>32</v>
      </c>
      <c r="BE93" s="106">
        <v>56716.799999999996</v>
      </c>
      <c r="BF93" s="106">
        <v>34</v>
      </c>
      <c r="BG93" s="106">
        <v>60261.599999999999</v>
      </c>
      <c r="BH93" s="106">
        <v>3</v>
      </c>
      <c r="BI93" s="106">
        <v>5317.2</v>
      </c>
      <c r="BJ93" s="106">
        <v>5</v>
      </c>
      <c r="BK93" s="106">
        <v>8862</v>
      </c>
      <c r="BL93" s="106">
        <v>3</v>
      </c>
      <c r="BM93" s="106">
        <v>5317.2</v>
      </c>
      <c r="BN93" s="106">
        <v>4</v>
      </c>
      <c r="BO93" s="106">
        <v>7089.5999999999995</v>
      </c>
      <c r="BP93" s="106">
        <v>14</v>
      </c>
      <c r="BQ93" s="106">
        <v>24813.599999999999</v>
      </c>
      <c r="BR93" s="106">
        <v>19</v>
      </c>
      <c r="BS93" s="106">
        <v>33675.599999999999</v>
      </c>
      <c r="BT93" s="106">
        <v>16</v>
      </c>
      <c r="BU93" s="106">
        <v>28358.399999999998</v>
      </c>
      <c r="BV93" s="106">
        <v>16</v>
      </c>
      <c r="BW93" s="106">
        <v>28358.399999999998</v>
      </c>
      <c r="BX93" s="106">
        <v>10</v>
      </c>
      <c r="BY93" s="106">
        <v>17724</v>
      </c>
      <c r="BZ93" s="106">
        <v>8</v>
      </c>
      <c r="CA93" s="106">
        <v>14179.199999999999</v>
      </c>
      <c r="CB93" s="106">
        <v>8</v>
      </c>
      <c r="CC93" s="106">
        <v>14179.199999999999</v>
      </c>
      <c r="CD93" s="106">
        <v>6</v>
      </c>
      <c r="CE93" s="106">
        <v>10634.4</v>
      </c>
      <c r="CF93" s="106">
        <v>8</v>
      </c>
      <c r="CG93" s="106">
        <v>14179.199999999999</v>
      </c>
      <c r="CH93" s="106">
        <v>10</v>
      </c>
      <c r="CI93" s="106">
        <v>17724</v>
      </c>
      <c r="CJ93" s="106">
        <v>7</v>
      </c>
      <c r="CK93" s="106">
        <v>12406.8</v>
      </c>
      <c r="CL93" s="106">
        <v>12</v>
      </c>
      <c r="CM93" s="106">
        <v>21268.799999999999</v>
      </c>
      <c r="CN93" s="106">
        <v>26</v>
      </c>
      <c r="CO93" s="106">
        <v>46082.399999999994</v>
      </c>
      <c r="CP93" s="106">
        <v>22</v>
      </c>
      <c r="CQ93" s="106">
        <v>38992.799999999996</v>
      </c>
      <c r="CR93" s="106">
        <v>32</v>
      </c>
      <c r="CS93" s="106">
        <v>56716.799999999996</v>
      </c>
      <c r="CT93" s="106">
        <v>19</v>
      </c>
      <c r="CU93" s="106">
        <v>33675.599999999999</v>
      </c>
    </row>
    <row r="94" spans="2:99" x14ac:dyDescent="0.2">
      <c r="C94" s="105" t="s">
        <v>260</v>
      </c>
      <c r="D94" s="106">
        <v>5</v>
      </c>
      <c r="E94" s="106">
        <v>11976</v>
      </c>
      <c r="F94" s="106">
        <v>3</v>
      </c>
      <c r="G94" s="106">
        <v>7185.5999999999995</v>
      </c>
      <c r="H94" s="106">
        <v>6</v>
      </c>
      <c r="I94" s="106">
        <v>14371.199999999999</v>
      </c>
      <c r="J94" s="106">
        <v>5</v>
      </c>
      <c r="K94" s="106">
        <v>11976</v>
      </c>
      <c r="L94" s="106">
        <v>9</v>
      </c>
      <c r="M94" s="106">
        <v>21556.799999999999</v>
      </c>
      <c r="N94" s="106">
        <v>7</v>
      </c>
      <c r="O94" s="106">
        <v>16766.399999999998</v>
      </c>
      <c r="P94" s="106">
        <v>5</v>
      </c>
      <c r="Q94" s="106">
        <v>11976</v>
      </c>
      <c r="R94" s="106">
        <v>8</v>
      </c>
      <c r="S94" s="106">
        <v>19161.599999999999</v>
      </c>
      <c r="T94" s="106">
        <v>6</v>
      </c>
      <c r="U94" s="106">
        <v>14371.199999999999</v>
      </c>
      <c r="V94" s="106">
        <v>7</v>
      </c>
      <c r="W94" s="106">
        <v>16766.399999999998</v>
      </c>
      <c r="X94" s="106">
        <v>5</v>
      </c>
      <c r="Y94" s="106">
        <v>11976</v>
      </c>
      <c r="Z94" s="106">
        <v>6</v>
      </c>
      <c r="AA94" s="106">
        <v>14371.199999999999</v>
      </c>
      <c r="AB94" s="106">
        <v>10</v>
      </c>
      <c r="AC94" s="106">
        <v>23952</v>
      </c>
      <c r="AD94" s="106">
        <v>13</v>
      </c>
      <c r="AE94" s="106">
        <v>31137.599999999999</v>
      </c>
      <c r="AF94" s="106">
        <v>16</v>
      </c>
      <c r="AG94" s="106">
        <v>38323.199999999997</v>
      </c>
      <c r="AH94" s="106">
        <v>21</v>
      </c>
      <c r="AI94" s="106">
        <v>50299.199999999997</v>
      </c>
      <c r="AJ94" s="106">
        <v>3</v>
      </c>
      <c r="AK94" s="106">
        <v>7185.5999999999995</v>
      </c>
      <c r="AL94" s="106">
        <v>3</v>
      </c>
      <c r="AM94" s="106">
        <v>7185.5999999999995</v>
      </c>
      <c r="AN94" s="106">
        <v>2</v>
      </c>
      <c r="AO94" s="106">
        <v>4790.3999999999996</v>
      </c>
      <c r="AP94" s="106">
        <v>2</v>
      </c>
      <c r="AQ94" s="106">
        <v>4790.3999999999996</v>
      </c>
      <c r="AR94" s="106">
        <v>29</v>
      </c>
      <c r="AS94" s="106">
        <v>69460.799999999988</v>
      </c>
      <c r="AT94" s="106">
        <v>38</v>
      </c>
      <c r="AU94" s="106">
        <v>91017.599999999991</v>
      </c>
      <c r="AV94" s="106">
        <v>26</v>
      </c>
      <c r="AW94" s="106">
        <v>62275.199999999997</v>
      </c>
      <c r="AX94" s="106">
        <v>34</v>
      </c>
      <c r="AY94" s="106">
        <v>81436.799999999988</v>
      </c>
      <c r="AZ94" s="106">
        <v>28</v>
      </c>
      <c r="BA94" s="106">
        <v>67065.599999999991</v>
      </c>
      <c r="BB94" s="106">
        <v>23</v>
      </c>
      <c r="BC94" s="106">
        <v>55089.599999999999</v>
      </c>
      <c r="BD94" s="106">
        <v>25</v>
      </c>
      <c r="BE94" s="106">
        <v>59879.999999999993</v>
      </c>
      <c r="BF94" s="106">
        <v>27</v>
      </c>
      <c r="BG94" s="106">
        <v>64670.399999999994</v>
      </c>
      <c r="BH94" s="106">
        <v>3</v>
      </c>
      <c r="BI94" s="106">
        <v>7185.5999999999995</v>
      </c>
      <c r="BJ94" s="106">
        <v>5</v>
      </c>
      <c r="BK94" s="106">
        <v>11976</v>
      </c>
      <c r="BL94" s="106">
        <v>3</v>
      </c>
      <c r="BM94" s="106">
        <v>7185.5999999999995</v>
      </c>
      <c r="BN94" s="106">
        <v>3</v>
      </c>
      <c r="BO94" s="106">
        <v>7185.5999999999995</v>
      </c>
      <c r="BP94" s="106">
        <v>12</v>
      </c>
      <c r="BQ94" s="106">
        <v>28742.399999999998</v>
      </c>
      <c r="BR94" s="106">
        <v>16</v>
      </c>
      <c r="BS94" s="106">
        <v>38323.199999999997</v>
      </c>
      <c r="BT94" s="106">
        <v>17</v>
      </c>
      <c r="BU94" s="106">
        <v>40718.399999999994</v>
      </c>
      <c r="BV94" s="106">
        <v>13</v>
      </c>
      <c r="BW94" s="106">
        <v>31137.599999999999</v>
      </c>
      <c r="BX94" s="106">
        <v>9</v>
      </c>
      <c r="BY94" s="106">
        <v>21556.799999999999</v>
      </c>
      <c r="BZ94" s="106">
        <v>8</v>
      </c>
      <c r="CA94" s="106">
        <v>19161.599999999999</v>
      </c>
      <c r="CB94" s="106">
        <v>8</v>
      </c>
      <c r="CC94" s="106">
        <v>19161.599999999999</v>
      </c>
      <c r="CD94" s="106">
        <v>5</v>
      </c>
      <c r="CE94" s="106">
        <v>11976</v>
      </c>
      <c r="CF94" s="106">
        <v>7</v>
      </c>
      <c r="CG94" s="106">
        <v>16766.399999999998</v>
      </c>
      <c r="CH94" s="106">
        <v>10</v>
      </c>
      <c r="CI94" s="106">
        <v>23952</v>
      </c>
      <c r="CJ94" s="106">
        <v>6</v>
      </c>
      <c r="CK94" s="106">
        <v>14371.199999999999</v>
      </c>
      <c r="CL94" s="106">
        <v>9</v>
      </c>
      <c r="CM94" s="106">
        <v>21556.799999999999</v>
      </c>
      <c r="CN94" s="106">
        <v>22</v>
      </c>
      <c r="CO94" s="106">
        <v>52694.399999999994</v>
      </c>
      <c r="CP94" s="106">
        <v>23</v>
      </c>
      <c r="CQ94" s="106">
        <v>55089.599999999999</v>
      </c>
      <c r="CR94" s="106">
        <v>26</v>
      </c>
      <c r="CS94" s="106">
        <v>62275.199999999997</v>
      </c>
      <c r="CT94" s="106">
        <v>19</v>
      </c>
      <c r="CU94" s="106">
        <v>45508.799999999996</v>
      </c>
    </row>
    <row r="95" spans="2:99" x14ac:dyDescent="0.2">
      <c r="B95" s="105" t="s">
        <v>132</v>
      </c>
      <c r="C95" s="105" t="s">
        <v>261</v>
      </c>
      <c r="D95" s="106">
        <v>5</v>
      </c>
      <c r="E95" s="106">
        <v>8664</v>
      </c>
      <c r="F95" s="106">
        <v>5</v>
      </c>
      <c r="G95" s="106">
        <v>8664</v>
      </c>
      <c r="H95" s="106">
        <v>5</v>
      </c>
      <c r="I95" s="106">
        <v>8664</v>
      </c>
      <c r="J95" s="106">
        <v>5</v>
      </c>
      <c r="K95" s="106">
        <v>8664</v>
      </c>
      <c r="L95" s="106">
        <v>3</v>
      </c>
      <c r="M95" s="106">
        <v>5198.3999999999996</v>
      </c>
      <c r="N95" s="106">
        <v>4</v>
      </c>
      <c r="O95" s="106">
        <v>6931.2</v>
      </c>
      <c r="P95" s="106">
        <v>4</v>
      </c>
      <c r="Q95" s="106">
        <v>6931.2</v>
      </c>
      <c r="R95" s="106">
        <v>2</v>
      </c>
      <c r="S95" s="106">
        <v>3465.6</v>
      </c>
      <c r="T95" s="106">
        <v>9</v>
      </c>
      <c r="U95" s="106">
        <v>15595.199999999999</v>
      </c>
      <c r="V95" s="106">
        <v>8</v>
      </c>
      <c r="W95" s="106">
        <v>13862.4</v>
      </c>
      <c r="X95" s="106">
        <v>12</v>
      </c>
      <c r="Y95" s="106">
        <v>20793.599999999999</v>
      </c>
      <c r="Z95" s="106">
        <v>11</v>
      </c>
      <c r="AA95" s="106">
        <v>19060.8</v>
      </c>
      <c r="AB95" s="106">
        <v>4</v>
      </c>
      <c r="AC95" s="106">
        <v>6931.2</v>
      </c>
      <c r="AD95" s="106">
        <v>6</v>
      </c>
      <c r="AE95" s="106">
        <v>10396.799999999999</v>
      </c>
      <c r="AF95" s="106">
        <v>6</v>
      </c>
      <c r="AG95" s="106">
        <v>10396.799999999999</v>
      </c>
      <c r="AH95" s="106">
        <v>4</v>
      </c>
      <c r="AI95" s="106">
        <v>6931.2</v>
      </c>
      <c r="AJ95" s="106">
        <v>35</v>
      </c>
      <c r="AK95" s="106">
        <v>60648</v>
      </c>
      <c r="AL95" s="106">
        <v>30</v>
      </c>
      <c r="AM95" s="106">
        <v>51984</v>
      </c>
      <c r="AN95" s="106">
        <v>22</v>
      </c>
      <c r="AO95" s="106">
        <v>38121.599999999999</v>
      </c>
      <c r="AP95" s="106">
        <v>29</v>
      </c>
      <c r="AQ95" s="106">
        <v>50251.199999999997</v>
      </c>
      <c r="AR95" s="106">
        <v>3</v>
      </c>
      <c r="AS95" s="106">
        <v>5198.3999999999996</v>
      </c>
      <c r="AT95" s="106">
        <v>4</v>
      </c>
      <c r="AU95" s="106">
        <v>6931.2</v>
      </c>
      <c r="AV95" s="106">
        <v>3</v>
      </c>
      <c r="AW95" s="106">
        <v>5198.3999999999996</v>
      </c>
      <c r="AX95" s="106">
        <v>3</v>
      </c>
      <c r="AY95" s="106">
        <v>5198.3999999999996</v>
      </c>
      <c r="AZ95" s="106">
        <v>8</v>
      </c>
      <c r="BA95" s="106">
        <v>13862.4</v>
      </c>
      <c r="BB95" s="106">
        <v>9</v>
      </c>
      <c r="BC95" s="106">
        <v>15595.199999999999</v>
      </c>
      <c r="BD95" s="106">
        <v>10</v>
      </c>
      <c r="BE95" s="106">
        <v>17328</v>
      </c>
      <c r="BF95" s="106">
        <v>9</v>
      </c>
      <c r="BG95" s="106">
        <v>15595.199999999999</v>
      </c>
      <c r="BH95" s="106">
        <v>9</v>
      </c>
      <c r="BI95" s="106">
        <v>15595.199999999999</v>
      </c>
      <c r="BJ95" s="106">
        <v>13</v>
      </c>
      <c r="BK95" s="106">
        <v>22526.399999999998</v>
      </c>
      <c r="BL95" s="106">
        <v>10</v>
      </c>
      <c r="BM95" s="106">
        <v>17328</v>
      </c>
      <c r="BN95" s="106">
        <v>11</v>
      </c>
      <c r="BO95" s="106">
        <v>19060.8</v>
      </c>
      <c r="BP95" s="106">
        <v>4</v>
      </c>
      <c r="BQ95" s="106">
        <v>6931.2</v>
      </c>
      <c r="BR95" s="106">
        <v>4</v>
      </c>
      <c r="BS95" s="106">
        <v>6931.2</v>
      </c>
      <c r="BT95" s="106">
        <v>3</v>
      </c>
      <c r="BU95" s="106">
        <v>5198.3999999999996</v>
      </c>
      <c r="BV95" s="106">
        <v>5</v>
      </c>
      <c r="BW95" s="106">
        <v>8664</v>
      </c>
      <c r="BX95" s="106">
        <v>16</v>
      </c>
      <c r="BY95" s="106">
        <v>27724.799999999999</v>
      </c>
      <c r="BZ95" s="106">
        <v>9</v>
      </c>
      <c r="CA95" s="106">
        <v>15595.199999999999</v>
      </c>
      <c r="CB95" s="106">
        <v>14</v>
      </c>
      <c r="CC95" s="106">
        <v>24259.200000000001</v>
      </c>
      <c r="CD95" s="106">
        <v>10</v>
      </c>
      <c r="CE95" s="106">
        <v>17328</v>
      </c>
      <c r="CF95" s="106">
        <v>2</v>
      </c>
      <c r="CG95" s="106">
        <v>3465.6</v>
      </c>
      <c r="CH95" s="106">
        <v>4</v>
      </c>
      <c r="CI95" s="106">
        <v>6931.2</v>
      </c>
      <c r="CJ95" s="106">
        <v>3</v>
      </c>
      <c r="CK95" s="106">
        <v>5198.3999999999996</v>
      </c>
      <c r="CL95" s="106">
        <v>3</v>
      </c>
      <c r="CM95" s="106">
        <v>5198.3999999999996</v>
      </c>
      <c r="CN95" s="106">
        <v>5</v>
      </c>
      <c r="CO95" s="106">
        <v>8664</v>
      </c>
      <c r="CP95" s="106">
        <v>5</v>
      </c>
      <c r="CQ95" s="106">
        <v>8664</v>
      </c>
      <c r="CR95" s="106">
        <v>4</v>
      </c>
      <c r="CS95" s="106">
        <v>6931.2</v>
      </c>
      <c r="CT95" s="106">
        <v>3</v>
      </c>
      <c r="CU95" s="106">
        <v>5198.3999999999996</v>
      </c>
    </row>
    <row r="96" spans="2:99" x14ac:dyDescent="0.2">
      <c r="C96" s="105" t="s">
        <v>262</v>
      </c>
      <c r="D96" s="106">
        <v>5</v>
      </c>
      <c r="E96" s="106">
        <v>4116</v>
      </c>
      <c r="F96" s="106">
        <v>5</v>
      </c>
      <c r="G96" s="106">
        <v>4116</v>
      </c>
      <c r="H96" s="106">
        <v>5</v>
      </c>
      <c r="I96" s="106">
        <v>4116</v>
      </c>
      <c r="J96" s="106">
        <v>5</v>
      </c>
      <c r="K96" s="106">
        <v>4116</v>
      </c>
      <c r="L96" s="106">
        <v>3</v>
      </c>
      <c r="M96" s="106">
        <v>2469.6</v>
      </c>
      <c r="N96" s="106">
        <v>4</v>
      </c>
      <c r="O96" s="106">
        <v>3292.7999999999997</v>
      </c>
      <c r="P96" s="106">
        <v>4</v>
      </c>
      <c r="Q96" s="106">
        <v>3292.7999999999997</v>
      </c>
      <c r="R96" s="106">
        <v>3</v>
      </c>
      <c r="S96" s="106">
        <v>2469.6</v>
      </c>
      <c r="T96" s="106">
        <v>10</v>
      </c>
      <c r="U96" s="106">
        <v>8232</v>
      </c>
      <c r="V96" s="106">
        <v>9</v>
      </c>
      <c r="W96" s="106">
        <v>7408.7999999999993</v>
      </c>
      <c r="X96" s="106">
        <v>12</v>
      </c>
      <c r="Y96" s="106">
        <v>9878.4</v>
      </c>
      <c r="Z96" s="106">
        <v>11</v>
      </c>
      <c r="AA96" s="106">
        <v>9055.1999999999989</v>
      </c>
      <c r="AB96" s="106">
        <v>5</v>
      </c>
      <c r="AC96" s="106">
        <v>4116</v>
      </c>
      <c r="AD96" s="106">
        <v>6</v>
      </c>
      <c r="AE96" s="106">
        <v>4939.2</v>
      </c>
      <c r="AF96" s="106">
        <v>7</v>
      </c>
      <c r="AG96" s="106">
        <v>5762.4</v>
      </c>
      <c r="AH96" s="106">
        <v>4</v>
      </c>
      <c r="AI96" s="106">
        <v>3292.7999999999997</v>
      </c>
      <c r="AJ96" s="106">
        <v>41</v>
      </c>
      <c r="AK96" s="106">
        <v>33751.199999999997</v>
      </c>
      <c r="AL96" s="106">
        <v>38</v>
      </c>
      <c r="AM96" s="106">
        <v>31281.599999999999</v>
      </c>
      <c r="AN96" s="106">
        <v>27</v>
      </c>
      <c r="AO96" s="106">
        <v>22226.399999999998</v>
      </c>
      <c r="AP96" s="106">
        <v>29</v>
      </c>
      <c r="AQ96" s="106">
        <v>23872.799999999999</v>
      </c>
      <c r="AR96" s="106">
        <v>3</v>
      </c>
      <c r="AS96" s="106">
        <v>2469.6</v>
      </c>
      <c r="AT96" s="106">
        <v>3</v>
      </c>
      <c r="AU96" s="106">
        <v>2469.6</v>
      </c>
      <c r="AV96" s="106">
        <v>3</v>
      </c>
      <c r="AW96" s="106">
        <v>2469.6</v>
      </c>
      <c r="AX96" s="106">
        <v>4</v>
      </c>
      <c r="AY96" s="106">
        <v>3292.7999999999997</v>
      </c>
      <c r="AZ96" s="106">
        <v>9</v>
      </c>
      <c r="BA96" s="106">
        <v>7408.7999999999993</v>
      </c>
      <c r="BB96" s="106">
        <v>11</v>
      </c>
      <c r="BC96" s="106">
        <v>9055.1999999999989</v>
      </c>
      <c r="BD96" s="106">
        <v>13</v>
      </c>
      <c r="BE96" s="106">
        <v>10701.599999999999</v>
      </c>
      <c r="BF96" s="106">
        <v>9</v>
      </c>
      <c r="BG96" s="106">
        <v>7408.7999999999993</v>
      </c>
      <c r="BH96" s="106">
        <v>8</v>
      </c>
      <c r="BI96" s="106">
        <v>6585.5999999999995</v>
      </c>
      <c r="BJ96" s="106">
        <v>16</v>
      </c>
      <c r="BK96" s="106">
        <v>13171.199999999999</v>
      </c>
      <c r="BL96" s="106">
        <v>9</v>
      </c>
      <c r="BM96" s="106">
        <v>7408.7999999999993</v>
      </c>
      <c r="BN96" s="106">
        <v>14</v>
      </c>
      <c r="BO96" s="106">
        <v>11524.8</v>
      </c>
      <c r="BP96" s="106">
        <v>5</v>
      </c>
      <c r="BQ96" s="106">
        <v>4116</v>
      </c>
      <c r="BR96" s="106">
        <v>4</v>
      </c>
      <c r="BS96" s="106">
        <v>3292.7999999999997</v>
      </c>
      <c r="BT96" s="106">
        <v>3</v>
      </c>
      <c r="BU96" s="106">
        <v>2469.6</v>
      </c>
      <c r="BV96" s="106">
        <v>5</v>
      </c>
      <c r="BW96" s="106">
        <v>4116</v>
      </c>
      <c r="BX96" s="106">
        <v>17</v>
      </c>
      <c r="BY96" s="106">
        <v>13994.4</v>
      </c>
      <c r="BZ96" s="106">
        <v>10</v>
      </c>
      <c r="CA96" s="106">
        <v>8232</v>
      </c>
      <c r="CB96" s="106">
        <v>18</v>
      </c>
      <c r="CC96" s="106">
        <v>14817.599999999999</v>
      </c>
      <c r="CD96" s="106">
        <v>12</v>
      </c>
      <c r="CE96" s="106">
        <v>9878.4</v>
      </c>
      <c r="CF96" s="106">
        <v>2</v>
      </c>
      <c r="CG96" s="106">
        <v>1646.3999999999999</v>
      </c>
      <c r="CH96" s="106">
        <v>3</v>
      </c>
      <c r="CI96" s="106">
        <v>2469.6</v>
      </c>
      <c r="CJ96" s="106">
        <v>3</v>
      </c>
      <c r="CK96" s="106">
        <v>2469.6</v>
      </c>
      <c r="CL96" s="106">
        <v>4</v>
      </c>
      <c r="CM96" s="106">
        <v>3292.7999999999997</v>
      </c>
      <c r="CN96" s="106">
        <v>5</v>
      </c>
      <c r="CO96" s="106">
        <v>4116</v>
      </c>
      <c r="CP96" s="106">
        <v>5</v>
      </c>
      <c r="CQ96" s="106">
        <v>4116</v>
      </c>
      <c r="CR96" s="106">
        <v>5</v>
      </c>
      <c r="CS96" s="106">
        <v>4116</v>
      </c>
      <c r="CT96" s="106">
        <v>3</v>
      </c>
      <c r="CU96" s="106">
        <v>2469.6</v>
      </c>
    </row>
    <row r="97" spans="2:99" x14ac:dyDescent="0.2">
      <c r="C97" s="105" t="s">
        <v>263</v>
      </c>
      <c r="D97" s="106">
        <v>5</v>
      </c>
      <c r="E97" s="106">
        <v>9144</v>
      </c>
      <c r="F97" s="106">
        <v>4</v>
      </c>
      <c r="G97" s="106">
        <v>7315.2</v>
      </c>
      <c r="H97" s="106">
        <v>5</v>
      </c>
      <c r="I97" s="106">
        <v>9144</v>
      </c>
      <c r="J97" s="106">
        <v>5</v>
      </c>
      <c r="K97" s="106">
        <v>9144</v>
      </c>
      <c r="L97" s="106">
        <v>3</v>
      </c>
      <c r="M97" s="106">
        <v>5486.4</v>
      </c>
      <c r="N97" s="106">
        <v>3</v>
      </c>
      <c r="O97" s="106">
        <v>5486.4</v>
      </c>
      <c r="P97" s="106">
        <v>4</v>
      </c>
      <c r="Q97" s="106">
        <v>7315.2</v>
      </c>
      <c r="R97" s="106">
        <v>3</v>
      </c>
      <c r="S97" s="106">
        <v>5486.4</v>
      </c>
      <c r="T97" s="106">
        <v>9</v>
      </c>
      <c r="U97" s="106">
        <v>16459.2</v>
      </c>
      <c r="V97" s="106">
        <v>8</v>
      </c>
      <c r="W97" s="106">
        <v>14630.4</v>
      </c>
      <c r="X97" s="106">
        <v>11</v>
      </c>
      <c r="Y97" s="106">
        <v>20116.8</v>
      </c>
      <c r="Z97" s="106">
        <v>10</v>
      </c>
      <c r="AA97" s="106">
        <v>18288</v>
      </c>
      <c r="AB97" s="106">
        <v>4</v>
      </c>
      <c r="AC97" s="106">
        <v>7315.2</v>
      </c>
      <c r="AD97" s="106">
        <v>6</v>
      </c>
      <c r="AE97" s="106">
        <v>10972.8</v>
      </c>
      <c r="AF97" s="106">
        <v>7</v>
      </c>
      <c r="AG97" s="106">
        <v>12801.6</v>
      </c>
      <c r="AH97" s="106">
        <v>5</v>
      </c>
      <c r="AI97" s="106">
        <v>9144</v>
      </c>
      <c r="AJ97" s="106">
        <v>32</v>
      </c>
      <c r="AK97" s="106">
        <v>58521.599999999999</v>
      </c>
      <c r="AL97" s="106">
        <v>28</v>
      </c>
      <c r="AM97" s="106">
        <v>51206.400000000001</v>
      </c>
      <c r="AN97" s="106">
        <v>24</v>
      </c>
      <c r="AO97" s="106">
        <v>43891.199999999997</v>
      </c>
      <c r="AP97" s="106">
        <v>28</v>
      </c>
      <c r="AQ97" s="106">
        <v>51206.400000000001</v>
      </c>
      <c r="AR97" s="106">
        <v>4</v>
      </c>
      <c r="AS97" s="106">
        <v>7315.2</v>
      </c>
      <c r="AT97" s="106">
        <v>3</v>
      </c>
      <c r="AU97" s="106">
        <v>5486.4</v>
      </c>
      <c r="AV97" s="106">
        <v>3</v>
      </c>
      <c r="AW97" s="106">
        <v>5486.4</v>
      </c>
      <c r="AX97" s="106">
        <v>4</v>
      </c>
      <c r="AY97" s="106">
        <v>7315.2</v>
      </c>
      <c r="AZ97" s="106">
        <v>8</v>
      </c>
      <c r="BA97" s="106">
        <v>14630.4</v>
      </c>
      <c r="BB97" s="106">
        <v>10</v>
      </c>
      <c r="BC97" s="106">
        <v>18288</v>
      </c>
      <c r="BD97" s="106">
        <v>11</v>
      </c>
      <c r="BE97" s="106">
        <v>20116.8</v>
      </c>
      <c r="BF97" s="106">
        <v>8</v>
      </c>
      <c r="BG97" s="106">
        <v>14630.4</v>
      </c>
      <c r="BH97" s="106">
        <v>8</v>
      </c>
      <c r="BI97" s="106">
        <v>14630.4</v>
      </c>
      <c r="BJ97" s="106">
        <v>14</v>
      </c>
      <c r="BK97" s="106">
        <v>25603.200000000001</v>
      </c>
      <c r="BL97" s="106">
        <v>10</v>
      </c>
      <c r="BM97" s="106">
        <v>18288</v>
      </c>
      <c r="BN97" s="106">
        <v>11</v>
      </c>
      <c r="BO97" s="106">
        <v>20116.8</v>
      </c>
      <c r="BP97" s="106">
        <v>5</v>
      </c>
      <c r="BQ97" s="106">
        <v>9144</v>
      </c>
      <c r="BR97" s="106">
        <v>4</v>
      </c>
      <c r="BS97" s="106">
        <v>7315.2</v>
      </c>
      <c r="BT97" s="106">
        <v>3</v>
      </c>
      <c r="BU97" s="106">
        <v>5486.4</v>
      </c>
      <c r="BV97" s="106">
        <v>5</v>
      </c>
      <c r="BW97" s="106">
        <v>9144</v>
      </c>
      <c r="BX97" s="106">
        <v>15</v>
      </c>
      <c r="BY97" s="106">
        <v>27432</v>
      </c>
      <c r="BZ97" s="106">
        <v>9</v>
      </c>
      <c r="CA97" s="106">
        <v>16459.2</v>
      </c>
      <c r="CB97" s="106">
        <v>14</v>
      </c>
      <c r="CC97" s="106">
        <v>25603.200000000001</v>
      </c>
      <c r="CD97" s="106">
        <v>11</v>
      </c>
      <c r="CE97" s="106">
        <v>20116.8</v>
      </c>
      <c r="CF97" s="106">
        <v>3</v>
      </c>
      <c r="CG97" s="106">
        <v>5486.4</v>
      </c>
      <c r="CH97" s="106">
        <v>4</v>
      </c>
      <c r="CI97" s="106">
        <v>7315.2</v>
      </c>
      <c r="CJ97" s="106">
        <v>3</v>
      </c>
      <c r="CK97" s="106">
        <v>5486.4</v>
      </c>
      <c r="CL97" s="106">
        <v>3</v>
      </c>
      <c r="CM97" s="106">
        <v>5486.4</v>
      </c>
      <c r="CN97" s="106">
        <v>4</v>
      </c>
      <c r="CO97" s="106">
        <v>7315.2</v>
      </c>
      <c r="CP97" s="106">
        <v>4</v>
      </c>
      <c r="CQ97" s="106">
        <v>7315.2</v>
      </c>
      <c r="CR97" s="106">
        <v>5</v>
      </c>
      <c r="CS97" s="106">
        <v>9144</v>
      </c>
      <c r="CT97" s="106">
        <v>3</v>
      </c>
      <c r="CU97" s="106">
        <v>5486.4</v>
      </c>
    </row>
    <row r="98" spans="2:99" x14ac:dyDescent="0.2">
      <c r="C98" s="105" t="s">
        <v>264</v>
      </c>
      <c r="D98" s="106">
        <v>6</v>
      </c>
      <c r="E98" s="106">
        <v>7581.5999999999995</v>
      </c>
      <c r="F98" s="106">
        <v>5</v>
      </c>
      <c r="G98" s="106">
        <v>6318</v>
      </c>
      <c r="H98" s="106">
        <v>4</v>
      </c>
      <c r="I98" s="106">
        <v>5054.3999999999996</v>
      </c>
      <c r="J98" s="106">
        <v>5</v>
      </c>
      <c r="K98" s="106">
        <v>6318</v>
      </c>
      <c r="L98" s="106">
        <v>3</v>
      </c>
      <c r="M98" s="106">
        <v>3790.7999999999997</v>
      </c>
      <c r="N98" s="106">
        <v>4</v>
      </c>
      <c r="O98" s="106">
        <v>5054.3999999999996</v>
      </c>
      <c r="P98" s="106">
        <v>4</v>
      </c>
      <c r="Q98" s="106">
        <v>5054.3999999999996</v>
      </c>
      <c r="R98" s="106">
        <v>3</v>
      </c>
      <c r="S98" s="106">
        <v>3790.7999999999997</v>
      </c>
      <c r="T98" s="106">
        <v>10</v>
      </c>
      <c r="U98" s="106">
        <v>12636</v>
      </c>
      <c r="V98" s="106">
        <v>8</v>
      </c>
      <c r="W98" s="106">
        <v>10108.799999999999</v>
      </c>
      <c r="X98" s="106">
        <v>11</v>
      </c>
      <c r="Y98" s="106">
        <v>13899.599999999999</v>
      </c>
      <c r="Z98" s="106">
        <v>12</v>
      </c>
      <c r="AA98" s="106">
        <v>15163.199999999999</v>
      </c>
      <c r="AB98" s="106">
        <v>5</v>
      </c>
      <c r="AC98" s="106">
        <v>6318</v>
      </c>
      <c r="AD98" s="106">
        <v>7</v>
      </c>
      <c r="AE98" s="106">
        <v>8845.1999999999989</v>
      </c>
      <c r="AF98" s="106">
        <v>6</v>
      </c>
      <c r="AG98" s="106">
        <v>7581.5999999999995</v>
      </c>
      <c r="AH98" s="106">
        <v>4</v>
      </c>
      <c r="AI98" s="106">
        <v>5054.3999999999996</v>
      </c>
      <c r="AJ98" s="106">
        <v>37</v>
      </c>
      <c r="AK98" s="106">
        <v>46753.2</v>
      </c>
      <c r="AL98" s="106">
        <v>35</v>
      </c>
      <c r="AM98" s="106">
        <v>44226</v>
      </c>
      <c r="AN98" s="106">
        <v>25</v>
      </c>
      <c r="AO98" s="106">
        <v>31589.999999999996</v>
      </c>
      <c r="AP98" s="106">
        <v>27</v>
      </c>
      <c r="AQ98" s="106">
        <v>34117.199999999997</v>
      </c>
      <c r="AR98" s="106">
        <v>3</v>
      </c>
      <c r="AS98" s="106">
        <v>3790.7999999999997</v>
      </c>
      <c r="AT98" s="106">
        <v>3</v>
      </c>
      <c r="AU98" s="106">
        <v>3790.7999999999997</v>
      </c>
      <c r="AV98" s="106">
        <v>3</v>
      </c>
      <c r="AW98" s="106">
        <v>3790.7999999999997</v>
      </c>
      <c r="AX98" s="106">
        <v>4</v>
      </c>
      <c r="AY98" s="106">
        <v>5054.3999999999996</v>
      </c>
      <c r="AZ98" s="106">
        <v>10</v>
      </c>
      <c r="BA98" s="106">
        <v>12636</v>
      </c>
      <c r="BB98" s="106">
        <v>11</v>
      </c>
      <c r="BC98" s="106">
        <v>13899.599999999999</v>
      </c>
      <c r="BD98" s="106">
        <v>12</v>
      </c>
      <c r="BE98" s="106">
        <v>15163.199999999999</v>
      </c>
      <c r="BF98" s="106">
        <v>8</v>
      </c>
      <c r="BG98" s="106">
        <v>10108.799999999999</v>
      </c>
      <c r="BH98" s="106">
        <v>8</v>
      </c>
      <c r="BI98" s="106">
        <v>10108.799999999999</v>
      </c>
      <c r="BJ98" s="106">
        <v>14</v>
      </c>
      <c r="BK98" s="106">
        <v>17690.399999999998</v>
      </c>
      <c r="BL98" s="106">
        <v>10</v>
      </c>
      <c r="BM98" s="106">
        <v>12636</v>
      </c>
      <c r="BN98" s="106">
        <v>13</v>
      </c>
      <c r="BO98" s="106">
        <v>16426.8</v>
      </c>
      <c r="BP98" s="106">
        <v>4</v>
      </c>
      <c r="BQ98" s="106">
        <v>5054.3999999999996</v>
      </c>
      <c r="BR98" s="106">
        <v>4</v>
      </c>
      <c r="BS98" s="106">
        <v>5054.3999999999996</v>
      </c>
      <c r="BT98" s="106">
        <v>3</v>
      </c>
      <c r="BU98" s="106">
        <v>3790.7999999999997</v>
      </c>
      <c r="BV98" s="106">
        <v>5</v>
      </c>
      <c r="BW98" s="106">
        <v>6318</v>
      </c>
      <c r="BX98" s="106">
        <v>16</v>
      </c>
      <c r="BY98" s="106">
        <v>20217.599999999999</v>
      </c>
      <c r="BZ98" s="106">
        <v>10</v>
      </c>
      <c r="CA98" s="106">
        <v>12636</v>
      </c>
      <c r="CB98" s="106">
        <v>15</v>
      </c>
      <c r="CC98" s="106">
        <v>18954</v>
      </c>
      <c r="CD98" s="106">
        <v>11</v>
      </c>
      <c r="CE98" s="106">
        <v>13899.599999999999</v>
      </c>
      <c r="CF98" s="106">
        <v>3</v>
      </c>
      <c r="CG98" s="106">
        <v>3790.7999999999997</v>
      </c>
      <c r="CH98" s="106">
        <v>4</v>
      </c>
      <c r="CI98" s="106">
        <v>5054.3999999999996</v>
      </c>
      <c r="CJ98" s="106">
        <v>3</v>
      </c>
      <c r="CK98" s="106">
        <v>3790.7999999999997</v>
      </c>
      <c r="CL98" s="106">
        <v>3</v>
      </c>
      <c r="CM98" s="106">
        <v>3790.7999999999997</v>
      </c>
      <c r="CN98" s="106">
        <v>4</v>
      </c>
      <c r="CO98" s="106">
        <v>5054.3999999999996</v>
      </c>
      <c r="CP98" s="106">
        <v>5</v>
      </c>
      <c r="CQ98" s="106">
        <v>6318</v>
      </c>
      <c r="CR98" s="106">
        <v>4</v>
      </c>
      <c r="CS98" s="106">
        <v>5054.3999999999996</v>
      </c>
      <c r="CT98" s="106">
        <v>4</v>
      </c>
      <c r="CU98" s="106">
        <v>5054.3999999999996</v>
      </c>
    </row>
    <row r="99" spans="2:99" x14ac:dyDescent="0.2">
      <c r="C99" s="105" t="s">
        <v>265</v>
      </c>
      <c r="D99" s="106">
        <v>4</v>
      </c>
      <c r="E99" s="106">
        <v>21926.399999999998</v>
      </c>
      <c r="F99" s="106">
        <v>3</v>
      </c>
      <c r="G99" s="106">
        <v>16444.8</v>
      </c>
      <c r="H99" s="106">
        <v>3</v>
      </c>
      <c r="I99" s="106">
        <v>16444.8</v>
      </c>
      <c r="J99" s="106">
        <v>3</v>
      </c>
      <c r="K99" s="106">
        <v>16444.8</v>
      </c>
      <c r="L99" s="106">
        <v>2</v>
      </c>
      <c r="M99" s="106">
        <v>10963.199999999999</v>
      </c>
      <c r="N99" s="106">
        <v>3</v>
      </c>
      <c r="O99" s="106">
        <v>16444.8</v>
      </c>
      <c r="P99" s="106">
        <v>3</v>
      </c>
      <c r="Q99" s="106">
        <v>16444.8</v>
      </c>
      <c r="R99" s="106">
        <v>2</v>
      </c>
      <c r="S99" s="106">
        <v>10963.199999999999</v>
      </c>
      <c r="T99" s="106">
        <v>7</v>
      </c>
      <c r="U99" s="106">
        <v>38371.199999999997</v>
      </c>
      <c r="V99" s="106">
        <v>6</v>
      </c>
      <c r="W99" s="106">
        <v>32889.599999999999</v>
      </c>
      <c r="X99" s="106">
        <v>8</v>
      </c>
      <c r="Y99" s="106">
        <v>43852.799999999996</v>
      </c>
      <c r="Z99" s="106">
        <v>8</v>
      </c>
      <c r="AA99" s="106">
        <v>43852.799999999996</v>
      </c>
      <c r="AB99" s="106">
        <v>3</v>
      </c>
      <c r="AC99" s="106">
        <v>16444.8</v>
      </c>
      <c r="AD99" s="106">
        <v>5</v>
      </c>
      <c r="AE99" s="106">
        <v>27407.999999999996</v>
      </c>
      <c r="AF99" s="106">
        <v>4</v>
      </c>
      <c r="AG99" s="106">
        <v>21926.399999999998</v>
      </c>
      <c r="AH99" s="106">
        <v>3</v>
      </c>
      <c r="AI99" s="106">
        <v>16444.8</v>
      </c>
      <c r="AJ99" s="106">
        <v>18</v>
      </c>
      <c r="AK99" s="106">
        <v>98668.799999999988</v>
      </c>
      <c r="AL99" s="106">
        <v>17</v>
      </c>
      <c r="AM99" s="106">
        <v>93187.199999999997</v>
      </c>
      <c r="AN99" s="106">
        <v>14</v>
      </c>
      <c r="AO99" s="106">
        <v>76742.399999999994</v>
      </c>
      <c r="AP99" s="106">
        <v>14</v>
      </c>
      <c r="AQ99" s="106">
        <v>76742.399999999994</v>
      </c>
      <c r="AR99" s="106">
        <v>3</v>
      </c>
      <c r="AS99" s="106">
        <v>16444.8</v>
      </c>
      <c r="AT99" s="106">
        <v>3</v>
      </c>
      <c r="AU99" s="106">
        <v>16444.8</v>
      </c>
      <c r="AV99" s="106">
        <v>2</v>
      </c>
      <c r="AW99" s="106">
        <v>10963.199999999999</v>
      </c>
      <c r="AX99" s="106">
        <v>3</v>
      </c>
      <c r="AY99" s="106">
        <v>16444.8</v>
      </c>
      <c r="AZ99" s="106">
        <v>7</v>
      </c>
      <c r="BA99" s="106">
        <v>38371.199999999997</v>
      </c>
      <c r="BB99" s="106">
        <v>6</v>
      </c>
      <c r="BC99" s="106">
        <v>32889.599999999999</v>
      </c>
      <c r="BD99" s="106">
        <v>8</v>
      </c>
      <c r="BE99" s="106">
        <v>43852.799999999996</v>
      </c>
      <c r="BF99" s="106">
        <v>6</v>
      </c>
      <c r="BG99" s="106">
        <v>32889.599999999999</v>
      </c>
      <c r="BH99" s="106">
        <v>6</v>
      </c>
      <c r="BI99" s="106">
        <v>32889.599999999999</v>
      </c>
      <c r="BJ99" s="106">
        <v>10</v>
      </c>
      <c r="BK99" s="106">
        <v>54815.999999999993</v>
      </c>
      <c r="BL99" s="106">
        <v>7</v>
      </c>
      <c r="BM99" s="106">
        <v>38371.199999999997</v>
      </c>
      <c r="BN99" s="106">
        <v>7</v>
      </c>
      <c r="BO99" s="106">
        <v>38371.199999999997</v>
      </c>
      <c r="BP99" s="106">
        <v>4</v>
      </c>
      <c r="BQ99" s="106">
        <v>21926.399999999998</v>
      </c>
      <c r="BR99" s="106">
        <v>3</v>
      </c>
      <c r="BS99" s="106">
        <v>16444.8</v>
      </c>
      <c r="BT99" s="106">
        <v>2</v>
      </c>
      <c r="BU99" s="106">
        <v>10963.199999999999</v>
      </c>
      <c r="BV99" s="106">
        <v>4</v>
      </c>
      <c r="BW99" s="106">
        <v>21926.399999999998</v>
      </c>
      <c r="BX99" s="106">
        <v>11</v>
      </c>
      <c r="BY99" s="106">
        <v>60297.599999999991</v>
      </c>
      <c r="BZ99" s="106">
        <v>6</v>
      </c>
      <c r="CA99" s="106">
        <v>32889.599999999999</v>
      </c>
      <c r="CB99" s="106">
        <v>10</v>
      </c>
      <c r="CC99" s="106">
        <v>54815.999999999993</v>
      </c>
      <c r="CD99" s="106">
        <v>8</v>
      </c>
      <c r="CE99" s="106">
        <v>43852.799999999996</v>
      </c>
      <c r="CF99" s="106">
        <v>2</v>
      </c>
      <c r="CG99" s="106">
        <v>10963.199999999999</v>
      </c>
      <c r="CH99" s="106">
        <v>3</v>
      </c>
      <c r="CI99" s="106">
        <v>16444.8</v>
      </c>
      <c r="CJ99" s="106">
        <v>2</v>
      </c>
      <c r="CK99" s="106">
        <v>10963.199999999999</v>
      </c>
      <c r="CL99" s="106">
        <v>2</v>
      </c>
      <c r="CM99" s="106">
        <v>10963.199999999999</v>
      </c>
      <c r="CN99" s="106">
        <v>4</v>
      </c>
      <c r="CO99" s="106">
        <v>21926.399999999998</v>
      </c>
      <c r="CP99" s="106">
        <v>3</v>
      </c>
      <c r="CQ99" s="106">
        <v>16444.8</v>
      </c>
      <c r="CR99" s="106">
        <v>4</v>
      </c>
      <c r="CS99" s="106">
        <v>21926.399999999998</v>
      </c>
      <c r="CT99" s="106">
        <v>3</v>
      </c>
      <c r="CU99" s="106">
        <v>16444.8</v>
      </c>
    </row>
    <row r="100" spans="2:99" x14ac:dyDescent="0.2">
      <c r="C100" s="105" t="s">
        <v>266</v>
      </c>
      <c r="D100" s="106">
        <v>5</v>
      </c>
      <c r="E100" s="106">
        <v>8111.9999999999991</v>
      </c>
      <c r="F100" s="106">
        <v>4</v>
      </c>
      <c r="G100" s="106">
        <v>6489.5999999999995</v>
      </c>
      <c r="H100" s="106">
        <v>4</v>
      </c>
      <c r="I100" s="106">
        <v>6489.5999999999995</v>
      </c>
      <c r="J100" s="106">
        <v>5</v>
      </c>
      <c r="K100" s="106">
        <v>8111.9999999999991</v>
      </c>
      <c r="L100" s="106">
        <v>3</v>
      </c>
      <c r="M100" s="106">
        <v>4867.2</v>
      </c>
      <c r="N100" s="106">
        <v>3</v>
      </c>
      <c r="O100" s="106">
        <v>4867.2</v>
      </c>
      <c r="P100" s="106">
        <v>4</v>
      </c>
      <c r="Q100" s="106">
        <v>6489.5999999999995</v>
      </c>
      <c r="R100" s="106">
        <v>3</v>
      </c>
      <c r="S100" s="106">
        <v>4867.2</v>
      </c>
      <c r="T100" s="106">
        <v>10</v>
      </c>
      <c r="U100" s="106">
        <v>16223.999999999998</v>
      </c>
      <c r="V100" s="106">
        <v>8</v>
      </c>
      <c r="W100" s="106">
        <v>12979.199999999999</v>
      </c>
      <c r="X100" s="106">
        <v>12</v>
      </c>
      <c r="Y100" s="106">
        <v>19468.8</v>
      </c>
      <c r="Z100" s="106">
        <v>10</v>
      </c>
      <c r="AA100" s="106">
        <v>16223.999999999998</v>
      </c>
      <c r="AB100" s="106">
        <v>4</v>
      </c>
      <c r="AC100" s="106">
        <v>6489.5999999999995</v>
      </c>
      <c r="AD100" s="106">
        <v>6</v>
      </c>
      <c r="AE100" s="106">
        <v>9734.4</v>
      </c>
      <c r="AF100" s="106">
        <v>6</v>
      </c>
      <c r="AG100" s="106">
        <v>9734.4</v>
      </c>
      <c r="AH100" s="106">
        <v>5</v>
      </c>
      <c r="AI100" s="106">
        <v>8111.9999999999991</v>
      </c>
      <c r="AJ100" s="106">
        <v>34</v>
      </c>
      <c r="AK100" s="106">
        <v>55161.599999999999</v>
      </c>
      <c r="AL100" s="106">
        <v>30</v>
      </c>
      <c r="AM100" s="106">
        <v>48671.999999999993</v>
      </c>
      <c r="AN100" s="106">
        <v>25</v>
      </c>
      <c r="AO100" s="106">
        <v>40560</v>
      </c>
      <c r="AP100" s="106">
        <v>28</v>
      </c>
      <c r="AQ100" s="106">
        <v>45427.199999999997</v>
      </c>
      <c r="AR100" s="106">
        <v>3</v>
      </c>
      <c r="AS100" s="106">
        <v>4867.2</v>
      </c>
      <c r="AT100" s="106">
        <v>3</v>
      </c>
      <c r="AU100" s="106">
        <v>4867.2</v>
      </c>
      <c r="AV100" s="106">
        <v>3</v>
      </c>
      <c r="AW100" s="106">
        <v>4867.2</v>
      </c>
      <c r="AX100" s="106">
        <v>4</v>
      </c>
      <c r="AY100" s="106">
        <v>6489.5999999999995</v>
      </c>
      <c r="AZ100" s="106">
        <v>8</v>
      </c>
      <c r="BA100" s="106">
        <v>12979.199999999999</v>
      </c>
      <c r="BB100" s="106">
        <v>10</v>
      </c>
      <c r="BC100" s="106">
        <v>16223.999999999998</v>
      </c>
      <c r="BD100" s="106">
        <v>11</v>
      </c>
      <c r="BE100" s="106">
        <v>17846.399999999998</v>
      </c>
      <c r="BF100" s="106">
        <v>9</v>
      </c>
      <c r="BG100" s="106">
        <v>14601.599999999999</v>
      </c>
      <c r="BH100" s="106">
        <v>8</v>
      </c>
      <c r="BI100" s="106">
        <v>12979.199999999999</v>
      </c>
      <c r="BJ100" s="106">
        <v>14</v>
      </c>
      <c r="BK100" s="106">
        <v>22713.599999999999</v>
      </c>
      <c r="BL100" s="106">
        <v>9</v>
      </c>
      <c r="BM100" s="106">
        <v>14601.599999999999</v>
      </c>
      <c r="BN100" s="106">
        <v>13</v>
      </c>
      <c r="BO100" s="106">
        <v>21091.199999999997</v>
      </c>
      <c r="BP100" s="106">
        <v>4</v>
      </c>
      <c r="BQ100" s="106">
        <v>6489.5999999999995</v>
      </c>
      <c r="BR100" s="106">
        <v>5</v>
      </c>
      <c r="BS100" s="106">
        <v>8111.9999999999991</v>
      </c>
      <c r="BT100" s="106">
        <v>3</v>
      </c>
      <c r="BU100" s="106">
        <v>4867.2</v>
      </c>
      <c r="BV100" s="106">
        <v>5</v>
      </c>
      <c r="BW100" s="106">
        <v>8111.9999999999991</v>
      </c>
      <c r="BX100" s="106">
        <v>15</v>
      </c>
      <c r="BY100" s="106">
        <v>24335.999999999996</v>
      </c>
      <c r="BZ100" s="106">
        <v>10</v>
      </c>
      <c r="CA100" s="106">
        <v>16223.999999999998</v>
      </c>
      <c r="CB100" s="106">
        <v>14</v>
      </c>
      <c r="CC100" s="106">
        <v>22713.599999999999</v>
      </c>
      <c r="CD100" s="106">
        <v>12</v>
      </c>
      <c r="CE100" s="106">
        <v>19468.8</v>
      </c>
      <c r="CF100" s="106">
        <v>2</v>
      </c>
      <c r="CG100" s="106">
        <v>3244.7999999999997</v>
      </c>
      <c r="CH100" s="106">
        <v>3</v>
      </c>
      <c r="CI100" s="106">
        <v>4867.2</v>
      </c>
      <c r="CJ100" s="106">
        <v>3</v>
      </c>
      <c r="CK100" s="106">
        <v>4867.2</v>
      </c>
      <c r="CL100" s="106">
        <v>3</v>
      </c>
      <c r="CM100" s="106">
        <v>4867.2</v>
      </c>
      <c r="CN100" s="106">
        <v>4</v>
      </c>
      <c r="CO100" s="106">
        <v>6489.5999999999995</v>
      </c>
      <c r="CP100" s="106">
        <v>5</v>
      </c>
      <c r="CQ100" s="106">
        <v>8111.9999999999991</v>
      </c>
      <c r="CR100" s="106">
        <v>4</v>
      </c>
      <c r="CS100" s="106">
        <v>6489.5999999999995</v>
      </c>
      <c r="CT100" s="106">
        <v>3</v>
      </c>
      <c r="CU100" s="106">
        <v>4867.2</v>
      </c>
    </row>
    <row r="101" spans="2:99" x14ac:dyDescent="0.2">
      <c r="C101" s="105" t="s">
        <v>267</v>
      </c>
      <c r="D101" s="106">
        <v>5</v>
      </c>
      <c r="E101" s="106">
        <v>5951.9999999999991</v>
      </c>
      <c r="F101" s="106">
        <v>5</v>
      </c>
      <c r="G101" s="106">
        <v>5951.9999999999991</v>
      </c>
      <c r="H101" s="106">
        <v>5</v>
      </c>
      <c r="I101" s="106">
        <v>5951.9999999999991</v>
      </c>
      <c r="J101" s="106">
        <v>5</v>
      </c>
      <c r="K101" s="106">
        <v>5951.9999999999991</v>
      </c>
      <c r="L101" s="106">
        <v>3</v>
      </c>
      <c r="M101" s="106">
        <v>3571.2</v>
      </c>
      <c r="N101" s="106">
        <v>4</v>
      </c>
      <c r="O101" s="106">
        <v>4761.5999999999995</v>
      </c>
      <c r="P101" s="106">
        <v>4</v>
      </c>
      <c r="Q101" s="106">
        <v>4761.5999999999995</v>
      </c>
      <c r="R101" s="106">
        <v>3</v>
      </c>
      <c r="S101" s="106">
        <v>3571.2</v>
      </c>
      <c r="T101" s="106">
        <v>10</v>
      </c>
      <c r="U101" s="106">
        <v>11903.999999999998</v>
      </c>
      <c r="V101" s="106">
        <v>8</v>
      </c>
      <c r="W101" s="106">
        <v>9523.1999999999989</v>
      </c>
      <c r="X101" s="106">
        <v>11</v>
      </c>
      <c r="Y101" s="106">
        <v>13094.399999999998</v>
      </c>
      <c r="Z101" s="106">
        <v>11</v>
      </c>
      <c r="AA101" s="106">
        <v>13094.399999999998</v>
      </c>
      <c r="AB101" s="106">
        <v>5</v>
      </c>
      <c r="AC101" s="106">
        <v>5951.9999999999991</v>
      </c>
      <c r="AD101" s="106">
        <v>7</v>
      </c>
      <c r="AE101" s="106">
        <v>8332.7999999999993</v>
      </c>
      <c r="AF101" s="106">
        <v>6</v>
      </c>
      <c r="AG101" s="106">
        <v>7142.4</v>
      </c>
      <c r="AH101" s="106">
        <v>4</v>
      </c>
      <c r="AI101" s="106">
        <v>4761.5999999999995</v>
      </c>
      <c r="AJ101" s="106">
        <v>36</v>
      </c>
      <c r="AK101" s="106">
        <v>42854.399999999994</v>
      </c>
      <c r="AL101" s="106">
        <v>34</v>
      </c>
      <c r="AM101" s="106">
        <v>40473.599999999999</v>
      </c>
      <c r="AN101" s="106">
        <v>29</v>
      </c>
      <c r="AO101" s="106">
        <v>34521.599999999999</v>
      </c>
      <c r="AP101" s="106">
        <v>28</v>
      </c>
      <c r="AQ101" s="106">
        <v>33331.199999999997</v>
      </c>
      <c r="AR101" s="106">
        <v>4</v>
      </c>
      <c r="AS101" s="106">
        <v>4761.5999999999995</v>
      </c>
      <c r="AT101" s="106">
        <v>3</v>
      </c>
      <c r="AU101" s="106">
        <v>3571.2</v>
      </c>
      <c r="AV101" s="106">
        <v>3</v>
      </c>
      <c r="AW101" s="106">
        <v>3571.2</v>
      </c>
      <c r="AX101" s="106">
        <v>4</v>
      </c>
      <c r="AY101" s="106">
        <v>4761.5999999999995</v>
      </c>
      <c r="AZ101" s="106">
        <v>10</v>
      </c>
      <c r="BA101" s="106">
        <v>11903.999999999998</v>
      </c>
      <c r="BB101" s="106">
        <v>9</v>
      </c>
      <c r="BC101" s="106">
        <v>10713.599999999999</v>
      </c>
      <c r="BD101" s="106">
        <v>12</v>
      </c>
      <c r="BE101" s="106">
        <v>14284.8</v>
      </c>
      <c r="BF101" s="106">
        <v>9</v>
      </c>
      <c r="BG101" s="106">
        <v>10713.599999999999</v>
      </c>
      <c r="BH101" s="106">
        <v>9</v>
      </c>
      <c r="BI101" s="106">
        <v>10713.599999999999</v>
      </c>
      <c r="BJ101" s="106">
        <v>13</v>
      </c>
      <c r="BK101" s="106">
        <v>15475.199999999999</v>
      </c>
      <c r="BL101" s="106">
        <v>10</v>
      </c>
      <c r="BM101" s="106">
        <v>11903.999999999998</v>
      </c>
      <c r="BN101" s="106">
        <v>13</v>
      </c>
      <c r="BO101" s="106">
        <v>15475.199999999999</v>
      </c>
      <c r="BP101" s="106">
        <v>5</v>
      </c>
      <c r="BQ101" s="106">
        <v>5951.9999999999991</v>
      </c>
      <c r="BR101" s="106">
        <v>4</v>
      </c>
      <c r="BS101" s="106">
        <v>4761.5999999999995</v>
      </c>
      <c r="BT101" s="106">
        <v>4</v>
      </c>
      <c r="BU101" s="106">
        <v>4761.5999999999995</v>
      </c>
      <c r="BV101" s="106">
        <v>5</v>
      </c>
      <c r="BW101" s="106">
        <v>5951.9999999999991</v>
      </c>
      <c r="BX101" s="106">
        <v>16</v>
      </c>
      <c r="BY101" s="106">
        <v>19046.399999999998</v>
      </c>
      <c r="BZ101" s="106">
        <v>11</v>
      </c>
      <c r="CA101" s="106">
        <v>13094.399999999998</v>
      </c>
      <c r="CB101" s="106">
        <v>17</v>
      </c>
      <c r="CC101" s="106">
        <v>20236.8</v>
      </c>
      <c r="CD101" s="106">
        <v>12</v>
      </c>
      <c r="CE101" s="106">
        <v>14284.8</v>
      </c>
      <c r="CF101" s="106">
        <v>3</v>
      </c>
      <c r="CG101" s="106">
        <v>3571.2</v>
      </c>
      <c r="CH101" s="106">
        <v>4</v>
      </c>
      <c r="CI101" s="106">
        <v>4761.5999999999995</v>
      </c>
      <c r="CJ101" s="106">
        <v>3</v>
      </c>
      <c r="CK101" s="106">
        <v>3571.2</v>
      </c>
      <c r="CL101" s="106">
        <v>3</v>
      </c>
      <c r="CM101" s="106">
        <v>3571.2</v>
      </c>
      <c r="CN101" s="106">
        <v>5</v>
      </c>
      <c r="CO101" s="106">
        <v>5951.9999999999991</v>
      </c>
      <c r="CP101" s="106">
        <v>5</v>
      </c>
      <c r="CQ101" s="106">
        <v>5951.9999999999991</v>
      </c>
      <c r="CR101" s="106">
        <v>5</v>
      </c>
      <c r="CS101" s="106">
        <v>5951.9999999999991</v>
      </c>
      <c r="CT101" s="106">
        <v>3</v>
      </c>
      <c r="CU101" s="106">
        <v>3571.2</v>
      </c>
    </row>
    <row r="102" spans="2:99" x14ac:dyDescent="0.2">
      <c r="C102" s="105" t="s">
        <v>268</v>
      </c>
      <c r="D102" s="106">
        <v>5</v>
      </c>
      <c r="E102" s="106">
        <v>9696</v>
      </c>
      <c r="F102" s="106">
        <v>4</v>
      </c>
      <c r="G102" s="106">
        <v>7756.7999999999993</v>
      </c>
      <c r="H102" s="106">
        <v>5</v>
      </c>
      <c r="I102" s="106">
        <v>9696</v>
      </c>
      <c r="J102" s="106">
        <v>5</v>
      </c>
      <c r="K102" s="106">
        <v>9696</v>
      </c>
      <c r="L102" s="106">
        <v>3</v>
      </c>
      <c r="M102" s="106">
        <v>5817.5999999999995</v>
      </c>
      <c r="N102" s="106">
        <v>3</v>
      </c>
      <c r="O102" s="106">
        <v>5817.5999999999995</v>
      </c>
      <c r="P102" s="106">
        <v>4</v>
      </c>
      <c r="Q102" s="106">
        <v>7756.7999999999993</v>
      </c>
      <c r="R102" s="106">
        <v>3</v>
      </c>
      <c r="S102" s="106">
        <v>5817.5999999999995</v>
      </c>
      <c r="T102" s="106">
        <v>10</v>
      </c>
      <c r="U102" s="106">
        <v>19392</v>
      </c>
      <c r="V102" s="106">
        <v>8</v>
      </c>
      <c r="W102" s="106">
        <v>15513.599999999999</v>
      </c>
      <c r="X102" s="106">
        <v>11</v>
      </c>
      <c r="Y102" s="106">
        <v>21331.199999999997</v>
      </c>
      <c r="Z102" s="106">
        <v>11</v>
      </c>
      <c r="AA102" s="106">
        <v>21331.199999999997</v>
      </c>
      <c r="AB102" s="106">
        <v>4</v>
      </c>
      <c r="AC102" s="106">
        <v>7756.7999999999993</v>
      </c>
      <c r="AD102" s="106">
        <v>7</v>
      </c>
      <c r="AE102" s="106">
        <v>13574.399999999998</v>
      </c>
      <c r="AF102" s="106">
        <v>7</v>
      </c>
      <c r="AG102" s="106">
        <v>13574.399999999998</v>
      </c>
      <c r="AH102" s="106">
        <v>4</v>
      </c>
      <c r="AI102" s="106">
        <v>7756.7999999999993</v>
      </c>
      <c r="AJ102" s="106">
        <v>31</v>
      </c>
      <c r="AK102" s="106">
        <v>60115.199999999997</v>
      </c>
      <c r="AL102" s="106">
        <v>27</v>
      </c>
      <c r="AM102" s="106">
        <v>52358.399999999994</v>
      </c>
      <c r="AN102" s="106">
        <v>25</v>
      </c>
      <c r="AO102" s="106">
        <v>48479.999999999993</v>
      </c>
      <c r="AP102" s="106">
        <v>23</v>
      </c>
      <c r="AQ102" s="106">
        <v>44601.599999999999</v>
      </c>
      <c r="AR102" s="106">
        <v>3</v>
      </c>
      <c r="AS102" s="106">
        <v>5817.5999999999995</v>
      </c>
      <c r="AT102" s="106">
        <v>3</v>
      </c>
      <c r="AU102" s="106">
        <v>5817.5999999999995</v>
      </c>
      <c r="AV102" s="106">
        <v>3</v>
      </c>
      <c r="AW102" s="106">
        <v>5817.5999999999995</v>
      </c>
      <c r="AX102" s="106">
        <v>4</v>
      </c>
      <c r="AY102" s="106">
        <v>7756.7999999999993</v>
      </c>
      <c r="AZ102" s="106">
        <v>8</v>
      </c>
      <c r="BA102" s="106">
        <v>15513.599999999999</v>
      </c>
      <c r="BB102" s="106">
        <v>10</v>
      </c>
      <c r="BC102" s="106">
        <v>19392</v>
      </c>
      <c r="BD102" s="106">
        <v>11</v>
      </c>
      <c r="BE102" s="106">
        <v>21331.199999999997</v>
      </c>
      <c r="BF102" s="106">
        <v>9</v>
      </c>
      <c r="BG102" s="106">
        <v>17452.8</v>
      </c>
      <c r="BH102" s="106">
        <v>8</v>
      </c>
      <c r="BI102" s="106">
        <v>15513.599999999999</v>
      </c>
      <c r="BJ102" s="106">
        <v>13</v>
      </c>
      <c r="BK102" s="106">
        <v>25209.599999999999</v>
      </c>
      <c r="BL102" s="106">
        <v>9</v>
      </c>
      <c r="BM102" s="106">
        <v>17452.8</v>
      </c>
      <c r="BN102" s="106">
        <v>12</v>
      </c>
      <c r="BO102" s="106">
        <v>23270.399999999998</v>
      </c>
      <c r="BP102" s="106">
        <v>4</v>
      </c>
      <c r="BQ102" s="106">
        <v>7756.7999999999993</v>
      </c>
      <c r="BR102" s="106">
        <v>4</v>
      </c>
      <c r="BS102" s="106">
        <v>7756.7999999999993</v>
      </c>
      <c r="BT102" s="106">
        <v>3</v>
      </c>
      <c r="BU102" s="106">
        <v>5817.5999999999995</v>
      </c>
      <c r="BV102" s="106">
        <v>5</v>
      </c>
      <c r="BW102" s="106">
        <v>9696</v>
      </c>
      <c r="BX102" s="106">
        <v>15</v>
      </c>
      <c r="BY102" s="106">
        <v>29087.999999999996</v>
      </c>
      <c r="BZ102" s="106">
        <v>9</v>
      </c>
      <c r="CA102" s="106">
        <v>17452.8</v>
      </c>
      <c r="CB102" s="106">
        <v>15</v>
      </c>
      <c r="CC102" s="106">
        <v>29087.999999999996</v>
      </c>
      <c r="CD102" s="106">
        <v>10</v>
      </c>
      <c r="CE102" s="106">
        <v>19392</v>
      </c>
      <c r="CF102" s="106">
        <v>3</v>
      </c>
      <c r="CG102" s="106">
        <v>5817.5999999999995</v>
      </c>
      <c r="CH102" s="106">
        <v>3</v>
      </c>
      <c r="CI102" s="106">
        <v>5817.5999999999995</v>
      </c>
      <c r="CJ102" s="106">
        <v>3</v>
      </c>
      <c r="CK102" s="106">
        <v>5817.5999999999995</v>
      </c>
      <c r="CL102" s="106">
        <v>3</v>
      </c>
      <c r="CM102" s="106">
        <v>5817.5999999999995</v>
      </c>
      <c r="CN102" s="106">
        <v>5</v>
      </c>
      <c r="CO102" s="106">
        <v>9696</v>
      </c>
      <c r="CP102" s="106">
        <v>4</v>
      </c>
      <c r="CQ102" s="106">
        <v>7756.7999999999993</v>
      </c>
      <c r="CR102" s="106">
        <v>4</v>
      </c>
      <c r="CS102" s="106">
        <v>7756.7999999999993</v>
      </c>
      <c r="CT102" s="106">
        <v>3</v>
      </c>
      <c r="CU102" s="106">
        <v>5817.5999999999995</v>
      </c>
    </row>
    <row r="103" spans="2:99" x14ac:dyDescent="0.2">
      <c r="C103" s="105" t="s">
        <v>269</v>
      </c>
      <c r="D103" s="106">
        <v>5</v>
      </c>
      <c r="E103" s="106">
        <v>10140</v>
      </c>
      <c r="F103" s="106">
        <v>4</v>
      </c>
      <c r="G103" s="106">
        <v>8112</v>
      </c>
      <c r="H103" s="106">
        <v>4</v>
      </c>
      <c r="I103" s="106">
        <v>8112</v>
      </c>
      <c r="J103" s="106">
        <v>5</v>
      </c>
      <c r="K103" s="106">
        <v>10140</v>
      </c>
      <c r="L103" s="106">
        <v>3</v>
      </c>
      <c r="M103" s="106">
        <v>6084</v>
      </c>
      <c r="N103" s="106">
        <v>4</v>
      </c>
      <c r="O103" s="106">
        <v>8112</v>
      </c>
      <c r="P103" s="106">
        <v>3</v>
      </c>
      <c r="Q103" s="106">
        <v>6084</v>
      </c>
      <c r="R103" s="106">
        <v>3</v>
      </c>
      <c r="S103" s="106">
        <v>6084</v>
      </c>
      <c r="T103" s="106">
        <v>9</v>
      </c>
      <c r="U103" s="106">
        <v>18252</v>
      </c>
      <c r="V103" s="106">
        <v>8</v>
      </c>
      <c r="W103" s="106">
        <v>16224</v>
      </c>
      <c r="X103" s="106">
        <v>10</v>
      </c>
      <c r="Y103" s="106">
        <v>20280</v>
      </c>
      <c r="Z103" s="106">
        <v>10</v>
      </c>
      <c r="AA103" s="106">
        <v>20280</v>
      </c>
      <c r="AB103" s="106">
        <v>4</v>
      </c>
      <c r="AC103" s="106">
        <v>8112</v>
      </c>
      <c r="AD103" s="106">
        <v>6</v>
      </c>
      <c r="AE103" s="106">
        <v>12168</v>
      </c>
      <c r="AF103" s="106">
        <v>6</v>
      </c>
      <c r="AG103" s="106">
        <v>12168</v>
      </c>
      <c r="AH103" s="106">
        <v>4</v>
      </c>
      <c r="AI103" s="106">
        <v>8112</v>
      </c>
      <c r="AJ103" s="106">
        <v>34</v>
      </c>
      <c r="AK103" s="106">
        <v>68952</v>
      </c>
      <c r="AL103" s="106">
        <v>29</v>
      </c>
      <c r="AM103" s="106">
        <v>58812</v>
      </c>
      <c r="AN103" s="106">
        <v>24</v>
      </c>
      <c r="AO103" s="106">
        <v>48672</v>
      </c>
      <c r="AP103" s="106">
        <v>24</v>
      </c>
      <c r="AQ103" s="106">
        <v>48672</v>
      </c>
      <c r="AR103" s="106">
        <v>3</v>
      </c>
      <c r="AS103" s="106">
        <v>6084</v>
      </c>
      <c r="AT103" s="106">
        <v>4</v>
      </c>
      <c r="AU103" s="106">
        <v>8112</v>
      </c>
      <c r="AV103" s="106">
        <v>3</v>
      </c>
      <c r="AW103" s="106">
        <v>6084</v>
      </c>
      <c r="AX103" s="106">
        <v>4</v>
      </c>
      <c r="AY103" s="106">
        <v>8112</v>
      </c>
      <c r="AZ103" s="106">
        <v>8</v>
      </c>
      <c r="BA103" s="106">
        <v>16224</v>
      </c>
      <c r="BB103" s="106">
        <v>9</v>
      </c>
      <c r="BC103" s="106">
        <v>18252</v>
      </c>
      <c r="BD103" s="106">
        <v>11</v>
      </c>
      <c r="BE103" s="106">
        <v>22308</v>
      </c>
      <c r="BF103" s="106">
        <v>9</v>
      </c>
      <c r="BG103" s="106">
        <v>18252</v>
      </c>
      <c r="BH103" s="106">
        <v>9</v>
      </c>
      <c r="BI103" s="106">
        <v>18252</v>
      </c>
      <c r="BJ103" s="106">
        <v>14</v>
      </c>
      <c r="BK103" s="106">
        <v>28392</v>
      </c>
      <c r="BL103" s="106">
        <v>9</v>
      </c>
      <c r="BM103" s="106">
        <v>18252</v>
      </c>
      <c r="BN103" s="106">
        <v>11</v>
      </c>
      <c r="BO103" s="106">
        <v>22308</v>
      </c>
      <c r="BP103" s="106">
        <v>4</v>
      </c>
      <c r="BQ103" s="106">
        <v>8112</v>
      </c>
      <c r="BR103" s="106">
        <v>4</v>
      </c>
      <c r="BS103" s="106">
        <v>8112</v>
      </c>
      <c r="BT103" s="106">
        <v>3</v>
      </c>
      <c r="BU103" s="106">
        <v>6084</v>
      </c>
      <c r="BV103" s="106">
        <v>5</v>
      </c>
      <c r="BW103" s="106">
        <v>10140</v>
      </c>
      <c r="BX103" s="106">
        <v>16</v>
      </c>
      <c r="BY103" s="106">
        <v>32448</v>
      </c>
      <c r="BZ103" s="106">
        <v>8</v>
      </c>
      <c r="CA103" s="106">
        <v>16224</v>
      </c>
      <c r="CB103" s="106">
        <v>15</v>
      </c>
      <c r="CC103" s="106">
        <v>30420</v>
      </c>
      <c r="CD103" s="106">
        <v>11</v>
      </c>
      <c r="CE103" s="106">
        <v>22308</v>
      </c>
      <c r="CF103" s="106">
        <v>3</v>
      </c>
      <c r="CG103" s="106">
        <v>6084</v>
      </c>
      <c r="CH103" s="106">
        <v>3</v>
      </c>
      <c r="CI103" s="106">
        <v>6084</v>
      </c>
      <c r="CJ103" s="106">
        <v>3</v>
      </c>
      <c r="CK103" s="106">
        <v>6084</v>
      </c>
      <c r="CL103" s="106">
        <v>3</v>
      </c>
      <c r="CM103" s="106">
        <v>6084</v>
      </c>
      <c r="CN103" s="106">
        <v>5</v>
      </c>
      <c r="CO103" s="106">
        <v>10140</v>
      </c>
      <c r="CP103" s="106">
        <v>5</v>
      </c>
      <c r="CQ103" s="106">
        <v>10140</v>
      </c>
      <c r="CR103" s="106">
        <v>4</v>
      </c>
      <c r="CS103" s="106">
        <v>8112</v>
      </c>
      <c r="CT103" s="106">
        <v>3</v>
      </c>
      <c r="CU103" s="106">
        <v>6084</v>
      </c>
    </row>
    <row r="104" spans="2:99" x14ac:dyDescent="0.2">
      <c r="C104" s="105" t="s">
        <v>270</v>
      </c>
      <c r="D104" s="106">
        <v>5</v>
      </c>
      <c r="E104" s="106">
        <v>10362</v>
      </c>
      <c r="F104" s="106">
        <v>4</v>
      </c>
      <c r="G104" s="106">
        <v>8289.6</v>
      </c>
      <c r="H104" s="106">
        <v>4</v>
      </c>
      <c r="I104" s="106">
        <v>8289.6</v>
      </c>
      <c r="J104" s="106">
        <v>5</v>
      </c>
      <c r="K104" s="106">
        <v>10362</v>
      </c>
      <c r="L104" s="106">
        <v>3</v>
      </c>
      <c r="M104" s="106">
        <v>6217.2000000000007</v>
      </c>
      <c r="N104" s="106">
        <v>3</v>
      </c>
      <c r="O104" s="106">
        <v>6217.2000000000007</v>
      </c>
      <c r="P104" s="106">
        <v>4</v>
      </c>
      <c r="Q104" s="106">
        <v>8289.6</v>
      </c>
      <c r="R104" s="106">
        <v>3</v>
      </c>
      <c r="S104" s="106">
        <v>6217.2000000000007</v>
      </c>
      <c r="T104" s="106">
        <v>9</v>
      </c>
      <c r="U104" s="106">
        <v>18651.600000000002</v>
      </c>
      <c r="V104" s="106">
        <v>8</v>
      </c>
      <c r="W104" s="106">
        <v>16579.2</v>
      </c>
      <c r="X104" s="106">
        <v>10</v>
      </c>
      <c r="Y104" s="106">
        <v>20724</v>
      </c>
      <c r="Z104" s="106">
        <v>10</v>
      </c>
      <c r="AA104" s="106">
        <v>20724</v>
      </c>
      <c r="AB104" s="106">
        <v>5</v>
      </c>
      <c r="AC104" s="106">
        <v>10362</v>
      </c>
      <c r="AD104" s="106">
        <v>6</v>
      </c>
      <c r="AE104" s="106">
        <v>12434.400000000001</v>
      </c>
      <c r="AF104" s="106">
        <v>5</v>
      </c>
      <c r="AG104" s="106">
        <v>10362</v>
      </c>
      <c r="AH104" s="106">
        <v>4</v>
      </c>
      <c r="AI104" s="106">
        <v>8289.6</v>
      </c>
      <c r="AJ104" s="106">
        <v>33</v>
      </c>
      <c r="AK104" s="106">
        <v>68389.2</v>
      </c>
      <c r="AL104" s="106">
        <v>28</v>
      </c>
      <c r="AM104" s="106">
        <v>58027.200000000004</v>
      </c>
      <c r="AN104" s="106">
        <v>23</v>
      </c>
      <c r="AO104" s="106">
        <v>47665.200000000004</v>
      </c>
      <c r="AP104" s="106">
        <v>27</v>
      </c>
      <c r="AQ104" s="106">
        <v>55954.8</v>
      </c>
      <c r="AR104" s="106">
        <v>3</v>
      </c>
      <c r="AS104" s="106">
        <v>6217.2000000000007</v>
      </c>
      <c r="AT104" s="106">
        <v>3</v>
      </c>
      <c r="AU104" s="106">
        <v>6217.2000000000007</v>
      </c>
      <c r="AV104" s="106">
        <v>3</v>
      </c>
      <c r="AW104" s="106">
        <v>6217.2000000000007</v>
      </c>
      <c r="AX104" s="106">
        <v>4</v>
      </c>
      <c r="AY104" s="106">
        <v>8289.6</v>
      </c>
      <c r="AZ104" s="106">
        <v>9</v>
      </c>
      <c r="BA104" s="106">
        <v>18651.600000000002</v>
      </c>
      <c r="BB104" s="106">
        <v>9</v>
      </c>
      <c r="BC104" s="106">
        <v>18651.600000000002</v>
      </c>
      <c r="BD104" s="106">
        <v>11</v>
      </c>
      <c r="BE104" s="106">
        <v>22796.400000000001</v>
      </c>
      <c r="BF104" s="106">
        <v>9</v>
      </c>
      <c r="BG104" s="106">
        <v>18651.600000000002</v>
      </c>
      <c r="BH104" s="106">
        <v>9</v>
      </c>
      <c r="BI104" s="106">
        <v>18651.600000000002</v>
      </c>
      <c r="BJ104" s="106">
        <v>12</v>
      </c>
      <c r="BK104" s="106">
        <v>24868.800000000003</v>
      </c>
      <c r="BL104" s="106">
        <v>10</v>
      </c>
      <c r="BM104" s="106">
        <v>20724</v>
      </c>
      <c r="BN104" s="106">
        <v>12</v>
      </c>
      <c r="BO104" s="106">
        <v>24868.800000000003</v>
      </c>
      <c r="BP104" s="106">
        <v>4</v>
      </c>
      <c r="BQ104" s="106">
        <v>8289.6</v>
      </c>
      <c r="BR104" s="106">
        <v>4</v>
      </c>
      <c r="BS104" s="106">
        <v>8289.6</v>
      </c>
      <c r="BT104" s="106">
        <v>3</v>
      </c>
      <c r="BU104" s="106">
        <v>6217.2000000000007</v>
      </c>
      <c r="BV104" s="106">
        <v>5</v>
      </c>
      <c r="BW104" s="106">
        <v>10362</v>
      </c>
      <c r="BX104" s="106">
        <v>15</v>
      </c>
      <c r="BY104" s="106">
        <v>31086</v>
      </c>
      <c r="BZ104" s="106">
        <v>9</v>
      </c>
      <c r="CA104" s="106">
        <v>18651.600000000002</v>
      </c>
      <c r="CB104" s="106">
        <v>15</v>
      </c>
      <c r="CC104" s="106">
        <v>31086</v>
      </c>
      <c r="CD104" s="106">
        <v>10</v>
      </c>
      <c r="CE104" s="106">
        <v>20724</v>
      </c>
      <c r="CF104" s="106">
        <v>2</v>
      </c>
      <c r="CG104" s="106">
        <v>4144.8</v>
      </c>
      <c r="CH104" s="106">
        <v>3</v>
      </c>
      <c r="CI104" s="106">
        <v>6217.2000000000007</v>
      </c>
      <c r="CJ104" s="106">
        <v>2</v>
      </c>
      <c r="CK104" s="106">
        <v>4144.8</v>
      </c>
      <c r="CL104" s="106">
        <v>3</v>
      </c>
      <c r="CM104" s="106">
        <v>6217.2000000000007</v>
      </c>
      <c r="CN104" s="106">
        <v>5</v>
      </c>
      <c r="CO104" s="106">
        <v>10362</v>
      </c>
      <c r="CP104" s="106">
        <v>5</v>
      </c>
      <c r="CQ104" s="106">
        <v>10362</v>
      </c>
      <c r="CR104" s="106">
        <v>4</v>
      </c>
      <c r="CS104" s="106">
        <v>8289.6</v>
      </c>
      <c r="CT104" s="106">
        <v>3</v>
      </c>
      <c r="CU104" s="106">
        <v>6217.2000000000007</v>
      </c>
    </row>
    <row r="105" spans="2:99" x14ac:dyDescent="0.2">
      <c r="C105" s="105" t="s">
        <v>271</v>
      </c>
      <c r="D105" s="106">
        <v>5</v>
      </c>
      <c r="E105" s="106">
        <v>9990</v>
      </c>
      <c r="F105" s="106">
        <v>5</v>
      </c>
      <c r="G105" s="106">
        <v>9990</v>
      </c>
      <c r="H105" s="106">
        <v>4</v>
      </c>
      <c r="I105" s="106">
        <v>7992</v>
      </c>
      <c r="J105" s="106">
        <v>5</v>
      </c>
      <c r="K105" s="106">
        <v>9990</v>
      </c>
      <c r="L105" s="106">
        <v>3</v>
      </c>
      <c r="M105" s="106">
        <v>5994</v>
      </c>
      <c r="N105" s="106">
        <v>3</v>
      </c>
      <c r="O105" s="106">
        <v>5994</v>
      </c>
      <c r="P105" s="106">
        <v>4</v>
      </c>
      <c r="Q105" s="106">
        <v>7992</v>
      </c>
      <c r="R105" s="106">
        <v>2</v>
      </c>
      <c r="S105" s="106">
        <v>3996</v>
      </c>
      <c r="T105" s="106">
        <v>10</v>
      </c>
      <c r="U105" s="106">
        <v>19980</v>
      </c>
      <c r="V105" s="106">
        <v>7</v>
      </c>
      <c r="W105" s="106">
        <v>13986</v>
      </c>
      <c r="X105" s="106">
        <v>10</v>
      </c>
      <c r="Y105" s="106">
        <v>19980</v>
      </c>
      <c r="Z105" s="106">
        <v>11</v>
      </c>
      <c r="AA105" s="106">
        <v>21978</v>
      </c>
      <c r="AB105" s="106">
        <v>4</v>
      </c>
      <c r="AC105" s="106">
        <v>7992</v>
      </c>
      <c r="AD105" s="106">
        <v>6</v>
      </c>
      <c r="AE105" s="106">
        <v>11988</v>
      </c>
      <c r="AF105" s="106">
        <v>6</v>
      </c>
      <c r="AG105" s="106">
        <v>11988</v>
      </c>
      <c r="AH105" s="106">
        <v>4</v>
      </c>
      <c r="AI105" s="106">
        <v>7992</v>
      </c>
      <c r="AJ105" s="106">
        <v>29</v>
      </c>
      <c r="AK105" s="106">
        <v>57942</v>
      </c>
      <c r="AL105" s="106">
        <v>30</v>
      </c>
      <c r="AM105" s="106">
        <v>59940</v>
      </c>
      <c r="AN105" s="106">
        <v>24</v>
      </c>
      <c r="AO105" s="106">
        <v>47952</v>
      </c>
      <c r="AP105" s="106">
        <v>26</v>
      </c>
      <c r="AQ105" s="106">
        <v>51948</v>
      </c>
      <c r="AR105" s="106">
        <v>3</v>
      </c>
      <c r="AS105" s="106">
        <v>5994</v>
      </c>
      <c r="AT105" s="106">
        <v>4</v>
      </c>
      <c r="AU105" s="106">
        <v>7992</v>
      </c>
      <c r="AV105" s="106">
        <v>3</v>
      </c>
      <c r="AW105" s="106">
        <v>5994</v>
      </c>
      <c r="AX105" s="106">
        <v>4</v>
      </c>
      <c r="AY105" s="106">
        <v>7992</v>
      </c>
      <c r="AZ105" s="106">
        <v>9</v>
      </c>
      <c r="BA105" s="106">
        <v>17982</v>
      </c>
      <c r="BB105" s="106">
        <v>8</v>
      </c>
      <c r="BC105" s="106">
        <v>15984</v>
      </c>
      <c r="BD105" s="106">
        <v>10</v>
      </c>
      <c r="BE105" s="106">
        <v>19980</v>
      </c>
      <c r="BF105" s="106">
        <v>8</v>
      </c>
      <c r="BG105" s="106">
        <v>15984</v>
      </c>
      <c r="BH105" s="106">
        <v>8</v>
      </c>
      <c r="BI105" s="106">
        <v>15984</v>
      </c>
      <c r="BJ105" s="106">
        <v>13</v>
      </c>
      <c r="BK105" s="106">
        <v>25974</v>
      </c>
      <c r="BL105" s="106">
        <v>9</v>
      </c>
      <c r="BM105" s="106">
        <v>17982</v>
      </c>
      <c r="BN105" s="106">
        <v>12</v>
      </c>
      <c r="BO105" s="106">
        <v>23976</v>
      </c>
      <c r="BP105" s="106">
        <v>5</v>
      </c>
      <c r="BQ105" s="106">
        <v>9990</v>
      </c>
      <c r="BR105" s="106">
        <v>4</v>
      </c>
      <c r="BS105" s="106">
        <v>7992</v>
      </c>
      <c r="BT105" s="106">
        <v>3</v>
      </c>
      <c r="BU105" s="106">
        <v>5994</v>
      </c>
      <c r="BV105" s="106">
        <v>5</v>
      </c>
      <c r="BW105" s="106">
        <v>9990</v>
      </c>
      <c r="BX105" s="106">
        <v>13</v>
      </c>
      <c r="BY105" s="106">
        <v>25974</v>
      </c>
      <c r="BZ105" s="106">
        <v>8</v>
      </c>
      <c r="CA105" s="106">
        <v>15984</v>
      </c>
      <c r="CB105" s="106">
        <v>16</v>
      </c>
      <c r="CC105" s="106">
        <v>31968</v>
      </c>
      <c r="CD105" s="106">
        <v>10</v>
      </c>
      <c r="CE105" s="106">
        <v>19980</v>
      </c>
      <c r="CF105" s="106">
        <v>3</v>
      </c>
      <c r="CG105" s="106">
        <v>5994</v>
      </c>
      <c r="CH105" s="106">
        <v>3</v>
      </c>
      <c r="CI105" s="106">
        <v>5994</v>
      </c>
      <c r="CJ105" s="106">
        <v>3</v>
      </c>
      <c r="CK105" s="106">
        <v>5994</v>
      </c>
      <c r="CL105" s="106">
        <v>3</v>
      </c>
      <c r="CM105" s="106">
        <v>5994</v>
      </c>
      <c r="CN105" s="106">
        <v>5</v>
      </c>
      <c r="CO105" s="106">
        <v>9990</v>
      </c>
      <c r="CP105" s="106">
        <v>5</v>
      </c>
      <c r="CQ105" s="106">
        <v>9990</v>
      </c>
      <c r="CR105" s="106">
        <v>4</v>
      </c>
      <c r="CS105" s="106">
        <v>7992</v>
      </c>
      <c r="CT105" s="106">
        <v>3</v>
      </c>
      <c r="CU105" s="106">
        <v>5994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168</v>
      </c>
      <c r="E109" s="106">
        <f>SUM(L$6:L$19)+SUM(N$6:N$19)+SUM(P$6:P$19)+SUM(R$6:R$19)</f>
        <v>152</v>
      </c>
      <c r="F109" s="106">
        <f>SUM(T$6:T$19)+SUM(V$6:V$19)+SUM(X$6:X$19)+SUM(Z$6:Z$19)</f>
        <v>409</v>
      </c>
      <c r="G109" s="106">
        <f>SUM(AB$6:AB$19)+SUM(AD$6:AD$19)+SUM(AF$6:AF$19)+SUM(AH$6:AH$19)</f>
        <v>1419</v>
      </c>
      <c r="H109" s="106">
        <f>SUM(AJ$6:AJ$19)+SUM(AL$6:AL$19)+SUM(AN$6:AN$19)+SUM(AP$6:AP$19)</f>
        <v>211</v>
      </c>
      <c r="I109" s="106">
        <f>SUM(AR$6:AR$19)+SUM(AT$6:AT$19)+SUM(AV$6:AV$19)+SUM(AX$6:AX$19)</f>
        <v>694</v>
      </c>
      <c r="J109" s="106">
        <f>SUM(AZ$6:AZ$19)+SUM(BB$6:BB$19)+SUM(BD$6:BD$19)+SUM(BF$6:BF$19)</f>
        <v>280</v>
      </c>
      <c r="K109" s="106">
        <f>SUM(BH$6:BH$19)+SUM(BJ$6:BJ$19)+SUM(BL$6:BL$19)+SUM(BN$6:BN$19)</f>
        <v>448</v>
      </c>
      <c r="L109" s="106">
        <f>SUM(BP$6:BP$19)+SUM(BR$6:BR$19)+SUM(BT$6:BT$19)+SUM(BV$6:BV$19)</f>
        <v>1741</v>
      </c>
      <c r="M109" s="106">
        <f>SUM(BX$6:BX$19)+SUM(BZ$6:BZ$19)+SUM(CB$6:CB$19)+SUM(CD$6:CD$19)</f>
        <v>244</v>
      </c>
      <c r="N109" s="106">
        <f>SUM(CF$6:CF$19)+SUM(CH$6:CH$19)+SUM(CJ$6:CJ$19)+SUM(CL$6:CL$19)</f>
        <v>1315</v>
      </c>
      <c r="O109" s="106">
        <f>SUM(CN$6:CN$19)+SUM(CP$6:CP$19)+SUM(CR$6:CR$19)+SUM(CT$6:CT$19)</f>
        <v>474</v>
      </c>
    </row>
    <row r="110" spans="2:99" x14ac:dyDescent="0.2">
      <c r="C110" s="105" t="s">
        <v>127</v>
      </c>
      <c r="D110" s="106">
        <f>SUM(D$20:D$36)+SUM(F$20:F$36)+SUM(H$20:H$36)+SUM(J$20:J$36)</f>
        <v>176</v>
      </c>
      <c r="E110" s="106">
        <f>SUM(L$20:L$36)+SUM(N$20:N$36)+SUM(P$20:P$36)+SUM(R$20:R$36)</f>
        <v>1168</v>
      </c>
      <c r="F110" s="106">
        <f>SUM(T$20:T$36)+SUM(V$20:V$36)+SUM(X$20:X$36)+SUM(Z$20:Z$36)</f>
        <v>222</v>
      </c>
      <c r="G110" s="106">
        <f>SUM(AB$20:AB$36)+SUM(AD$20:AD$36)+SUM(AF$20:AF$36)+SUM(AH$20:AH$36)</f>
        <v>230</v>
      </c>
      <c r="H110" s="106">
        <f>SUM(AJ$20:AJ$36)+SUM(AL$20:AL$36)+SUM(AN$20:AN$36)+SUM(AP$20:AP$36)</f>
        <v>790</v>
      </c>
      <c r="I110" s="106">
        <f>SUM(AR$20:AR$36)+SUM(AT$20:AT$36)+SUM(AV$20:AV$36)+SUM(AX$20:AX$36)</f>
        <v>1572</v>
      </c>
      <c r="J110" s="106">
        <f>SUM(AZ$20:AZ$36)+SUM(BB$20:BB$36)+SUM(BD$20:BD$36)+SUM(BF$20:BF$36)</f>
        <v>157</v>
      </c>
      <c r="K110" s="106">
        <f>SUM(BH$20:BH$36)+SUM(BJ$20:BJ$36)+SUM(BL$20:BL$36)+SUM(BN$20:BN$36)</f>
        <v>890</v>
      </c>
      <c r="L110" s="106">
        <f>SUM(BP$20:BP$36)+SUM(BR$20:BR$36)+SUM(BT$20:BT$36)+SUM(BV$20:BV$36)</f>
        <v>176</v>
      </c>
      <c r="M110" s="106">
        <f>SUM(BX$20:BX$36)+SUM(BZ$20:BZ$36)+SUM(CB$20:CB$36)+SUM(CD$20:CD$36)</f>
        <v>1538</v>
      </c>
      <c r="N110" s="106">
        <f>SUM(CF$20:CF$36)+SUM(CH$20:CH$36)+SUM(CJ$20:CJ$36)+SUM(CL$20:CL$36)</f>
        <v>2086</v>
      </c>
      <c r="O110" s="106">
        <f>SUM(CN$20:CN$36)+SUM(CP$20:CP$36)+SUM(CR$20:CR$36)+SUM(CT$20:CT$36)</f>
        <v>1643</v>
      </c>
    </row>
    <row r="111" spans="2:99" x14ac:dyDescent="0.2">
      <c r="C111" s="105" t="s">
        <v>128</v>
      </c>
      <c r="D111" s="106">
        <f>SUM(D$37:D$48)+SUM(F$37:F$48)+SUM(H$37:H$48)+SUM(J$37:J$48)</f>
        <v>539</v>
      </c>
      <c r="E111" s="106">
        <f>SUM(L$37:L$48)+SUM(N$37:N$48)+SUM(P$37:P$48)+SUM(R$37:R$48)</f>
        <v>3024</v>
      </c>
      <c r="F111" s="106">
        <f>SUM(T$37:T$48)+SUM(V$37:V$48)+SUM(X$37:X$48)+SUM(Z$37:Z$48)</f>
        <v>221</v>
      </c>
      <c r="G111" s="106">
        <f>SUM(AB$37:AB$48)+SUM(AD$37:AD$48)+SUM(AF$37:AF$48)+SUM(AH$37:AH$48)</f>
        <v>2918</v>
      </c>
      <c r="H111" s="106">
        <f>SUM(AJ$37:AJ$48)+SUM(AL$37:AL$48)+SUM(AN$37:AN$48)+SUM(AP$37:AP$48)</f>
        <v>2604</v>
      </c>
      <c r="I111" s="106">
        <f>SUM(AR$37:AR$48)+SUM(AT$37:AT$48)+SUM(AV$37:AV$48)+SUM(AX$37:AX$48)</f>
        <v>1093</v>
      </c>
      <c r="J111" s="106">
        <f>SUM(AZ$37:AZ$48)+SUM(BB$37:BB$48)+SUM(BD$37:BD$48)+SUM(BF$37:BF$48)</f>
        <v>300</v>
      </c>
      <c r="K111" s="106">
        <f>SUM(BH$37:BH$48)+SUM(BJ$37:BJ$48)+SUM(BL$37:BL$48)+SUM(BN$37:BN$48)</f>
        <v>2750</v>
      </c>
      <c r="L111" s="106">
        <f>SUM(BP$37:BP$48)+SUM(BR$37:BR$48)+SUM(BT$37:BT$48)+SUM(BV$37:BV$48)</f>
        <v>1491</v>
      </c>
      <c r="M111" s="106">
        <f>SUM(BX$37:BX$48)+SUM(BZ$37:BZ$48)+SUM(CB$37:CB$48)+SUM(CD$37:CD$48)</f>
        <v>354</v>
      </c>
      <c r="N111" s="106">
        <f>SUM(CF$37:CF$48)+SUM(CH$37:CH$48)+SUM(CJ$37:CJ$48)+SUM(CL$37:CL$48)</f>
        <v>272</v>
      </c>
      <c r="O111" s="106">
        <f>SUM(CN$37:CN$48)+SUM(CP$37:CP$48)+SUM(CR$37:CR$48)+SUM(CT$37:CT$48)</f>
        <v>285</v>
      </c>
    </row>
    <row r="112" spans="2:99" x14ac:dyDescent="0.2">
      <c r="C112" s="105" t="s">
        <v>129</v>
      </c>
      <c r="D112" s="106">
        <f>SUM(D$49:D$70)+SUM(F$49:F$70)+SUM(H$49:H$70)+SUM(J$49:J$70)</f>
        <v>450</v>
      </c>
      <c r="E112" s="106">
        <f>SUM(L$49:L$70)+SUM(N$49:N$70)+SUM(P$49:P$70)+SUM(R$49:R$70)</f>
        <v>3044</v>
      </c>
      <c r="F112" s="106">
        <f>SUM(T$49:T$70)+SUM(V$49:V$70)+SUM(X$49:X$70)+SUM(Z$49:Z$70)</f>
        <v>312</v>
      </c>
      <c r="G112" s="106">
        <f>SUM(AB$49:AB$70)+SUM(AD$49:AD$70)+SUM(AF$49:AF$70)+SUM(AH$49:AH$70)</f>
        <v>786</v>
      </c>
      <c r="H112" s="106">
        <f>SUM(AJ$49:AJ$70)+SUM(AL$49:AL$70)+SUM(AN$49:AN$70)+SUM(AP$49:AP$70)</f>
        <v>602</v>
      </c>
      <c r="I112" s="106">
        <f>SUM(AR$49:AR$70)+SUM(AT$49:AT$70)+SUM(AV$49:AV$70)+SUM(AX$49:AX$70)</f>
        <v>409</v>
      </c>
      <c r="J112" s="106">
        <f>SUM(AZ$49:AZ$70)+SUM(BB$49:BB$70)+SUM(BD$49:BD$70)+SUM(BF$49:BF$70)</f>
        <v>535</v>
      </c>
      <c r="K112" s="106">
        <f>SUM(BH$49:BH$70)+SUM(BJ$49:BJ$70)+SUM(BL$49:BL$70)+SUM(BN$49:BN$70)</f>
        <v>408</v>
      </c>
      <c r="L112" s="106">
        <f>SUM(BP$49:BP$70)+SUM(BR$49:BR$70)+SUM(BT$49:BT$70)+SUM(BV$49:BV$70)</f>
        <v>252</v>
      </c>
      <c r="M112" s="106">
        <f>SUM(BX$49:BX$70)+SUM(BZ$49:BZ$70)+SUM(CB$49:CB$70)+SUM(CD$49:CD$70)</f>
        <v>4736</v>
      </c>
      <c r="N112" s="106">
        <f>SUM(CF$49:CF$70)+SUM(CH$49:CH$70)+SUM(CJ$49:CJ$70)+SUM(CL$49:CL$70)</f>
        <v>2015</v>
      </c>
      <c r="O112" s="106">
        <f>SUM(CN$49:CN$70)+SUM(CP$49:CP$70)+SUM(CR$49:CR$70)+SUM(CT$49:CT$70)</f>
        <v>252</v>
      </c>
    </row>
    <row r="113" spans="2:15" x14ac:dyDescent="0.2">
      <c r="C113" s="105" t="s">
        <v>130</v>
      </c>
      <c r="D113" s="106">
        <f>SUM(D$71:D$86)+SUM(F$71:F$86)+SUM(H$71:H$86)+SUM(J$71:J$86)</f>
        <v>946</v>
      </c>
      <c r="E113" s="106">
        <f>SUM(L$71:L$86)+SUM(N$71:N$86)+SUM(P$71:P$86)+SUM(R$71:R$86)</f>
        <v>1055</v>
      </c>
      <c r="F113" s="106">
        <f>SUM(T$71:T$86)+SUM(V$71:V$86)+SUM(X$71:X$86)+SUM(Z$71:Z$86)</f>
        <v>385</v>
      </c>
      <c r="G113" s="106">
        <f>SUM(AB$71:AB$86)+SUM(AD$71:AD$86)+SUM(AF$71:AF$86)+SUM(AH$71:AH$86)</f>
        <v>506</v>
      </c>
      <c r="H113" s="106">
        <f>SUM(AJ$71:AJ$86)+SUM(AL$71:AL$86)+SUM(AN$71:AN$86)+SUM(AP$71:AP$86)</f>
        <v>257</v>
      </c>
      <c r="I113" s="106">
        <f>SUM(AR$71:AR$86)+SUM(AT$71:AT$86)+SUM(AV$71:AV$86)+SUM(AX$71:AX$86)</f>
        <v>2637</v>
      </c>
      <c r="J113" s="106">
        <f>SUM(AZ$71:AZ$86)+SUM(BB$71:BB$86)+SUM(BD$71:BD$86)+SUM(BF$71:BF$86)</f>
        <v>3628</v>
      </c>
      <c r="K113" s="106">
        <f>SUM(BH$71:BH$86)+SUM(BJ$71:BJ$86)+SUM(BL$71:BL$86)+SUM(BN$71:BN$86)</f>
        <v>331</v>
      </c>
      <c r="L113" s="106">
        <f>SUM(BP$71:BP$86)+SUM(BR$71:BR$86)+SUM(BT$71:BT$86)+SUM(BV$71:BV$86)</f>
        <v>276</v>
      </c>
      <c r="M113" s="106">
        <f>SUM(BX$71:BX$86)+SUM(BZ$71:BZ$86)+SUM(CB$71:CB$86)+SUM(CD$71:CD$86)</f>
        <v>334</v>
      </c>
      <c r="N113" s="106">
        <f>SUM(CF$71:CF$86)+SUM(CH$71:CH$86)+SUM(CJ$71:CJ$86)+SUM(CL$71:CL$86)</f>
        <v>1385</v>
      </c>
      <c r="O113" s="106">
        <f>SUM(CN$71:CN$86)+SUM(CP$71:CP$86)+SUM(CR$71:CR$86)+SUM(CT$71:CT$86)</f>
        <v>195</v>
      </c>
    </row>
    <row r="114" spans="2:15" x14ac:dyDescent="0.2">
      <c r="C114" s="105" t="s">
        <v>131</v>
      </c>
      <c r="D114" s="106">
        <f>SUM(D$87:D$94)+SUM(F$87:F$94)+SUM(H$87:H$94)+SUM(J$87:J$94)</f>
        <v>163</v>
      </c>
      <c r="E114" s="106">
        <f>SUM(L$87:L$94)+SUM(N$87:N$94)+SUM(P$87:P$94)+SUM(R$87:R$94)</f>
        <v>241</v>
      </c>
      <c r="F114" s="106">
        <f>SUM(T$87:T$94)+SUM(V$87:V$94)+SUM(X$87:X$94)+SUM(Z$87:Z$94)</f>
        <v>200</v>
      </c>
      <c r="G114" s="106">
        <f>SUM(AB$87:AB$94)+SUM(AD$87:AD$94)+SUM(AF$87:AF$94)+SUM(AH$87:AH$94)</f>
        <v>486</v>
      </c>
      <c r="H114" s="106">
        <f>SUM(AJ$87:AJ$94)+SUM(AL$87:AL$94)+SUM(AN$87:AN$94)+SUM(AP$87:AP$94)</f>
        <v>81</v>
      </c>
      <c r="I114" s="106">
        <f>SUM(AR$87:AR$94)+SUM(AT$87:AT$94)+SUM(AV$87:AV$94)+SUM(AX$87:AX$94)</f>
        <v>1050</v>
      </c>
      <c r="J114" s="106">
        <f>SUM(AZ$87:AZ$94)+SUM(BB$87:BB$94)+SUM(BD$87:BD$94)+SUM(BF$87:BF$94)</f>
        <v>876</v>
      </c>
      <c r="K114" s="106">
        <f>SUM(BH$87:BH$94)+SUM(BJ$87:BJ$94)+SUM(BL$87:BL$94)+SUM(BN$87:BN$94)</f>
        <v>113</v>
      </c>
      <c r="L114" s="106">
        <f>SUM(BP$87:BP$94)+SUM(BR$87:BR$94)+SUM(BT$87:BT$94)+SUM(BV$87:BV$94)</f>
        <v>499</v>
      </c>
      <c r="M114" s="106">
        <f>SUM(BX$87:BX$94)+SUM(BZ$87:BZ$94)+SUM(CB$87:CB$94)+SUM(CD$87:CD$94)</f>
        <v>253</v>
      </c>
      <c r="N114" s="106">
        <f>SUM(CF$87:CF$94)+SUM(CH$87:CH$94)+SUM(CJ$87:CJ$94)+SUM(CL$87:CL$94)</f>
        <v>278</v>
      </c>
      <c r="O114" s="106">
        <f>SUM(CN$87:CN$94)+SUM(CP$87:CP$94)+SUM(CR$87:CR$94)+SUM(CT$87:CT$94)</f>
        <v>764</v>
      </c>
    </row>
    <row r="115" spans="2:15" x14ac:dyDescent="0.2">
      <c r="C115" s="105" t="s">
        <v>132</v>
      </c>
      <c r="D115" s="106">
        <f>SUM(D$95:D$105)+SUM(F$95:F$105)+SUM(H$95:H$105)+SUM(J$95:J$105)</f>
        <v>204</v>
      </c>
      <c r="E115" s="106">
        <f>SUM(L$95:L$105)+SUM(N$95:N$105)+SUM(P$95:P$105)+SUM(R$95:R$105)</f>
        <v>142</v>
      </c>
      <c r="F115" s="106">
        <f>SUM(T$95:T$105)+SUM(V$95:V$105)+SUM(X$95:X$105)+SUM(Z$95:Z$105)</f>
        <v>422</v>
      </c>
      <c r="G115" s="106">
        <f>SUM(AB$95:AB$105)+SUM(AD$95:AD$105)+SUM(AF$95:AF$105)+SUM(AH$95:AH$105)</f>
        <v>226</v>
      </c>
      <c r="H115" s="106">
        <f>SUM(AJ$95:AJ$105)+SUM(AL$95:AL$105)+SUM(AN$95:AN$105)+SUM(AP$95:AP$105)</f>
        <v>1231</v>
      </c>
      <c r="I115" s="106">
        <f>SUM(AR$95:AR$105)+SUM(AT$95:AT$105)+SUM(AV$95:AV$105)+SUM(AX$95:AX$105)</f>
        <v>145</v>
      </c>
      <c r="J115" s="106">
        <f>SUM(AZ$95:AZ$105)+SUM(BB$95:BB$105)+SUM(BD$95:BD$105)+SUM(BF$95:BF$105)</f>
        <v>409</v>
      </c>
      <c r="K115" s="106">
        <f>SUM(BH$95:BH$105)+SUM(BJ$95:BJ$105)+SUM(BL$95:BL$105)+SUM(BN$95:BN$105)</f>
        <v>467</v>
      </c>
      <c r="L115" s="106">
        <f>SUM(BP$95:BP$105)+SUM(BR$95:BR$105)+SUM(BT$95:BT$105)+SUM(BV$95:BV$105)</f>
        <v>179</v>
      </c>
      <c r="M115" s="106">
        <f>SUM(BX$95:BX$105)+SUM(BZ$95:BZ$105)+SUM(CB$95:CB$105)+SUM(CD$95:CD$105)</f>
        <v>544</v>
      </c>
      <c r="N115" s="106">
        <f>SUM(CF$95:CF$105)+SUM(CH$95:CH$105)+SUM(CJ$95:CJ$105)+SUM(CL$95:CL$105)</f>
        <v>129</v>
      </c>
      <c r="O115" s="106">
        <f>SUM(CN$95:CN$105)+SUM(CP$95:CP$105)+SUM(CR$95:CR$105)+SUM(CT$95:CT$105)</f>
        <v>183</v>
      </c>
    </row>
    <row r="116" spans="2:15" x14ac:dyDescent="0.2">
      <c r="C116" s="105" t="s">
        <v>278</v>
      </c>
      <c r="D116" s="106">
        <f t="shared" ref="D116:O116" si="0">SUM(D$109:D$115)</f>
        <v>2646</v>
      </c>
      <c r="E116" s="106">
        <f t="shared" si="0"/>
        <v>8826</v>
      </c>
      <c r="F116" s="106">
        <f t="shared" si="0"/>
        <v>2171</v>
      </c>
      <c r="G116" s="106">
        <f t="shared" si="0"/>
        <v>6571</v>
      </c>
      <c r="H116" s="106">
        <f t="shared" si="0"/>
        <v>5776</v>
      </c>
      <c r="I116" s="106">
        <f t="shared" si="0"/>
        <v>7600</v>
      </c>
      <c r="J116" s="106">
        <f t="shared" si="0"/>
        <v>6185</v>
      </c>
      <c r="K116" s="106">
        <f t="shared" si="0"/>
        <v>5407</v>
      </c>
      <c r="L116" s="106">
        <f t="shared" si="0"/>
        <v>4614</v>
      </c>
      <c r="M116" s="106">
        <f t="shared" si="0"/>
        <v>8003</v>
      </c>
      <c r="N116" s="106">
        <f t="shared" si="0"/>
        <v>7480</v>
      </c>
      <c r="O116" s="106">
        <f t="shared" si="0"/>
        <v>3796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D109*pricing!D33*2000</f>
        <v>1134345.9114113094</v>
      </c>
      <c r="E120" s="106">
        <f>E109*pricing!E33*2000</f>
        <v>1041316.9478331857</v>
      </c>
      <c r="F120" s="106">
        <f>F109*pricing!F33*2000</f>
        <v>2129590.7558169477</v>
      </c>
      <c r="G120" s="106">
        <f>G109*pricing!G33*2000</f>
        <v>4071996.9386932291</v>
      </c>
      <c r="H120" s="106">
        <f>H109*pricing!H33*2000</f>
        <v>1362003.1434224902</v>
      </c>
      <c r="I120" s="106">
        <f>I109*pricing!I33*2000</f>
        <v>2834846.4802043457</v>
      </c>
      <c r="J120" s="106">
        <f>J109*pricing!J33*2000</f>
        <v>1625998.446832411</v>
      </c>
      <c r="K120" s="106">
        <f>K109*pricing!K33*2000</f>
        <v>2303010.0614158842</v>
      </c>
      <c r="L120" s="106">
        <f>L109*pricing!L33*2000</f>
        <v>4765810.4462380959</v>
      </c>
      <c r="M120" s="106">
        <f>M109*pricing!M33*2000</f>
        <v>1589828.2473334142</v>
      </c>
      <c r="N120" s="106">
        <f>N109*pricing!N33*2000</f>
        <v>3799094.979229874</v>
      </c>
      <c r="O120" s="106">
        <f>O109*pricing!O33*2000</f>
        <v>2257517.7791190548</v>
      </c>
    </row>
    <row r="121" spans="2:15" x14ac:dyDescent="0.2">
      <c r="C121" s="105" t="s">
        <v>127</v>
      </c>
      <c r="D121" s="106">
        <f>D110*pricing!D34*2000</f>
        <v>1097794.8718908662</v>
      </c>
      <c r="E121" s="106">
        <f>E110*pricing!E34*2000</f>
        <v>3612491.8332247599</v>
      </c>
      <c r="F121" s="106">
        <f>F110*pricing!F34*2000</f>
        <v>1337123.3208932849</v>
      </c>
      <c r="G121" s="106">
        <f>G110*pricing!G34*2000</f>
        <v>1448460.6937431775</v>
      </c>
      <c r="H121" s="106">
        <f>H110*pricing!H34*2000</f>
        <v>3053127.2018829444</v>
      </c>
      <c r="I121" s="106">
        <f>I110*pricing!I34*2000</f>
        <v>4172988.7221975378</v>
      </c>
      <c r="J121" s="106">
        <f>J110*pricing!J34*2000</f>
        <v>1035425.7959409938</v>
      </c>
      <c r="K121" s="106">
        <f>K110*pricing!K34*2000</f>
        <v>3338448.351872805</v>
      </c>
      <c r="L121" s="106">
        <f>L110*pricing!L34*2000</f>
        <v>1174883.6973466633</v>
      </c>
      <c r="M121" s="106">
        <f>M110*pricing!M34*2000</f>
        <v>4760892.8517490681</v>
      </c>
      <c r="N121" s="106">
        <f>N110*pricing!N34*2000</f>
        <v>5998539.2902663974</v>
      </c>
      <c r="O121" s="106">
        <f>O110*pricing!O34*2000</f>
        <v>5015708.1059996188</v>
      </c>
    </row>
    <row r="122" spans="2:15" x14ac:dyDescent="0.2">
      <c r="C122" s="105" t="s">
        <v>128</v>
      </c>
      <c r="D122" s="106">
        <f>D111*pricing!D35*2000</f>
        <v>2461941.4817833072</v>
      </c>
      <c r="E122" s="106">
        <f>E111*pricing!E35*2000</f>
        <v>6562793.9409807408</v>
      </c>
      <c r="F122" s="106">
        <f>F111*pricing!F35*2000</f>
        <v>1456606.4321391103</v>
      </c>
      <c r="G122" s="106">
        <f>G111*pricing!G35*2000</f>
        <v>6482979.5298503814</v>
      </c>
      <c r="H122" s="106">
        <f>H111*pricing!H35*2000</f>
        <v>6256406.9983743029</v>
      </c>
      <c r="I122" s="106">
        <f>I111*pricing!I35*2000</f>
        <v>3868863.2849430791</v>
      </c>
      <c r="J122" s="106">
        <f>J111*pricing!J35*2000</f>
        <v>1827058.9297223296</v>
      </c>
      <c r="K122" s="106">
        <f>K111*pricing!K35*2000</f>
        <v>6785483.5172313135</v>
      </c>
      <c r="L122" s="106">
        <f>L111*pricing!L35*2000</f>
        <v>4666598.3373221168</v>
      </c>
      <c r="M122" s="106">
        <f>M111*pricing!M35*2000</f>
        <v>1824386.4183831755</v>
      </c>
      <c r="N122" s="106">
        <f>N111*pricing!N35*2000</f>
        <v>1767601.9843902809</v>
      </c>
      <c r="O122" s="106">
        <f>O111*pricing!O35*2000</f>
        <v>1715549.1517532195</v>
      </c>
    </row>
    <row r="123" spans="2:15" x14ac:dyDescent="0.2">
      <c r="C123" s="105" t="s">
        <v>129</v>
      </c>
      <c r="D123" s="106">
        <f>D112*pricing!D36*2000</f>
        <v>2362811.064588394</v>
      </c>
      <c r="E123" s="106">
        <f>E112*pricing!E36*2000</f>
        <v>8201336.5637149615</v>
      </c>
      <c r="F123" s="106">
        <f>F112*pricing!F36*2000</f>
        <v>1952380.6965710025</v>
      </c>
      <c r="G123" s="106">
        <f>G112*pricing!G36*2000</f>
        <v>3678519.0721875429</v>
      </c>
      <c r="H123" s="106">
        <f>H112*pricing!H36*2000</f>
        <v>2966082.9135417673</v>
      </c>
      <c r="I123" s="106">
        <f>I112*pricing!I36*2000</f>
        <v>2494062.0887652007</v>
      </c>
      <c r="J123" s="106">
        <f>J112*pricing!J36*2000</f>
        <v>2613287.428278679</v>
      </c>
      <c r="K123" s="106">
        <f>K112*pricing!K36*2000</f>
        <v>2396641.6721526319</v>
      </c>
      <c r="L123" s="106">
        <f>L112*pricing!L36*2000</f>
        <v>1690627.2568763415</v>
      </c>
      <c r="M123" s="106">
        <f>M112*pricing!M36*2000</f>
        <v>9600093.5977977496</v>
      </c>
      <c r="N123" s="106">
        <f>N112*pricing!N36*2000</f>
        <v>6114147.3797321934</v>
      </c>
      <c r="O123" s="106">
        <f>O112*pricing!O36*2000</f>
        <v>1665661.5532295306</v>
      </c>
    </row>
    <row r="124" spans="2:15" x14ac:dyDescent="0.2">
      <c r="C124" s="105" t="s">
        <v>130</v>
      </c>
      <c r="D124" s="106">
        <f>D113*pricing!D37*2000</f>
        <v>3115354.0661549764</v>
      </c>
      <c r="E124" s="106">
        <f>E113*pricing!E37*2000</f>
        <v>3400395.3125421423</v>
      </c>
      <c r="F124" s="106">
        <f>F113*pricing!F37*2000</f>
        <v>1901431.9467895697</v>
      </c>
      <c r="G124" s="106">
        <f>G113*pricing!G37*2000</f>
        <v>2149815.6749185123</v>
      </c>
      <c r="H124" s="106">
        <f>H113*pricing!H37*2000</f>
        <v>1415812.7393310377</v>
      </c>
      <c r="I124" s="106">
        <f>I113*pricing!I37*2000</f>
        <v>6466068.8858529124</v>
      </c>
      <c r="J124" s="106">
        <f>J113*pricing!J37*2000</f>
        <v>7472825.3807207942</v>
      </c>
      <c r="K124" s="106">
        <f>K113*pricing!K37*2000</f>
        <v>1770645.832264391</v>
      </c>
      <c r="L124" s="106">
        <f>L113*pricing!L37*2000</f>
        <v>1580382.4640034132</v>
      </c>
      <c r="M124" s="106">
        <f>M113*pricing!M37*2000</f>
        <v>1840950.1205781517</v>
      </c>
      <c r="N124" s="106">
        <f>N113*pricing!N37*2000</f>
        <v>3951868.3876816565</v>
      </c>
      <c r="O124" s="106">
        <f>O113*pricing!O37*2000</f>
        <v>1200383.3443923751</v>
      </c>
    </row>
    <row r="125" spans="2:15" x14ac:dyDescent="0.2">
      <c r="C125" s="105" t="s">
        <v>131</v>
      </c>
      <c r="D125" s="106">
        <f>D114*pricing!D38*2000</f>
        <v>838624.10479089839</v>
      </c>
      <c r="E125" s="106">
        <f>E114*pricing!E38*2000</f>
        <v>1068531.5804469751</v>
      </c>
      <c r="F125" s="106">
        <f>F114*pricing!F38*2000</f>
        <v>896813.43951316166</v>
      </c>
      <c r="G125" s="106">
        <f>G114*pricing!G38*2000</f>
        <v>1524703.8750297658</v>
      </c>
      <c r="H125" s="106">
        <f>H114*pricing!H38*2000</f>
        <v>549177.94928424049</v>
      </c>
      <c r="I125" s="106">
        <f>I114*pricing!I38*2000</f>
        <v>2501256.3791957004</v>
      </c>
      <c r="J125" s="106">
        <f>J114*pricing!J38*2000</f>
        <v>2168681.3134764824</v>
      </c>
      <c r="K125" s="106">
        <f>K114*pricing!K38*2000</f>
        <v>671143.32034255518</v>
      </c>
      <c r="L125" s="106">
        <f>L114*pricing!L38*2000</f>
        <v>1743043.5242548722</v>
      </c>
      <c r="M125" s="106">
        <f>M114*pricing!M38*2000</f>
        <v>1142852.3488794679</v>
      </c>
      <c r="N125" s="106">
        <f>N114*pricing!N38*2000</f>
        <v>1220525.4376763469</v>
      </c>
      <c r="O125" s="106">
        <f>O114*pricing!O38*2000</f>
        <v>2204583.7809596709</v>
      </c>
    </row>
    <row r="126" spans="2:15" x14ac:dyDescent="0.2">
      <c r="C126" s="105" t="s">
        <v>132</v>
      </c>
      <c r="D126" s="106">
        <f>D115*pricing!D39*2000</f>
        <v>1168213.6112707849</v>
      </c>
      <c r="E126" s="106">
        <f>E115*pricing!E39*2000</f>
        <v>991028.2032251273</v>
      </c>
      <c r="F126" s="106">
        <f>F115*pricing!F39*2000</f>
        <v>1876266.6139808611</v>
      </c>
      <c r="G126" s="106">
        <f>G115*pricing!G39*2000</f>
        <v>1219790.286847444</v>
      </c>
      <c r="H126" s="106">
        <f>H115*pricing!H39*2000</f>
        <v>3116202.8117169668</v>
      </c>
      <c r="I126" s="106">
        <f>I115*pricing!I39*2000</f>
        <v>1008085.9833297431</v>
      </c>
      <c r="J126" s="106">
        <f>J115*pricing!J39*2000</f>
        <v>1912747.8289109697</v>
      </c>
      <c r="K126" s="106">
        <f>K115*pricing!K39*2000</f>
        <v>2003409.8358813352</v>
      </c>
      <c r="L126" s="106">
        <f>L115*pricing!L39*2000</f>
        <v>1088161.7726375533</v>
      </c>
      <c r="M126" s="106">
        <f>M115*pricing!M39*2000</f>
        <v>2182566.4134375886</v>
      </c>
      <c r="N126" s="106">
        <f>N115*pricing!N39*2000</f>
        <v>899236.57421309513</v>
      </c>
      <c r="O126" s="106">
        <f>O115*pricing!O39*2000</f>
        <v>1205065.9104141344</v>
      </c>
    </row>
    <row r="127" spans="2:15" x14ac:dyDescent="0.2">
      <c r="C127" s="105" t="s">
        <v>278</v>
      </c>
      <c r="D127" s="106">
        <f>SUM(D$120:D$126)</f>
        <v>12179085.111890538</v>
      </c>
      <c r="E127" s="106">
        <f t="shared" ref="E127:O127" si="1">SUM(E$120:E$126)</f>
        <v>24877894.381967895</v>
      </c>
      <c r="F127" s="106">
        <f t="shared" si="1"/>
        <v>11550213.205703938</v>
      </c>
      <c r="G127" s="106">
        <f t="shared" si="1"/>
        <v>20576266.071270052</v>
      </c>
      <c r="H127" s="106">
        <f t="shared" si="1"/>
        <v>18718813.757553749</v>
      </c>
      <c r="I127" s="106">
        <f t="shared" si="1"/>
        <v>23346171.824488521</v>
      </c>
      <c r="J127" s="106">
        <f t="shared" si="1"/>
        <v>18656025.123882659</v>
      </c>
      <c r="K127" s="106">
        <f t="shared" si="1"/>
        <v>19268782.591160912</v>
      </c>
      <c r="L127" s="106">
        <f t="shared" si="1"/>
        <v>16709507.498679057</v>
      </c>
      <c r="M127" s="106">
        <f t="shared" si="1"/>
        <v>22941569.998158615</v>
      </c>
      <c r="N127" s="106">
        <f t="shared" si="1"/>
        <v>23751014.033189844</v>
      </c>
      <c r="O127" s="106">
        <f t="shared" si="1"/>
        <v>15264469.625867605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84364.799999999988</v>
      </c>
      <c r="E131" s="112">
        <f>SUM(M$6:M$19)+SUM(O$6:O$19)+SUM(Q$6:Q$19)+SUM(S$6:S$19)</f>
        <v>77066.400000000009</v>
      </c>
      <c r="F131" s="112">
        <f>SUM(U$6:U$19)+SUM(W$6:W$19)+SUM(Y$6:Y$19)+SUM(AA$6:AA$19)</f>
        <v>205681.2</v>
      </c>
      <c r="G131" s="112">
        <f>SUM(AC$6:AC$19)+SUM(AE$6:AE$19)+SUM(AG$6:AG$19)+SUM(AI$6:AI$19)</f>
        <v>713877.6</v>
      </c>
      <c r="H131" s="112">
        <f>SUM(AK$6:AK$19)+SUM(AM$6:AM$19)+SUM(AO$6:AO$19)+SUM(AQ$6:AQ$19)</f>
        <v>107050.8</v>
      </c>
      <c r="I131" s="112">
        <f>SUM(AS$6:AS$19)+SUM(AU$6:AU$19)+SUM(AW$6:AW$19)+SUM(AY$6:AY$19)</f>
        <v>348196.79999999993</v>
      </c>
      <c r="J131" s="112">
        <f>SUM(BA$6:BA$19)+SUM(BC$6:BC$19)+SUM(BE$6:BE$19)+SUM(BG$6:BG$19)</f>
        <v>141956.4</v>
      </c>
      <c r="K131" s="112">
        <f>SUM(BI$6:BI$19)+SUM(BK$6:BK$19)+SUM(BM$6:BM$19)+SUM(BO$6:BO$19)</f>
        <v>225155.99999999997</v>
      </c>
      <c r="L131" s="112">
        <f>SUM(BQ$6:BQ$19)+SUM(BS$6:BS$19)+SUM(BU$6:BU$19)+SUM(BW$6:BW$19)</f>
        <v>867490.8</v>
      </c>
      <c r="M131" s="112">
        <f>SUM(BY$6:BY$19)+SUM(CA$6:CA$19)+SUM(CC$6:CC$19)+SUM(CE$6:CE$19)</f>
        <v>123106.8</v>
      </c>
      <c r="N131" s="112">
        <f>SUM(CG$6:CG$19)+SUM(CI$6:CI$19)+SUM(CK$6:CK$19)+SUM(CM$6:CM$19)</f>
        <v>657043.19999999995</v>
      </c>
      <c r="O131" s="112">
        <f>SUM(CO$6:CO$19)+SUM(CQ$6:CQ$19)+SUM(CS$6:CS$19)+SUM(CU$6:CU$19)</f>
        <v>238255.2</v>
      </c>
    </row>
    <row r="132" spans="2:15" x14ac:dyDescent="0.2">
      <c r="C132" s="111" t="s">
        <v>127</v>
      </c>
      <c r="D132" s="112">
        <f>SUM(E$20:E$36)+SUM(G$20:G$36)+SUM(I$20:I$36)+SUM(K$20:K$36)</f>
        <v>76005.599999999991</v>
      </c>
      <c r="E132" s="112">
        <f>SUM(M$20:M$36)+SUM(O$20:O$36)+SUM(Q$20:Q$36)+SUM(S$20:S$36)</f>
        <v>493620</v>
      </c>
      <c r="F132" s="112">
        <f>SUM(U$20:U$36)+SUM(W$20:W$36)+SUM(Y$20:Y$36)+SUM(AA$20:AA$36)</f>
        <v>93645.6</v>
      </c>
      <c r="G132" s="112">
        <f>SUM(AC$20:AC$36)+SUM(AE$20:AE$36)+SUM(AG$20:AG$36)+SUM(AI$20:AI$36)</f>
        <v>98550</v>
      </c>
      <c r="H132" s="112">
        <f>SUM(AK$20:AK$36)+SUM(AM$20:AM$36)+SUM(AO$20:AO$36)+SUM(AQ$20:AQ$36)</f>
        <v>334977.59999999998</v>
      </c>
      <c r="I132" s="112">
        <f>SUM(AS$20:AS$36)+SUM(AU$20:AU$36)+SUM(AW$20:AW$36)+SUM(AY$20:AY$36)</f>
        <v>664653.6</v>
      </c>
      <c r="J132" s="112">
        <f>SUM(BA$20:BA$36)+SUM(BC$20:BC$36)+SUM(BE$20:BE$36)+SUM(BG$20:BG$36)</f>
        <v>67047.600000000006</v>
      </c>
      <c r="K132" s="112">
        <f>SUM(BI$20:BI$36)+SUM(BK$20:BK$36)+SUM(BM$20:BM$36)+SUM(BO$20:BO$36)</f>
        <v>379251.60000000003</v>
      </c>
      <c r="L132" s="112">
        <f>SUM(BQ$20:BQ$36)+SUM(BS$20:BS$36)+SUM(BU$20:BU$36)+SUM(BW$20:BW$36)</f>
        <v>75434.399999999994</v>
      </c>
      <c r="M132" s="112">
        <f>SUM(BY$20:BY$36)+SUM(CA$20:CA$36)+SUM(CC$20:CC$36)+SUM(CE$20:CE$36)</f>
        <v>649866</v>
      </c>
      <c r="N132" s="112">
        <f>SUM(CG$20:CG$36)+SUM(CI$20:CI$36)+SUM(CK$20:CK$36)+SUM(CM$20:CM$36)</f>
        <v>880825.2</v>
      </c>
      <c r="O132" s="112">
        <f>SUM(CO$20:CO$36)+SUM(CQ$20:CQ$36)+SUM(CS$20:CS$36)+SUM(CU$20:CU$36)</f>
        <v>693706.79999999993</v>
      </c>
    </row>
    <row r="133" spans="2:15" x14ac:dyDescent="0.2">
      <c r="C133" s="111" t="s">
        <v>128</v>
      </c>
      <c r="D133" s="112">
        <f>SUM(E$37:E$48)+SUM(G$37:G$48)+SUM(I$37:I$48)+SUM(K$37:K$48)</f>
        <v>563376</v>
      </c>
      <c r="E133" s="112">
        <f>SUM(M$37:M$48)+SUM(O$37:O$48)+SUM(Q$37:Q$48)+SUM(S$37:S$48)</f>
        <v>3140378.3999999994</v>
      </c>
      <c r="F133" s="112">
        <f>SUM(U$37:U$48)+SUM(W$37:W$48)+SUM(Y$37:Y$48)+SUM(AA$37:AA$48)</f>
        <v>231078</v>
      </c>
      <c r="G133" s="112">
        <f>SUM(AC$37:AC$48)+SUM(AE$37:AE$48)+SUM(AG$37:AG$48)+SUM(AI$37:AI$48)</f>
        <v>3028644</v>
      </c>
      <c r="H133" s="112">
        <f>SUM(AK$37:AK$48)+SUM(AM$37:AM$48)+SUM(AO$37:AO$48)+SUM(AQ$37:AQ$48)</f>
        <v>2710408.8</v>
      </c>
      <c r="I133" s="112">
        <f>SUM(AS$37:AS$48)+SUM(AU$37:AU$48)+SUM(AW$37:AW$48)+SUM(AY$37:AY$48)</f>
        <v>1147074</v>
      </c>
      <c r="J133" s="112">
        <f>SUM(BA$37:BA$48)+SUM(BC$37:BC$48)+SUM(BE$37:BE$48)+SUM(BG$37:BG$48)</f>
        <v>313904.39999999997</v>
      </c>
      <c r="K133" s="112">
        <f>SUM(BI$37:BI$48)+SUM(BK$37:BK$48)+SUM(BM$37:BM$48)+SUM(BO$37:BO$48)</f>
        <v>2860027.2</v>
      </c>
      <c r="L133" s="112">
        <f>SUM(BQ$37:BQ$48)+SUM(BS$37:BS$48)+SUM(BU$37:BU$48)+SUM(BW$37:BW$48)</f>
        <v>1557968.4</v>
      </c>
      <c r="M133" s="112">
        <f>SUM(BY$37:BY$48)+SUM(CA$37:CA$48)+SUM(CC$37:CC$48)+SUM(CE$37:CE$48)</f>
        <v>373326</v>
      </c>
      <c r="N133" s="112">
        <f>SUM(CG$37:CG$48)+SUM(CI$37:CI$48)+SUM(CK$37:CK$48)+SUM(CM$37:CM$48)</f>
        <v>284799.60000000003</v>
      </c>
      <c r="O133" s="112">
        <f>SUM(CO$37:CO$48)+SUM(CQ$37:CQ$48)+SUM(CS$37:CS$48)+SUM(CU$37:CU$48)</f>
        <v>299905.2</v>
      </c>
    </row>
    <row r="134" spans="2:15" x14ac:dyDescent="0.2">
      <c r="C134" s="111" t="s">
        <v>129</v>
      </c>
      <c r="D134" s="112">
        <f>SUM(E$49:E$70)+SUM(G$49:G$70)+SUM(I$49:I$70)+SUM(K$49:K$70)</f>
        <v>379946.4</v>
      </c>
      <c r="E134" s="112">
        <f>SUM(M$49:M$70)+SUM(O$49:O$70)+SUM(Q$49:Q$70)+SUM(S$49:S$70)</f>
        <v>2538805.1999999997</v>
      </c>
      <c r="F134" s="112">
        <f>SUM(U$49:U$70)+SUM(W$49:W$70)+SUM(Y$49:Y$70)+SUM(AA$49:AA$70)</f>
        <v>266966.40000000002</v>
      </c>
      <c r="G134" s="112">
        <f>SUM(AC$49:AC$70)+SUM(AE$49:AE$70)+SUM(AG$49:AG$70)+SUM(AI$49:AI$70)</f>
        <v>662838</v>
      </c>
      <c r="H134" s="112">
        <f>SUM(AK$49:AK$70)+SUM(AM$49:AM$70)+SUM(AO$49:AO$70)+SUM(AQ$49:AQ$70)</f>
        <v>509296.79999999993</v>
      </c>
      <c r="I134" s="112">
        <f>SUM(AS$49:AS$70)+SUM(AU$49:AU$70)+SUM(AW$49:AW$70)+SUM(AY$49:AY$70)</f>
        <v>346308</v>
      </c>
      <c r="J134" s="112">
        <f>SUM(BA$49:BA$70)+SUM(BC$49:BC$70)+SUM(BE$49:BE$70)+SUM(BG$49:BG$70)</f>
        <v>452486.39999999997</v>
      </c>
      <c r="K134" s="112">
        <f>SUM(BI$49:BI$70)+SUM(BK$49:BK$70)+SUM(BM$49:BM$70)+SUM(BO$49:BO$70)</f>
        <v>345975.60000000003</v>
      </c>
      <c r="L134" s="112">
        <f>SUM(BQ$49:BQ$70)+SUM(BS$49:BS$70)+SUM(BU$49:BU$70)+SUM(BW$49:BW$70)</f>
        <v>215546.39999999997</v>
      </c>
      <c r="M134" s="112">
        <f>SUM(BY$49:BY$70)+SUM(CA$49:CA$70)+SUM(CC$49:CC$70)+SUM(CE$49:CE$70)</f>
        <v>3936604.8</v>
      </c>
      <c r="N134" s="112">
        <f>SUM(CG$49:CG$70)+SUM(CI$49:CI$70)+SUM(CK$49:CK$70)+SUM(CM$49:CM$70)</f>
        <v>1684690.8</v>
      </c>
      <c r="O134" s="112">
        <f>SUM(CO$49:CO$70)+SUM(CQ$49:CQ$70)+SUM(CS$49:CS$70)+SUM(CU$49:CU$70)</f>
        <v>214892.40000000002</v>
      </c>
    </row>
    <row r="135" spans="2:15" x14ac:dyDescent="0.2">
      <c r="C135" s="111" t="s">
        <v>130</v>
      </c>
      <c r="D135" s="112">
        <f>SUM(E$71:E$86)+SUM(G$71:G$86)+SUM(I$71:I$86)+SUM(K$71:K$86)</f>
        <v>526732.79999999993</v>
      </c>
      <c r="E135" s="112">
        <f>SUM(M$71:M$86)+SUM(O$71:O$86)+SUM(Q$71:Q$86)+SUM(S$71:S$86)</f>
        <v>588079.19999999995</v>
      </c>
      <c r="F135" s="112">
        <f>SUM(U$71:U$86)+SUM(W$71:W$86)+SUM(Y$71:Y$86)+SUM(AA$71:AA$86)</f>
        <v>214631.99999999997</v>
      </c>
      <c r="G135" s="112">
        <f>SUM(AC$71:AC$86)+SUM(AE$71:AE$86)+SUM(AG$71:AG$86)+SUM(AI$71:AI$86)</f>
        <v>278989.2</v>
      </c>
      <c r="H135" s="112">
        <f>SUM(AK$71:AK$86)+SUM(AM$71:AM$86)+SUM(AO$71:AO$86)+SUM(AQ$71:AQ$86)</f>
        <v>142272</v>
      </c>
      <c r="I135" s="112">
        <f>SUM(AS$71:AS$86)+SUM(AU$71:AU$86)+SUM(AW$71:AW$86)+SUM(AY$71:AY$86)</f>
        <v>1449232.7999999998</v>
      </c>
      <c r="J135" s="112">
        <f>SUM(BA$71:BA$86)+SUM(BC$71:BC$86)+SUM(BE$71:BE$86)+SUM(BG$71:BG$86)</f>
        <v>1981185.5999999999</v>
      </c>
      <c r="K135" s="112">
        <f>SUM(BI$71:BI$86)+SUM(BK$71:BK$86)+SUM(BM$71:BM$86)+SUM(BO$71:BO$86)</f>
        <v>184519.2</v>
      </c>
      <c r="L135" s="112">
        <f>SUM(BQ$71:BQ$86)+SUM(BS$71:BS$86)+SUM(BU$71:BU$86)+SUM(BW$71:BW$86)</f>
        <v>154606.79999999999</v>
      </c>
      <c r="M135" s="112">
        <f>SUM(BY$71:BY$86)+SUM(CA$71:CA$86)+SUM(CC$71:CC$86)+SUM(CE$71:CE$86)</f>
        <v>185685.6</v>
      </c>
      <c r="N135" s="112">
        <f>SUM(CG$71:CG$86)+SUM(CI$71:CI$86)+SUM(CK$71:CK$86)+SUM(CM$71:CM$86)</f>
        <v>771842.39999999991</v>
      </c>
      <c r="O135" s="112">
        <f>SUM(CO$71:CO$86)+SUM(CQ$71:CQ$86)+SUM(CS$71:CS$86)+SUM(CU$71:CU$86)</f>
        <v>109528.79999999999</v>
      </c>
    </row>
    <row r="136" spans="2:15" x14ac:dyDescent="0.2">
      <c r="C136" s="111" t="s">
        <v>131</v>
      </c>
      <c r="D136" s="112">
        <f>SUM(E$87:E$94)+SUM(G$87:G$94)+SUM(I$87:I$94)+SUM(K$87:K$94)</f>
        <v>329767.19999999995</v>
      </c>
      <c r="E136" s="112">
        <f>SUM(M$87:M$94)+SUM(O$87:O$94)+SUM(Q$87:Q$94)+SUM(S$87:S$94)</f>
        <v>490352.4</v>
      </c>
      <c r="F136" s="112">
        <f>SUM(U$87:U$94)+SUM(W$87:W$94)+SUM(Y$87:Y$94)+SUM(AA$87:AA$94)</f>
        <v>405199.19999999995</v>
      </c>
      <c r="G136" s="112">
        <f>SUM(AC$87:AC$94)+SUM(AE$87:AE$94)+SUM(AG$87:AG$94)+SUM(AI$87:AI$94)</f>
        <v>982822.79999999981</v>
      </c>
      <c r="H136" s="112">
        <f>SUM(AK$87:AK$94)+SUM(AM$87:AM$94)+SUM(AO$87:AO$94)+SUM(AQ$87:AQ$94)</f>
        <v>164530.79999999999</v>
      </c>
      <c r="I136" s="112">
        <f>SUM(AS$87:AS$94)+SUM(AU$87:AU$94)+SUM(AW$87:AW$94)+SUM(AY$87:AY$94)</f>
        <v>2119893.5999999996</v>
      </c>
      <c r="J136" s="112">
        <f>SUM(BA$87:BA$94)+SUM(BC$87:BC$94)+SUM(BE$87:BE$94)+SUM(BG$87:BG$94)</f>
        <v>1769824.7999999998</v>
      </c>
      <c r="K136" s="112">
        <f>SUM(BI$87:BI$94)+SUM(BK$87:BK$94)+SUM(BM$87:BM$94)+SUM(BO$87:BO$94)</f>
        <v>229677.59999999998</v>
      </c>
      <c r="L136" s="112">
        <f>SUM(BQ$87:BQ$94)+SUM(BS$87:BS$94)+SUM(BU$87:BU$94)+SUM(BW$87:BW$94)</f>
        <v>1010877.5999999999</v>
      </c>
      <c r="M136" s="112">
        <f>SUM(BY$87:BY$94)+SUM(CA$87:CA$94)+SUM(CC$87:CC$94)+SUM(CE$87:CE$94)</f>
        <v>512757.60000000003</v>
      </c>
      <c r="N136" s="112">
        <f>SUM(CG$87:CG$94)+SUM(CI$87:CI$94)+SUM(CK$87:CK$94)+SUM(CM$87:CM$94)</f>
        <v>563861.99999999988</v>
      </c>
      <c r="O136" s="112">
        <f>SUM(CO$87:CO$94)+SUM(CQ$87:CQ$94)+SUM(CS$87:CS$94)+SUM(CU$87:CU$94)</f>
        <v>1540982.4</v>
      </c>
    </row>
    <row r="137" spans="2:15" x14ac:dyDescent="0.2">
      <c r="C137" s="111" t="s">
        <v>132</v>
      </c>
      <c r="D137" s="112">
        <f>SUM(E$95:E$105)+SUM(G$95:G$105)+SUM(I$95:I$105)+SUM(K$95:K$105)</f>
        <v>384025.2</v>
      </c>
      <c r="E137" s="112">
        <f>SUM(M$95:M$105)+SUM(O$95:O$105)+SUM(Q$95:Q$105)+SUM(S$95:S$105)</f>
        <v>270579.59999999998</v>
      </c>
      <c r="F137" s="112">
        <f>SUM(U$95:U$105)+SUM(W$95:W$105)+SUM(Y$95:Y$105)+SUM(AA$95:AA$105)</f>
        <v>801873.6</v>
      </c>
      <c r="G137" s="112">
        <f>SUM(AC$95:AC$105)+SUM(AE$95:AE$105)+SUM(AG$95:AG$105)+SUM(AI$95:AI$105)</f>
        <v>427912.8</v>
      </c>
      <c r="H137" s="112">
        <f>SUM(AK$95:AK$105)+SUM(AM$95:AM$105)+SUM(AO$95:AO$105)+SUM(AQ$95:AQ$105)</f>
        <v>2238472.7999999998</v>
      </c>
      <c r="I137" s="112">
        <f>SUM(AS$95:AS$105)+SUM(AU$95:AU$105)+SUM(AW$95:AW$105)+SUM(AY$95:AY$105)</f>
        <v>281827.20000000001</v>
      </c>
      <c r="J137" s="112">
        <f>SUM(BA$95:BA$105)+SUM(BC$95:BC$105)+SUM(BE$95:BE$105)+SUM(BG$95:BG$105)</f>
        <v>771105.6</v>
      </c>
      <c r="K137" s="112">
        <f>SUM(BI$95:BI$105)+SUM(BK$95:BK$105)+SUM(BM$95:BM$105)+SUM(BO$95:BO$105)</f>
        <v>879782.40000000002</v>
      </c>
      <c r="L137" s="112">
        <f>SUM(BQ$95:BQ$105)+SUM(BS$95:BS$105)+SUM(BU$95:BU$105)+SUM(BW$95:BW$105)</f>
        <v>343894.8</v>
      </c>
      <c r="M137" s="112">
        <f>SUM(BY$95:BY$105)+SUM(CA$95:CA$105)+SUM(CC$95:CC$105)+SUM(CE$95:CE$105)</f>
        <v>1020283.2</v>
      </c>
      <c r="N137" s="112">
        <f>SUM(CG$95:CG$105)+SUM(CI$95:CI$105)+SUM(CK$95:CK$105)+SUM(CM$95:CM$105)</f>
        <v>245835.59999999998</v>
      </c>
      <c r="O137" s="112">
        <f>SUM(CO$95:CO$105)+SUM(CQ$95:CQ$105)+SUM(CS$95:CS$105)+SUM(CU$95:CU$105)</f>
        <v>353845.2</v>
      </c>
    </row>
    <row r="138" spans="2:15" x14ac:dyDescent="0.2">
      <c r="C138" s="111" t="s">
        <v>278</v>
      </c>
      <c r="D138" s="106">
        <f t="shared" ref="D138:O138" si="2">SUM(D$131:D$137)</f>
        <v>2344217.9999999995</v>
      </c>
      <c r="E138" s="106">
        <f t="shared" si="2"/>
        <v>7598881.1999999993</v>
      </c>
      <c r="F138" s="106">
        <f t="shared" si="2"/>
        <v>2219076</v>
      </c>
      <c r="G138" s="106">
        <f t="shared" si="2"/>
        <v>6193634.3999999994</v>
      </c>
      <c r="H138" s="106">
        <f t="shared" si="2"/>
        <v>6207009.5999999996</v>
      </c>
      <c r="I138" s="106">
        <f t="shared" si="2"/>
        <v>6357185.9999999991</v>
      </c>
      <c r="J138" s="106">
        <f t="shared" si="2"/>
        <v>5497510.7999999989</v>
      </c>
      <c r="K138" s="106">
        <f t="shared" si="2"/>
        <v>5104389.6000000006</v>
      </c>
      <c r="L138" s="106">
        <f t="shared" si="2"/>
        <v>4225819.1999999993</v>
      </c>
      <c r="M138" s="106">
        <f t="shared" si="2"/>
        <v>6801629.9999999991</v>
      </c>
      <c r="N138" s="106">
        <f t="shared" si="2"/>
        <v>5088898.7999999989</v>
      </c>
      <c r="O138" s="106">
        <f t="shared" si="2"/>
        <v>3451116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1" max="2" width="9.140625" style="106"/>
    <col min="3" max="3" width="14.5703125" style="106" bestFit="1" customWidth="1"/>
    <col min="4" max="4" width="16.85546875" style="106" bestFit="1" customWidth="1"/>
    <col min="5" max="5" width="22.85546875" style="106" bestFit="1" customWidth="1"/>
    <col min="6" max="16384" width="9.140625" style="106"/>
  </cols>
  <sheetData>
    <row r="1" spans="1:5" x14ac:dyDescent="0.2">
      <c r="A1" s="105" t="s">
        <v>167</v>
      </c>
      <c r="B1" s="105" t="s">
        <v>168</v>
      </c>
      <c r="C1" s="105" t="s">
        <v>169</v>
      </c>
      <c r="D1" s="105" t="s">
        <v>170</v>
      </c>
      <c r="E1" s="105" t="s">
        <v>171</v>
      </c>
    </row>
    <row r="2" spans="1:5" x14ac:dyDescent="0.2">
      <c r="A2" s="105" t="s">
        <v>126</v>
      </c>
      <c r="B2" s="105" t="s">
        <v>172</v>
      </c>
      <c r="C2" s="106" t="s">
        <v>59</v>
      </c>
      <c r="D2" s="106">
        <v>482</v>
      </c>
      <c r="E2" s="106">
        <v>578.4</v>
      </c>
    </row>
    <row r="3" spans="1:5" x14ac:dyDescent="0.2">
      <c r="B3" s="105" t="s">
        <v>173</v>
      </c>
      <c r="C3" s="106" t="s">
        <v>59</v>
      </c>
      <c r="D3" s="106">
        <v>657</v>
      </c>
      <c r="E3" s="106">
        <v>788.4</v>
      </c>
    </row>
    <row r="4" spans="1:5" x14ac:dyDescent="0.2">
      <c r="B4" s="105" t="s">
        <v>174</v>
      </c>
      <c r="C4" s="106" t="s">
        <v>59</v>
      </c>
      <c r="D4" s="106">
        <v>258</v>
      </c>
      <c r="E4" s="106">
        <v>309.59999999999997</v>
      </c>
    </row>
    <row r="5" spans="1:5" x14ac:dyDescent="0.2">
      <c r="B5" s="105" t="s">
        <v>175</v>
      </c>
      <c r="C5" s="106" t="s">
        <v>59</v>
      </c>
      <c r="D5" s="106">
        <v>585</v>
      </c>
      <c r="E5" s="106">
        <v>702</v>
      </c>
    </row>
    <row r="6" spans="1:5" x14ac:dyDescent="0.2">
      <c r="B6" s="105" t="s">
        <v>176</v>
      </c>
      <c r="C6" s="106" t="s">
        <v>59</v>
      </c>
      <c r="D6" s="106">
        <v>454</v>
      </c>
      <c r="E6" s="106">
        <v>544.79999999999995</v>
      </c>
    </row>
    <row r="7" spans="1:5" x14ac:dyDescent="0.2">
      <c r="B7" s="105" t="s">
        <v>177</v>
      </c>
      <c r="C7" s="106" t="s">
        <v>59</v>
      </c>
      <c r="D7" s="106">
        <v>444</v>
      </c>
      <c r="E7" s="106">
        <v>532.79999999999995</v>
      </c>
    </row>
    <row r="8" spans="1:5" x14ac:dyDescent="0.2">
      <c r="B8" s="105" t="s">
        <v>178</v>
      </c>
      <c r="C8" s="106" t="s">
        <v>59</v>
      </c>
      <c r="D8" s="106">
        <v>469</v>
      </c>
      <c r="E8" s="106">
        <v>562.79999999999995</v>
      </c>
    </row>
    <row r="9" spans="1:5" x14ac:dyDescent="0.2">
      <c r="B9" s="105" t="s">
        <v>179</v>
      </c>
      <c r="C9" s="106" t="s">
        <v>59</v>
      </c>
      <c r="D9" s="106">
        <v>71</v>
      </c>
      <c r="E9" s="106">
        <v>85.2</v>
      </c>
    </row>
    <row r="10" spans="1:5" x14ac:dyDescent="0.2">
      <c r="B10" s="105" t="s">
        <v>180</v>
      </c>
      <c r="C10" s="106" t="s">
        <v>59</v>
      </c>
      <c r="D10" s="106">
        <v>407</v>
      </c>
      <c r="E10" s="106">
        <v>488.4</v>
      </c>
    </row>
    <row r="11" spans="1:5" x14ac:dyDescent="0.2">
      <c r="B11" s="105" t="s">
        <v>181</v>
      </c>
      <c r="C11" s="106" t="s">
        <v>59</v>
      </c>
      <c r="D11" s="106">
        <v>636</v>
      </c>
      <c r="E11" s="106">
        <v>763.19999999999993</v>
      </c>
    </row>
    <row r="12" spans="1:5" x14ac:dyDescent="0.2">
      <c r="B12" s="105" t="s">
        <v>182</v>
      </c>
      <c r="C12" s="106" t="s">
        <v>59</v>
      </c>
      <c r="D12" s="106">
        <v>284</v>
      </c>
      <c r="E12" s="106">
        <v>340.8</v>
      </c>
    </row>
    <row r="13" spans="1:5" x14ac:dyDescent="0.2">
      <c r="B13" s="105" t="s">
        <v>183</v>
      </c>
      <c r="C13" s="106" t="s">
        <v>59</v>
      </c>
      <c r="D13" s="106">
        <v>352</v>
      </c>
      <c r="E13" s="106">
        <v>422.4</v>
      </c>
    </row>
    <row r="14" spans="1:5" x14ac:dyDescent="0.2">
      <c r="B14" s="105" t="s">
        <v>184</v>
      </c>
      <c r="C14" s="106" t="s">
        <v>59</v>
      </c>
      <c r="D14" s="106">
        <v>544</v>
      </c>
      <c r="E14" s="106">
        <v>652.79999999999995</v>
      </c>
    </row>
    <row r="15" spans="1:5" x14ac:dyDescent="0.2">
      <c r="B15" s="105" t="s">
        <v>185</v>
      </c>
      <c r="C15" s="106" t="s">
        <v>59</v>
      </c>
      <c r="D15" s="106">
        <v>275</v>
      </c>
      <c r="E15" s="106">
        <v>330</v>
      </c>
    </row>
    <row r="16" spans="1:5" x14ac:dyDescent="0.2">
      <c r="A16" s="105" t="s">
        <v>127</v>
      </c>
      <c r="B16" s="105" t="s">
        <v>186</v>
      </c>
      <c r="C16" s="106" t="s">
        <v>59</v>
      </c>
      <c r="D16" s="106">
        <v>239</v>
      </c>
      <c r="E16" s="106">
        <v>286.8</v>
      </c>
    </row>
    <row r="17" spans="2:5" x14ac:dyDescent="0.2">
      <c r="B17" s="105" t="s">
        <v>187</v>
      </c>
      <c r="C17" s="106" t="s">
        <v>59</v>
      </c>
      <c r="D17" s="106">
        <v>52</v>
      </c>
      <c r="E17" s="106">
        <v>62.4</v>
      </c>
    </row>
    <row r="18" spans="2:5" x14ac:dyDescent="0.2">
      <c r="B18" s="105" t="s">
        <v>188</v>
      </c>
      <c r="C18" s="106" t="s">
        <v>59</v>
      </c>
      <c r="D18" s="106">
        <v>156</v>
      </c>
      <c r="E18" s="106">
        <v>187.2</v>
      </c>
    </row>
    <row r="19" spans="2:5" x14ac:dyDescent="0.2">
      <c r="B19" s="105" t="s">
        <v>189</v>
      </c>
      <c r="C19" s="106" t="s">
        <v>59</v>
      </c>
      <c r="D19" s="106">
        <v>245</v>
      </c>
      <c r="E19" s="106">
        <v>294</v>
      </c>
    </row>
    <row r="20" spans="2:5" x14ac:dyDescent="0.2">
      <c r="B20" s="105" t="s">
        <v>190</v>
      </c>
      <c r="C20" s="106" t="s">
        <v>59</v>
      </c>
      <c r="D20" s="106">
        <v>306</v>
      </c>
      <c r="E20" s="106">
        <v>367.2</v>
      </c>
    </row>
    <row r="21" spans="2:5" x14ac:dyDescent="0.2">
      <c r="B21" s="105" t="s">
        <v>191</v>
      </c>
      <c r="C21" s="106" t="s">
        <v>59</v>
      </c>
      <c r="D21" s="106">
        <v>442</v>
      </c>
      <c r="E21" s="106">
        <v>530.4</v>
      </c>
    </row>
    <row r="22" spans="2:5" x14ac:dyDescent="0.2">
      <c r="B22" s="105" t="s">
        <v>192</v>
      </c>
      <c r="C22" s="106" t="s">
        <v>59</v>
      </c>
      <c r="D22" s="106">
        <v>405</v>
      </c>
      <c r="E22" s="106">
        <v>486</v>
      </c>
    </row>
    <row r="23" spans="2:5" x14ac:dyDescent="0.2">
      <c r="B23" s="105" t="s">
        <v>193</v>
      </c>
      <c r="C23" s="106" t="s">
        <v>59</v>
      </c>
      <c r="D23" s="106">
        <v>356</v>
      </c>
      <c r="E23" s="106">
        <v>427.2</v>
      </c>
    </row>
    <row r="24" spans="2:5" x14ac:dyDescent="0.2">
      <c r="B24" s="105" t="s">
        <v>194</v>
      </c>
      <c r="C24" s="106" t="s">
        <v>59</v>
      </c>
      <c r="D24" s="106">
        <v>615</v>
      </c>
      <c r="E24" s="106">
        <v>738</v>
      </c>
    </row>
    <row r="25" spans="2:5" x14ac:dyDescent="0.2">
      <c r="B25" s="105" t="s">
        <v>195</v>
      </c>
      <c r="C25" s="106" t="s">
        <v>59</v>
      </c>
      <c r="D25" s="106">
        <v>282</v>
      </c>
      <c r="E25" s="106">
        <v>338.4</v>
      </c>
    </row>
    <row r="26" spans="2:5" x14ac:dyDescent="0.2">
      <c r="B26" s="105" t="s">
        <v>196</v>
      </c>
      <c r="C26" s="106" t="s">
        <v>59</v>
      </c>
      <c r="D26" s="106">
        <v>116</v>
      </c>
      <c r="E26" s="106">
        <v>139.19999999999999</v>
      </c>
    </row>
    <row r="27" spans="2:5" x14ac:dyDescent="0.2">
      <c r="B27" s="105" t="s">
        <v>197</v>
      </c>
      <c r="C27" s="106" t="s">
        <v>59</v>
      </c>
      <c r="D27" s="106">
        <v>284</v>
      </c>
      <c r="E27" s="106">
        <v>340.8</v>
      </c>
    </row>
    <row r="28" spans="2:5" x14ac:dyDescent="0.2">
      <c r="B28" s="105" t="s">
        <v>198</v>
      </c>
      <c r="C28" s="106" t="s">
        <v>59</v>
      </c>
      <c r="D28" s="106">
        <v>700</v>
      </c>
      <c r="E28" s="106">
        <v>840</v>
      </c>
    </row>
    <row r="29" spans="2:5" x14ac:dyDescent="0.2">
      <c r="B29" s="105" t="s">
        <v>199</v>
      </c>
      <c r="C29" s="106" t="s">
        <v>59</v>
      </c>
      <c r="D29" s="106">
        <v>395</v>
      </c>
      <c r="E29" s="106">
        <v>474</v>
      </c>
    </row>
    <row r="30" spans="2:5" x14ac:dyDescent="0.2">
      <c r="B30" s="105" t="s">
        <v>200</v>
      </c>
      <c r="C30" s="106" t="s">
        <v>59</v>
      </c>
      <c r="D30" s="106">
        <v>457</v>
      </c>
      <c r="E30" s="106">
        <v>548.4</v>
      </c>
    </row>
    <row r="31" spans="2:5" x14ac:dyDescent="0.2">
      <c r="B31" s="105" t="s">
        <v>201</v>
      </c>
      <c r="C31" s="106" t="s">
        <v>59</v>
      </c>
      <c r="D31" s="106">
        <v>419</v>
      </c>
      <c r="E31" s="106">
        <v>502.7999999999999</v>
      </c>
    </row>
    <row r="32" spans="2:5" x14ac:dyDescent="0.2">
      <c r="B32" s="105" t="s">
        <v>202</v>
      </c>
      <c r="C32" s="106" t="s">
        <v>59</v>
      </c>
      <c r="D32" s="106">
        <v>634</v>
      </c>
      <c r="E32" s="106">
        <v>760.8</v>
      </c>
    </row>
    <row r="33" spans="1:5" x14ac:dyDescent="0.2">
      <c r="A33" s="105" t="s">
        <v>128</v>
      </c>
      <c r="B33" s="105" t="s">
        <v>203</v>
      </c>
      <c r="C33" s="106" t="s">
        <v>59</v>
      </c>
      <c r="D33" s="106">
        <v>717</v>
      </c>
      <c r="E33" s="106">
        <v>860.4</v>
      </c>
    </row>
    <row r="34" spans="1:5" x14ac:dyDescent="0.2">
      <c r="B34" s="105" t="s">
        <v>204</v>
      </c>
      <c r="C34" s="106" t="s">
        <v>59</v>
      </c>
      <c r="D34" s="106">
        <v>1035</v>
      </c>
      <c r="E34" s="106">
        <v>1242</v>
      </c>
    </row>
    <row r="35" spans="1:5" x14ac:dyDescent="0.2">
      <c r="B35" s="105" t="s">
        <v>205</v>
      </c>
      <c r="C35" s="106" t="s">
        <v>59</v>
      </c>
      <c r="D35" s="106">
        <v>1186</v>
      </c>
      <c r="E35" s="106">
        <v>1423.2</v>
      </c>
    </row>
    <row r="36" spans="1:5" x14ac:dyDescent="0.2">
      <c r="B36" s="105" t="s">
        <v>206</v>
      </c>
      <c r="C36" s="106" t="s">
        <v>59</v>
      </c>
      <c r="D36" s="106">
        <v>604</v>
      </c>
      <c r="E36" s="106">
        <v>724.8</v>
      </c>
    </row>
    <row r="37" spans="1:5" x14ac:dyDescent="0.2">
      <c r="B37" s="105" t="s">
        <v>207</v>
      </c>
      <c r="C37" s="106" t="s">
        <v>59</v>
      </c>
      <c r="D37" s="106">
        <v>550</v>
      </c>
      <c r="E37" s="106">
        <v>660</v>
      </c>
    </row>
    <row r="38" spans="1:5" x14ac:dyDescent="0.2">
      <c r="B38" s="105" t="s">
        <v>208</v>
      </c>
      <c r="C38" s="106" t="s">
        <v>59</v>
      </c>
      <c r="D38" s="106">
        <v>705</v>
      </c>
      <c r="E38" s="106">
        <v>846</v>
      </c>
    </row>
    <row r="39" spans="1:5" x14ac:dyDescent="0.2">
      <c r="B39" s="105" t="s">
        <v>209</v>
      </c>
      <c r="C39" s="106" t="s">
        <v>59</v>
      </c>
      <c r="D39" s="106">
        <v>852</v>
      </c>
      <c r="E39" s="106">
        <v>1022.4</v>
      </c>
    </row>
    <row r="40" spans="1:5" x14ac:dyDescent="0.2">
      <c r="B40" s="105" t="s">
        <v>210</v>
      </c>
      <c r="C40" s="106" t="s">
        <v>59</v>
      </c>
      <c r="D40" s="106">
        <v>852</v>
      </c>
      <c r="E40" s="106">
        <v>1022.4</v>
      </c>
    </row>
    <row r="41" spans="1:5" x14ac:dyDescent="0.2">
      <c r="B41" s="105" t="s">
        <v>211</v>
      </c>
      <c r="C41" s="106" t="s">
        <v>59</v>
      </c>
      <c r="D41" s="106">
        <v>1041</v>
      </c>
      <c r="E41" s="106">
        <v>1249.2</v>
      </c>
    </row>
    <row r="42" spans="1:5" x14ac:dyDescent="0.2">
      <c r="B42" s="105" t="s">
        <v>212</v>
      </c>
      <c r="C42" s="106" t="s">
        <v>59</v>
      </c>
      <c r="D42" s="106">
        <v>1010</v>
      </c>
      <c r="E42" s="106">
        <v>1212</v>
      </c>
    </row>
    <row r="43" spans="1:5" x14ac:dyDescent="0.2">
      <c r="B43" s="105" t="s">
        <v>213</v>
      </c>
      <c r="C43" s="106" t="s">
        <v>59</v>
      </c>
      <c r="D43" s="106">
        <v>1273</v>
      </c>
      <c r="E43" s="106">
        <v>1527.6</v>
      </c>
    </row>
    <row r="44" spans="1:5" x14ac:dyDescent="0.2">
      <c r="B44" s="105" t="s">
        <v>214</v>
      </c>
      <c r="C44" s="106" t="s">
        <v>59</v>
      </c>
      <c r="D44" s="106">
        <v>723</v>
      </c>
      <c r="E44" s="106">
        <v>867.6</v>
      </c>
    </row>
    <row r="45" spans="1:5" x14ac:dyDescent="0.2">
      <c r="A45" s="105" t="s">
        <v>129</v>
      </c>
      <c r="B45" s="105" t="s">
        <v>215</v>
      </c>
      <c r="C45" s="106" t="s">
        <v>22</v>
      </c>
      <c r="D45" s="106">
        <v>821</v>
      </c>
      <c r="E45" s="106">
        <v>985.19999999999993</v>
      </c>
    </row>
    <row r="46" spans="1:5" x14ac:dyDescent="0.2">
      <c r="B46" s="105" t="s">
        <v>216</v>
      </c>
      <c r="C46" s="106" t="s">
        <v>59</v>
      </c>
      <c r="D46" s="106">
        <v>235</v>
      </c>
      <c r="E46" s="106">
        <v>282</v>
      </c>
    </row>
    <row r="47" spans="1:5" x14ac:dyDescent="0.2">
      <c r="B47" s="105" t="s">
        <v>217</v>
      </c>
      <c r="C47" s="106" t="s">
        <v>59</v>
      </c>
      <c r="D47" s="106">
        <v>712</v>
      </c>
      <c r="E47" s="106">
        <v>854.4</v>
      </c>
    </row>
    <row r="48" spans="1:5" x14ac:dyDescent="0.2">
      <c r="B48" s="105" t="s">
        <v>218</v>
      </c>
      <c r="C48" s="106" t="s">
        <v>59</v>
      </c>
      <c r="D48" s="106">
        <v>450</v>
      </c>
      <c r="E48" s="106">
        <v>540</v>
      </c>
    </row>
    <row r="49" spans="2:5" x14ac:dyDescent="0.2">
      <c r="B49" s="105" t="s">
        <v>219</v>
      </c>
      <c r="C49" s="106" t="s">
        <v>59</v>
      </c>
      <c r="D49" s="106">
        <v>339</v>
      </c>
      <c r="E49" s="106">
        <v>406.8</v>
      </c>
    </row>
    <row r="50" spans="2:5" x14ac:dyDescent="0.2">
      <c r="B50" s="105" t="s">
        <v>220</v>
      </c>
      <c r="C50" s="106" t="s">
        <v>59</v>
      </c>
      <c r="D50" s="106">
        <v>279</v>
      </c>
      <c r="E50" s="106">
        <v>334.8</v>
      </c>
    </row>
    <row r="51" spans="2:5" x14ac:dyDescent="0.2">
      <c r="B51" s="105" t="s">
        <v>221</v>
      </c>
      <c r="C51" s="106" t="s">
        <v>59</v>
      </c>
      <c r="D51" s="106">
        <v>553</v>
      </c>
      <c r="E51" s="106">
        <v>663.6</v>
      </c>
    </row>
    <row r="52" spans="2:5" x14ac:dyDescent="0.2">
      <c r="B52" s="105" t="s">
        <v>222</v>
      </c>
      <c r="C52" s="106" t="s">
        <v>22</v>
      </c>
      <c r="D52" s="106">
        <v>959</v>
      </c>
      <c r="E52" s="106">
        <v>1150.8</v>
      </c>
    </row>
    <row r="53" spans="2:5" x14ac:dyDescent="0.2">
      <c r="B53" s="105" t="s">
        <v>223</v>
      </c>
      <c r="C53" s="106" t="s">
        <v>59</v>
      </c>
      <c r="D53" s="106">
        <v>1176</v>
      </c>
      <c r="E53" s="106">
        <v>1411.2</v>
      </c>
    </row>
    <row r="54" spans="2:5" x14ac:dyDescent="0.2">
      <c r="B54" s="105" t="s">
        <v>224</v>
      </c>
      <c r="C54" s="106" t="s">
        <v>22</v>
      </c>
      <c r="D54" s="106">
        <v>981</v>
      </c>
      <c r="E54" s="106">
        <v>1177.2</v>
      </c>
    </row>
    <row r="55" spans="2:5" x14ac:dyDescent="0.2">
      <c r="B55" s="105" t="s">
        <v>225</v>
      </c>
      <c r="C55" s="106" t="s">
        <v>59</v>
      </c>
      <c r="D55" s="106">
        <v>253</v>
      </c>
      <c r="E55" s="106">
        <v>303.59999999999997</v>
      </c>
    </row>
    <row r="56" spans="2:5" x14ac:dyDescent="0.2">
      <c r="B56" s="105" t="s">
        <v>226</v>
      </c>
      <c r="C56" s="106" t="s">
        <v>59</v>
      </c>
      <c r="D56" s="106">
        <v>543</v>
      </c>
      <c r="E56" s="106">
        <v>651.6</v>
      </c>
    </row>
    <row r="57" spans="2:5" x14ac:dyDescent="0.2">
      <c r="B57" s="105" t="s">
        <v>227</v>
      </c>
      <c r="C57" s="106" t="s">
        <v>59</v>
      </c>
      <c r="D57" s="106">
        <v>793</v>
      </c>
      <c r="E57" s="106">
        <v>951.59999999999991</v>
      </c>
    </row>
    <row r="58" spans="2:5" x14ac:dyDescent="0.2">
      <c r="B58" s="105" t="s">
        <v>228</v>
      </c>
      <c r="C58" s="106" t="s">
        <v>59</v>
      </c>
      <c r="D58" s="106">
        <v>1421</v>
      </c>
      <c r="E58" s="106">
        <v>1705.2</v>
      </c>
    </row>
    <row r="59" spans="2:5" x14ac:dyDescent="0.2">
      <c r="B59" s="105" t="s">
        <v>229</v>
      </c>
      <c r="C59" s="106" t="s">
        <v>59</v>
      </c>
      <c r="D59" s="106">
        <v>663</v>
      </c>
      <c r="E59" s="106">
        <v>795.6</v>
      </c>
    </row>
    <row r="60" spans="2:5" x14ac:dyDescent="0.2">
      <c r="B60" s="105" t="s">
        <v>230</v>
      </c>
      <c r="C60" s="106" t="s">
        <v>59</v>
      </c>
      <c r="D60" s="106">
        <v>841</v>
      </c>
      <c r="E60" s="106">
        <v>1009.1999999999998</v>
      </c>
    </row>
    <row r="61" spans="2:5" x14ac:dyDescent="0.2">
      <c r="B61" s="105" t="s">
        <v>231</v>
      </c>
      <c r="C61" s="106" t="s">
        <v>59</v>
      </c>
      <c r="D61" s="106">
        <v>855</v>
      </c>
      <c r="E61" s="106">
        <v>1026</v>
      </c>
    </row>
    <row r="62" spans="2:5" x14ac:dyDescent="0.2">
      <c r="B62" s="105" t="s">
        <v>232</v>
      </c>
      <c r="C62" s="106" t="s">
        <v>59</v>
      </c>
      <c r="D62" s="106">
        <v>992</v>
      </c>
      <c r="E62" s="106">
        <v>1190.3999999999999</v>
      </c>
    </row>
    <row r="63" spans="2:5" x14ac:dyDescent="0.2">
      <c r="B63" s="105" t="s">
        <v>233</v>
      </c>
      <c r="C63" s="106" t="s">
        <v>59</v>
      </c>
      <c r="D63" s="106">
        <v>936</v>
      </c>
      <c r="E63" s="106">
        <v>1123.2</v>
      </c>
    </row>
    <row r="64" spans="2:5" x14ac:dyDescent="0.2">
      <c r="B64" s="105" t="s">
        <v>234</v>
      </c>
      <c r="C64" s="106" t="s">
        <v>59</v>
      </c>
      <c r="D64" s="106">
        <v>861</v>
      </c>
      <c r="E64" s="106">
        <v>1033.2</v>
      </c>
    </row>
    <row r="65" spans="1:5" x14ac:dyDescent="0.2">
      <c r="B65" s="105" t="s">
        <v>235</v>
      </c>
      <c r="C65" s="106" t="s">
        <v>59</v>
      </c>
      <c r="D65" s="106">
        <v>632</v>
      </c>
      <c r="E65" s="106">
        <v>758.4</v>
      </c>
    </row>
    <row r="66" spans="1:5" x14ac:dyDescent="0.2">
      <c r="B66" s="105" t="s">
        <v>236</v>
      </c>
      <c r="C66" s="106" t="s">
        <v>59</v>
      </c>
      <c r="D66" s="106">
        <v>446</v>
      </c>
      <c r="E66" s="106">
        <v>535.19999999999993</v>
      </c>
    </row>
    <row r="67" spans="1:5" x14ac:dyDescent="0.2">
      <c r="A67" s="105" t="s">
        <v>130</v>
      </c>
      <c r="B67" s="105" t="s">
        <v>237</v>
      </c>
      <c r="C67" s="106" t="s">
        <v>22</v>
      </c>
      <c r="D67" s="106">
        <v>470</v>
      </c>
      <c r="E67" s="106">
        <v>564</v>
      </c>
    </row>
    <row r="68" spans="1:5" x14ac:dyDescent="0.2">
      <c r="B68" s="105" t="s">
        <v>238</v>
      </c>
      <c r="C68" s="106" t="s">
        <v>22</v>
      </c>
      <c r="D68" s="106">
        <v>62</v>
      </c>
      <c r="E68" s="106">
        <v>74.399999999999991</v>
      </c>
    </row>
    <row r="69" spans="1:5" x14ac:dyDescent="0.2">
      <c r="B69" s="105" t="s">
        <v>239</v>
      </c>
      <c r="C69" s="106" t="s">
        <v>22</v>
      </c>
      <c r="D69" s="106">
        <v>466</v>
      </c>
      <c r="E69" s="106">
        <v>559.19999999999993</v>
      </c>
    </row>
    <row r="70" spans="1:5" x14ac:dyDescent="0.2">
      <c r="B70" s="105" t="s">
        <v>240</v>
      </c>
      <c r="C70" s="106" t="s">
        <v>22</v>
      </c>
      <c r="D70" s="106">
        <v>336</v>
      </c>
      <c r="E70" s="106">
        <v>403.2</v>
      </c>
    </row>
    <row r="71" spans="1:5" x14ac:dyDescent="0.2">
      <c r="B71" s="105" t="s">
        <v>241</v>
      </c>
      <c r="C71" s="106" t="s">
        <v>22</v>
      </c>
      <c r="D71" s="106">
        <v>536</v>
      </c>
      <c r="E71" s="106">
        <v>643.19999999999993</v>
      </c>
    </row>
    <row r="72" spans="1:5" x14ac:dyDescent="0.2">
      <c r="B72" s="105" t="s">
        <v>242</v>
      </c>
      <c r="C72" s="106" t="s">
        <v>22</v>
      </c>
      <c r="D72" s="106">
        <v>649</v>
      </c>
      <c r="E72" s="106">
        <v>778.8</v>
      </c>
    </row>
    <row r="73" spans="1:5" x14ac:dyDescent="0.2">
      <c r="B73" s="105" t="s">
        <v>243</v>
      </c>
      <c r="C73" s="106" t="s">
        <v>22</v>
      </c>
      <c r="D73" s="106">
        <v>232</v>
      </c>
      <c r="E73" s="106">
        <v>278.39999999999998</v>
      </c>
    </row>
    <row r="74" spans="1:5" x14ac:dyDescent="0.2">
      <c r="B74" s="105" t="s">
        <v>244</v>
      </c>
      <c r="C74" s="106" t="s">
        <v>22</v>
      </c>
      <c r="D74" s="106">
        <v>460</v>
      </c>
      <c r="E74" s="106">
        <v>552</v>
      </c>
    </row>
    <row r="75" spans="1:5" x14ac:dyDescent="0.2">
      <c r="B75" s="105" t="s">
        <v>245</v>
      </c>
      <c r="C75" s="106" t="s">
        <v>22</v>
      </c>
      <c r="D75" s="106">
        <v>631</v>
      </c>
      <c r="E75" s="106">
        <v>757.19999999999993</v>
      </c>
    </row>
    <row r="76" spans="1:5" x14ac:dyDescent="0.2">
      <c r="B76" s="105" t="s">
        <v>246</v>
      </c>
      <c r="C76" s="106" t="s">
        <v>22</v>
      </c>
      <c r="D76" s="106">
        <v>671</v>
      </c>
      <c r="E76" s="106">
        <v>805.19999999999993</v>
      </c>
    </row>
    <row r="77" spans="1:5" x14ac:dyDescent="0.2">
      <c r="B77" s="105" t="s">
        <v>247</v>
      </c>
      <c r="C77" s="106" t="s">
        <v>22</v>
      </c>
      <c r="D77" s="106">
        <v>628</v>
      </c>
      <c r="E77" s="106">
        <v>753.6</v>
      </c>
    </row>
    <row r="78" spans="1:5" x14ac:dyDescent="0.2">
      <c r="B78" s="105" t="s">
        <v>248</v>
      </c>
      <c r="C78" s="106" t="s">
        <v>22</v>
      </c>
      <c r="D78" s="106">
        <v>424</v>
      </c>
      <c r="E78" s="106">
        <v>508.7999999999999</v>
      </c>
    </row>
    <row r="79" spans="1:5" x14ac:dyDescent="0.2">
      <c r="B79" s="105" t="s">
        <v>249</v>
      </c>
      <c r="C79" s="106" t="s">
        <v>22</v>
      </c>
      <c r="D79" s="106">
        <v>717</v>
      </c>
      <c r="E79" s="106">
        <v>860.4</v>
      </c>
    </row>
    <row r="80" spans="1:5" x14ac:dyDescent="0.2">
      <c r="B80" s="105" t="s">
        <v>250</v>
      </c>
      <c r="C80" s="106" t="s">
        <v>22</v>
      </c>
      <c r="D80" s="106">
        <v>651</v>
      </c>
      <c r="E80" s="106">
        <v>781.19999999999993</v>
      </c>
    </row>
    <row r="81" spans="1:5" x14ac:dyDescent="0.2">
      <c r="B81" s="105" t="s">
        <v>251</v>
      </c>
      <c r="C81" s="106" t="s">
        <v>22</v>
      </c>
      <c r="D81" s="106">
        <v>125</v>
      </c>
      <c r="E81" s="106">
        <v>150</v>
      </c>
    </row>
    <row r="82" spans="1:5" x14ac:dyDescent="0.2">
      <c r="B82" s="105" t="s">
        <v>252</v>
      </c>
      <c r="C82" s="106" t="s">
        <v>22</v>
      </c>
      <c r="D82" s="106">
        <v>450</v>
      </c>
      <c r="E82" s="106">
        <v>540</v>
      </c>
    </row>
    <row r="83" spans="1:5" x14ac:dyDescent="0.2">
      <c r="A83" s="105" t="s">
        <v>131</v>
      </c>
      <c r="B83" s="105" t="s">
        <v>253</v>
      </c>
      <c r="C83" s="106" t="s">
        <v>22</v>
      </c>
      <c r="D83" s="106">
        <v>1629</v>
      </c>
      <c r="E83" s="106">
        <v>1954.8</v>
      </c>
    </row>
    <row r="84" spans="1:5" x14ac:dyDescent="0.2">
      <c r="B84" s="105" t="s">
        <v>254</v>
      </c>
      <c r="C84" s="106" t="s">
        <v>22</v>
      </c>
      <c r="D84" s="106">
        <v>1577</v>
      </c>
      <c r="E84" s="106">
        <v>1892.3999999999999</v>
      </c>
    </row>
    <row r="85" spans="1:5" x14ac:dyDescent="0.2">
      <c r="B85" s="105" t="s">
        <v>255</v>
      </c>
      <c r="C85" s="106" t="s">
        <v>22</v>
      </c>
      <c r="D85" s="106">
        <v>1998</v>
      </c>
      <c r="E85" s="106">
        <v>2397.6</v>
      </c>
    </row>
    <row r="86" spans="1:5" x14ac:dyDescent="0.2">
      <c r="B86" s="105" t="s">
        <v>256</v>
      </c>
      <c r="C86" s="106" t="s">
        <v>22</v>
      </c>
      <c r="D86" s="106">
        <v>1831</v>
      </c>
      <c r="E86" s="106">
        <v>2197.1999999999998</v>
      </c>
    </row>
    <row r="87" spans="1:5" x14ac:dyDescent="0.2">
      <c r="B87" s="105" t="s">
        <v>257</v>
      </c>
      <c r="C87" s="106" t="s">
        <v>22</v>
      </c>
      <c r="D87" s="106">
        <v>1914</v>
      </c>
      <c r="E87" s="106">
        <v>2296.7999999999997</v>
      </c>
    </row>
    <row r="88" spans="1:5" x14ac:dyDescent="0.2">
      <c r="B88" s="105" t="s">
        <v>258</v>
      </c>
      <c r="C88" s="106" t="s">
        <v>22</v>
      </c>
      <c r="D88" s="106">
        <v>1184</v>
      </c>
      <c r="E88" s="106">
        <v>1420.8</v>
      </c>
    </row>
    <row r="89" spans="1:5" x14ac:dyDescent="0.2">
      <c r="B89" s="105" t="s">
        <v>259</v>
      </c>
      <c r="C89" s="106" t="s">
        <v>22</v>
      </c>
      <c r="D89" s="106">
        <v>1477</v>
      </c>
      <c r="E89" s="106">
        <v>1772.3999999999999</v>
      </c>
    </row>
    <row r="90" spans="1:5" x14ac:dyDescent="0.2">
      <c r="B90" s="105" t="s">
        <v>260</v>
      </c>
      <c r="C90" s="106" t="s">
        <v>22</v>
      </c>
      <c r="D90" s="106">
        <v>1996</v>
      </c>
      <c r="E90" s="106">
        <v>2395.1999999999998</v>
      </c>
    </row>
    <row r="91" spans="1:5" x14ac:dyDescent="0.2">
      <c r="A91" s="105" t="s">
        <v>132</v>
      </c>
      <c r="B91" s="105" t="s">
        <v>261</v>
      </c>
      <c r="C91" s="106" t="s">
        <v>22</v>
      </c>
      <c r="D91" s="106">
        <v>1444</v>
      </c>
      <c r="E91" s="106">
        <v>1732.8</v>
      </c>
    </row>
    <row r="92" spans="1:5" x14ac:dyDescent="0.2">
      <c r="B92" s="105" t="s">
        <v>262</v>
      </c>
      <c r="C92" s="106" t="s">
        <v>22</v>
      </c>
      <c r="D92" s="106">
        <v>686</v>
      </c>
      <c r="E92" s="106">
        <v>823.19999999999993</v>
      </c>
    </row>
    <row r="93" spans="1:5" x14ac:dyDescent="0.2">
      <c r="B93" s="105" t="s">
        <v>263</v>
      </c>
      <c r="C93" s="106" t="s">
        <v>22</v>
      </c>
      <c r="D93" s="106">
        <v>1524</v>
      </c>
      <c r="E93" s="106">
        <v>1828.8</v>
      </c>
    </row>
    <row r="94" spans="1:5" x14ac:dyDescent="0.2">
      <c r="B94" s="105" t="s">
        <v>264</v>
      </c>
      <c r="C94" s="106" t="s">
        <v>22</v>
      </c>
      <c r="D94" s="106">
        <v>1053</v>
      </c>
      <c r="E94" s="106">
        <v>1263.5999999999999</v>
      </c>
    </row>
    <row r="95" spans="1:5" x14ac:dyDescent="0.2">
      <c r="B95" s="105" t="s">
        <v>265</v>
      </c>
      <c r="C95" s="106" t="s">
        <v>22</v>
      </c>
      <c r="D95" s="106">
        <v>4568</v>
      </c>
      <c r="E95" s="106">
        <v>5481.5999999999995</v>
      </c>
    </row>
    <row r="96" spans="1:5" x14ac:dyDescent="0.2">
      <c r="B96" s="105" t="s">
        <v>266</v>
      </c>
      <c r="C96" s="106" t="s">
        <v>22</v>
      </c>
      <c r="D96" s="106">
        <v>1352</v>
      </c>
      <c r="E96" s="106">
        <v>1622.3999999999999</v>
      </c>
    </row>
    <row r="97" spans="2:5" x14ac:dyDescent="0.2">
      <c r="B97" s="105" t="s">
        <v>267</v>
      </c>
      <c r="C97" s="106" t="s">
        <v>22</v>
      </c>
      <c r="D97" s="106">
        <v>992</v>
      </c>
      <c r="E97" s="106">
        <v>1190.3999999999999</v>
      </c>
    </row>
    <row r="98" spans="2:5" x14ac:dyDescent="0.2">
      <c r="B98" s="105" t="s">
        <v>268</v>
      </c>
      <c r="C98" s="106" t="s">
        <v>22</v>
      </c>
      <c r="D98" s="106">
        <v>1616</v>
      </c>
      <c r="E98" s="106">
        <v>1939.1999999999998</v>
      </c>
    </row>
    <row r="99" spans="2:5" x14ac:dyDescent="0.2">
      <c r="B99" s="105" t="s">
        <v>269</v>
      </c>
      <c r="C99" s="106" t="s">
        <v>22</v>
      </c>
      <c r="D99" s="106">
        <v>1690</v>
      </c>
      <c r="E99" s="106">
        <v>2028</v>
      </c>
    </row>
    <row r="100" spans="2:5" x14ac:dyDescent="0.2">
      <c r="B100" s="105" t="s">
        <v>270</v>
      </c>
      <c r="C100" s="106" t="s">
        <v>22</v>
      </c>
      <c r="D100" s="106">
        <v>1727</v>
      </c>
      <c r="E100" s="106">
        <v>2072.4</v>
      </c>
    </row>
    <row r="101" spans="2:5" x14ac:dyDescent="0.2">
      <c r="B101" s="105" t="s">
        <v>271</v>
      </c>
      <c r="C101" s="106" t="s">
        <v>22</v>
      </c>
      <c r="D101" s="106">
        <v>1665</v>
      </c>
      <c r="E101" s="106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2016-10-10T15:10:36Z</dcterms:modified>
</cp:coreProperties>
</file>