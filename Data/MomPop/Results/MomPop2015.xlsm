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MomPop\Results\"/>
    </mc:Choice>
  </mc:AlternateContent>
  <bookViews>
    <workbookView xWindow="0" yWindow="45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18" r:id="rId6"/>
    <sheet name="grove" sheetId="17" r:id="rId7"/>
    <sheet name="P07" sheetId="16" r:id="rId8"/>
    <sheet name="S15" sheetId="15" r:id="rId9"/>
    <sheet name="S61" sheetId="14" r:id="rId10"/>
    <sheet name="ORA" sheetId="13" r:id="rId11"/>
    <sheet name="POJ" sheetId="12" r:id="rId12"/>
    <sheet name="ROJ" sheetId="11" r:id="rId13"/>
    <sheet name="FCOJ" sheetId="10" r:id="rId14"/>
    <sheet name="market" sheetId="9" r:id="rId15"/>
  </sheets>
  <definedNames>
    <definedName name="AddColumn1">shipping_manufacturing!$G$4:$G$12</definedName>
    <definedName name="AddColumn2">shipping_manufacturing!$E$16:$E$20</definedName>
    <definedName name="AddColumn3">shipping_manufacturing!$F$24:$F$30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16" i="18" l="1"/>
  <c r="S15" i="18"/>
  <c r="T19" i="18" s="1"/>
  <c r="S14" i="18"/>
  <c r="S8" i="18"/>
  <c r="H40" i="18"/>
  <c r="H39" i="18"/>
  <c r="S39" i="18" s="1"/>
  <c r="H38" i="18"/>
  <c r="H35" i="18"/>
  <c r="S42" i="18" s="1"/>
  <c r="H34" i="18"/>
  <c r="H33" i="18"/>
  <c r="S36" i="18" s="1"/>
  <c r="H30" i="18"/>
  <c r="H29" i="18"/>
  <c r="H28" i="18"/>
  <c r="S40" i="18" s="1"/>
  <c r="H27" i="18"/>
  <c r="S37" i="18" s="1"/>
  <c r="H24" i="18"/>
  <c r="H23" i="18"/>
  <c r="H15" i="18"/>
  <c r="H14" i="18"/>
  <c r="H13" i="18"/>
  <c r="H8" i="18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T25" i="18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H10" i="18" s="1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S10" i="18" s="1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N138" i="13" s="1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O138" i="13"/>
  <c r="AZ14" i="14"/>
  <c r="AY259" i="14" s="1"/>
  <c r="AY181" i="14"/>
  <c r="AY179" i="14"/>
  <c r="AY177" i="14"/>
  <c r="AY175" i="14"/>
  <c r="AY260" i="14" s="1"/>
  <c r="AY14" i="14"/>
  <c r="AX259" i="14" s="1"/>
  <c r="AX181" i="14"/>
  <c r="AX179" i="14"/>
  <c r="AX177" i="14"/>
  <c r="AX175" i="14"/>
  <c r="AX260" i="14" s="1"/>
  <c r="AX14" i="14"/>
  <c r="AW259" i="14" s="1"/>
  <c r="AW181" i="14"/>
  <c r="AW179" i="14"/>
  <c r="AW260" i="14" s="1"/>
  <c r="AW177" i="14"/>
  <c r="AW175" i="14"/>
  <c r="AV259" i="14"/>
  <c r="AW14" i="14"/>
  <c r="AV181" i="14"/>
  <c r="AV179" i="14"/>
  <c r="AV177" i="14"/>
  <c r="AV260" i="14" s="1"/>
  <c r="AV175" i="14"/>
  <c r="AV14" i="14"/>
  <c r="AU259" i="14" s="1"/>
  <c r="AU181" i="14"/>
  <c r="AU179" i="14"/>
  <c r="AU177" i="14"/>
  <c r="AU175" i="14"/>
  <c r="AU260" i="14" s="1"/>
  <c r="AU14" i="14"/>
  <c r="AT259" i="14" s="1"/>
  <c r="AT181" i="14"/>
  <c r="AT179" i="14"/>
  <c r="AT177" i="14"/>
  <c r="AT175" i="14"/>
  <c r="AT260" i="14" s="1"/>
  <c r="AT14" i="14"/>
  <c r="AS259" i="14" s="1"/>
  <c r="AS181" i="14"/>
  <c r="AS179" i="14"/>
  <c r="AS260" i="14" s="1"/>
  <c r="AS177" i="14"/>
  <c r="AS175" i="14"/>
  <c r="AR259" i="14"/>
  <c r="AS14" i="14"/>
  <c r="AR181" i="14"/>
  <c r="AR179" i="14"/>
  <c r="AR177" i="14"/>
  <c r="AR260" i="14" s="1"/>
  <c r="AR175" i="14"/>
  <c r="AQ259" i="14"/>
  <c r="AR14" i="14"/>
  <c r="AQ181" i="14"/>
  <c r="AQ179" i="14"/>
  <c r="AQ177" i="14"/>
  <c r="AQ175" i="14"/>
  <c r="AQ14" i="14"/>
  <c r="AP259" i="14" s="1"/>
  <c r="AP181" i="14"/>
  <c r="AP179" i="14"/>
  <c r="AP177" i="14"/>
  <c r="AP175" i="14"/>
  <c r="AP260" i="14" s="1"/>
  <c r="AP14" i="14"/>
  <c r="AO259" i="14" s="1"/>
  <c r="AO181" i="14"/>
  <c r="AO179" i="14"/>
  <c r="AO177" i="14"/>
  <c r="AO175" i="14"/>
  <c r="AN259" i="14"/>
  <c r="AO14" i="14"/>
  <c r="AN181" i="14"/>
  <c r="AN179" i="14"/>
  <c r="AN260" i="14" s="1"/>
  <c r="AN177" i="14"/>
  <c r="AN175" i="14"/>
  <c r="AN14" i="14"/>
  <c r="AM259" i="14" s="1"/>
  <c r="AM181" i="14"/>
  <c r="AM179" i="14"/>
  <c r="AM177" i="14"/>
  <c r="AM175" i="14"/>
  <c r="AM260" i="14" s="1"/>
  <c r="AM14" i="14"/>
  <c r="AL259" i="14" s="1"/>
  <c r="AL181" i="14"/>
  <c r="AL179" i="14"/>
  <c r="AL177" i="14"/>
  <c r="AL175" i="14"/>
  <c r="AL260" i="14" s="1"/>
  <c r="AL14" i="14"/>
  <c r="AK259" i="14" s="1"/>
  <c r="AK181" i="14"/>
  <c r="AK179" i="14"/>
  <c r="AK260" i="14" s="1"/>
  <c r="AK177" i="14"/>
  <c r="AK175" i="14"/>
  <c r="AJ259" i="14"/>
  <c r="AK14" i="14"/>
  <c r="AJ181" i="14"/>
  <c r="AJ179" i="14"/>
  <c r="AJ177" i="14"/>
  <c r="AJ260" i="14" s="1"/>
  <c r="AJ175" i="14"/>
  <c r="AI259" i="14"/>
  <c r="AJ14" i="14"/>
  <c r="AI181" i="14"/>
  <c r="AI179" i="14"/>
  <c r="AI177" i="14"/>
  <c r="AI175" i="14"/>
  <c r="AI14" i="14"/>
  <c r="AH259" i="14" s="1"/>
  <c r="AH181" i="14"/>
  <c r="AH179" i="14"/>
  <c r="AH177" i="14"/>
  <c r="AH175" i="14"/>
  <c r="AH260" i="14" s="1"/>
  <c r="AH14" i="14"/>
  <c r="AG259" i="14" s="1"/>
  <c r="AG181" i="14"/>
  <c r="AG179" i="14"/>
  <c r="AG177" i="14"/>
  <c r="AG175" i="14"/>
  <c r="AF259" i="14"/>
  <c r="AG14" i="14"/>
  <c r="AF181" i="14"/>
  <c r="AF179" i="14"/>
  <c r="AF260" i="14" s="1"/>
  <c r="AF177" i="14"/>
  <c r="AF175" i="14"/>
  <c r="AF14" i="14"/>
  <c r="AE259" i="14" s="1"/>
  <c r="AE181" i="14"/>
  <c r="AE179" i="14"/>
  <c r="AE177" i="14"/>
  <c r="AE175" i="14"/>
  <c r="AE260" i="14" s="1"/>
  <c r="AE14" i="14"/>
  <c r="AD259" i="14" s="1"/>
  <c r="AD181" i="14"/>
  <c r="AD179" i="14"/>
  <c r="AD177" i="14"/>
  <c r="AD175" i="14"/>
  <c r="AD260" i="14" s="1"/>
  <c r="AD14" i="14"/>
  <c r="AC259" i="14" s="1"/>
  <c r="AC181" i="14"/>
  <c r="AC179" i="14"/>
  <c r="AC260" i="14" s="1"/>
  <c r="AC177" i="14"/>
  <c r="AC175" i="14"/>
  <c r="AB259" i="14"/>
  <c r="AC14" i="14"/>
  <c r="AB181" i="14"/>
  <c r="AB179" i="14"/>
  <c r="AB177" i="14"/>
  <c r="AB260" i="14" s="1"/>
  <c r="AB175" i="14"/>
  <c r="AA259" i="14"/>
  <c r="AB14" i="14"/>
  <c r="AA181" i="14"/>
  <c r="AA179" i="14"/>
  <c r="AA177" i="14"/>
  <c r="AA175" i="14"/>
  <c r="AA14" i="14"/>
  <c r="Z259" i="14" s="1"/>
  <c r="Z181" i="14"/>
  <c r="Z179" i="14"/>
  <c r="Z177" i="14"/>
  <c r="Z175" i="14"/>
  <c r="Z260" i="14" s="1"/>
  <c r="Z14" i="14"/>
  <c r="Y259" i="14" s="1"/>
  <c r="Y181" i="14"/>
  <c r="Y179" i="14"/>
  <c r="Y177" i="14"/>
  <c r="Y175" i="14"/>
  <c r="X259" i="14"/>
  <c r="Y14" i="14"/>
  <c r="X181" i="14"/>
  <c r="X179" i="14"/>
  <c r="X260" i="14" s="1"/>
  <c r="X177" i="14"/>
  <c r="X175" i="14"/>
  <c r="X14" i="14"/>
  <c r="W259" i="14" s="1"/>
  <c r="W181" i="14"/>
  <c r="W179" i="14"/>
  <c r="W177" i="14"/>
  <c r="W175" i="14"/>
  <c r="W260" i="14" s="1"/>
  <c r="W14" i="14"/>
  <c r="V259" i="14" s="1"/>
  <c r="V181" i="14"/>
  <c r="V179" i="14"/>
  <c r="V177" i="14"/>
  <c r="V175" i="14"/>
  <c r="V260" i="14" s="1"/>
  <c r="V14" i="14"/>
  <c r="U259" i="14" s="1"/>
  <c r="U181" i="14"/>
  <c r="U179" i="14"/>
  <c r="U260" i="14" s="1"/>
  <c r="U177" i="14"/>
  <c r="U175" i="14"/>
  <c r="T259" i="14"/>
  <c r="U14" i="14"/>
  <c r="T181" i="14"/>
  <c r="T179" i="14"/>
  <c r="T177" i="14"/>
  <c r="T260" i="14" s="1"/>
  <c r="T175" i="14"/>
  <c r="T14" i="14"/>
  <c r="S259" i="14" s="1"/>
  <c r="S181" i="14"/>
  <c r="S179" i="14"/>
  <c r="S177" i="14"/>
  <c r="S175" i="14"/>
  <c r="S260" i="14" s="1"/>
  <c r="S14" i="14"/>
  <c r="R259" i="14" s="1"/>
  <c r="R181" i="14"/>
  <c r="R179" i="14"/>
  <c r="R177" i="14"/>
  <c r="R175" i="14"/>
  <c r="R260" i="14" s="1"/>
  <c r="R14" i="14"/>
  <c r="Q259" i="14" s="1"/>
  <c r="Q181" i="14"/>
  <c r="Q179" i="14"/>
  <c r="Q260" i="14" s="1"/>
  <c r="Q177" i="14"/>
  <c r="Q175" i="14"/>
  <c r="P259" i="14"/>
  <c r="Q14" i="14"/>
  <c r="P181" i="14"/>
  <c r="P179" i="14"/>
  <c r="P177" i="14"/>
  <c r="P260" i="14" s="1"/>
  <c r="P175" i="14"/>
  <c r="P14" i="14"/>
  <c r="O259" i="14" s="1"/>
  <c r="O181" i="14"/>
  <c r="O179" i="14"/>
  <c r="O177" i="14"/>
  <c r="O175" i="14"/>
  <c r="O260" i="14" s="1"/>
  <c r="O14" i="14"/>
  <c r="N259" i="14" s="1"/>
  <c r="N181" i="14"/>
  <c r="N179" i="14"/>
  <c r="N177" i="14"/>
  <c r="N175" i="14"/>
  <c r="N260" i="14" s="1"/>
  <c r="N14" i="14"/>
  <c r="M259" i="14" s="1"/>
  <c r="M181" i="14"/>
  <c r="M179" i="14"/>
  <c r="M260" i="14" s="1"/>
  <c r="M177" i="14"/>
  <c r="M175" i="14"/>
  <c r="L259" i="14"/>
  <c r="M14" i="14"/>
  <c r="L181" i="14"/>
  <c r="L179" i="14"/>
  <c r="L177" i="14"/>
  <c r="L260" i="14" s="1"/>
  <c r="L175" i="14"/>
  <c r="K259" i="14"/>
  <c r="L14" i="14"/>
  <c r="K181" i="14"/>
  <c r="K179" i="14"/>
  <c r="K177" i="14"/>
  <c r="K175" i="14"/>
  <c r="K14" i="14"/>
  <c r="J259" i="14" s="1"/>
  <c r="J181" i="14"/>
  <c r="J179" i="14"/>
  <c r="J177" i="14"/>
  <c r="J175" i="14"/>
  <c r="J260" i="14" s="1"/>
  <c r="J14" i="14"/>
  <c r="I259" i="14" s="1"/>
  <c r="I181" i="14"/>
  <c r="I179" i="14"/>
  <c r="I177" i="14"/>
  <c r="I175" i="14"/>
  <c r="H259" i="14"/>
  <c r="I14" i="14"/>
  <c r="H181" i="14"/>
  <c r="H179" i="14"/>
  <c r="H260" i="14" s="1"/>
  <c r="H177" i="14"/>
  <c r="H175" i="14"/>
  <c r="H14" i="14"/>
  <c r="G259" i="14" s="1"/>
  <c r="G181" i="14"/>
  <c r="G179" i="14"/>
  <c r="G177" i="14"/>
  <c r="G175" i="14"/>
  <c r="G260" i="14" s="1"/>
  <c r="G14" i="14"/>
  <c r="F181" i="14"/>
  <c r="F179" i="14"/>
  <c r="F177" i="14"/>
  <c r="F175" i="14"/>
  <c r="F260" i="14" s="1"/>
  <c r="F14" i="14"/>
  <c r="E259" i="14" s="1"/>
  <c r="E181" i="14"/>
  <c r="E179" i="14"/>
  <c r="E260" i="14" s="1"/>
  <c r="E177" i="14"/>
  <c r="E175" i="14"/>
  <c r="D259" i="14"/>
  <c r="E14" i="14"/>
  <c r="D181" i="14"/>
  <c r="D179" i="14"/>
  <c r="D177" i="14"/>
  <c r="D260" i="14" s="1"/>
  <c r="D175" i="14"/>
  <c r="AY259" i="15"/>
  <c r="AZ14" i="15"/>
  <c r="AY181" i="15"/>
  <c r="AY179" i="15"/>
  <c r="AY177" i="15"/>
  <c r="AY175" i="15"/>
  <c r="AY14" i="15"/>
  <c r="AX259" i="15" s="1"/>
  <c r="AX181" i="15"/>
  <c r="AX179" i="15"/>
  <c r="AX177" i="15"/>
  <c r="AX175" i="15"/>
  <c r="AX260" i="15" s="1"/>
  <c r="AX14" i="15"/>
  <c r="AW259" i="15" s="1"/>
  <c r="AW181" i="15"/>
  <c r="AW179" i="15"/>
  <c r="AW177" i="15"/>
  <c r="AW175" i="15"/>
  <c r="AV259" i="15"/>
  <c r="AW14" i="15"/>
  <c r="AV181" i="15"/>
  <c r="AV179" i="15"/>
  <c r="AV260" i="15" s="1"/>
  <c r="AV177" i="15"/>
  <c r="AV175" i="15"/>
  <c r="AV14" i="15"/>
  <c r="AU259" i="15" s="1"/>
  <c r="AU181" i="15"/>
  <c r="AU179" i="15"/>
  <c r="AU177" i="15"/>
  <c r="AU175" i="15"/>
  <c r="AU260" i="15" s="1"/>
  <c r="AU14" i="15"/>
  <c r="AT259" i="15" s="1"/>
  <c r="AT181" i="15"/>
  <c r="AT179" i="15"/>
  <c r="AT177" i="15"/>
  <c r="AT175" i="15"/>
  <c r="AT260" i="15" s="1"/>
  <c r="AT14" i="15"/>
  <c r="AS259" i="15" s="1"/>
  <c r="AS181" i="15"/>
  <c r="AS179" i="15"/>
  <c r="AS260" i="15" s="1"/>
  <c r="AS177" i="15"/>
  <c r="AS175" i="15"/>
  <c r="AR259" i="15"/>
  <c r="AS14" i="15"/>
  <c r="AR181" i="15"/>
  <c r="AR179" i="15"/>
  <c r="AR177" i="15"/>
  <c r="AR260" i="15" s="1"/>
  <c r="AR175" i="15"/>
  <c r="AQ259" i="15"/>
  <c r="AR14" i="15"/>
  <c r="AQ181" i="15"/>
  <c r="AQ179" i="15"/>
  <c r="AQ177" i="15"/>
  <c r="AQ175" i="15"/>
  <c r="AQ14" i="15"/>
  <c r="AP259" i="15" s="1"/>
  <c r="AP181" i="15"/>
  <c r="AP179" i="15"/>
  <c r="AP177" i="15"/>
  <c r="AP175" i="15"/>
  <c r="AP260" i="15" s="1"/>
  <c r="AP14" i="15"/>
  <c r="AO259" i="15" s="1"/>
  <c r="AO181" i="15"/>
  <c r="AO179" i="15"/>
  <c r="AO177" i="15"/>
  <c r="AO175" i="15"/>
  <c r="AN259" i="15"/>
  <c r="AO14" i="15"/>
  <c r="AN181" i="15"/>
  <c r="AN179" i="15"/>
  <c r="AN260" i="15" s="1"/>
  <c r="AN177" i="15"/>
  <c r="AN175" i="15"/>
  <c r="AN14" i="15"/>
  <c r="AM259" i="15" s="1"/>
  <c r="AM181" i="15"/>
  <c r="AM179" i="15"/>
  <c r="AM177" i="15"/>
  <c r="AM175" i="15"/>
  <c r="AM260" i="15" s="1"/>
  <c r="AM14" i="15"/>
  <c r="AL259" i="15" s="1"/>
  <c r="AL181" i="15"/>
  <c r="AL179" i="15"/>
  <c r="AL177" i="15"/>
  <c r="AL175" i="15"/>
  <c r="AL260" i="15" s="1"/>
  <c r="AL14" i="15"/>
  <c r="AK259" i="15" s="1"/>
  <c r="AK181" i="15"/>
  <c r="AK179" i="15"/>
  <c r="AK260" i="15" s="1"/>
  <c r="AK177" i="15"/>
  <c r="AK175" i="15"/>
  <c r="AJ259" i="15"/>
  <c r="AK14" i="15"/>
  <c r="AJ181" i="15"/>
  <c r="AJ179" i="15"/>
  <c r="AJ177" i="15"/>
  <c r="AJ260" i="15" s="1"/>
  <c r="AJ175" i="15"/>
  <c r="AJ14" i="15"/>
  <c r="AI259" i="15" s="1"/>
  <c r="AI181" i="15"/>
  <c r="AI179" i="15"/>
  <c r="AI177" i="15"/>
  <c r="AI175" i="15"/>
  <c r="AI260" i="15" s="1"/>
  <c r="AI14" i="15"/>
  <c r="AH259" i="15" s="1"/>
  <c r="AH181" i="15"/>
  <c r="AH179" i="15"/>
  <c r="AH177" i="15"/>
  <c r="AH175" i="15"/>
  <c r="AH260" i="15" s="1"/>
  <c r="AH14" i="15"/>
  <c r="AG259" i="15" s="1"/>
  <c r="AG181" i="15"/>
  <c r="AG179" i="15"/>
  <c r="AG260" i="15" s="1"/>
  <c r="AG177" i="15"/>
  <c r="AG175" i="15"/>
  <c r="AF259" i="15"/>
  <c r="AG14" i="15"/>
  <c r="AF181" i="15"/>
  <c r="AF179" i="15"/>
  <c r="AF177" i="15"/>
  <c r="AF260" i="15" s="1"/>
  <c r="AF175" i="15"/>
  <c r="AF14" i="15"/>
  <c r="AE259" i="15" s="1"/>
  <c r="AE181" i="15"/>
  <c r="AE179" i="15"/>
  <c r="AE177" i="15"/>
  <c r="AE175" i="15"/>
  <c r="AE260" i="15" s="1"/>
  <c r="AE14" i="15"/>
  <c r="AD259" i="15" s="1"/>
  <c r="AD181" i="15"/>
  <c r="AD179" i="15"/>
  <c r="AD177" i="15"/>
  <c r="AD175" i="15"/>
  <c r="AD260" i="15" s="1"/>
  <c r="AD14" i="15"/>
  <c r="AC259" i="15" s="1"/>
  <c r="AC181" i="15"/>
  <c r="AC179" i="15"/>
  <c r="AC260" i="15" s="1"/>
  <c r="AC177" i="15"/>
  <c r="AC175" i="15"/>
  <c r="AB259" i="15"/>
  <c r="AC14" i="15"/>
  <c r="AB181" i="15"/>
  <c r="AB179" i="15"/>
  <c r="AB177" i="15"/>
  <c r="AB260" i="15" s="1"/>
  <c r="AB175" i="15"/>
  <c r="AA259" i="15"/>
  <c r="AB14" i="15"/>
  <c r="AA181" i="15"/>
  <c r="AA179" i="15"/>
  <c r="AA177" i="15"/>
  <c r="AA175" i="15"/>
  <c r="AA14" i="15"/>
  <c r="Z259" i="15" s="1"/>
  <c r="Z181" i="15"/>
  <c r="Z179" i="15"/>
  <c r="Z177" i="15"/>
  <c r="Z175" i="15"/>
  <c r="Z260" i="15" s="1"/>
  <c r="Z14" i="15"/>
  <c r="Y259" i="15" s="1"/>
  <c r="Y181" i="15"/>
  <c r="Y179" i="15"/>
  <c r="Y177" i="15"/>
  <c r="Y175" i="15"/>
  <c r="X259" i="15"/>
  <c r="Y14" i="15"/>
  <c r="X181" i="15"/>
  <c r="X179" i="15"/>
  <c r="X260" i="15" s="1"/>
  <c r="X177" i="15"/>
  <c r="X175" i="15"/>
  <c r="X14" i="15"/>
  <c r="W259" i="15" s="1"/>
  <c r="W181" i="15"/>
  <c r="W179" i="15"/>
  <c r="W177" i="15"/>
  <c r="W175" i="15"/>
  <c r="W260" i="15" s="1"/>
  <c r="W14" i="15"/>
  <c r="V259" i="15" s="1"/>
  <c r="V181" i="15"/>
  <c r="V179" i="15"/>
  <c r="V177" i="15"/>
  <c r="V175" i="15"/>
  <c r="V260" i="15" s="1"/>
  <c r="V14" i="15"/>
  <c r="U259" i="15" s="1"/>
  <c r="U181" i="15"/>
  <c r="U179" i="15"/>
  <c r="U260" i="15" s="1"/>
  <c r="U177" i="15"/>
  <c r="U175" i="15"/>
  <c r="T259" i="15"/>
  <c r="U14" i="15"/>
  <c r="T181" i="15"/>
  <c r="T179" i="15"/>
  <c r="T177" i="15"/>
  <c r="T260" i="15" s="1"/>
  <c r="T175" i="15"/>
  <c r="S259" i="15"/>
  <c r="T14" i="15"/>
  <c r="S181" i="15"/>
  <c r="S179" i="15"/>
  <c r="S177" i="15"/>
  <c r="S175" i="15"/>
  <c r="S14" i="15"/>
  <c r="R259" i="15" s="1"/>
  <c r="R181" i="15"/>
  <c r="R179" i="15"/>
  <c r="R177" i="15"/>
  <c r="R175" i="15"/>
  <c r="R260" i="15" s="1"/>
  <c r="R14" i="15"/>
  <c r="Q259" i="15" s="1"/>
  <c r="Q181" i="15"/>
  <c r="Q179" i="15"/>
  <c r="Q177" i="15"/>
  <c r="Q175" i="15"/>
  <c r="P259" i="15"/>
  <c r="Q14" i="15"/>
  <c r="P181" i="15"/>
  <c r="P179" i="15"/>
  <c r="P260" i="15" s="1"/>
  <c r="P177" i="15"/>
  <c r="P175" i="15"/>
  <c r="P14" i="15"/>
  <c r="O259" i="15" s="1"/>
  <c r="O181" i="15"/>
  <c r="O179" i="15"/>
  <c r="O177" i="15"/>
  <c r="O175" i="15"/>
  <c r="O260" i="15" s="1"/>
  <c r="O14" i="15"/>
  <c r="N259" i="15" s="1"/>
  <c r="N181" i="15"/>
  <c r="N179" i="15"/>
  <c r="N177" i="15"/>
  <c r="N175" i="15"/>
  <c r="N260" i="15" s="1"/>
  <c r="N14" i="15"/>
  <c r="M259" i="15" s="1"/>
  <c r="M181" i="15"/>
  <c r="M179" i="15"/>
  <c r="M260" i="15" s="1"/>
  <c r="M177" i="15"/>
  <c r="M175" i="15"/>
  <c r="L259" i="15"/>
  <c r="M14" i="15"/>
  <c r="L181" i="15"/>
  <c r="L179" i="15"/>
  <c r="L177" i="15"/>
  <c r="L260" i="15" s="1"/>
  <c r="L175" i="15"/>
  <c r="K259" i="15"/>
  <c r="L14" i="15"/>
  <c r="K181" i="15"/>
  <c r="K179" i="15"/>
  <c r="K177" i="15"/>
  <c r="K175" i="15"/>
  <c r="K14" i="15"/>
  <c r="J259" i="15" s="1"/>
  <c r="J181" i="15"/>
  <c r="J179" i="15"/>
  <c r="J177" i="15"/>
  <c r="J175" i="15"/>
  <c r="J260" i="15" s="1"/>
  <c r="J14" i="15"/>
  <c r="I259" i="15" s="1"/>
  <c r="I181" i="15"/>
  <c r="I179" i="15"/>
  <c r="I177" i="15"/>
  <c r="I175" i="15"/>
  <c r="H259" i="15"/>
  <c r="I14" i="15"/>
  <c r="H181" i="15"/>
  <c r="H179" i="15"/>
  <c r="H260" i="15" s="1"/>
  <c r="H177" i="15"/>
  <c r="H175" i="15"/>
  <c r="G259" i="15"/>
  <c r="H14" i="15"/>
  <c r="G181" i="15"/>
  <c r="G179" i="15"/>
  <c r="G177" i="15"/>
  <c r="G175" i="15"/>
  <c r="G14" i="15"/>
  <c r="F259" i="15" s="1"/>
  <c r="F181" i="15"/>
  <c r="F179" i="15"/>
  <c r="F177" i="15"/>
  <c r="F175" i="15"/>
  <c r="F260" i="15" s="1"/>
  <c r="F14" i="15"/>
  <c r="E259" i="15" s="1"/>
  <c r="E181" i="15"/>
  <c r="E179" i="15"/>
  <c r="E177" i="15"/>
  <c r="E175" i="15"/>
  <c r="D259" i="15"/>
  <c r="E14" i="15"/>
  <c r="D181" i="15"/>
  <c r="D179" i="15"/>
  <c r="D260" i="15" s="1"/>
  <c r="D177" i="15"/>
  <c r="D175" i="15"/>
  <c r="AY14" i="16"/>
  <c r="AY15" i="16"/>
  <c r="AY16" i="16"/>
  <c r="AY17" i="16"/>
  <c r="AY29" i="16"/>
  <c r="AX14" i="16"/>
  <c r="AX15" i="16"/>
  <c r="AX16" i="16"/>
  <c r="AX10" i="16"/>
  <c r="AX13" i="16" s="1"/>
  <c r="AX17" i="16"/>
  <c r="AX29" i="16"/>
  <c r="AW14" i="16"/>
  <c r="AW10" i="16" s="1"/>
  <c r="AW13" i="16" s="1"/>
  <c r="AW15" i="16"/>
  <c r="AW16" i="16"/>
  <c r="AW17" i="16"/>
  <c r="AW29" i="16"/>
  <c r="AV15" i="16"/>
  <c r="AV17" i="16"/>
  <c r="AV21" i="16"/>
  <c r="AV22" i="16"/>
  <c r="AV23" i="16"/>
  <c r="AV24" i="16"/>
  <c r="AV29" i="16"/>
  <c r="AV33" i="16"/>
  <c r="AV34" i="16"/>
  <c r="AV40" i="16"/>
  <c r="AV44" i="16"/>
  <c r="AV45" i="16"/>
  <c r="AV46" i="16"/>
  <c r="AV50" i="16"/>
  <c r="AV51" i="16"/>
  <c r="AU14" i="16"/>
  <c r="AU15" i="16"/>
  <c r="AU16" i="16"/>
  <c r="AU17" i="16"/>
  <c r="AU29" i="16"/>
  <c r="AT14" i="16"/>
  <c r="AT15" i="16"/>
  <c r="AT16" i="16"/>
  <c r="AT10" i="16"/>
  <c r="AT13" i="16" s="1"/>
  <c r="AT17" i="16"/>
  <c r="AT29" i="16"/>
  <c r="AS14" i="16"/>
  <c r="AS10" i="16" s="1"/>
  <c r="AS13" i="16" s="1"/>
  <c r="AS15" i="16"/>
  <c r="AS16" i="16"/>
  <c r="AS17" i="16"/>
  <c r="AS29" i="16"/>
  <c r="AR14" i="16"/>
  <c r="AR10" i="16" s="1"/>
  <c r="AR13" i="16" s="1"/>
  <c r="AR15" i="16"/>
  <c r="AR16" i="16"/>
  <c r="AR17" i="16"/>
  <c r="AR21" i="16"/>
  <c r="AR29" i="16"/>
  <c r="AQ14" i="16"/>
  <c r="AQ15" i="16"/>
  <c r="AQ10" i="16" s="1"/>
  <c r="AQ13" i="16" s="1"/>
  <c r="AQ16" i="16"/>
  <c r="AQ17" i="16"/>
  <c r="AQ29" i="16"/>
  <c r="AP14" i="16"/>
  <c r="AP10" i="16" s="1"/>
  <c r="AP13" i="16" s="1"/>
  <c r="AP15" i="16"/>
  <c r="AP16" i="16"/>
  <c r="AP17" i="16"/>
  <c r="AP29" i="16"/>
  <c r="AO14" i="16"/>
  <c r="AO15" i="16"/>
  <c r="AO10" i="16" s="1"/>
  <c r="AO13" i="16" s="1"/>
  <c r="AO16" i="16"/>
  <c r="AO17" i="16"/>
  <c r="AO29" i="16"/>
  <c r="AN14" i="16"/>
  <c r="AN15" i="16"/>
  <c r="AN16" i="16"/>
  <c r="AN10" i="16"/>
  <c r="AN13" i="16" s="1"/>
  <c r="AO22" i="16" s="1"/>
  <c r="AN17" i="16"/>
  <c r="AN29" i="16"/>
  <c r="AM14" i="16"/>
  <c r="AM15" i="16"/>
  <c r="AM16" i="16"/>
  <c r="AM10" i="16"/>
  <c r="AM13" i="16" s="1"/>
  <c r="AM17" i="16"/>
  <c r="AM29" i="16"/>
  <c r="AL14" i="16"/>
  <c r="AL15" i="16"/>
  <c r="AL16" i="16"/>
  <c r="AL17" i="16"/>
  <c r="AL29" i="16"/>
  <c r="AK14" i="16"/>
  <c r="AK15" i="16"/>
  <c r="AK16" i="16"/>
  <c r="AK10" i="16"/>
  <c r="AK13" i="16" s="1"/>
  <c r="AK17" i="16"/>
  <c r="AK29" i="16"/>
  <c r="AJ14" i="16"/>
  <c r="AJ10" i="16" s="1"/>
  <c r="AJ13" i="16" s="1"/>
  <c r="AJ15" i="16"/>
  <c r="AJ16" i="16"/>
  <c r="AJ17" i="16"/>
  <c r="AJ29" i="16"/>
  <c r="AI14" i="16"/>
  <c r="AI15" i="16"/>
  <c r="AI10" i="16" s="1"/>
  <c r="AI13" i="16" s="1"/>
  <c r="AI16" i="16"/>
  <c r="AI17" i="16"/>
  <c r="AI29" i="16"/>
  <c r="AH15" i="16"/>
  <c r="AH21" i="16"/>
  <c r="AH22" i="16"/>
  <c r="AH24" i="16"/>
  <c r="AH29" i="16"/>
  <c r="AH34" i="16"/>
  <c r="AH40" i="16" s="1"/>
  <c r="AH45" i="16"/>
  <c r="AH51" i="16"/>
  <c r="AG14" i="16"/>
  <c r="AG15" i="16"/>
  <c r="AH16" i="16" s="1"/>
  <c r="AG16" i="16"/>
  <c r="AG17" i="16"/>
  <c r="AG29" i="16"/>
  <c r="AF14" i="16"/>
  <c r="AF15" i="16"/>
  <c r="AF16" i="16"/>
  <c r="AF17" i="16"/>
  <c r="AF29" i="16"/>
  <c r="AE14" i="16"/>
  <c r="AE15" i="16"/>
  <c r="AE16" i="16"/>
  <c r="AE10" i="16"/>
  <c r="AE13" i="16" s="1"/>
  <c r="AE17" i="16"/>
  <c r="AE29" i="16"/>
  <c r="AD14" i="16"/>
  <c r="AD10" i="16" s="1"/>
  <c r="AD13" i="16" s="1"/>
  <c r="AD15" i="16"/>
  <c r="AD16" i="16"/>
  <c r="AD17" i="16"/>
  <c r="AD29" i="16"/>
  <c r="AC14" i="16"/>
  <c r="AC15" i="16"/>
  <c r="AC16" i="16"/>
  <c r="AC17" i="16"/>
  <c r="AC29" i="16"/>
  <c r="AB14" i="16"/>
  <c r="AB10" i="16" s="1"/>
  <c r="AB13" i="16" s="1"/>
  <c r="AB15" i="16"/>
  <c r="AB16" i="16"/>
  <c r="AB17" i="16"/>
  <c r="AB29" i="16"/>
  <c r="AA14" i="16"/>
  <c r="AA10" i="16" s="1"/>
  <c r="AA13" i="16" s="1"/>
  <c r="AA15" i="16"/>
  <c r="AA16" i="16"/>
  <c r="AA17" i="16"/>
  <c r="AA29" i="16"/>
  <c r="Z14" i="16"/>
  <c r="Z15" i="16"/>
  <c r="Z16" i="16"/>
  <c r="Z17" i="16"/>
  <c r="Z21" i="16"/>
  <c r="Z23" i="16" s="1"/>
  <c r="Z29" i="16"/>
  <c r="Z33" i="16"/>
  <c r="Y14" i="16"/>
  <c r="Y15" i="16"/>
  <c r="Y16" i="16"/>
  <c r="Y10" i="16" s="1"/>
  <c r="Y13" i="16" s="1"/>
  <c r="Y17" i="16"/>
  <c r="Y29" i="16"/>
  <c r="X14" i="16"/>
  <c r="X15" i="16"/>
  <c r="X16" i="16"/>
  <c r="X17" i="16"/>
  <c r="X29" i="16"/>
  <c r="W14" i="16"/>
  <c r="W15" i="16"/>
  <c r="W16" i="16"/>
  <c r="W10" i="16"/>
  <c r="W13" i="16" s="1"/>
  <c r="W17" i="16"/>
  <c r="W29" i="16"/>
  <c r="V14" i="16"/>
  <c r="V10" i="16" s="1"/>
  <c r="V13" i="16" s="1"/>
  <c r="V15" i="16"/>
  <c r="V16" i="16"/>
  <c r="V17" i="16"/>
  <c r="V29" i="16"/>
  <c r="U14" i="16"/>
  <c r="U15" i="16"/>
  <c r="U10" i="16" s="1"/>
  <c r="U13" i="16" s="1"/>
  <c r="U16" i="16"/>
  <c r="U17" i="16"/>
  <c r="U29" i="16"/>
  <c r="T14" i="16"/>
  <c r="T15" i="16"/>
  <c r="T16" i="16"/>
  <c r="T10" i="16" s="1"/>
  <c r="T13" i="16" s="1"/>
  <c r="T17" i="16"/>
  <c r="T29" i="16"/>
  <c r="S14" i="16"/>
  <c r="S15" i="16"/>
  <c r="S16" i="16"/>
  <c r="S10" i="16"/>
  <c r="S13" i="16" s="1"/>
  <c r="S17" i="16"/>
  <c r="S29" i="16"/>
  <c r="R14" i="16"/>
  <c r="R15" i="16"/>
  <c r="R16" i="16"/>
  <c r="R17" i="16"/>
  <c r="R29" i="16"/>
  <c r="Q14" i="16"/>
  <c r="Q15" i="16"/>
  <c r="Q16" i="16"/>
  <c r="Q10" i="16"/>
  <c r="Q13" i="16" s="1"/>
  <c r="Q17" i="16"/>
  <c r="Q29" i="16"/>
  <c r="P14" i="16"/>
  <c r="P10" i="16" s="1"/>
  <c r="P13" i="16" s="1"/>
  <c r="P15" i="16"/>
  <c r="P16" i="16"/>
  <c r="P17" i="16"/>
  <c r="P29" i="16"/>
  <c r="O14" i="16"/>
  <c r="O10" i="16" s="1"/>
  <c r="O13" i="16" s="1"/>
  <c r="O15" i="16"/>
  <c r="O16" i="16"/>
  <c r="O17" i="16"/>
  <c r="O29" i="16"/>
  <c r="N14" i="16"/>
  <c r="N15" i="16"/>
  <c r="N16" i="16"/>
  <c r="N17" i="16"/>
  <c r="N29" i="16"/>
  <c r="M14" i="16"/>
  <c r="M15" i="16"/>
  <c r="M16" i="16"/>
  <c r="M10" i="16"/>
  <c r="M13" i="16" s="1"/>
  <c r="N22" i="16" s="1"/>
  <c r="N45" i="16" s="1"/>
  <c r="N51" i="16" s="1"/>
  <c r="M17" i="16"/>
  <c r="M29" i="16"/>
  <c r="L14" i="16"/>
  <c r="L10" i="16" s="1"/>
  <c r="L13" i="16" s="1"/>
  <c r="L15" i="16"/>
  <c r="L16" i="16"/>
  <c r="L17" i="16"/>
  <c r="L29" i="16"/>
  <c r="K14" i="16"/>
  <c r="K10" i="16" s="1"/>
  <c r="K13" i="16" s="1"/>
  <c r="K15" i="16"/>
  <c r="K16" i="16"/>
  <c r="K17" i="16"/>
  <c r="K29" i="16"/>
  <c r="J14" i="16"/>
  <c r="J10" i="16" s="1"/>
  <c r="J13" i="16" s="1"/>
  <c r="J15" i="16"/>
  <c r="J16" i="16"/>
  <c r="J17" i="16"/>
  <c r="J29" i="16"/>
  <c r="I14" i="16"/>
  <c r="I15" i="16"/>
  <c r="I10" i="16" s="1"/>
  <c r="I13" i="16" s="1"/>
  <c r="I16" i="16"/>
  <c r="I17" i="16"/>
  <c r="I29" i="16"/>
  <c r="H14" i="16"/>
  <c r="H15" i="16"/>
  <c r="H16" i="16"/>
  <c r="H10" i="16"/>
  <c r="H13" i="16" s="1"/>
  <c r="H17" i="16"/>
  <c r="H29" i="16"/>
  <c r="G14" i="16"/>
  <c r="G10" i="16" s="1"/>
  <c r="G13" i="16" s="1"/>
  <c r="G15" i="16"/>
  <c r="G16" i="16"/>
  <c r="G17" i="16"/>
  <c r="G29" i="16"/>
  <c r="F14" i="16"/>
  <c r="F15" i="16"/>
  <c r="F16" i="16"/>
  <c r="F17" i="16"/>
  <c r="F29" i="16"/>
  <c r="E14" i="16"/>
  <c r="E15" i="16"/>
  <c r="E16" i="16"/>
  <c r="E10" i="16"/>
  <c r="E13" i="16" s="1"/>
  <c r="F22" i="16" s="1"/>
  <c r="F45" i="16" s="1"/>
  <c r="F51" i="16" s="1"/>
  <c r="E17" i="16"/>
  <c r="E29" i="16"/>
  <c r="D14" i="16"/>
  <c r="D10" i="16" s="1"/>
  <c r="D15" i="16"/>
  <c r="D16" i="16"/>
  <c r="D17" i="16"/>
  <c r="D27" i="16"/>
  <c r="E27" i="16" s="1"/>
  <c r="D29" i="16"/>
  <c r="B21" i="16"/>
  <c r="AY21" i="16" s="1"/>
  <c r="D121" i="17"/>
  <c r="E121" i="17"/>
  <c r="F121" i="17"/>
  <c r="G121" i="17"/>
  <c r="H121" i="17"/>
  <c r="I121" i="17"/>
  <c r="J121" i="17"/>
  <c r="K121" i="17"/>
  <c r="L121" i="17"/>
  <c r="M121" i="17"/>
  <c r="N121" i="17"/>
  <c r="O121" i="17"/>
  <c r="P121" i="17"/>
  <c r="Q121" i="17"/>
  <c r="R121" i="17"/>
  <c r="S121" i="17"/>
  <c r="T121" i="17"/>
  <c r="U121" i="17"/>
  <c r="V121" i="17"/>
  <c r="W121" i="17"/>
  <c r="X121" i="17"/>
  <c r="Y121" i="17"/>
  <c r="Z121" i="17"/>
  <c r="AA121" i="17"/>
  <c r="AB121" i="17"/>
  <c r="AC121" i="17"/>
  <c r="AD121" i="17"/>
  <c r="AE121" i="17"/>
  <c r="AF121" i="17"/>
  <c r="AG121" i="17"/>
  <c r="AH121" i="17"/>
  <c r="AI121" i="17"/>
  <c r="AJ121" i="17"/>
  <c r="AK121" i="17"/>
  <c r="AL121" i="17"/>
  <c r="AM121" i="17"/>
  <c r="AN121" i="17"/>
  <c r="AO121" i="17"/>
  <c r="AP121" i="17"/>
  <c r="AQ121" i="17"/>
  <c r="AR121" i="17"/>
  <c r="AS121" i="17"/>
  <c r="AT121" i="17"/>
  <c r="AU121" i="17"/>
  <c r="AV121" i="17"/>
  <c r="AW121" i="17"/>
  <c r="AX121" i="17"/>
  <c r="C121" i="17"/>
  <c r="D117" i="17"/>
  <c r="E117" i="17"/>
  <c r="F117" i="17"/>
  <c r="G117" i="17"/>
  <c r="H117" i="17"/>
  <c r="I117" i="17"/>
  <c r="J117" i="17"/>
  <c r="K117" i="17"/>
  <c r="L117" i="17"/>
  <c r="M117" i="17"/>
  <c r="N117" i="17"/>
  <c r="O117" i="17"/>
  <c r="P117" i="17"/>
  <c r="Q117" i="17"/>
  <c r="R117" i="17"/>
  <c r="S117" i="17"/>
  <c r="T117" i="17"/>
  <c r="U117" i="17"/>
  <c r="V117" i="17"/>
  <c r="W117" i="17"/>
  <c r="X117" i="17"/>
  <c r="Y117" i="17"/>
  <c r="Z117" i="17"/>
  <c r="AA117" i="17"/>
  <c r="AB117" i="17"/>
  <c r="AC117" i="17"/>
  <c r="AD117" i="17"/>
  <c r="AE117" i="17"/>
  <c r="AF117" i="17"/>
  <c r="AG117" i="17"/>
  <c r="AH117" i="17"/>
  <c r="AI117" i="17"/>
  <c r="AJ117" i="17"/>
  <c r="AK117" i="17"/>
  <c r="AL117" i="17"/>
  <c r="AM117" i="17"/>
  <c r="AN117" i="17"/>
  <c r="AO117" i="17"/>
  <c r="AP117" i="17"/>
  <c r="AQ117" i="17"/>
  <c r="AR117" i="17"/>
  <c r="AS117" i="17"/>
  <c r="AT117" i="17"/>
  <c r="AU117" i="17"/>
  <c r="AV117" i="17"/>
  <c r="AW117" i="17"/>
  <c r="AX117" i="17"/>
  <c r="C117" i="17"/>
  <c r="D113" i="17"/>
  <c r="E113" i="17"/>
  <c r="F113" i="17"/>
  <c r="G113" i="17"/>
  <c r="H113" i="17"/>
  <c r="I113" i="17"/>
  <c r="J113" i="17"/>
  <c r="K113" i="17"/>
  <c r="L113" i="17"/>
  <c r="M113" i="17"/>
  <c r="N113" i="17"/>
  <c r="O113" i="17"/>
  <c r="P113" i="17"/>
  <c r="Q113" i="17"/>
  <c r="R113" i="17"/>
  <c r="S113" i="17"/>
  <c r="T113" i="17"/>
  <c r="U113" i="17"/>
  <c r="V113" i="17"/>
  <c r="W113" i="17"/>
  <c r="X113" i="17"/>
  <c r="Y113" i="17"/>
  <c r="Z113" i="17"/>
  <c r="AA113" i="17"/>
  <c r="AB113" i="17"/>
  <c r="AC113" i="17"/>
  <c r="AD113" i="17"/>
  <c r="AE113" i="17"/>
  <c r="AF113" i="17"/>
  <c r="AG113" i="17"/>
  <c r="AH113" i="17"/>
  <c r="AI113" i="17"/>
  <c r="AJ113" i="17"/>
  <c r="AK113" i="17"/>
  <c r="AL113" i="17"/>
  <c r="AM113" i="17"/>
  <c r="AN113" i="17"/>
  <c r="AO113" i="17"/>
  <c r="AP113" i="17"/>
  <c r="AQ113" i="17"/>
  <c r="AR113" i="17"/>
  <c r="AS113" i="17"/>
  <c r="AT113" i="17"/>
  <c r="AU113" i="17"/>
  <c r="AV113" i="17"/>
  <c r="AW113" i="17"/>
  <c r="AX113" i="17"/>
  <c r="C113" i="17"/>
  <c r="D109" i="17"/>
  <c r="E109" i="17"/>
  <c r="F109" i="17"/>
  <c r="G109" i="17"/>
  <c r="H109" i="17"/>
  <c r="I109" i="17"/>
  <c r="J109" i="17"/>
  <c r="K109" i="17"/>
  <c r="L109" i="17"/>
  <c r="M109" i="17"/>
  <c r="N109" i="17"/>
  <c r="O109" i="17"/>
  <c r="P109" i="17"/>
  <c r="Q109" i="17"/>
  <c r="R109" i="17"/>
  <c r="S109" i="17"/>
  <c r="T109" i="17"/>
  <c r="U109" i="17"/>
  <c r="V109" i="17"/>
  <c r="W109" i="17"/>
  <c r="X109" i="17"/>
  <c r="Y109" i="17"/>
  <c r="Z109" i="17"/>
  <c r="AA109" i="17"/>
  <c r="AB109" i="17"/>
  <c r="AC109" i="17"/>
  <c r="AD109" i="17"/>
  <c r="AE109" i="17"/>
  <c r="AF109" i="17"/>
  <c r="AG109" i="17"/>
  <c r="AH109" i="17"/>
  <c r="AI109" i="17"/>
  <c r="AJ109" i="17"/>
  <c r="AK109" i="17"/>
  <c r="AL109" i="17"/>
  <c r="AM109" i="17"/>
  <c r="AN109" i="17"/>
  <c r="AO109" i="17"/>
  <c r="AP109" i="17"/>
  <c r="AQ109" i="17"/>
  <c r="AR109" i="17"/>
  <c r="AS109" i="17"/>
  <c r="AT109" i="17"/>
  <c r="AU109" i="17"/>
  <c r="AV109" i="17"/>
  <c r="AW109" i="17"/>
  <c r="AX109" i="17"/>
  <c r="C109" i="17"/>
  <c r="D105" i="17"/>
  <c r="E105" i="17"/>
  <c r="F105" i="17"/>
  <c r="G105" i="17"/>
  <c r="H105" i="17"/>
  <c r="I105" i="17"/>
  <c r="J105" i="17"/>
  <c r="K105" i="17"/>
  <c r="L105" i="17"/>
  <c r="M105" i="17"/>
  <c r="N105" i="17"/>
  <c r="O105" i="17"/>
  <c r="P105" i="17"/>
  <c r="Q105" i="17"/>
  <c r="R105" i="17"/>
  <c r="S105" i="17"/>
  <c r="T105" i="17"/>
  <c r="U105" i="17"/>
  <c r="V105" i="17"/>
  <c r="W105" i="17"/>
  <c r="X105" i="17"/>
  <c r="Y105" i="17"/>
  <c r="Z105" i="17"/>
  <c r="AA105" i="17"/>
  <c r="AB105" i="17"/>
  <c r="AC105" i="17"/>
  <c r="AD105" i="17"/>
  <c r="AE105" i="17"/>
  <c r="AF105" i="17"/>
  <c r="AG105" i="17"/>
  <c r="AH105" i="17"/>
  <c r="AI105" i="17"/>
  <c r="AJ105" i="17"/>
  <c r="AK105" i="17"/>
  <c r="AL105" i="17"/>
  <c r="AM105" i="17"/>
  <c r="AN105" i="17"/>
  <c r="AO105" i="17"/>
  <c r="AP105" i="17"/>
  <c r="AQ105" i="17"/>
  <c r="AR105" i="17"/>
  <c r="AS105" i="17"/>
  <c r="AT105" i="17"/>
  <c r="AU105" i="17"/>
  <c r="AV105" i="17"/>
  <c r="AW105" i="17"/>
  <c r="AX105" i="17"/>
  <c r="C105" i="17"/>
  <c r="D101" i="17"/>
  <c r="E101" i="17"/>
  <c r="F101" i="17"/>
  <c r="G101" i="17"/>
  <c r="H101" i="17"/>
  <c r="I101" i="17"/>
  <c r="J101" i="17"/>
  <c r="K101" i="17"/>
  <c r="L101" i="17"/>
  <c r="M101" i="17"/>
  <c r="N101" i="17"/>
  <c r="O101" i="17"/>
  <c r="P101" i="17"/>
  <c r="Q101" i="17"/>
  <c r="R101" i="17"/>
  <c r="S101" i="17"/>
  <c r="T101" i="17"/>
  <c r="U101" i="17"/>
  <c r="V101" i="17"/>
  <c r="W101" i="17"/>
  <c r="X101" i="17"/>
  <c r="Y101" i="17"/>
  <c r="Z101" i="17"/>
  <c r="AA101" i="17"/>
  <c r="AB101" i="17"/>
  <c r="AC101" i="17"/>
  <c r="AD101" i="17"/>
  <c r="AE101" i="17"/>
  <c r="AF101" i="17"/>
  <c r="AG101" i="17"/>
  <c r="AH101" i="17"/>
  <c r="AI101" i="17"/>
  <c r="AJ101" i="17"/>
  <c r="AK101" i="17"/>
  <c r="AL101" i="17"/>
  <c r="AM101" i="17"/>
  <c r="AN101" i="17"/>
  <c r="AO101" i="17"/>
  <c r="AP101" i="17"/>
  <c r="AQ101" i="17"/>
  <c r="AR101" i="17"/>
  <c r="AS101" i="17"/>
  <c r="AT101" i="17"/>
  <c r="AU101" i="17"/>
  <c r="AV101" i="17"/>
  <c r="AW101" i="17"/>
  <c r="AX101" i="17"/>
  <c r="C101" i="17"/>
  <c r="C88" i="17"/>
  <c r="D88" i="17"/>
  <c r="E88" i="17"/>
  <c r="F88" i="17"/>
  <c r="G88" i="17"/>
  <c r="H88" i="17"/>
  <c r="I88" i="17"/>
  <c r="J88" i="17"/>
  <c r="K88" i="17"/>
  <c r="L88" i="17"/>
  <c r="M88" i="17"/>
  <c r="N88" i="17"/>
  <c r="O88" i="17"/>
  <c r="P88" i="17"/>
  <c r="Q88" i="17"/>
  <c r="R88" i="17"/>
  <c r="S88" i="17"/>
  <c r="T88" i="17"/>
  <c r="U88" i="17"/>
  <c r="V88" i="17"/>
  <c r="W88" i="17"/>
  <c r="X88" i="17"/>
  <c r="Y88" i="17"/>
  <c r="Z88" i="17"/>
  <c r="AA88" i="17"/>
  <c r="AB88" i="17"/>
  <c r="AC88" i="17"/>
  <c r="AD88" i="17"/>
  <c r="AE88" i="17"/>
  <c r="AF88" i="17"/>
  <c r="AG88" i="17"/>
  <c r="AH88" i="17"/>
  <c r="AI88" i="17"/>
  <c r="AJ88" i="17"/>
  <c r="AK88" i="17"/>
  <c r="AL88" i="17"/>
  <c r="AM88" i="17"/>
  <c r="AN88" i="17"/>
  <c r="AO88" i="17"/>
  <c r="AP88" i="17"/>
  <c r="AQ88" i="17"/>
  <c r="AR88" i="17"/>
  <c r="AS88" i="17"/>
  <c r="AT88" i="17"/>
  <c r="AU88" i="17"/>
  <c r="AV88" i="17"/>
  <c r="AW88" i="17"/>
  <c r="AX88" i="17"/>
  <c r="C89" i="17"/>
  <c r="D89" i="17"/>
  <c r="E89" i="17"/>
  <c r="F89" i="17"/>
  <c r="G89" i="17"/>
  <c r="H89" i="17"/>
  <c r="I89" i="17"/>
  <c r="J89" i="17"/>
  <c r="K89" i="17"/>
  <c r="L89" i="17"/>
  <c r="M89" i="17"/>
  <c r="N89" i="17"/>
  <c r="O89" i="17"/>
  <c r="P89" i="17"/>
  <c r="Q89" i="17"/>
  <c r="R89" i="17"/>
  <c r="S89" i="17"/>
  <c r="T89" i="17"/>
  <c r="U89" i="17"/>
  <c r="V89" i="17"/>
  <c r="W89" i="17"/>
  <c r="X89" i="17"/>
  <c r="Y89" i="17"/>
  <c r="Z89" i="17"/>
  <c r="AA89" i="17"/>
  <c r="AB89" i="17"/>
  <c r="AC89" i="17"/>
  <c r="AD89" i="17"/>
  <c r="AE89" i="17"/>
  <c r="AF89" i="17"/>
  <c r="AG89" i="17"/>
  <c r="AH89" i="17"/>
  <c r="AI89" i="17"/>
  <c r="AJ89" i="17"/>
  <c r="AK89" i="17"/>
  <c r="AL89" i="17"/>
  <c r="AM89" i="17"/>
  <c r="AN89" i="17"/>
  <c r="AO89" i="17"/>
  <c r="AP89" i="17"/>
  <c r="AQ89" i="17"/>
  <c r="AR89" i="17"/>
  <c r="AS89" i="17"/>
  <c r="AT89" i="17"/>
  <c r="AU89" i="17"/>
  <c r="AV89" i="17"/>
  <c r="AW89" i="17"/>
  <c r="AX89" i="17"/>
  <c r="C90" i="17"/>
  <c r="D90" i="17"/>
  <c r="E90" i="17"/>
  <c r="F90" i="17"/>
  <c r="G90" i="17"/>
  <c r="H90" i="17"/>
  <c r="I90" i="17"/>
  <c r="J90" i="17"/>
  <c r="K90" i="17"/>
  <c r="L90" i="17"/>
  <c r="M90" i="17"/>
  <c r="N90" i="17"/>
  <c r="O90" i="17"/>
  <c r="P90" i="17"/>
  <c r="Q90" i="17"/>
  <c r="R90" i="17"/>
  <c r="S90" i="17"/>
  <c r="T90" i="17"/>
  <c r="U90" i="17"/>
  <c r="V90" i="17"/>
  <c r="W90" i="17"/>
  <c r="X90" i="17"/>
  <c r="Y90" i="17"/>
  <c r="Z90" i="17"/>
  <c r="AA90" i="17"/>
  <c r="AB90" i="17"/>
  <c r="AC90" i="17"/>
  <c r="AD90" i="17"/>
  <c r="AE90" i="17"/>
  <c r="AF90" i="17"/>
  <c r="AG90" i="17"/>
  <c r="AH90" i="17"/>
  <c r="AI90" i="17"/>
  <c r="AJ90" i="17"/>
  <c r="AK90" i="17"/>
  <c r="AL90" i="17"/>
  <c r="AM90" i="17"/>
  <c r="AN90" i="17"/>
  <c r="AO90" i="17"/>
  <c r="AP90" i="17"/>
  <c r="AQ90" i="17"/>
  <c r="AR90" i="17"/>
  <c r="AS90" i="17"/>
  <c r="AT90" i="17"/>
  <c r="AU90" i="17"/>
  <c r="AV90" i="17"/>
  <c r="AW90" i="17"/>
  <c r="AX90" i="17"/>
  <c r="C91" i="17"/>
  <c r="D91" i="17"/>
  <c r="E91" i="17"/>
  <c r="F91" i="17"/>
  <c r="G91" i="17"/>
  <c r="H91" i="17"/>
  <c r="I91" i="17"/>
  <c r="J91" i="17"/>
  <c r="K91" i="17"/>
  <c r="L91" i="17"/>
  <c r="M91" i="17"/>
  <c r="N91" i="17"/>
  <c r="O91" i="17"/>
  <c r="P91" i="17"/>
  <c r="Q91" i="17"/>
  <c r="R91" i="17"/>
  <c r="S91" i="17"/>
  <c r="T91" i="17"/>
  <c r="U91" i="17"/>
  <c r="V91" i="17"/>
  <c r="W91" i="17"/>
  <c r="X91" i="17"/>
  <c r="Y91" i="17"/>
  <c r="Z91" i="17"/>
  <c r="AA91" i="17"/>
  <c r="AB91" i="17"/>
  <c r="AC91" i="17"/>
  <c r="AD91" i="17"/>
  <c r="AE91" i="17"/>
  <c r="AF91" i="17"/>
  <c r="AG91" i="17"/>
  <c r="AH91" i="17"/>
  <c r="AI91" i="17"/>
  <c r="AJ91" i="17"/>
  <c r="AK91" i="17"/>
  <c r="AL91" i="17"/>
  <c r="AM91" i="17"/>
  <c r="AN91" i="17"/>
  <c r="AO91" i="17"/>
  <c r="AP91" i="17"/>
  <c r="AQ91" i="17"/>
  <c r="AR91" i="17"/>
  <c r="AS91" i="17"/>
  <c r="AT91" i="17"/>
  <c r="AU91" i="17"/>
  <c r="AV91" i="17"/>
  <c r="AW91" i="17"/>
  <c r="AX91" i="17"/>
  <c r="C92" i="17"/>
  <c r="D92" i="17"/>
  <c r="E92" i="17"/>
  <c r="F92" i="17"/>
  <c r="G92" i="17"/>
  <c r="H92" i="17"/>
  <c r="I92" i="17"/>
  <c r="J92" i="17"/>
  <c r="K92" i="17"/>
  <c r="L92" i="17"/>
  <c r="M92" i="17"/>
  <c r="N92" i="17"/>
  <c r="O92" i="17"/>
  <c r="P92" i="17"/>
  <c r="Q92" i="17"/>
  <c r="R92" i="17"/>
  <c r="S92" i="17"/>
  <c r="T92" i="17"/>
  <c r="U92" i="17"/>
  <c r="V92" i="17"/>
  <c r="W92" i="17"/>
  <c r="X92" i="17"/>
  <c r="Y92" i="17"/>
  <c r="Z92" i="17"/>
  <c r="AA92" i="17"/>
  <c r="AB92" i="17"/>
  <c r="AC92" i="17"/>
  <c r="AD92" i="17"/>
  <c r="AE92" i="17"/>
  <c r="AF92" i="17"/>
  <c r="AG92" i="17"/>
  <c r="AH92" i="17"/>
  <c r="AI92" i="17"/>
  <c r="AJ92" i="17"/>
  <c r="AK92" i="17"/>
  <c r="AL92" i="17"/>
  <c r="AM92" i="17"/>
  <c r="AN92" i="17"/>
  <c r="AO92" i="17"/>
  <c r="AP92" i="17"/>
  <c r="AQ92" i="17"/>
  <c r="AR92" i="17"/>
  <c r="AS92" i="17"/>
  <c r="AT92" i="17"/>
  <c r="AU92" i="17"/>
  <c r="AV92" i="17"/>
  <c r="AW92" i="17"/>
  <c r="AX92" i="17"/>
  <c r="C93" i="17"/>
  <c r="D93" i="17"/>
  <c r="E93" i="17"/>
  <c r="F93" i="17"/>
  <c r="G93" i="17"/>
  <c r="H93" i="17"/>
  <c r="I93" i="17"/>
  <c r="J93" i="17"/>
  <c r="K93" i="17"/>
  <c r="L93" i="17"/>
  <c r="M93" i="17"/>
  <c r="N93" i="17"/>
  <c r="O93" i="17"/>
  <c r="P93" i="17"/>
  <c r="Q93" i="17"/>
  <c r="R93" i="17"/>
  <c r="S93" i="17"/>
  <c r="T93" i="17"/>
  <c r="U93" i="17"/>
  <c r="V93" i="17"/>
  <c r="W93" i="17"/>
  <c r="X93" i="17"/>
  <c r="Y93" i="17"/>
  <c r="Z93" i="17"/>
  <c r="AA93" i="17"/>
  <c r="AB93" i="17"/>
  <c r="AC93" i="17"/>
  <c r="AD93" i="17"/>
  <c r="AE93" i="17"/>
  <c r="AF93" i="17"/>
  <c r="AG93" i="17"/>
  <c r="AH93" i="17"/>
  <c r="AI93" i="17"/>
  <c r="AJ93" i="17"/>
  <c r="AK93" i="17"/>
  <c r="AL93" i="17"/>
  <c r="AM93" i="17"/>
  <c r="AN93" i="17"/>
  <c r="AO93" i="17"/>
  <c r="AP93" i="17"/>
  <c r="AQ93" i="17"/>
  <c r="AR93" i="17"/>
  <c r="AS93" i="17"/>
  <c r="AT93" i="17"/>
  <c r="AU93" i="17"/>
  <c r="AV93" i="17"/>
  <c r="AW93" i="17"/>
  <c r="AX93" i="17"/>
  <c r="C19" i="17"/>
  <c r="C28" i="17" s="1"/>
  <c r="D19" i="17"/>
  <c r="D28" i="17" s="1"/>
  <c r="E19" i="17"/>
  <c r="E28" i="17" s="1"/>
  <c r="F19" i="17"/>
  <c r="F28" i="17" s="1"/>
  <c r="G19" i="17"/>
  <c r="G28" i="17" s="1"/>
  <c r="H19" i="17"/>
  <c r="H28" i="17" s="1"/>
  <c r="I19" i="17"/>
  <c r="I28" i="17" s="1"/>
  <c r="J19" i="17"/>
  <c r="J28" i="17" s="1"/>
  <c r="K19" i="17"/>
  <c r="K28" i="17" s="1"/>
  <c r="L19" i="17"/>
  <c r="L28" i="17" s="1"/>
  <c r="M19" i="17"/>
  <c r="M28" i="17" s="1"/>
  <c r="N19" i="17"/>
  <c r="N28" i="17" s="1"/>
  <c r="C20" i="17"/>
  <c r="C29" i="17" s="1"/>
  <c r="D20" i="17"/>
  <c r="D29" i="17" s="1"/>
  <c r="E20" i="17"/>
  <c r="E29" i="17" s="1"/>
  <c r="F20" i="17"/>
  <c r="F29" i="17" s="1"/>
  <c r="G20" i="17"/>
  <c r="G29" i="17" s="1"/>
  <c r="H20" i="17"/>
  <c r="H29" i="17" s="1"/>
  <c r="I20" i="17"/>
  <c r="I29" i="17" s="1"/>
  <c r="J20" i="17"/>
  <c r="J29" i="17" s="1"/>
  <c r="K20" i="17"/>
  <c r="K29" i="17" s="1"/>
  <c r="L20" i="17"/>
  <c r="L29" i="17" s="1"/>
  <c r="M20" i="17"/>
  <c r="M29" i="17" s="1"/>
  <c r="N20" i="17"/>
  <c r="N29" i="17" s="1"/>
  <c r="C21" i="17"/>
  <c r="C30" i="17" s="1"/>
  <c r="D21" i="17"/>
  <c r="D30" i="17" s="1"/>
  <c r="E21" i="17"/>
  <c r="E30" i="17" s="1"/>
  <c r="F21" i="17"/>
  <c r="F30" i="17" s="1"/>
  <c r="G21" i="17"/>
  <c r="G30" i="17" s="1"/>
  <c r="H21" i="17"/>
  <c r="H30" i="17" s="1"/>
  <c r="I21" i="17"/>
  <c r="I30" i="17" s="1"/>
  <c r="J21" i="17"/>
  <c r="J30" i="17" s="1"/>
  <c r="K21" i="17"/>
  <c r="K30" i="17" s="1"/>
  <c r="L21" i="17"/>
  <c r="L30" i="17" s="1"/>
  <c r="M21" i="17"/>
  <c r="M30" i="17" s="1"/>
  <c r="N21" i="17"/>
  <c r="N30" i="17" s="1"/>
  <c r="C22" i="17"/>
  <c r="C31" i="17" s="1"/>
  <c r="D22" i="17"/>
  <c r="D31" i="17" s="1"/>
  <c r="E22" i="17"/>
  <c r="E31" i="17" s="1"/>
  <c r="F22" i="17"/>
  <c r="F31" i="17" s="1"/>
  <c r="G22" i="17"/>
  <c r="G31" i="17" s="1"/>
  <c r="H22" i="17"/>
  <c r="H31" i="17" s="1"/>
  <c r="I22" i="17"/>
  <c r="I31" i="17" s="1"/>
  <c r="J22" i="17"/>
  <c r="J31" i="17" s="1"/>
  <c r="K22" i="17"/>
  <c r="K31" i="17" s="1"/>
  <c r="L22" i="17"/>
  <c r="L31" i="17" s="1"/>
  <c r="M22" i="17"/>
  <c r="M31" i="17" s="1"/>
  <c r="N22" i="17"/>
  <c r="N31" i="17" s="1"/>
  <c r="C23" i="17"/>
  <c r="C32" i="17" s="1"/>
  <c r="D23" i="17"/>
  <c r="D32" i="17" s="1"/>
  <c r="E23" i="17"/>
  <c r="E32" i="17" s="1"/>
  <c r="F23" i="17"/>
  <c r="F32" i="17" s="1"/>
  <c r="G23" i="17"/>
  <c r="G32" i="17" s="1"/>
  <c r="H23" i="17"/>
  <c r="H32" i="17" s="1"/>
  <c r="I23" i="17"/>
  <c r="I32" i="17" s="1"/>
  <c r="J23" i="17"/>
  <c r="J32" i="17" s="1"/>
  <c r="K23" i="17"/>
  <c r="K32" i="17" s="1"/>
  <c r="L23" i="17"/>
  <c r="L32" i="17" s="1"/>
  <c r="M23" i="17"/>
  <c r="M32" i="17" s="1"/>
  <c r="N23" i="17"/>
  <c r="N32" i="17" s="1"/>
  <c r="C24" i="17"/>
  <c r="C33" i="17" s="1"/>
  <c r="D24" i="17"/>
  <c r="D33" i="17" s="1"/>
  <c r="E24" i="17"/>
  <c r="E33" i="17" s="1"/>
  <c r="F24" i="17"/>
  <c r="F33" i="17" s="1"/>
  <c r="G24" i="17"/>
  <c r="G33" i="17" s="1"/>
  <c r="H24" i="17"/>
  <c r="H33" i="17" s="1"/>
  <c r="I24" i="17"/>
  <c r="I33" i="17" s="1"/>
  <c r="J24" i="17"/>
  <c r="J33" i="17" s="1"/>
  <c r="K24" i="17"/>
  <c r="K33" i="17" s="1"/>
  <c r="L24" i="17"/>
  <c r="L33" i="17" s="1"/>
  <c r="M24" i="17"/>
  <c r="M33" i="17" s="1"/>
  <c r="N24" i="17"/>
  <c r="N33" i="17" s="1"/>
  <c r="B22" i="16"/>
  <c r="D22" i="16" s="1"/>
  <c r="E30" i="16" l="1"/>
  <c r="F27" i="16"/>
  <c r="D13" i="16"/>
  <c r="H21" i="16"/>
  <c r="H22" i="16"/>
  <c r="K21" i="16"/>
  <c r="K22" i="16"/>
  <c r="AC21" i="16"/>
  <c r="AC22" i="16"/>
  <c r="D24" i="16"/>
  <c r="D45" i="16"/>
  <c r="D51" i="16" s="1"/>
  <c r="D34" i="16"/>
  <c r="D40" i="16" s="1"/>
  <c r="L21" i="16"/>
  <c r="L22" i="16"/>
  <c r="T21" i="16"/>
  <c r="T22" i="16"/>
  <c r="V22" i="16"/>
  <c r="V21" i="16"/>
  <c r="AQ21" i="16"/>
  <c r="AQ22" i="16"/>
  <c r="J22" i="16"/>
  <c r="J21" i="16"/>
  <c r="M21" i="16"/>
  <c r="M22" i="16"/>
  <c r="P21" i="16"/>
  <c r="P22" i="16"/>
  <c r="I22" i="16"/>
  <c r="I21" i="16"/>
  <c r="Q21" i="16"/>
  <c r="Q22" i="16"/>
  <c r="U22" i="16"/>
  <c r="U21" i="16"/>
  <c r="W21" i="16"/>
  <c r="W22" i="16"/>
  <c r="AB21" i="16"/>
  <c r="AB22" i="16"/>
  <c r="Z39" i="16"/>
  <c r="AE21" i="16"/>
  <c r="AE22" i="16"/>
  <c r="AH23" i="16"/>
  <c r="AH33" i="16"/>
  <c r="AO24" i="16"/>
  <c r="AO34" i="16"/>
  <c r="AO40" i="16" s="1"/>
  <c r="AO45" i="16"/>
  <c r="AO51" i="16" s="1"/>
  <c r="AO21" i="16"/>
  <c r="AR33" i="16"/>
  <c r="AR44" i="16"/>
  <c r="AR23" i="16"/>
  <c r="AS21" i="16"/>
  <c r="AS22" i="16"/>
  <c r="AU22" i="16"/>
  <c r="AU21" i="16"/>
  <c r="F21" i="16"/>
  <c r="N21" i="16"/>
  <c r="R22" i="16"/>
  <c r="AG10" i="16"/>
  <c r="AG13" i="16" s="1"/>
  <c r="AH14" i="16" s="1"/>
  <c r="AH10" i="16" s="1"/>
  <c r="AH13" i="16" s="1"/>
  <c r="AH17" i="16"/>
  <c r="AT22" i="16"/>
  <c r="AT21" i="16"/>
  <c r="AY23" i="16"/>
  <c r="AY44" i="16"/>
  <c r="AY33" i="16"/>
  <c r="D30" i="16"/>
  <c r="F34" i="16"/>
  <c r="F40" i="16" s="1"/>
  <c r="F10" i="16"/>
  <c r="F13" i="16" s="1"/>
  <c r="N34" i="16"/>
  <c r="N40" i="16" s="1"/>
  <c r="N10" i="16"/>
  <c r="N13" i="16" s="1"/>
  <c r="Z22" i="16"/>
  <c r="Z44" i="16"/>
  <c r="AH44" i="16"/>
  <c r="AJ22" i="16"/>
  <c r="AX21" i="16"/>
  <c r="AX22" i="16"/>
  <c r="BA14" i="15"/>
  <c r="D21" i="16"/>
  <c r="F24" i="16"/>
  <c r="N24" i="16"/>
  <c r="R21" i="16"/>
  <c r="R10" i="16"/>
  <c r="R13" i="16" s="1"/>
  <c r="X22" i="16"/>
  <c r="X21" i="16"/>
  <c r="AC10" i="16"/>
  <c r="AC13" i="16" s="1"/>
  <c r="AJ21" i="16"/>
  <c r="AK21" i="16"/>
  <c r="AK22" i="16"/>
  <c r="AN21" i="16"/>
  <c r="AN22" i="16"/>
  <c r="H7" i="18"/>
  <c r="S9" i="18"/>
  <c r="AL22" i="16"/>
  <c r="AL21" i="16"/>
  <c r="AZ17" i="16"/>
  <c r="X10" i="16"/>
  <c r="X13" i="16" s="1"/>
  <c r="AF22" i="16"/>
  <c r="AF21" i="16"/>
  <c r="AP22" i="16"/>
  <c r="AP21" i="16"/>
  <c r="AR22" i="16"/>
  <c r="AV35" i="16"/>
  <c r="AV39" i="16"/>
  <c r="AZ259" i="15"/>
  <c r="E260" i="15"/>
  <c r="AZ260" i="15" s="1"/>
  <c r="G260" i="15"/>
  <c r="AV16" i="16"/>
  <c r="AU10" i="16"/>
  <c r="AU13" i="16" s="1"/>
  <c r="AV14" i="16" s="1"/>
  <c r="AV10" i="16" s="1"/>
  <c r="AV13" i="16" s="1"/>
  <c r="AY10" i="16"/>
  <c r="AY13" i="16" s="1"/>
  <c r="S31" i="18"/>
  <c r="T32" i="18" s="1"/>
  <c r="S7" i="18"/>
  <c r="T11" i="18" s="1"/>
  <c r="H9" i="18"/>
  <c r="Z10" i="16"/>
  <c r="Z13" i="16" s="1"/>
  <c r="AF10" i="16"/>
  <c r="AF13" i="16" s="1"/>
  <c r="AY22" i="16"/>
  <c r="Q260" i="15"/>
  <c r="S260" i="15"/>
  <c r="AW260" i="15"/>
  <c r="AY260" i="15"/>
  <c r="AG260" i="14"/>
  <c r="AI260" i="14"/>
  <c r="AL10" i="16"/>
  <c r="AL13" i="16" s="1"/>
  <c r="I260" i="15"/>
  <c r="K260" i="15"/>
  <c r="Y260" i="15"/>
  <c r="AA260" i="15"/>
  <c r="AO260" i="15"/>
  <c r="AQ260" i="15"/>
  <c r="F259" i="14"/>
  <c r="AZ259" i="14" s="1"/>
  <c r="BA14" i="14"/>
  <c r="I260" i="14"/>
  <c r="K260" i="14"/>
  <c r="Y260" i="14"/>
  <c r="AZ260" i="14" s="1"/>
  <c r="AA260" i="14"/>
  <c r="AO260" i="14"/>
  <c r="AQ260" i="14"/>
  <c r="T43" i="18"/>
  <c r="AA21" i="16" l="1"/>
  <c r="AA22" i="16"/>
  <c r="AF33" i="16"/>
  <c r="AF44" i="16"/>
  <c r="AF23" i="16"/>
  <c r="AL44" i="16"/>
  <c r="AL33" i="16"/>
  <c r="AL23" i="16"/>
  <c r="AN24" i="16"/>
  <c r="AN34" i="16"/>
  <c r="AN40" i="16" s="1"/>
  <c r="AN45" i="16"/>
  <c r="AN51" i="16" s="1"/>
  <c r="AJ33" i="16"/>
  <c r="AJ44" i="16"/>
  <c r="AJ23" i="16"/>
  <c r="S21" i="16"/>
  <c r="S22" i="16"/>
  <c r="D33" i="16"/>
  <c r="D44" i="16"/>
  <c r="D23" i="16"/>
  <c r="AJ24" i="16"/>
  <c r="AJ45" i="16"/>
  <c r="AJ51" i="16" s="1"/>
  <c r="AJ34" i="16"/>
  <c r="AJ40" i="16" s="1"/>
  <c r="O21" i="16"/>
  <c r="O22" i="16"/>
  <c r="AI21" i="16"/>
  <c r="AI22" i="16"/>
  <c r="AU23" i="16"/>
  <c r="AU44" i="16"/>
  <c r="AU33" i="16"/>
  <c r="W44" i="16"/>
  <c r="W33" i="16"/>
  <c r="W23" i="16"/>
  <c r="Q23" i="16"/>
  <c r="Q33" i="16"/>
  <c r="Q44" i="16"/>
  <c r="P24" i="16"/>
  <c r="P45" i="16"/>
  <c r="P51" i="16" s="1"/>
  <c r="P34" i="16"/>
  <c r="P40" i="16" s="1"/>
  <c r="J23" i="16"/>
  <c r="J44" i="16"/>
  <c r="J33" i="16"/>
  <c r="V33" i="16"/>
  <c r="V23" i="16"/>
  <c r="V44" i="16"/>
  <c r="L24" i="16"/>
  <c r="L34" i="16"/>
  <c r="L40" i="16" s="1"/>
  <c r="L45" i="16"/>
  <c r="L51" i="16" s="1"/>
  <c r="K34" i="16"/>
  <c r="K40" i="16" s="1"/>
  <c r="K45" i="16"/>
  <c r="K51" i="16" s="1"/>
  <c r="K24" i="16"/>
  <c r="E21" i="16"/>
  <c r="E22" i="16"/>
  <c r="AR24" i="16"/>
  <c r="AR34" i="16"/>
  <c r="AR40" i="16" s="1"/>
  <c r="AR45" i="16"/>
  <c r="AR51" i="16" s="1"/>
  <c r="AF24" i="16"/>
  <c r="AF45" i="16"/>
  <c r="AF51" i="16" s="1"/>
  <c r="AF34" i="16"/>
  <c r="AF40" i="16" s="1"/>
  <c r="AL45" i="16"/>
  <c r="AL51" i="16" s="1"/>
  <c r="AL34" i="16"/>
  <c r="AL40" i="16" s="1"/>
  <c r="AL24" i="16"/>
  <c r="AN33" i="16"/>
  <c r="AN23" i="16"/>
  <c r="AN44" i="16"/>
  <c r="AD22" i="16"/>
  <c r="AD21" i="16"/>
  <c r="R33" i="16"/>
  <c r="R44" i="16"/>
  <c r="R23" i="16"/>
  <c r="AH46" i="16"/>
  <c r="AH50" i="16"/>
  <c r="AY35" i="16"/>
  <c r="AY39" i="16"/>
  <c r="AT23" i="16"/>
  <c r="AT33" i="16"/>
  <c r="AT44" i="16"/>
  <c r="R45" i="16"/>
  <c r="R51" i="16" s="1"/>
  <c r="R24" i="16"/>
  <c r="R34" i="16"/>
  <c r="R40" i="16" s="1"/>
  <c r="AU45" i="16"/>
  <c r="AU51" i="16" s="1"/>
  <c r="AU34" i="16"/>
  <c r="AU40" i="16" s="1"/>
  <c r="AU24" i="16"/>
  <c r="AR50" i="16"/>
  <c r="AR46" i="16"/>
  <c r="AE34" i="16"/>
  <c r="AE40" i="16" s="1"/>
  <c r="AE24" i="16"/>
  <c r="AE45" i="16"/>
  <c r="AE51" i="16" s="1"/>
  <c r="AB24" i="16"/>
  <c r="AB45" i="16"/>
  <c r="AB51" i="16" s="1"/>
  <c r="AB34" i="16"/>
  <c r="AB40" i="16" s="1"/>
  <c r="U23" i="16"/>
  <c r="U33" i="16"/>
  <c r="U44" i="16"/>
  <c r="I23" i="16"/>
  <c r="I33" i="16"/>
  <c r="I44" i="16"/>
  <c r="P33" i="16"/>
  <c r="P23" i="16"/>
  <c r="P44" i="16"/>
  <c r="J45" i="16"/>
  <c r="J51" i="16" s="1"/>
  <c r="J24" i="16"/>
  <c r="J34" i="16"/>
  <c r="J40" i="16" s="1"/>
  <c r="V45" i="16"/>
  <c r="V51" i="16" s="1"/>
  <c r="V24" i="16"/>
  <c r="V34" i="16"/>
  <c r="V40" i="16" s="1"/>
  <c r="L33" i="16"/>
  <c r="L44" i="16"/>
  <c r="L23" i="16"/>
  <c r="K44" i="16"/>
  <c r="K23" i="16"/>
  <c r="K33" i="16"/>
  <c r="AZ10" i="16"/>
  <c r="AY45" i="16"/>
  <c r="AY51" i="16" s="1"/>
  <c r="AY34" i="16"/>
  <c r="AY40" i="16" s="1"/>
  <c r="AY24" i="16"/>
  <c r="T45" i="18"/>
  <c r="AW21" i="16"/>
  <c r="AW22" i="16"/>
  <c r="AP23" i="16"/>
  <c r="AP33" i="16"/>
  <c r="AP44" i="16"/>
  <c r="Y21" i="16"/>
  <c r="Y22" i="16"/>
  <c r="AK45" i="16"/>
  <c r="AK51" i="16" s="1"/>
  <c r="AK24" i="16"/>
  <c r="AK34" i="16"/>
  <c r="AK40" i="16" s="1"/>
  <c r="X33" i="16"/>
  <c r="X44" i="16"/>
  <c r="X23" i="16"/>
  <c r="AX24" i="16"/>
  <c r="AX34" i="16"/>
  <c r="AX40" i="16" s="1"/>
  <c r="AX45" i="16"/>
  <c r="AX51" i="16" s="1"/>
  <c r="Z46" i="16"/>
  <c r="Z50" i="16"/>
  <c r="G21" i="16"/>
  <c r="G22" i="16"/>
  <c r="AY46" i="16"/>
  <c r="AY50" i="16"/>
  <c r="AT24" i="16"/>
  <c r="AT45" i="16"/>
  <c r="AT51" i="16" s="1"/>
  <c r="AT34" i="16"/>
  <c r="AT40" i="16" s="1"/>
  <c r="N33" i="16"/>
  <c r="N44" i="16"/>
  <c r="N23" i="16"/>
  <c r="AS24" i="16"/>
  <c r="AS34" i="16"/>
  <c r="AS40" i="16" s="1"/>
  <c r="AS45" i="16"/>
  <c r="AS51" i="16" s="1"/>
  <c r="AR35" i="16"/>
  <c r="AR39" i="16"/>
  <c r="AE44" i="16"/>
  <c r="AE33" i="16"/>
  <c r="AE23" i="16"/>
  <c r="AB33" i="16"/>
  <c r="AB23" i="16"/>
  <c r="AB44" i="16"/>
  <c r="U24" i="16"/>
  <c r="U34" i="16"/>
  <c r="U40" i="16" s="1"/>
  <c r="U45" i="16"/>
  <c r="U51" i="16" s="1"/>
  <c r="I24" i="16"/>
  <c r="I34" i="16"/>
  <c r="I40" i="16" s="1"/>
  <c r="I45" i="16"/>
  <c r="I51" i="16" s="1"/>
  <c r="M24" i="16"/>
  <c r="M34" i="16"/>
  <c r="M40" i="16" s="1"/>
  <c r="M45" i="16"/>
  <c r="M51" i="16" s="1"/>
  <c r="AQ34" i="16"/>
  <c r="AQ40" i="16" s="1"/>
  <c r="AQ24" i="16"/>
  <c r="AQ45" i="16"/>
  <c r="AQ51" i="16" s="1"/>
  <c r="T24" i="16"/>
  <c r="T34" i="16"/>
  <c r="T40" i="16" s="1"/>
  <c r="T45" i="16"/>
  <c r="T51" i="16" s="1"/>
  <c r="AC24" i="16"/>
  <c r="AC34" i="16"/>
  <c r="AC40" i="16" s="1"/>
  <c r="AC45" i="16"/>
  <c r="AC51" i="16" s="1"/>
  <c r="H24" i="16"/>
  <c r="H34" i="16"/>
  <c r="H40" i="16" s="1"/>
  <c r="H45" i="16"/>
  <c r="H51" i="16" s="1"/>
  <c r="G27" i="16"/>
  <c r="F30" i="16"/>
  <c r="AM21" i="16"/>
  <c r="AM22" i="16"/>
  <c r="AG21" i="16"/>
  <c r="AG22" i="16"/>
  <c r="AP45" i="16"/>
  <c r="AP51" i="16" s="1"/>
  <c r="AP24" i="16"/>
  <c r="AP34" i="16"/>
  <c r="AP40" i="16" s="1"/>
  <c r="AK23" i="16"/>
  <c r="AK33" i="16"/>
  <c r="AK44" i="16"/>
  <c r="X24" i="16"/>
  <c r="X45" i="16"/>
  <c r="X51" i="16" s="1"/>
  <c r="X34" i="16"/>
  <c r="X40" i="16" s="1"/>
  <c r="AX23" i="16"/>
  <c r="AX33" i="16"/>
  <c r="AX44" i="16"/>
  <c r="Z45" i="16"/>
  <c r="Z51" i="16" s="1"/>
  <c r="Z34" i="16"/>
  <c r="Z24" i="16"/>
  <c r="F33" i="16"/>
  <c r="F44" i="16"/>
  <c r="F23" i="16"/>
  <c r="AS33" i="16"/>
  <c r="AS23" i="16"/>
  <c r="AS44" i="16"/>
  <c r="AO23" i="16"/>
  <c r="AO44" i="16"/>
  <c r="AO33" i="16"/>
  <c r="AH35" i="16"/>
  <c r="AH39" i="16"/>
  <c r="W34" i="16"/>
  <c r="W40" i="16" s="1"/>
  <c r="W24" i="16"/>
  <c r="W45" i="16"/>
  <c r="W51" i="16" s="1"/>
  <c r="Q45" i="16"/>
  <c r="Q51" i="16" s="1"/>
  <c r="Q34" i="16"/>
  <c r="Q40" i="16" s="1"/>
  <c r="Q24" i="16"/>
  <c r="M23" i="16"/>
  <c r="M33" i="16"/>
  <c r="M44" i="16"/>
  <c r="AQ44" i="16"/>
  <c r="AQ23" i="16"/>
  <c r="AQ33" i="16"/>
  <c r="T33" i="16"/>
  <c r="T23" i="16"/>
  <c r="T44" i="16"/>
  <c r="AC23" i="16"/>
  <c r="AC33" i="16"/>
  <c r="AC44" i="16"/>
  <c r="H33" i="16"/>
  <c r="H23" i="16"/>
  <c r="H44" i="16"/>
  <c r="H50" i="16" l="1"/>
  <c r="H46" i="16"/>
  <c r="AC39" i="16"/>
  <c r="AC35" i="16"/>
  <c r="T39" i="16"/>
  <c r="T35" i="16"/>
  <c r="M46" i="16"/>
  <c r="M50" i="16"/>
  <c r="AO46" i="16"/>
  <c r="AO50" i="16"/>
  <c r="AS35" i="16"/>
  <c r="AS39" i="16"/>
  <c r="AX39" i="16"/>
  <c r="AX35" i="16"/>
  <c r="AG23" i="16"/>
  <c r="AG44" i="16"/>
  <c r="AG33" i="16"/>
  <c r="H27" i="16"/>
  <c r="G30" i="16"/>
  <c r="AB35" i="16"/>
  <c r="AB39" i="16"/>
  <c r="AP46" i="16"/>
  <c r="AP50" i="16"/>
  <c r="AW33" i="16"/>
  <c r="AW44" i="16"/>
  <c r="AW23" i="16"/>
  <c r="K46" i="16"/>
  <c r="K50" i="16"/>
  <c r="P39" i="16"/>
  <c r="P35" i="16"/>
  <c r="U46" i="16"/>
  <c r="U50" i="16"/>
  <c r="AD45" i="16"/>
  <c r="AD51" i="16" s="1"/>
  <c r="AD24" i="16"/>
  <c r="AD34" i="16"/>
  <c r="AD40" i="16" s="1"/>
  <c r="V35" i="16"/>
  <c r="V39" i="16"/>
  <c r="Q39" i="16"/>
  <c r="Q35" i="16"/>
  <c r="W46" i="16"/>
  <c r="W50" i="16"/>
  <c r="AI34" i="16"/>
  <c r="AI40" i="16" s="1"/>
  <c r="AI24" i="16"/>
  <c r="AI45" i="16"/>
  <c r="AI51" i="16" s="1"/>
  <c r="O44" i="16"/>
  <c r="O23" i="16"/>
  <c r="O33" i="16"/>
  <c r="S34" i="16"/>
  <c r="S40" i="16" s="1"/>
  <c r="S24" i="16"/>
  <c r="S45" i="16"/>
  <c r="S51" i="16" s="1"/>
  <c r="AJ35" i="16"/>
  <c r="AJ39" i="16"/>
  <c r="AF50" i="16"/>
  <c r="AF46" i="16"/>
  <c r="AQ35" i="16"/>
  <c r="AQ39" i="16"/>
  <c r="M39" i="16"/>
  <c r="M35" i="16"/>
  <c r="Z40" i="16"/>
  <c r="Z35" i="16"/>
  <c r="AK46" i="16"/>
  <c r="AK50" i="16"/>
  <c r="AM34" i="16"/>
  <c r="AM40" i="16" s="1"/>
  <c r="AM45" i="16"/>
  <c r="AM51" i="16" s="1"/>
  <c r="AM24" i="16"/>
  <c r="G34" i="16"/>
  <c r="G40" i="16" s="1"/>
  <c r="G45" i="16"/>
  <c r="G51" i="16" s="1"/>
  <c r="G24" i="16"/>
  <c r="X50" i="16"/>
  <c r="X46" i="16"/>
  <c r="AP35" i="16"/>
  <c r="AP39" i="16"/>
  <c r="I46" i="16"/>
  <c r="I50" i="16"/>
  <c r="U39" i="16"/>
  <c r="U35" i="16"/>
  <c r="AT46" i="16"/>
  <c r="AT50" i="16"/>
  <c r="R46" i="16"/>
  <c r="R50" i="16"/>
  <c r="AN50" i="16"/>
  <c r="AN46" i="16"/>
  <c r="E24" i="16"/>
  <c r="E34" i="16"/>
  <c r="E40" i="16" s="1"/>
  <c r="E45" i="16"/>
  <c r="E51" i="16" s="1"/>
  <c r="AZ22" i="16"/>
  <c r="J35" i="16"/>
  <c r="J39" i="16"/>
  <c r="AU35" i="16"/>
  <c r="AU39" i="16"/>
  <c r="AI44" i="16"/>
  <c r="AI23" i="16"/>
  <c r="AI33" i="16"/>
  <c r="D50" i="16"/>
  <c r="D46" i="16"/>
  <c r="S44" i="16"/>
  <c r="S23" i="16"/>
  <c r="S33" i="16"/>
  <c r="AL35" i="16"/>
  <c r="AL39" i="16"/>
  <c r="AF39" i="16"/>
  <c r="AF35" i="16"/>
  <c r="H35" i="16"/>
  <c r="H39" i="16"/>
  <c r="T50" i="16"/>
  <c r="T46" i="16"/>
  <c r="AS46" i="16"/>
  <c r="AS50" i="16"/>
  <c r="F46" i="16"/>
  <c r="F50" i="16"/>
  <c r="AK39" i="16"/>
  <c r="AK35" i="16"/>
  <c r="AM44" i="16"/>
  <c r="AM33" i="16"/>
  <c r="AM23" i="16"/>
  <c r="AB50" i="16"/>
  <c r="AB46" i="16"/>
  <c r="AE35" i="16"/>
  <c r="AE39" i="16"/>
  <c r="N46" i="16"/>
  <c r="N50" i="16"/>
  <c r="G44" i="16"/>
  <c r="G23" i="16"/>
  <c r="AZ23" i="16" s="1"/>
  <c r="G33" i="16"/>
  <c r="X35" i="16"/>
  <c r="X39" i="16"/>
  <c r="Y24" i="16"/>
  <c r="Y45" i="16"/>
  <c r="Y51" i="16" s="1"/>
  <c r="Y34" i="16"/>
  <c r="Y40" i="16" s="1"/>
  <c r="K35" i="16"/>
  <c r="K39" i="16"/>
  <c r="L50" i="16"/>
  <c r="L46" i="16"/>
  <c r="P50" i="16"/>
  <c r="P46" i="16"/>
  <c r="I39" i="16"/>
  <c r="I35" i="16"/>
  <c r="AT39" i="16"/>
  <c r="AT35" i="16"/>
  <c r="R35" i="16"/>
  <c r="R39" i="16"/>
  <c r="E23" i="16"/>
  <c r="E44" i="16"/>
  <c r="E33" i="16"/>
  <c r="V50" i="16"/>
  <c r="V46" i="16"/>
  <c r="J50" i="16"/>
  <c r="J46" i="16"/>
  <c r="AU46" i="16"/>
  <c r="AU50" i="16"/>
  <c r="D39" i="16"/>
  <c r="D35" i="16"/>
  <c r="AL46" i="16"/>
  <c r="AL50" i="16"/>
  <c r="AA34" i="16"/>
  <c r="AA40" i="16" s="1"/>
  <c r="AA24" i="16"/>
  <c r="AA45" i="16"/>
  <c r="AA51" i="16" s="1"/>
  <c r="AC46" i="16"/>
  <c r="AC50" i="16"/>
  <c r="AQ46" i="16"/>
  <c r="AQ50" i="16"/>
  <c r="AO39" i="16"/>
  <c r="AO35" i="16"/>
  <c r="F35" i="16"/>
  <c r="F39" i="16"/>
  <c r="AX46" i="16"/>
  <c r="AX50" i="16"/>
  <c r="AG24" i="16"/>
  <c r="AG45" i="16"/>
  <c r="AG51" i="16" s="1"/>
  <c r="AG34" i="16"/>
  <c r="AG40" i="16" s="1"/>
  <c r="AE46" i="16"/>
  <c r="AE50" i="16"/>
  <c r="N35" i="16"/>
  <c r="N39" i="16"/>
  <c r="Y23" i="16"/>
  <c r="Y44" i="16"/>
  <c r="Y33" i="16"/>
  <c r="AW24" i="16"/>
  <c r="AW34" i="16"/>
  <c r="AW40" i="16" s="1"/>
  <c r="AW45" i="16"/>
  <c r="AW51" i="16" s="1"/>
  <c r="L39" i="16"/>
  <c r="L35" i="16"/>
  <c r="AD23" i="16"/>
  <c r="AD44" i="16"/>
  <c r="AD33" i="16"/>
  <c r="AN35" i="16"/>
  <c r="AN39" i="16"/>
  <c r="Q46" i="16"/>
  <c r="Q50" i="16"/>
  <c r="W35" i="16"/>
  <c r="W39" i="16"/>
  <c r="O34" i="16"/>
  <c r="O40" i="16" s="1"/>
  <c r="O45" i="16"/>
  <c r="O51" i="16" s="1"/>
  <c r="O24" i="16"/>
  <c r="AZ21" i="16"/>
  <c r="AJ50" i="16"/>
  <c r="AJ46" i="16"/>
  <c r="AA44" i="16"/>
  <c r="AA23" i="16"/>
  <c r="AA33" i="16"/>
  <c r="E46" i="16" l="1"/>
  <c r="E50" i="16"/>
  <c r="AI46" i="16"/>
  <c r="AI50" i="16"/>
  <c r="AZ24" i="16"/>
  <c r="AW39" i="16"/>
  <c r="AW35" i="16"/>
  <c r="AG46" i="16"/>
  <c r="AG50" i="16"/>
  <c r="AA50" i="16"/>
  <c r="AA46" i="16"/>
  <c r="G50" i="16"/>
  <c r="G46" i="16"/>
  <c r="AM35" i="16"/>
  <c r="AM39" i="16"/>
  <c r="S39" i="16"/>
  <c r="S35" i="16"/>
  <c r="O39" i="16"/>
  <c r="O35" i="16"/>
  <c r="AD35" i="16"/>
  <c r="AD39" i="16"/>
  <c r="Y39" i="16"/>
  <c r="Y35" i="16"/>
  <c r="AM50" i="16"/>
  <c r="AM46" i="16"/>
  <c r="AI35" i="16"/>
  <c r="AI39" i="16"/>
  <c r="H30" i="16"/>
  <c r="I27" i="16"/>
  <c r="AA35" i="16"/>
  <c r="AA39" i="16"/>
  <c r="AD46" i="16"/>
  <c r="AD50" i="16"/>
  <c r="Y46" i="16"/>
  <c r="Y50" i="16"/>
  <c r="E39" i="16"/>
  <c r="E35" i="16"/>
  <c r="G39" i="16"/>
  <c r="G35" i="16"/>
  <c r="S50" i="16"/>
  <c r="S46" i="16"/>
  <c r="O50" i="16"/>
  <c r="O46" i="16"/>
  <c r="AW50" i="16"/>
  <c r="AW46" i="16"/>
  <c r="AG39" i="16"/>
  <c r="AG35" i="16"/>
  <c r="I30" i="16" l="1"/>
  <c r="J27" i="16"/>
  <c r="K27" i="16" l="1"/>
  <c r="J30" i="16"/>
  <c r="L27" i="16" l="1"/>
  <c r="K30" i="16"/>
  <c r="M27" i="16" l="1"/>
  <c r="L30" i="16"/>
  <c r="M30" i="16" l="1"/>
  <c r="N27" i="16"/>
  <c r="O27" i="16" l="1"/>
  <c r="N30" i="16"/>
  <c r="O30" i="16" l="1"/>
  <c r="P27" i="16"/>
  <c r="Q27" i="16" l="1"/>
  <c r="P30" i="16"/>
  <c r="Q30" i="16" l="1"/>
  <c r="R27" i="16"/>
  <c r="S27" i="16" l="1"/>
  <c r="R30" i="16"/>
  <c r="T27" i="16" l="1"/>
  <c r="S30" i="16"/>
  <c r="U27" i="16" l="1"/>
  <c r="T30" i="16"/>
  <c r="U30" i="16" l="1"/>
  <c r="V27" i="16"/>
  <c r="W27" i="16" l="1"/>
  <c r="V30" i="16"/>
  <c r="W30" i="16" l="1"/>
  <c r="X27" i="16"/>
  <c r="X30" i="16" l="1"/>
  <c r="Y27" i="16"/>
  <c r="Y30" i="16" l="1"/>
  <c r="Z27" i="16"/>
  <c r="AA27" i="16" l="1"/>
  <c r="Z30" i="16"/>
  <c r="AB27" i="16" l="1"/>
  <c r="AA30" i="16"/>
  <c r="AB30" i="16" l="1"/>
  <c r="AC27" i="16"/>
  <c r="AC30" i="16" l="1"/>
  <c r="AD27" i="16"/>
  <c r="AE27" i="16" l="1"/>
  <c r="AD30" i="16"/>
  <c r="AE30" i="16" l="1"/>
  <c r="AF27" i="16"/>
  <c r="AF30" i="16" l="1"/>
  <c r="AG27" i="16"/>
  <c r="AG30" i="16" l="1"/>
  <c r="AH27" i="16"/>
  <c r="AI27" i="16" l="1"/>
  <c r="AH30" i="16"/>
  <c r="AJ27" i="16" l="1"/>
  <c r="AI30" i="16"/>
  <c r="AJ30" i="16" l="1"/>
  <c r="AK27" i="16"/>
  <c r="AK30" i="16" l="1"/>
  <c r="AL27" i="16"/>
  <c r="AM27" i="16" l="1"/>
  <c r="AL30" i="16"/>
  <c r="AN27" i="16" l="1"/>
  <c r="AM30" i="16"/>
  <c r="AO27" i="16" l="1"/>
  <c r="AN30" i="16"/>
  <c r="AO30" i="16" l="1"/>
  <c r="AP27" i="16"/>
  <c r="AQ27" i="16" l="1"/>
  <c r="AP30" i="16"/>
  <c r="AR27" i="16" l="1"/>
  <c r="AQ30" i="16"/>
  <c r="AS27" i="16" l="1"/>
  <c r="AR30" i="16"/>
  <c r="AT27" i="16" l="1"/>
  <c r="AS30" i="16"/>
  <c r="AT30" i="16" l="1"/>
  <c r="AU27" i="16"/>
  <c r="AV27" i="16" l="1"/>
  <c r="AU30" i="16"/>
  <c r="AW27" i="16" l="1"/>
  <c r="AV30" i="16"/>
  <c r="AX27" i="16" l="1"/>
  <c r="AW30" i="16"/>
  <c r="AX30" i="16" l="1"/>
  <c r="AY27" i="16"/>
  <c r="AY30" i="16" s="1"/>
  <c r="AZ30" i="16" s="1"/>
  <c r="E29" i="7" l="1"/>
  <c r="D29" i="7"/>
  <c r="C29" i="7"/>
  <c r="D19" i="7"/>
  <c r="F11" i="7"/>
  <c r="F10" i="7"/>
  <c r="F9" i="7"/>
  <c r="F8" i="7"/>
  <c r="F7" i="7"/>
  <c r="F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6" i="5"/>
  <c r="G16" i="5"/>
</calcChain>
</file>

<file path=xl/sharedStrings.xml><?xml version="1.0" encoding="utf-8"?>
<sst xmlns="http://schemas.openxmlformats.org/spreadsheetml/2006/main" count="2284" uniqueCount="415">
  <si>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</si>
  <si>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</si>
  <si>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</si>
  <si>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</si>
  <si>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</si>
  <si>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</si>
  <si>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</si>
  <si>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</si>
  <si>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</si>
  <si>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</si>
  <si>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</si>
  <si>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</si>
  <si>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</si>
  <si>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</si>
  <si>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</si>
  <si>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</si>
  <si>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</si>
  <si>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</si>
  <si>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</si>
  <si>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</si>
  <si>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</si>
  <si>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</si>
  <si>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</si>
  <si>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</si>
  <si>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</si>
  <si>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</si>
  <si>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</si>
  <si>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</si>
  <si>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</si>
  <si>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</si>
  <si>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</si>
  <si>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</si>
  <si>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</si>
  <si>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</si>
  <si>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</si>
  <si>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</si>
  <si>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</si>
  <si>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</si>
  <si>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</si>
  <si>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</si>
  <si>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</si>
  <si>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</si>
  <si>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</si>
  <si>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</si>
  <si>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</si>
  <si>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</si>
  <si>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</si>
  <si>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</si>
  <si>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</si>
  <si>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</si>
  <si>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</si>
  <si>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</si>
  <si>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</si>
  <si>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</si>
  <si>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</si>
  <si>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</si>
  <si>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</si>
  <si>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</si>
  <si>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</si>
  <si>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</si>
  <si>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</si>
  <si>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</si>
  <si>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</si>
  <si>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</si>
  <si>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</si>
  <si>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</si>
  <si>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</si>
  <si>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</si>
  <si>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</si>
  <si>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</si>
  <si>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</si>
  <si>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</si>
  <si>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</si>
  <si>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</si>
  <si>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</si>
  <si>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</si>
  <si>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</si>
  <si>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</si>
  <si>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</si>
  <si>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</si>
  <si>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</si>
  <si>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</si>
  <si>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</si>
  <si>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</si>
  <si>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</si>
  <si>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</si>
  <si>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</si>
  <si>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</si>
  <si>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</si>
  <si>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</si>
  <si>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</si>
  <si>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</si>
  <si>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</si>
  <si>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</si>
  <si>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</si>
  <si>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</si>
  <si>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</si>
  <si>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</si>
  <si>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</si>
  <si>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</si>
  <si>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</si>
  <si>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</si>
  <si>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</si>
  <si>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</si>
  <si>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</si>
  <si>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</si>
  <si>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</si>
  <si>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</si>
  <si>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</si>
  <si>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</si>
  <si>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</si>
  <si>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</si>
  <si>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</si>
  <si>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</si>
  <si>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</si>
  <si>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</si>
  <si>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</si>
  <si>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</si>
  <si>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</si>
  <si>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</si>
  <si>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</si>
  <si>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</si>
  <si>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</si>
  <si>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</si>
  <si>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</si>
  <si>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</si>
  <si>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</si>
  <si>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</si>
  <si>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</si>
  <si>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</si>
  <si>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</si>
  <si>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</si>
  <si>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</si>
  <si>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</si>
  <si>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</si>
  <si>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</si>
  <si>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</si>
  <si>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</si>
  <si>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</si>
  <si>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</si>
  <si>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</si>
  <si>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</si>
  <si>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</si>
  <si>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</si>
  <si>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</si>
  <si>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</si>
  <si>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</si>
  <si>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</si>
  <si>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</si>
  <si>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</si>
  <si>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</si>
  <si>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</si>
  <si>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</si>
  <si>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</si>
  <si>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</si>
  <si>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</si>
  <si>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</si>
  <si>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</si>
  <si>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</si>
  <si>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</si>
  <si>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</si>
  <si>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</si>
  <si>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</si>
  <si>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</si>
  <si>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</si>
  <si>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</si>
  <si>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</si>
  <si>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</si>
  <si>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</si>
  <si>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</si>
  <si>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</si>
  <si>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</si>
  <si>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</si>
  <si>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</si>
  <si>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</si>
  <si>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</si>
  <si>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</si>
  <si>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</si>
  <si>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</si>
  <si>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</si>
  <si>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</si>
  <si>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</si>
  <si>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</si>
  <si>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</si>
  <si>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</si>
  <si>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</si>
  <si>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</si>
  <si>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</si>
  <si>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</si>
  <si>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</si>
  <si>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</si>
  <si>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</si>
  <si>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</si>
  <si>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</si>
  <si>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</si>
  <si>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</si>
  <si>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</si>
  <si>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</si>
  <si>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</si>
  <si>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</si>
  <si>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</si>
  <si>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</si>
  <si>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</si>
  <si>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</si>
  <si>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</si>
  <si>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</si>
  <si>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</si>
  <si>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</si>
  <si>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</si>
  <si>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</si>
  <si>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</si>
  <si>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</si>
  <si>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</si>
  <si>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</si>
  <si>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</si>
  <si>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</si>
  <si>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</si>
  <si>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</si>
  <si>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</si>
  <si>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</si>
  <si>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</si>
  <si>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</si>
  <si>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</si>
  <si>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</si>
  <si>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</si>
  <si>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</si>
  <si>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</si>
  <si>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</si>
  <si>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</si>
  <si>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</si>
  <si>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</si>
  <si>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</si>
  <si>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</si>
  <si>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</si>
  <si>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</si>
  <si>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</si>
  <si>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</si>
  <si>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</si>
  <si>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</si>
  <si>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</si>
  <si>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</si>
  <si>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</si>
  <si>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</si>
  <si>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</si>
  <si>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</si>
  <si>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</si>
  <si>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</si>
  <si>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</si>
  <si>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</si>
  <si>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</si>
  <si>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</si>
  <si>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</si>
  <si>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</si>
  <si>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</si>
  <si>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</si>
  <si>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</si>
  <si>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</si>
  <si>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</si>
  <si>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</si>
  <si>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</si>
  <si>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</si>
  <si>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</si>
  <si>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</si>
  <si>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</si>
  <si>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</si>
  <si>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</si>
  <si>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</si>
  <si>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</si>
  <si>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</si>
  <si>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</si>
  <si>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</si>
  <si>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</si>
  <si>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</si>
  <si>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</si>
  <si>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</si>
  <si>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</si>
  <si>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</si>
  <si>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</si>
  <si>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</si>
  <si>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</si>
  <si>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</si>
  <si>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</si>
  <si>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</si>
  <si>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</si>
  <si>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</si>
  <si>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</si>
  <si>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</si>
  <si>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</si>
  <si>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</si>
  <si>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</si>
  <si>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</si>
  <si>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</si>
  <si>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</si>
  <si>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</si>
  <si>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</si>
  <si>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</si>
  <si>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</si>
  <si>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</si>
  <si>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</si>
  <si>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</si>
  <si>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</si>
  <si>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</si>
  <si>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</si>
  <si>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</si>
  <si>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</si>
  <si>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</si>
  <si>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</si>
  <si>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</si>
  <si>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</si>
  <si>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</si>
  <si>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</si>
  <si>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</si>
  <si>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</si>
  <si>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</si>
  <si>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</si>
  <si>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</si>
  <si>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</si>
  <si>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</si>
  <si>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</si>
  <si>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</si>
  <si>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</si>
  <si>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</si>
  <si>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</si>
  <si>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</si>
  <si>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</si>
  <si>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</si>
  <si>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</si>
  <si>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</si>
  <si>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</si>
  <si>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</si>
  <si>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</si>
  <si>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</si>
  <si>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</si>
  <si>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</si>
  <si>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</si>
  <si>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</si>
  <si>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</si>
  <si>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</si>
  <si>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</si>
  <si>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Normalized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</si>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</sst>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1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2015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1</v>
      </c>
      <c r="C8" t="s">
        <v>337</v>
      </c>
      <c r="D8">
        <v>2</v>
      </c>
      <c r="E8" t="s">
        <v>338</v>
      </c>
    </row>
    <row r="10" spans="2:6" x14ac:dyDescent="0.2">
      <c r="C10" t="s">
        <v>12</v>
      </c>
      <c r="E10" t="s">
        <v>22</v>
      </c>
    </row>
    <row r="11" spans="2:6" x14ac:dyDescent="0.2">
      <c r="E11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>
      <selection activeCell="C13" sqref="C13"/>
    </sheetView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0</v>
      </c>
      <c r="E10" s="15" t="s">
        <v>166</v>
      </c>
      <c r="F10" s="15" t="s">
        <v>6</v>
      </c>
      <c r="G10" s="15">
        <f t="shared" si="0"/>
        <v>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-13</v>
      </c>
      <c r="D12" s="15">
        <v>3761</v>
      </c>
      <c r="E12" s="15" t="s">
        <v>166</v>
      </c>
      <c r="F12" s="15" t="s">
        <v>6</v>
      </c>
      <c r="G12" s="15">
        <f t="shared" si="0"/>
        <v>3748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1</v>
      </c>
      <c r="E16" s="21" t="s">
        <v>16</v>
      </c>
      <c r="F16" s="12"/>
      <c r="G16" s="21">
        <f>COUNTIF(G6:G15,"&gt;0")</f>
        <v>1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0</v>
      </c>
      <c r="E25" s="15"/>
      <c r="F25" s="15" t="s">
        <v>6</v>
      </c>
      <c r="G25" s="15">
        <f t="shared" si="2"/>
        <v>0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0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50000</v>
      </c>
      <c r="E39" s="15" t="s">
        <v>166</v>
      </c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51000</v>
      </c>
      <c r="E76" s="15" t="s">
        <v>166</v>
      </c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47" sqref="C47:N48"/>
    </sheetView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3203.3999387586405</v>
      </c>
      <c r="D7" s="89">
        <v>3203.3999387586405</v>
      </c>
      <c r="E7" s="89">
        <v>3203.3999387586405</v>
      </c>
      <c r="F7" s="89">
        <v>3203.3999387586405</v>
      </c>
      <c r="G7" s="89">
        <v>3203.3999387586405</v>
      </c>
      <c r="H7" s="89">
        <v>3203.3999387586405</v>
      </c>
      <c r="I7" s="89">
        <v>3203.3999387586405</v>
      </c>
      <c r="J7" s="89">
        <v>3203.3999387586405</v>
      </c>
      <c r="K7" s="89">
        <v>3203.3999387586405</v>
      </c>
      <c r="L7" s="89">
        <v>3203.3999387586405</v>
      </c>
      <c r="M7" s="89">
        <v>3203.3999387586405</v>
      </c>
      <c r="N7" s="89">
        <v>3203.3999387586405</v>
      </c>
    </row>
    <row r="8" spans="2:14" x14ac:dyDescent="0.2">
      <c r="B8" s="36" t="s">
        <v>106</v>
      </c>
      <c r="C8" s="88">
        <v>2958.1665880602222</v>
      </c>
      <c r="D8" s="89">
        <v>2958.1665880602222</v>
      </c>
      <c r="E8" s="89">
        <v>2958.1665880602222</v>
      </c>
      <c r="F8" s="89">
        <v>2958.1665880602222</v>
      </c>
      <c r="G8" s="89">
        <v>2958.1665880602222</v>
      </c>
      <c r="H8" s="89">
        <v>2958.1665880602222</v>
      </c>
      <c r="I8" s="89">
        <v>2958.1665880602222</v>
      </c>
      <c r="J8" s="89">
        <v>2958.1665880602222</v>
      </c>
      <c r="K8" s="89">
        <v>2958.1665880602222</v>
      </c>
      <c r="L8" s="89">
        <v>2958.1665880602222</v>
      </c>
      <c r="M8" s="89">
        <v>2958.1665880602222</v>
      </c>
      <c r="N8" s="89">
        <v>2958.1665880602222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2010</v>
      </c>
      <c r="E28" s="49"/>
      <c r="F28" s="45">
        <f>basic_info!$D$5-4</f>
        <v>2011</v>
      </c>
      <c r="G28" s="49"/>
      <c r="H28" s="45">
        <f>basic_info!$D$5-3</f>
        <v>2012</v>
      </c>
      <c r="I28" s="49"/>
      <c r="J28" s="45">
        <f>basic_info!$D$5-2</f>
        <v>2013</v>
      </c>
      <c r="K28" s="49"/>
      <c r="L28" s="45">
        <f>basic_info!$D$5-1</f>
        <v>2014</v>
      </c>
      <c r="N28" s="45">
        <f>basic_info!$D$5</f>
        <v>2015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2015</v>
      </c>
      <c r="D30" s="44">
        <v>0.67398288510441784</v>
      </c>
      <c r="E30" s="35">
        <v>400000</v>
      </c>
      <c r="F30" s="47">
        <v>0.7025784495475329</v>
      </c>
      <c r="G30" s="46">
        <v>400000</v>
      </c>
      <c r="H30" s="47">
        <v>0.75974471053693216</v>
      </c>
      <c r="I30" s="46"/>
      <c r="J30" s="47">
        <v>0.84022986680849976</v>
      </c>
      <c r="K30" s="46"/>
      <c r="L30" s="47">
        <v>0.83823708022259424</v>
      </c>
      <c r="M30" s="46"/>
      <c r="N30" s="60"/>
      <c r="O30" s="71" t="s">
        <v>162</v>
      </c>
      <c r="P30" s="41">
        <f>M30+K30+I30+E30+G30</f>
        <v>800000</v>
      </c>
      <c r="Q30" s="70"/>
    </row>
    <row r="31" spans="2:33" x14ac:dyDescent="0.2">
      <c r="B31" s="36"/>
      <c r="C31" s="47">
        <f>basic_info!$D$5+1</f>
        <v>2016</v>
      </c>
      <c r="D31" s="76"/>
      <c r="E31" s="75"/>
      <c r="F31" s="69">
        <v>0.71552384896278387</v>
      </c>
      <c r="G31" s="79">
        <v>400000</v>
      </c>
      <c r="H31" s="61">
        <v>0.73352858177408109</v>
      </c>
      <c r="I31" s="62">
        <v>400000</v>
      </c>
      <c r="J31" s="61">
        <v>0.80596927418180841</v>
      </c>
      <c r="K31" s="62"/>
      <c r="L31" s="61">
        <v>0.7928423142468306</v>
      </c>
      <c r="M31" s="62"/>
      <c r="N31" s="63">
        <v>0.71750585281449886</v>
      </c>
      <c r="O31" s="89"/>
      <c r="P31" s="63">
        <f>O31+M31+K31+I31+G31</f>
        <v>800000</v>
      </c>
    </row>
    <row r="32" spans="2:33" x14ac:dyDescent="0.2">
      <c r="B32" s="36"/>
      <c r="C32" s="47">
        <f>basic_info!$D$5+2</f>
        <v>2017</v>
      </c>
      <c r="D32" s="76"/>
      <c r="E32" s="75"/>
      <c r="F32" s="75"/>
      <c r="G32" s="75"/>
      <c r="H32" s="69">
        <v>0.68859153167605403</v>
      </c>
      <c r="I32" s="79">
        <v>400000</v>
      </c>
      <c r="J32" s="61">
        <v>0.76378054147734653</v>
      </c>
      <c r="K32" s="62">
        <v>400000</v>
      </c>
      <c r="L32" s="61">
        <v>0.76345216251861092</v>
      </c>
      <c r="M32" s="62"/>
      <c r="N32" s="63">
        <v>0.71336651790549455</v>
      </c>
      <c r="O32" s="89"/>
      <c r="P32" s="63">
        <f>O32+M32+K32+I32</f>
        <v>800000</v>
      </c>
    </row>
    <row r="33" spans="2:17" x14ac:dyDescent="0.2">
      <c r="B33" s="36"/>
      <c r="C33" s="47">
        <f>basic_info!$D$5+3</f>
        <v>2018</v>
      </c>
      <c r="D33" s="76"/>
      <c r="E33" s="75"/>
      <c r="F33" s="75"/>
      <c r="G33" s="75"/>
      <c r="H33" s="75"/>
      <c r="I33" s="75"/>
      <c r="J33" s="69">
        <v>0.71205421746969233</v>
      </c>
      <c r="K33" s="79">
        <v>400000</v>
      </c>
      <c r="L33" s="61">
        <v>0.71138841414852361</v>
      </c>
      <c r="M33" s="62">
        <v>400000</v>
      </c>
      <c r="N33" s="63">
        <v>0.70385164023753377</v>
      </c>
      <c r="O33" s="89"/>
      <c r="P33" s="63">
        <f>O33+M33+K33</f>
        <v>800000</v>
      </c>
    </row>
    <row r="34" spans="2:17" x14ac:dyDescent="0.2">
      <c r="B34" s="36"/>
      <c r="C34" s="47">
        <f>basic_info!$D$5+4</f>
        <v>2019</v>
      </c>
      <c r="D34" s="76"/>
      <c r="E34" s="75"/>
      <c r="F34" s="75"/>
      <c r="G34" s="75"/>
      <c r="H34" s="75"/>
      <c r="I34" s="75"/>
      <c r="J34" s="75"/>
      <c r="K34" s="75"/>
      <c r="L34" s="69">
        <v>0.64779822950959209</v>
      </c>
      <c r="M34" s="79">
        <v>400000</v>
      </c>
      <c r="N34" s="63">
        <v>0.70324457323394596</v>
      </c>
      <c r="O34" s="89">
        <v>400000</v>
      </c>
      <c r="P34" s="63">
        <f>O34+M34</f>
        <v>800000</v>
      </c>
    </row>
    <row r="35" spans="2:17" x14ac:dyDescent="0.2">
      <c r="B35" s="37"/>
      <c r="C35" s="72">
        <f>basic_info!$D$5+5</f>
        <v>2020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0.68883503439426419</v>
      </c>
      <c r="O35" s="89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2015</v>
      </c>
      <c r="D36" s="44">
        <v>0.92318454591929922</v>
      </c>
      <c r="E36" s="35">
        <v>300000</v>
      </c>
      <c r="F36" s="73">
        <v>1.0932932166591005</v>
      </c>
      <c r="G36" s="74">
        <v>300000</v>
      </c>
      <c r="H36" s="73">
        <v>1.0797159727823964</v>
      </c>
      <c r="I36" s="74">
        <v>300000</v>
      </c>
      <c r="J36" s="73">
        <v>1.0226750667195514</v>
      </c>
      <c r="K36" s="74">
        <v>300000</v>
      </c>
      <c r="L36" s="66">
        <v>1.0004541227640709</v>
      </c>
      <c r="M36" s="67">
        <v>600000</v>
      </c>
      <c r="N36" s="68"/>
      <c r="O36" s="71" t="s">
        <v>162</v>
      </c>
      <c r="P36" s="41">
        <f>M36+K36+I36+E36+G36</f>
        <v>1800000</v>
      </c>
      <c r="Q36" s="70"/>
    </row>
    <row r="37" spans="2:17" x14ac:dyDescent="0.2">
      <c r="B37" s="36"/>
      <c r="C37" s="47">
        <f>basic_info!$D$5+1</f>
        <v>2016</v>
      </c>
      <c r="D37" s="76"/>
      <c r="E37" s="75"/>
      <c r="F37" s="69">
        <v>1.023757758513093</v>
      </c>
      <c r="G37" s="79">
        <v>300000</v>
      </c>
      <c r="H37" s="61">
        <v>1.057380701748182</v>
      </c>
      <c r="I37" s="62">
        <v>300000</v>
      </c>
      <c r="J37" s="61">
        <v>1.0326319130993309</v>
      </c>
      <c r="K37" s="62">
        <v>300000</v>
      </c>
      <c r="L37" s="61">
        <v>0.98761410383669901</v>
      </c>
      <c r="M37" s="62">
        <v>300000</v>
      </c>
      <c r="N37" s="61">
        <v>1.220323087273776</v>
      </c>
      <c r="O37" s="89">
        <v>600000</v>
      </c>
      <c r="P37" s="63">
        <f>O37+M37+K37+I37+G37</f>
        <v>1800000</v>
      </c>
    </row>
    <row r="38" spans="2:17" x14ac:dyDescent="0.2">
      <c r="B38" s="36"/>
      <c r="C38" s="47">
        <f>basic_info!$D$5+2</f>
        <v>2017</v>
      </c>
      <c r="D38" s="76"/>
      <c r="E38" s="75"/>
      <c r="F38" s="75"/>
      <c r="G38" s="75"/>
      <c r="H38" s="69">
        <v>0.96417330466210838</v>
      </c>
      <c r="I38" s="79">
        <v>300000</v>
      </c>
      <c r="J38" s="61">
        <v>1.0068793309599473</v>
      </c>
      <c r="K38" s="62">
        <v>300000</v>
      </c>
      <c r="L38" s="61">
        <v>0.92888160054944402</v>
      </c>
      <c r="M38" s="62">
        <v>300000</v>
      </c>
      <c r="N38" s="61">
        <v>1.1965873199126678</v>
      </c>
      <c r="O38" s="89">
        <v>300000</v>
      </c>
      <c r="P38" s="63">
        <f>O38+M38+K38+I38</f>
        <v>1200000</v>
      </c>
    </row>
    <row r="39" spans="2:17" x14ac:dyDescent="0.2">
      <c r="B39" s="36"/>
      <c r="C39" s="47">
        <f>basic_info!$D$5+3</f>
        <v>2018</v>
      </c>
      <c r="D39" s="76"/>
      <c r="E39" s="75"/>
      <c r="F39" s="75"/>
      <c r="G39" s="75"/>
      <c r="H39" s="75"/>
      <c r="I39" s="75"/>
      <c r="J39" s="69">
        <v>0.98247019918262957</v>
      </c>
      <c r="K39" s="79">
        <v>300000</v>
      </c>
      <c r="L39" s="61">
        <v>0.89159402523119113</v>
      </c>
      <c r="M39" s="62">
        <v>300000</v>
      </c>
      <c r="N39" s="61">
        <v>1.0960048363700774</v>
      </c>
      <c r="O39" s="89">
        <v>300000</v>
      </c>
      <c r="P39" s="63">
        <f>O39+M39+K39</f>
        <v>900000</v>
      </c>
    </row>
    <row r="40" spans="2:17" x14ac:dyDescent="0.2">
      <c r="B40" s="36"/>
      <c r="C40" s="47">
        <f>basic_info!$D$5+4</f>
        <v>2019</v>
      </c>
      <c r="D40" s="76"/>
      <c r="E40" s="75"/>
      <c r="F40" s="75"/>
      <c r="G40" s="75"/>
      <c r="H40" s="75"/>
      <c r="I40" s="75"/>
      <c r="J40" s="75"/>
      <c r="K40" s="75"/>
      <c r="L40" s="69">
        <v>0.88621167258918288</v>
      </c>
      <c r="M40" s="79">
        <v>300000</v>
      </c>
      <c r="N40" s="61">
        <v>1.056931589689706</v>
      </c>
      <c r="O40" s="89">
        <v>300000</v>
      </c>
      <c r="P40" s="63">
        <f>O40+M40</f>
        <v>600000</v>
      </c>
    </row>
    <row r="41" spans="2:17" x14ac:dyDescent="0.2">
      <c r="B41" s="37"/>
      <c r="C41" s="72">
        <f>basic_info!$D$5+5</f>
        <v>2020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1.0197174708992243</v>
      </c>
      <c r="O41" s="89">
        <v>300000</v>
      </c>
      <c r="P41" s="64">
        <f>O41</f>
        <v>300000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9</v>
      </c>
      <c r="D47" s="92">
        <v>8</v>
      </c>
      <c r="E47" s="92">
        <v>8</v>
      </c>
      <c r="F47" s="92">
        <v>9</v>
      </c>
      <c r="G47" s="92">
        <v>8</v>
      </c>
      <c r="H47" s="92">
        <v>8</v>
      </c>
      <c r="I47" s="92">
        <v>9</v>
      </c>
      <c r="J47" s="92">
        <v>8</v>
      </c>
      <c r="K47" s="92">
        <v>8</v>
      </c>
      <c r="L47" s="92">
        <v>9</v>
      </c>
      <c r="M47" s="92">
        <v>8</v>
      </c>
      <c r="N47" s="92">
        <v>8</v>
      </c>
      <c r="O47" s="33">
        <f>SUM(C47:N47)</f>
        <v>100</v>
      </c>
    </row>
    <row r="48" spans="2:17" x14ac:dyDescent="0.2">
      <c r="B48" s="37" t="s">
        <v>113</v>
      </c>
      <c r="C48" s="92">
        <v>9</v>
      </c>
      <c r="D48" s="92">
        <v>8</v>
      </c>
      <c r="E48" s="92">
        <v>8</v>
      </c>
      <c r="F48" s="92">
        <v>9</v>
      </c>
      <c r="G48" s="92">
        <v>8</v>
      </c>
      <c r="H48" s="92">
        <v>8</v>
      </c>
      <c r="I48" s="92">
        <v>9</v>
      </c>
      <c r="J48" s="92">
        <v>8</v>
      </c>
      <c r="K48" s="92">
        <v>8</v>
      </c>
      <c r="L48" s="92">
        <v>9</v>
      </c>
      <c r="M48" s="92">
        <v>8</v>
      </c>
      <c r="N48" s="92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5" x14ac:dyDescent="0.2">
      <c r="B2" s="28" t="s">
        <v>114</v>
      </c>
    </row>
    <row r="3" spans="2:15" x14ac:dyDescent="0.2">
      <c r="B3" s="30" t="s">
        <v>144</v>
      </c>
    </row>
    <row r="4" spans="2:15" x14ac:dyDescent="0.2">
      <c r="B4" s="48"/>
      <c r="C4" s="48"/>
      <c r="D4" s="48"/>
      <c r="E4" s="48"/>
      <c r="F4" s="48"/>
      <c r="G4" s="49"/>
      <c r="H4" s="49"/>
      <c r="I4" s="49"/>
      <c r="J4" s="49"/>
      <c r="K4" s="49"/>
      <c r="L4" s="49"/>
    </row>
    <row r="5" spans="2:15" x14ac:dyDescent="0.2">
      <c r="B5" s="45" t="s">
        <v>115</v>
      </c>
      <c r="C5" s="45" t="s">
        <v>12</v>
      </c>
      <c r="D5" s="45" t="s">
        <v>22</v>
      </c>
      <c r="E5" s="45" t="s">
        <v>59</v>
      </c>
      <c r="F5" s="45" t="s">
        <v>150</v>
      </c>
      <c r="G5" s="50"/>
      <c r="H5" s="50"/>
      <c r="I5" s="50"/>
      <c r="J5" s="50"/>
      <c r="K5" s="50"/>
      <c r="L5" s="50"/>
      <c r="M5" s="50"/>
      <c r="N5" s="50"/>
      <c r="O5" s="50"/>
    </row>
    <row r="6" spans="2:15" x14ac:dyDescent="0.2">
      <c r="B6" s="45" t="s">
        <v>163</v>
      </c>
      <c r="C6" s="93">
        <v>22.703687822200148</v>
      </c>
      <c r="D6" s="93">
        <v>46.398554530657066</v>
      </c>
      <c r="E6" s="93">
        <v>30.897757647142786</v>
      </c>
      <c r="F6" s="97">
        <f>SUM($C$6:$E$6)</f>
        <v>100</v>
      </c>
      <c r="G6" s="55" t="s">
        <v>339</v>
      </c>
      <c r="H6" s="49"/>
      <c r="I6" s="49"/>
      <c r="J6" s="49"/>
      <c r="K6" s="49"/>
      <c r="L6" s="49"/>
      <c r="M6" s="50"/>
      <c r="N6" s="50"/>
      <c r="O6" s="50"/>
    </row>
    <row r="7" spans="2:15" x14ac:dyDescent="0.2">
      <c r="B7" s="45" t="s">
        <v>105</v>
      </c>
      <c r="C7" s="93">
        <v>0</v>
      </c>
      <c r="D7" s="93">
        <v>7.4281668951134723</v>
      </c>
      <c r="E7" s="93">
        <v>92.571833104886522</v>
      </c>
      <c r="F7" s="97">
        <f>SUM($C$7:$E$7)</f>
        <v>100</v>
      </c>
      <c r="G7" s="55" t="s">
        <v>339</v>
      </c>
      <c r="H7" s="49"/>
      <c r="I7" s="49"/>
      <c r="J7" s="49"/>
      <c r="K7" s="49"/>
      <c r="L7" s="49"/>
      <c r="M7" s="50"/>
      <c r="N7" s="50"/>
      <c r="O7" s="50"/>
    </row>
    <row r="8" spans="2:15" x14ac:dyDescent="0.2">
      <c r="B8" s="45" t="s">
        <v>106</v>
      </c>
      <c r="C8" s="93">
        <v>0</v>
      </c>
      <c r="D8" s="93">
        <v>47.321645007317855</v>
      </c>
      <c r="E8" s="93">
        <v>52.678354992682131</v>
      </c>
      <c r="F8" s="97">
        <f>SUM($C$8:$E$8)</f>
        <v>99.999999999999986</v>
      </c>
      <c r="G8" s="55" t="s">
        <v>339</v>
      </c>
      <c r="H8" s="49"/>
      <c r="I8" s="49"/>
      <c r="J8" s="49"/>
      <c r="K8" s="49"/>
      <c r="L8" s="49"/>
      <c r="M8" s="50"/>
      <c r="N8" s="50"/>
      <c r="O8" s="50"/>
    </row>
    <row r="9" spans="2:15" x14ac:dyDescent="0.2">
      <c r="B9" s="45" t="s">
        <v>107</v>
      </c>
      <c r="C9" s="93"/>
      <c r="D9" s="93"/>
      <c r="E9" s="93"/>
      <c r="F9" s="97">
        <f>SUM($C$9:$E$9)</f>
        <v>0</v>
      </c>
      <c r="G9" s="49"/>
      <c r="H9" s="49"/>
      <c r="I9" s="49"/>
      <c r="J9" s="49"/>
      <c r="K9" s="49"/>
      <c r="L9" s="49"/>
      <c r="M9" s="50"/>
      <c r="N9" s="50"/>
      <c r="O9" s="50"/>
    </row>
    <row r="10" spans="2:15" x14ac:dyDescent="0.2">
      <c r="B10" s="45" t="s">
        <v>108</v>
      </c>
      <c r="C10" s="93"/>
      <c r="D10" s="93"/>
      <c r="E10" s="93"/>
      <c r="F10" s="97">
        <f>SUM($C$10:$E$10)</f>
        <v>0</v>
      </c>
      <c r="G10" s="49"/>
      <c r="H10" s="49"/>
      <c r="I10" s="49"/>
      <c r="J10" s="49"/>
      <c r="K10" s="49"/>
      <c r="L10" s="49"/>
      <c r="M10" s="50"/>
      <c r="N10" s="50"/>
      <c r="O10" s="50"/>
    </row>
    <row r="11" spans="2:15" x14ac:dyDescent="0.2">
      <c r="B11" s="45" t="s">
        <v>109</v>
      </c>
      <c r="C11" s="94"/>
      <c r="D11" s="94"/>
      <c r="E11" s="94"/>
      <c r="F11" s="96">
        <f>SUM($C$11:$E$11)</f>
        <v>0</v>
      </c>
      <c r="G11" s="49"/>
      <c r="H11" s="49"/>
      <c r="I11" s="49"/>
      <c r="J11" s="49"/>
      <c r="K11" s="49"/>
      <c r="L11" s="49"/>
      <c r="M11" s="50"/>
      <c r="N11" s="50"/>
      <c r="O11" s="50"/>
    </row>
    <row r="12" spans="2:15" x14ac:dyDescent="0.2">
      <c r="B12" s="51"/>
      <c r="C12" s="51"/>
      <c r="D12" s="51"/>
      <c r="E12" s="51"/>
      <c r="F12" s="51"/>
      <c r="G12" s="49"/>
      <c r="H12" s="49"/>
      <c r="I12" s="49"/>
      <c r="J12" s="49"/>
      <c r="K12" s="49"/>
      <c r="L12" s="49"/>
      <c r="M12" s="50"/>
      <c r="N12" s="50"/>
      <c r="O12" s="50"/>
    </row>
    <row r="13" spans="2:15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5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5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5" x14ac:dyDescent="0.2">
      <c r="B16" s="31"/>
      <c r="C16" s="31"/>
      <c r="D16" s="31"/>
      <c r="E16" s="50"/>
      <c r="F16" s="50"/>
      <c r="G16" s="50"/>
      <c r="H16" s="50"/>
      <c r="K16" s="50"/>
      <c r="L16" s="50"/>
      <c r="M16" s="50"/>
    </row>
    <row r="17" spans="2:14" x14ac:dyDescent="0.2">
      <c r="B17" s="45" t="s">
        <v>118</v>
      </c>
      <c r="C17" s="45" t="s">
        <v>12</v>
      </c>
      <c r="D17" s="45"/>
      <c r="E17" s="50"/>
      <c r="F17" s="50"/>
      <c r="G17" s="50"/>
      <c r="H17" s="50"/>
      <c r="K17" s="50"/>
      <c r="L17" s="50"/>
      <c r="M17" s="50"/>
    </row>
    <row r="18" spans="2:14" x14ac:dyDescent="0.2">
      <c r="B18" s="45" t="s">
        <v>119</v>
      </c>
      <c r="C18" s="45" t="s">
        <v>133</v>
      </c>
      <c r="D18" s="45" t="s">
        <v>123</v>
      </c>
      <c r="E18" s="50"/>
      <c r="F18" s="50"/>
      <c r="G18" s="50"/>
      <c r="H18" s="50"/>
      <c r="I18" s="50"/>
      <c r="K18" s="50"/>
      <c r="L18" s="50"/>
      <c r="M18" s="50"/>
    </row>
    <row r="19" spans="2:14" x14ac:dyDescent="0.2">
      <c r="B19" s="45" t="s">
        <v>120</v>
      </c>
      <c r="C19" s="94">
        <v>100</v>
      </c>
      <c r="D19" s="33">
        <f>100-$C$19</f>
        <v>0</v>
      </c>
      <c r="K19" s="50"/>
      <c r="L19" s="50"/>
      <c r="M19" s="50"/>
    </row>
    <row r="20" spans="2:14" x14ac:dyDescent="0.2">
      <c r="B20" s="54"/>
      <c r="C20" s="54"/>
      <c r="D20" s="54"/>
      <c r="E20" s="50"/>
      <c r="F20" s="50"/>
      <c r="G20" s="50"/>
      <c r="H20" s="50"/>
      <c r="K20" s="50"/>
      <c r="L20" s="50"/>
      <c r="M20" s="50"/>
    </row>
    <row r="21" spans="2:14" x14ac:dyDescent="0.2">
      <c r="I21" s="50"/>
      <c r="J21" s="50"/>
      <c r="K21" s="50"/>
    </row>
    <row r="22" spans="2:14" x14ac:dyDescent="0.2">
      <c r="B22" s="52" t="s">
        <v>114</v>
      </c>
      <c r="I22" s="50"/>
      <c r="J22" s="50"/>
      <c r="K22" s="50"/>
    </row>
    <row r="23" spans="2:14" x14ac:dyDescent="0.2">
      <c r="B23" s="55" t="s">
        <v>145</v>
      </c>
      <c r="I23" s="50"/>
      <c r="J23" s="50"/>
      <c r="K23" s="50"/>
    </row>
    <row r="24" spans="2:14" x14ac:dyDescent="0.2">
      <c r="B24" s="31"/>
      <c r="C24" s="31"/>
      <c r="D24" s="31"/>
      <c r="E24" s="31"/>
      <c r="L24" s="50"/>
      <c r="M24" s="50"/>
      <c r="N24" s="50"/>
    </row>
    <row r="25" spans="2:14" x14ac:dyDescent="0.2">
      <c r="B25" s="45" t="s">
        <v>121</v>
      </c>
      <c r="C25" s="45" t="s">
        <v>122</v>
      </c>
      <c r="D25" s="45" t="s">
        <v>12</v>
      </c>
      <c r="E25" s="45"/>
      <c r="L25" s="50"/>
      <c r="M25" s="50"/>
      <c r="N25" s="50"/>
    </row>
    <row r="26" spans="2:14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L26" s="50"/>
      <c r="M26" s="50"/>
      <c r="N26" s="50"/>
    </row>
    <row r="27" spans="2:14" x14ac:dyDescent="0.2">
      <c r="B27" s="45" t="s">
        <v>22</v>
      </c>
      <c r="C27" s="93">
        <v>10.386729968289858</v>
      </c>
      <c r="D27" s="93">
        <v>100</v>
      </c>
      <c r="E27" s="93">
        <v>100</v>
      </c>
      <c r="L27" s="50"/>
      <c r="M27" s="50"/>
      <c r="N27" s="50"/>
    </row>
    <row r="28" spans="2:14" x14ac:dyDescent="0.2">
      <c r="B28" s="45" t="s">
        <v>59</v>
      </c>
      <c r="C28" s="93">
        <v>89.613270031710144</v>
      </c>
      <c r="D28" s="93"/>
      <c r="E28" s="93"/>
      <c r="L28" s="50"/>
      <c r="M28" s="50"/>
      <c r="N28" s="50"/>
    </row>
    <row r="29" spans="2:14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6">
        <f>SUM($E$27:$E$28)</f>
        <v>100</v>
      </c>
      <c r="L29" s="50"/>
      <c r="M29" s="50"/>
      <c r="N29" s="50"/>
    </row>
    <row r="30" spans="2:14" x14ac:dyDescent="0.2">
      <c r="B30" s="54"/>
      <c r="C30" s="54"/>
      <c r="D30" s="54"/>
      <c r="E30" s="54"/>
      <c r="L30" s="50"/>
      <c r="M30" s="50"/>
      <c r="N30" s="50"/>
    </row>
    <row r="31" spans="2:14" x14ac:dyDescent="0.2">
      <c r="I31" s="50"/>
      <c r="J31" s="50"/>
      <c r="K31" s="50"/>
    </row>
    <row r="32" spans="2:14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27.54034748087782</v>
      </c>
      <c r="D36" s="93">
        <v>27.54034748087782</v>
      </c>
      <c r="E36" s="93">
        <v>27.54034748087782</v>
      </c>
      <c r="F36" s="93">
        <v>27.54034748087782</v>
      </c>
      <c r="G36" s="93">
        <v>27.54034748087782</v>
      </c>
      <c r="H36" s="93">
        <v>27.54034748087782</v>
      </c>
      <c r="I36" s="93">
        <v>27.54034748087782</v>
      </c>
      <c r="J36" s="93">
        <v>27.54034748087782</v>
      </c>
      <c r="K36" s="93">
        <v>27.54034748087782</v>
      </c>
      <c r="L36" s="93">
        <v>27.54034748087782</v>
      </c>
      <c r="M36" s="93">
        <v>27.54034748087782</v>
      </c>
      <c r="N36" s="95">
        <v>27.54034748087782</v>
      </c>
    </row>
    <row r="37" spans="2:14" x14ac:dyDescent="0.2">
      <c r="B37" s="45" t="s">
        <v>59</v>
      </c>
      <c r="C37" s="94">
        <v>43.062944370491799</v>
      </c>
      <c r="D37" s="94">
        <v>43.06294437049182</v>
      </c>
      <c r="E37" s="94">
        <v>43.06294437049182</v>
      </c>
      <c r="F37" s="94">
        <v>43.06294437049182</v>
      </c>
      <c r="G37" s="94">
        <v>43.06294437049182</v>
      </c>
      <c r="H37" s="94">
        <v>43.06294437049182</v>
      </c>
      <c r="I37" s="94">
        <v>43.06294437049182</v>
      </c>
      <c r="J37" s="94">
        <v>43.06294437049182</v>
      </c>
      <c r="K37" s="94">
        <v>43.06294437049182</v>
      </c>
      <c r="L37" s="94">
        <v>43.06294437049182</v>
      </c>
      <c r="M37" s="94">
        <v>43.06294437049182</v>
      </c>
      <c r="N37" s="89">
        <v>43.062944370491799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E11 C19 C27:E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D33" sqref="D33:O39"/>
    </sheetView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3.5401107557824121</v>
      </c>
      <c r="E6" s="89">
        <v>3.0866490383141914</v>
      </c>
      <c r="F6" s="89">
        <v>2.0425745579542873</v>
      </c>
      <c r="G6" s="89">
        <v>1.5097802616059544</v>
      </c>
      <c r="H6" s="89">
        <v>2.2544977000022342</v>
      </c>
      <c r="I6" s="89">
        <v>2.0720950008824257</v>
      </c>
      <c r="J6" s="89">
        <v>2.2817240912740289</v>
      </c>
      <c r="K6" s="89">
        <v>1.4989342804667465</v>
      </c>
      <c r="L6" s="89">
        <v>1.5805613663944622</v>
      </c>
      <c r="M6" s="89">
        <v>2.216419652611787</v>
      </c>
      <c r="N6" s="89">
        <v>3.2261209327634366</v>
      </c>
      <c r="O6" s="89">
        <v>2.5661590282298228</v>
      </c>
    </row>
    <row r="7" spans="2:15" x14ac:dyDescent="0.2">
      <c r="C7" s="36" t="s">
        <v>127</v>
      </c>
      <c r="D7" s="89">
        <v>3.0160419047256171</v>
      </c>
      <c r="E7" s="89">
        <v>2.577329618192568</v>
      </c>
      <c r="F7" s="89">
        <v>1.0669700035519627</v>
      </c>
      <c r="G7" s="89">
        <v>2.5283076723151825</v>
      </c>
      <c r="H7" s="89">
        <v>2.414846545862634</v>
      </c>
      <c r="I7" s="89">
        <v>2.9149669232989908</v>
      </c>
      <c r="J7" s="89">
        <v>2.9669780644560984</v>
      </c>
      <c r="K7" s="89">
        <v>3.2243762206312505</v>
      </c>
      <c r="L7" s="89">
        <v>2.4730195117405405</v>
      </c>
      <c r="M7" s="89">
        <v>1.0396990163290549</v>
      </c>
      <c r="N7" s="89">
        <v>1.2054983144424616</v>
      </c>
      <c r="O7" s="89">
        <v>2.6870462430545214</v>
      </c>
    </row>
    <row r="8" spans="2:15" x14ac:dyDescent="0.2">
      <c r="C8" s="36" t="s">
        <v>128</v>
      </c>
      <c r="D8" s="89">
        <v>3.2720500813632576</v>
      </c>
      <c r="E8" s="89">
        <v>2.0358293843456581</v>
      </c>
      <c r="F8" s="89">
        <v>1.832522483816265</v>
      </c>
      <c r="G8" s="89">
        <v>1.6841095069388858</v>
      </c>
      <c r="H8" s="89">
        <v>2.6401218223632448</v>
      </c>
      <c r="I8" s="89">
        <v>1.3904802756160539</v>
      </c>
      <c r="J8" s="89">
        <v>2.5229472615590147</v>
      </c>
      <c r="K8" s="89">
        <v>2.1028230460036692</v>
      </c>
      <c r="L8" s="89">
        <v>2.4415337078919359</v>
      </c>
      <c r="M8" s="89">
        <v>3.3394861361336563</v>
      </c>
      <c r="N8" s="89">
        <v>1.6837892240758507</v>
      </c>
      <c r="O8" s="89">
        <v>1.8067546412964322</v>
      </c>
    </row>
    <row r="9" spans="2:15" x14ac:dyDescent="0.2">
      <c r="C9" s="36" t="s">
        <v>129</v>
      </c>
      <c r="D9" s="89">
        <v>3.3481814843067896</v>
      </c>
      <c r="E9" s="89">
        <v>3.3616993082083844</v>
      </c>
      <c r="F9" s="89">
        <v>1.1611691003267832</v>
      </c>
      <c r="G9" s="89">
        <v>2.3585674365475677</v>
      </c>
      <c r="H9" s="89">
        <v>1.9457557577174169</v>
      </c>
      <c r="I9" s="89">
        <v>3.5949442094316582</v>
      </c>
      <c r="J9" s="89">
        <v>3.3035095003274888</v>
      </c>
      <c r="K9" s="89">
        <v>3.0277023159566467</v>
      </c>
      <c r="L9" s="89">
        <v>2.27769048247543</v>
      </c>
      <c r="M9" s="89">
        <v>3.5928442854912919</v>
      </c>
      <c r="N9" s="89">
        <v>1.1121168654666862</v>
      </c>
      <c r="O9" s="89">
        <v>2.6121289837272026</v>
      </c>
    </row>
    <row r="10" spans="2:15" x14ac:dyDescent="0.2">
      <c r="C10" s="36" t="s">
        <v>130</v>
      </c>
      <c r="D10" s="89">
        <v>1.3416993422749979</v>
      </c>
      <c r="E10" s="89">
        <v>1.3352506207725445</v>
      </c>
      <c r="F10" s="89">
        <v>1.7539008724129923</v>
      </c>
      <c r="G10" s="89">
        <v>1.9326898699972155</v>
      </c>
      <c r="H10" s="89">
        <v>1.4086545888607007</v>
      </c>
      <c r="I10" s="89">
        <v>1.2179255933894499</v>
      </c>
      <c r="J10" s="89">
        <v>3.2874189944365741</v>
      </c>
      <c r="K10" s="89">
        <v>3.496112498287272</v>
      </c>
      <c r="L10" s="89">
        <v>3.0839652534945952</v>
      </c>
      <c r="M10" s="89">
        <v>1.4709137942223942</v>
      </c>
      <c r="N10" s="89">
        <v>3.5552775175666294</v>
      </c>
      <c r="O10" s="89">
        <v>2.8391615957447023</v>
      </c>
    </row>
    <row r="11" spans="2:15" x14ac:dyDescent="0.2">
      <c r="C11" s="36" t="s">
        <v>131</v>
      </c>
      <c r="D11" s="89">
        <v>3.2235412241886898</v>
      </c>
      <c r="E11" s="89">
        <v>2.5088639914852076</v>
      </c>
      <c r="F11" s="89">
        <v>2.4933314064885845</v>
      </c>
      <c r="G11" s="89">
        <v>1.9653088629980706</v>
      </c>
      <c r="H11" s="89">
        <v>2.1535739145181081</v>
      </c>
      <c r="I11" s="89">
        <v>1.6084083376277387</v>
      </c>
      <c r="J11" s="89">
        <v>3.3211234111159595</v>
      </c>
      <c r="K11" s="89">
        <v>2.2540319040785404</v>
      </c>
      <c r="L11" s="89">
        <v>1.7044894611840145</v>
      </c>
      <c r="M11" s="89">
        <v>2.4036405372574077</v>
      </c>
      <c r="N11" s="89">
        <v>3.170107741726615</v>
      </c>
      <c r="O11" s="89">
        <v>3.5969794204568308</v>
      </c>
    </row>
    <row r="12" spans="2:15" x14ac:dyDescent="0.2">
      <c r="C12" s="37" t="s">
        <v>132</v>
      </c>
      <c r="D12" s="89">
        <v>1.9306537140339839</v>
      </c>
      <c r="E12" s="89">
        <v>1.3411483074904007</v>
      </c>
      <c r="F12" s="89">
        <v>1.8428000118433827</v>
      </c>
      <c r="G12" s="89">
        <v>2.6980786015421709</v>
      </c>
      <c r="H12" s="89">
        <v>2.4302417800566989</v>
      </c>
      <c r="I12" s="89">
        <v>3.4375413664251657</v>
      </c>
      <c r="J12" s="89">
        <v>2.4366815762116736</v>
      </c>
      <c r="K12" s="89">
        <v>2.3754439532201115</v>
      </c>
      <c r="L12" s="89">
        <v>3.3448877420710383</v>
      </c>
      <c r="M12" s="89">
        <v>2.3044296745022876</v>
      </c>
      <c r="N12" s="89">
        <v>2.9793412366894891</v>
      </c>
      <c r="O12" s="89">
        <v>2.3717726595584896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2.1423922664137827</v>
      </c>
      <c r="E15" s="89">
        <v>1.2959737081562266</v>
      </c>
      <c r="F15" s="89">
        <v>3.5093205755151611</v>
      </c>
      <c r="G15" s="89">
        <v>1.8893285296821496</v>
      </c>
      <c r="H15" s="89">
        <v>3.1800718760351678</v>
      </c>
      <c r="I15" s="89">
        <v>1.5276780015697191</v>
      </c>
      <c r="J15" s="89">
        <v>2.930932956523967</v>
      </c>
      <c r="K15" s="89">
        <v>1.2702074599376625</v>
      </c>
      <c r="L15" s="89">
        <v>1.1416289654748526</v>
      </c>
      <c r="M15" s="89">
        <v>2.502000560169372</v>
      </c>
      <c r="N15" s="89">
        <v>2.2433452690124587</v>
      </c>
      <c r="O15" s="89">
        <v>2.4806244344205108</v>
      </c>
    </row>
    <row r="16" spans="2:15" x14ac:dyDescent="0.2">
      <c r="C16" s="36" t="s">
        <v>127</v>
      </c>
      <c r="D16" s="89">
        <v>2.2865117065980165</v>
      </c>
      <c r="E16" s="89">
        <v>3.0761910197565059</v>
      </c>
      <c r="F16" s="89">
        <v>2.4960875030395639</v>
      </c>
      <c r="G16" s="89">
        <v>3.1991040414541492</v>
      </c>
      <c r="H16" s="89">
        <v>2.8857673355193594</v>
      </c>
      <c r="I16" s="89">
        <v>3.0443464227413393</v>
      </c>
      <c r="J16" s="89">
        <v>1.3456213599957256</v>
      </c>
      <c r="K16" s="89">
        <v>3.3919724880584301</v>
      </c>
      <c r="L16" s="89">
        <v>3.3790947562983744</v>
      </c>
      <c r="M16" s="89">
        <v>3.5811399847769736</v>
      </c>
      <c r="N16" s="89">
        <v>1.1094794708596598</v>
      </c>
      <c r="O16" s="89">
        <v>1.0692730221713473</v>
      </c>
    </row>
    <row r="17" spans="2:15" x14ac:dyDescent="0.2">
      <c r="C17" s="36" t="s">
        <v>128</v>
      </c>
      <c r="D17" s="89">
        <v>1.0788786625191176</v>
      </c>
      <c r="E17" s="89">
        <v>2.2721731118917017</v>
      </c>
      <c r="F17" s="89">
        <v>3.0574798357731323</v>
      </c>
      <c r="G17" s="89">
        <v>2.2958365369359113</v>
      </c>
      <c r="H17" s="89">
        <v>2.7570912823939633</v>
      </c>
      <c r="I17" s="89">
        <v>1.0668847852520229</v>
      </c>
      <c r="J17" s="89">
        <v>2.2601603494241473</v>
      </c>
      <c r="K17" s="89">
        <v>2.669586198940419</v>
      </c>
      <c r="L17" s="89">
        <v>2.1450136303637786</v>
      </c>
      <c r="M17" s="89">
        <v>2.4793391192375878</v>
      </c>
      <c r="N17" s="89">
        <v>1.4204240343151104</v>
      </c>
      <c r="O17" s="89">
        <v>2.712643707032234</v>
      </c>
    </row>
    <row r="18" spans="2:15" x14ac:dyDescent="0.2">
      <c r="C18" s="36" t="s">
        <v>129</v>
      </c>
      <c r="D18" s="89">
        <v>1.3835672502273226</v>
      </c>
      <c r="E18" s="89">
        <v>2.7028707261349787</v>
      </c>
      <c r="F18" s="89">
        <v>3.1000405462825742</v>
      </c>
      <c r="G18" s="89">
        <v>3.4949707335807902</v>
      </c>
      <c r="H18" s="89">
        <v>1.8749962584289994</v>
      </c>
      <c r="I18" s="89">
        <v>1.9188799859974224</v>
      </c>
      <c r="J18" s="89">
        <v>2.5019798483326054</v>
      </c>
      <c r="K18" s="89">
        <v>2.0151653889620613</v>
      </c>
      <c r="L18" s="89">
        <v>2.2846261511393617</v>
      </c>
      <c r="M18" s="89">
        <v>1.7180567366634927</v>
      </c>
      <c r="N18" s="89">
        <v>2.0513096013951486</v>
      </c>
      <c r="O18" s="89">
        <v>2.5064896845577045</v>
      </c>
    </row>
    <row r="19" spans="2:15" x14ac:dyDescent="0.2">
      <c r="C19" s="36" t="s">
        <v>130</v>
      </c>
      <c r="D19" s="89">
        <v>2.4481388348452615</v>
      </c>
      <c r="E19" s="89">
        <v>2.0795706203110265</v>
      </c>
      <c r="F19" s="89">
        <v>2.5652036431920093</v>
      </c>
      <c r="G19" s="89">
        <v>2.9158347897502108</v>
      </c>
      <c r="H19" s="89">
        <v>3.0710718566563453</v>
      </c>
      <c r="I19" s="89">
        <v>1.2000993673182372</v>
      </c>
      <c r="J19" s="89">
        <v>3.5922344922753524</v>
      </c>
      <c r="K19" s="89">
        <v>1.6879011638920716</v>
      </c>
      <c r="L19" s="89">
        <v>3.4060127533766189</v>
      </c>
      <c r="M19" s="89">
        <v>2.7432400487020749</v>
      </c>
      <c r="N19" s="89">
        <v>3.3272437246062925</v>
      </c>
      <c r="O19" s="89">
        <v>2.939922517314876</v>
      </c>
    </row>
    <row r="20" spans="2:15" x14ac:dyDescent="0.2">
      <c r="C20" s="36" t="s">
        <v>131</v>
      </c>
      <c r="D20" s="89">
        <v>2.5202521749674869</v>
      </c>
      <c r="E20" s="89">
        <v>1.3808439918572899</v>
      </c>
      <c r="F20" s="89">
        <v>1.1011229947331305</v>
      </c>
      <c r="G20" s="89">
        <v>1.9522744955143283</v>
      </c>
      <c r="H20" s="89">
        <v>1.0829019951720367</v>
      </c>
      <c r="I20" s="89">
        <v>2.5534038917684678</v>
      </c>
      <c r="J20" s="89">
        <v>1.8387053206685755</v>
      </c>
      <c r="K20" s="89">
        <v>1.9701652116922515</v>
      </c>
      <c r="L20" s="89">
        <v>1.3432783498834751</v>
      </c>
      <c r="M20" s="89">
        <v>2.2832360520965835</v>
      </c>
      <c r="N20" s="89">
        <v>1.5738627939776226</v>
      </c>
      <c r="O20" s="89">
        <v>3.0035498619010346</v>
      </c>
    </row>
    <row r="21" spans="2:15" x14ac:dyDescent="0.2">
      <c r="C21" s="37" t="s">
        <v>132</v>
      </c>
      <c r="D21" s="89">
        <v>1.523161942607183</v>
      </c>
      <c r="E21" s="89">
        <v>1.5765459432553641</v>
      </c>
      <c r="F21" s="89">
        <v>1.125551303557855</v>
      </c>
      <c r="G21" s="89">
        <v>3.1444666663550289</v>
      </c>
      <c r="H21" s="89">
        <v>1.7809949061086936</v>
      </c>
      <c r="I21" s="89">
        <v>1.5824089613355521</v>
      </c>
      <c r="J21" s="89">
        <v>2.4698312790256471</v>
      </c>
      <c r="K21" s="89">
        <v>1.9989693662389258</v>
      </c>
      <c r="L21" s="89">
        <v>1.6170734003709328</v>
      </c>
      <c r="M21" s="89">
        <v>1.1110926313550673</v>
      </c>
      <c r="N21" s="89">
        <v>2.850805197393981</v>
      </c>
      <c r="O21" s="89">
        <v>1.6003034673895813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1.2206516357600274</v>
      </c>
      <c r="E24" s="89">
        <v>1.3714544667884601</v>
      </c>
      <c r="F24" s="89">
        <v>2.7552347249175</v>
      </c>
      <c r="G24" s="89">
        <v>2.7885856838248344</v>
      </c>
      <c r="H24" s="89">
        <v>3.467193370747248</v>
      </c>
      <c r="I24" s="89">
        <v>3.2283519102753608</v>
      </c>
      <c r="J24" s="89">
        <v>1.4311211175710743</v>
      </c>
      <c r="K24" s="89">
        <v>1.6180686186673001</v>
      </c>
      <c r="L24" s="89">
        <v>3.1456053248251239</v>
      </c>
      <c r="M24" s="89">
        <v>1.1306978906525669</v>
      </c>
      <c r="N24" s="89">
        <v>2.2926476135213787</v>
      </c>
      <c r="O24" s="89">
        <v>2.9631187635881258</v>
      </c>
    </row>
    <row r="25" spans="2:15" x14ac:dyDescent="0.2">
      <c r="C25" s="36" t="s">
        <v>127</v>
      </c>
      <c r="D25" s="89">
        <v>2.2096391736669734</v>
      </c>
      <c r="E25" s="89">
        <v>2.130761357750822</v>
      </c>
      <c r="F25" s="89">
        <v>2.6128792132735152</v>
      </c>
      <c r="G25" s="89">
        <v>3.0532780177232861</v>
      </c>
      <c r="H25" s="89">
        <v>3.1895991674839075</v>
      </c>
      <c r="I25" s="89">
        <v>3.2161853331933155</v>
      </c>
      <c r="J25" s="89">
        <v>3.2373553954434597</v>
      </c>
      <c r="K25" s="89">
        <v>2.152089867755282</v>
      </c>
      <c r="L25" s="89">
        <v>2.5557028878312575</v>
      </c>
      <c r="M25" s="89">
        <v>2.1555457712079629</v>
      </c>
      <c r="N25" s="89">
        <v>1.2154733357085707</v>
      </c>
      <c r="O25" s="89">
        <v>1.6159866373174063</v>
      </c>
    </row>
    <row r="26" spans="2:15" x14ac:dyDescent="0.2">
      <c r="C26" s="36" t="s">
        <v>128</v>
      </c>
      <c r="D26" s="89">
        <v>1.3164541109964643</v>
      </c>
      <c r="E26" s="89">
        <v>1.5582073342365836</v>
      </c>
      <c r="F26" s="89">
        <v>2.7996430007556441</v>
      </c>
      <c r="G26" s="89">
        <v>2.7994719173804663</v>
      </c>
      <c r="H26" s="89">
        <v>2.9585740496124471</v>
      </c>
      <c r="I26" s="89">
        <v>3.5645209906211326</v>
      </c>
      <c r="J26" s="89">
        <v>2.9624610396165392</v>
      </c>
      <c r="K26" s="89">
        <v>1.1547218944448647</v>
      </c>
      <c r="L26" s="89">
        <v>2.0708154474179166</v>
      </c>
      <c r="M26" s="89">
        <v>3.2689630709562301</v>
      </c>
      <c r="N26" s="89">
        <v>1.8138677610983156</v>
      </c>
      <c r="O26" s="89">
        <v>2.4519797922569224</v>
      </c>
    </row>
    <row r="27" spans="2:15" x14ac:dyDescent="0.2">
      <c r="C27" s="36" t="s">
        <v>129</v>
      </c>
      <c r="D27" s="89">
        <v>1.8702664130756488</v>
      </c>
      <c r="E27" s="89">
        <v>1.5309626200591353</v>
      </c>
      <c r="F27" s="89">
        <v>1.9437225280309898</v>
      </c>
      <c r="G27" s="89">
        <v>3.3503757994513346</v>
      </c>
      <c r="H27" s="89">
        <v>3.1501048962872962</v>
      </c>
      <c r="I27" s="89">
        <v>2.8385865897347009</v>
      </c>
      <c r="J27" s="89">
        <v>1.2712012608218206</v>
      </c>
      <c r="K27" s="89">
        <v>3.2361728838136852</v>
      </c>
      <c r="L27" s="89">
        <v>3.3060748115204874</v>
      </c>
      <c r="M27" s="89">
        <v>2.7790582888962656</v>
      </c>
      <c r="N27" s="89">
        <v>2.6099633720192159</v>
      </c>
      <c r="O27" s="89">
        <v>1.5381478243722138</v>
      </c>
    </row>
    <row r="28" spans="2:15" x14ac:dyDescent="0.2">
      <c r="C28" s="36" t="s">
        <v>130</v>
      </c>
      <c r="D28" s="89">
        <v>2.5533921656081988</v>
      </c>
      <c r="E28" s="89">
        <v>3.5302987118094626</v>
      </c>
      <c r="F28" s="89">
        <v>1.4312770534921639</v>
      </c>
      <c r="G28" s="89">
        <v>1.9955937081210235</v>
      </c>
      <c r="H28" s="89">
        <v>2.0613456795256031</v>
      </c>
      <c r="I28" s="89">
        <v>1.8023429996628828</v>
      </c>
      <c r="J28" s="89">
        <v>3.2843176896988671</v>
      </c>
      <c r="K28" s="89">
        <v>1.963967419711155</v>
      </c>
      <c r="L28" s="89">
        <v>2.8455451866143289</v>
      </c>
      <c r="M28" s="89">
        <v>2.9543354217756987</v>
      </c>
      <c r="N28" s="89">
        <v>1.9088348663720744</v>
      </c>
      <c r="O28" s="89">
        <v>3.1502299730053247</v>
      </c>
    </row>
    <row r="29" spans="2:15" x14ac:dyDescent="0.2">
      <c r="C29" s="36" t="s">
        <v>131</v>
      </c>
      <c r="D29" s="89">
        <v>3.3994657961999684</v>
      </c>
      <c r="E29" s="89">
        <v>1.7816323862202308</v>
      </c>
      <c r="F29" s="89">
        <v>1.2876461940788906</v>
      </c>
      <c r="G29" s="89">
        <v>2.4114962451256519</v>
      </c>
      <c r="H29" s="89">
        <v>2.0917861849523502</v>
      </c>
      <c r="I29" s="89">
        <v>3.0348945224808417</v>
      </c>
      <c r="J29" s="89">
        <v>2.6319743644809441</v>
      </c>
      <c r="K29" s="89">
        <v>1.7890205616054615</v>
      </c>
      <c r="L29" s="89">
        <v>1.2331075123680533</v>
      </c>
      <c r="M29" s="89">
        <v>1.4365534941982634</v>
      </c>
      <c r="N29" s="89">
        <v>2.2956659339676539</v>
      </c>
      <c r="O29" s="89">
        <v>3.2376576494768705</v>
      </c>
    </row>
    <row r="30" spans="2:15" x14ac:dyDescent="0.2">
      <c r="C30" s="37" t="s">
        <v>132</v>
      </c>
      <c r="D30" s="89">
        <v>3.1809669217580971</v>
      </c>
      <c r="E30" s="89">
        <v>2.7284420323669334</v>
      </c>
      <c r="F30" s="89">
        <v>2.5781866168748264</v>
      </c>
      <c r="G30" s="89">
        <v>1.3674683453887053</v>
      </c>
      <c r="H30" s="89">
        <v>3.4422890802135773</v>
      </c>
      <c r="I30" s="89">
        <v>1.5327150373059337</v>
      </c>
      <c r="J30" s="89">
        <v>1.8765758169181306</v>
      </c>
      <c r="K30" s="89">
        <v>1.6704470260914024</v>
      </c>
      <c r="L30" s="89">
        <v>1.9431954587992935</v>
      </c>
      <c r="M30" s="89">
        <v>1.8425072875737261</v>
      </c>
      <c r="N30" s="89">
        <v>2.0090355038332999</v>
      </c>
      <c r="O30" s="89">
        <v>1.0075979318978794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3.3760294982479446</v>
      </c>
      <c r="E33" s="89">
        <v>3.4253846968196893</v>
      </c>
      <c r="F33" s="89">
        <v>2.6034116819278093</v>
      </c>
      <c r="G33" s="89">
        <v>1.4348121700821808</v>
      </c>
      <c r="H33" s="89">
        <v>3.2274956005272282</v>
      </c>
      <c r="I33" s="89">
        <v>2.042396599570854</v>
      </c>
      <c r="J33" s="89">
        <v>2.9035686550578768</v>
      </c>
      <c r="K33" s="89">
        <v>2.5703237292587993</v>
      </c>
      <c r="L33" s="89">
        <v>1.3686991517053695</v>
      </c>
      <c r="M33" s="89">
        <v>3.2578447691258487</v>
      </c>
      <c r="N33" s="89">
        <v>1.4445228057908266</v>
      </c>
      <c r="O33" s="89">
        <v>2.3813478682690454</v>
      </c>
    </row>
    <row r="34" spans="3:15" x14ac:dyDescent="0.2">
      <c r="C34" s="36" t="s">
        <v>127</v>
      </c>
      <c r="D34" s="89">
        <v>3.118735431508143</v>
      </c>
      <c r="E34" s="89">
        <v>1.5464434217571745</v>
      </c>
      <c r="F34" s="89">
        <v>3.0115390110209121</v>
      </c>
      <c r="G34" s="89">
        <v>3.1488275950938638</v>
      </c>
      <c r="H34" s="89">
        <v>1.9323589885335091</v>
      </c>
      <c r="I34" s="89">
        <v>1.3272864892485807</v>
      </c>
      <c r="J34" s="89">
        <v>3.297534381977687</v>
      </c>
      <c r="K34" s="89">
        <v>1.8755327819510141</v>
      </c>
      <c r="L34" s="89">
        <v>3.3377377765530212</v>
      </c>
      <c r="M34" s="89">
        <v>1.547754503169398</v>
      </c>
      <c r="N34" s="89">
        <v>1.4378090341002869</v>
      </c>
      <c r="O34" s="89">
        <v>1.5263871290321422</v>
      </c>
    </row>
    <row r="35" spans="3:15" x14ac:dyDescent="0.2">
      <c r="C35" s="36" t="s">
        <v>128</v>
      </c>
      <c r="D35" s="89">
        <v>2.2838047140847006</v>
      </c>
      <c r="E35" s="89">
        <v>1.0851180457970802</v>
      </c>
      <c r="F35" s="89">
        <v>3.2954896654731001</v>
      </c>
      <c r="G35" s="89">
        <v>1.1108600976439995</v>
      </c>
      <c r="H35" s="89">
        <v>1.2013070273376159</v>
      </c>
      <c r="I35" s="89">
        <v>1.7698368183637141</v>
      </c>
      <c r="J35" s="89">
        <v>3.0450982162038827</v>
      </c>
      <c r="K35" s="89">
        <v>1.2337242758602387</v>
      </c>
      <c r="L35" s="89">
        <v>1.5649223129852841</v>
      </c>
      <c r="M35" s="89">
        <v>2.5768169751174796</v>
      </c>
      <c r="N35" s="89">
        <v>3.2492683536586044</v>
      </c>
      <c r="O35" s="89">
        <v>3.0097353539530167</v>
      </c>
    </row>
    <row r="36" spans="3:15" x14ac:dyDescent="0.2">
      <c r="C36" s="36" t="s">
        <v>129</v>
      </c>
      <c r="D36" s="89">
        <v>2.6253456273204376</v>
      </c>
      <c r="E36" s="89">
        <v>1.3471314986391199</v>
      </c>
      <c r="F36" s="89">
        <v>3.1288152188637861</v>
      </c>
      <c r="G36" s="89">
        <v>2.340024855081134</v>
      </c>
      <c r="H36" s="89">
        <v>2.463524014569574</v>
      </c>
      <c r="I36" s="89">
        <v>3.0489756586371648</v>
      </c>
      <c r="J36" s="89">
        <v>2.442324699325868</v>
      </c>
      <c r="K36" s="89">
        <v>2.937060872736069</v>
      </c>
      <c r="L36" s="89">
        <v>3.3544191604689315</v>
      </c>
      <c r="M36" s="89">
        <v>1.0135233950377691</v>
      </c>
      <c r="N36" s="89">
        <v>1.5171581587424796</v>
      </c>
      <c r="O36" s="89">
        <v>3.304884034185577</v>
      </c>
    </row>
    <row r="37" spans="3:15" x14ac:dyDescent="0.2">
      <c r="C37" s="36" t="s">
        <v>130</v>
      </c>
      <c r="D37" s="89">
        <v>1.6465930582214463</v>
      </c>
      <c r="E37" s="89">
        <v>1.6115617594986456</v>
      </c>
      <c r="F37" s="89">
        <v>2.4693921386877529</v>
      </c>
      <c r="G37" s="89">
        <v>2.1243237894451701</v>
      </c>
      <c r="H37" s="89">
        <v>2.7544994928619415</v>
      </c>
      <c r="I37" s="89">
        <v>1.2260274717203097</v>
      </c>
      <c r="J37" s="89">
        <v>1.0298822189527004</v>
      </c>
      <c r="K37" s="89">
        <v>2.674691589523249</v>
      </c>
      <c r="L37" s="89">
        <v>2.8630117101511106</v>
      </c>
      <c r="M37" s="89">
        <v>2.7559133541589098</v>
      </c>
      <c r="N37" s="89">
        <v>1.4266672879717173</v>
      </c>
      <c r="O37" s="89">
        <v>3.0779060112625003</v>
      </c>
    </row>
    <row r="38" spans="3:15" x14ac:dyDescent="0.2">
      <c r="C38" s="36" t="s">
        <v>131</v>
      </c>
      <c r="D38" s="89">
        <v>2.5724665791131853</v>
      </c>
      <c r="E38" s="89">
        <v>2.2168704988526455</v>
      </c>
      <c r="F38" s="89">
        <v>2.2420335987829043</v>
      </c>
      <c r="G38" s="89">
        <v>1.5686253858330925</v>
      </c>
      <c r="H38" s="89">
        <v>3.3899873412607437</v>
      </c>
      <c r="I38" s="89">
        <v>1.191074466283667</v>
      </c>
      <c r="J38" s="89">
        <v>1.2378317999294992</v>
      </c>
      <c r="K38" s="89">
        <v>2.9696607094803325</v>
      </c>
      <c r="L38" s="89">
        <v>1.7465365974497717</v>
      </c>
      <c r="M38" s="89">
        <v>2.2586014799989482</v>
      </c>
      <c r="N38" s="89">
        <v>2.1951896361085375</v>
      </c>
      <c r="O38" s="89">
        <v>1.4427904325652297</v>
      </c>
    </row>
    <row r="39" spans="3:15" x14ac:dyDescent="0.2">
      <c r="C39" s="37" t="s">
        <v>132</v>
      </c>
      <c r="D39" s="89">
        <v>2.8632686550754531</v>
      </c>
      <c r="E39" s="89">
        <v>3.4895359268490398</v>
      </c>
      <c r="F39" s="89">
        <v>2.2230647085081294</v>
      </c>
      <c r="G39" s="89">
        <v>2.6986510770961152</v>
      </c>
      <c r="H39" s="89">
        <v>1.2657200697469402</v>
      </c>
      <c r="I39" s="89">
        <v>3.476158563206011</v>
      </c>
      <c r="J39" s="89">
        <v>2.3383225292310144</v>
      </c>
      <c r="K39" s="89">
        <v>2.1449784110078536</v>
      </c>
      <c r="L39" s="89">
        <v>3.0395580241272433</v>
      </c>
      <c r="M39" s="89">
        <v>2.0060353064683722</v>
      </c>
      <c r="N39" s="89">
        <v>3.4854130783453297</v>
      </c>
      <c r="O39" s="89">
        <v>3.2925298098746838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414</v>
      </c>
      <c r="D3" s="187"/>
      <c r="E3" s="187"/>
      <c r="F3" s="187"/>
      <c r="G3" s="187"/>
    </row>
    <row r="5" spans="1:20" ht="15.75" x14ac:dyDescent="0.25">
      <c r="A5" s="188" t="s">
        <v>353</v>
      </c>
      <c r="B5" s="189"/>
      <c r="G5" s="190"/>
      <c r="L5" s="188" t="s">
        <v>354</v>
      </c>
      <c r="M5" s="189"/>
      <c r="R5" s="190"/>
    </row>
    <row r="6" spans="1:20" x14ac:dyDescent="0.2">
      <c r="A6" s="191" t="s">
        <v>355</v>
      </c>
      <c r="B6" s="189"/>
      <c r="G6" s="192"/>
      <c r="H6" s="116"/>
      <c r="L6" s="191" t="s">
        <v>356</v>
      </c>
      <c r="M6" s="189"/>
      <c r="S6" s="131"/>
    </row>
    <row r="7" spans="1:20" x14ac:dyDescent="0.2">
      <c r="A7" s="189"/>
      <c r="B7" s="189" t="s">
        <v>357</v>
      </c>
      <c r="G7" s="192"/>
      <c r="H7" s="193">
        <f>SUM(ORA!$D$116:$O$116)</f>
        <v>2562.7487479657484</v>
      </c>
      <c r="L7" s="189"/>
      <c r="M7" s="189" t="s">
        <v>357</v>
      </c>
      <c r="S7" s="194">
        <f>SUM(ORA!$D$127:$O$127)</f>
        <v>11137567.713557849</v>
      </c>
    </row>
    <row r="8" spans="1:20" x14ac:dyDescent="0.2">
      <c r="A8" s="189"/>
      <c r="B8" s="189" t="s">
        <v>358</v>
      </c>
      <c r="G8" s="192"/>
      <c r="H8" s="195">
        <f>SUM(POJ!$D$116:$O$116)</f>
        <v>50205</v>
      </c>
      <c r="L8" s="189"/>
      <c r="M8" s="189" t="s">
        <v>358</v>
      </c>
      <c r="S8" s="196">
        <f>SUM(POJ!$D$127:$O$127)</f>
        <v>182161016.29644978</v>
      </c>
    </row>
    <row r="9" spans="1:20" x14ac:dyDescent="0.2">
      <c r="A9" s="189"/>
      <c r="B9" s="189" t="s">
        <v>359</v>
      </c>
      <c r="G9" s="192"/>
      <c r="H9" s="195">
        <f>SUM(ROJ!$D$116:$O$116)</f>
        <v>31950</v>
      </c>
      <c r="L9" s="189"/>
      <c r="M9" s="189" t="s">
        <v>359</v>
      </c>
      <c r="S9" s="196">
        <f>SUM(ROJ!$D$127:$O$127)</f>
        <v>116952330.2809947</v>
      </c>
    </row>
    <row r="10" spans="1:20" x14ac:dyDescent="0.2">
      <c r="A10" s="189"/>
      <c r="B10" s="189" t="s">
        <v>360</v>
      </c>
      <c r="G10" s="192"/>
      <c r="H10" s="197">
        <f>SUM(FCOJ!$D$116:$O$116)</f>
        <v>71438</v>
      </c>
      <c r="L10" s="189"/>
      <c r="M10" s="189" t="s">
        <v>360</v>
      </c>
      <c r="S10" s="198">
        <f>SUM(FCOJ!$D$127:$O$127)</f>
        <v>234325855.26654741</v>
      </c>
    </row>
    <row r="11" spans="1:20" x14ac:dyDescent="0.2">
      <c r="A11" s="189"/>
      <c r="B11" s="189"/>
      <c r="G11" s="192"/>
      <c r="M11" s="189" t="s">
        <v>361</v>
      </c>
      <c r="T11" s="199">
        <f>SUM($S$7:$S$10)</f>
        <v>544576769.55754972</v>
      </c>
    </row>
    <row r="12" spans="1:20" x14ac:dyDescent="0.2">
      <c r="A12" s="191" t="s">
        <v>362</v>
      </c>
      <c r="B12" s="189"/>
      <c r="G12" s="192"/>
    </row>
    <row r="13" spans="1:20" x14ac:dyDescent="0.2">
      <c r="A13" s="189"/>
      <c r="B13" s="189" t="s">
        <v>363</v>
      </c>
      <c r="G13" s="192"/>
      <c r="H13" s="200">
        <f>SUM(grove!$C$48:$AX$53)</f>
        <v>290053.49056589848</v>
      </c>
      <c r="L13" s="191" t="s">
        <v>364</v>
      </c>
      <c r="M13" s="189"/>
    </row>
    <row r="14" spans="1:20" x14ac:dyDescent="0.2">
      <c r="A14" s="189"/>
      <c r="B14" s="189" t="s">
        <v>365</v>
      </c>
      <c r="G14" s="192"/>
      <c r="H14" s="193">
        <f>raw_materials!$P$30</f>
        <v>800000</v>
      </c>
      <c r="L14" s="189"/>
      <c r="M14" s="189" t="s">
        <v>366</v>
      </c>
      <c r="S14" s="194">
        <f>SUM(grove!$C$58:$AX$63)</f>
        <v>415847920.45646167</v>
      </c>
    </row>
    <row r="15" spans="1:20" x14ac:dyDescent="0.2">
      <c r="A15" s="189"/>
      <c r="B15" s="189" t="s">
        <v>367</v>
      </c>
      <c r="G15" s="192"/>
      <c r="H15" s="197">
        <f>raw_materials!$P$36</f>
        <v>1800000</v>
      </c>
      <c r="L15" s="189"/>
      <c r="M15" s="189" t="s">
        <v>368</v>
      </c>
      <c r="S15" s="196">
        <f>(raw_materials!D30*raw_materials!E30+raw_materials!F30*raw_materials!G30+raw_materials!H30*raw_materials!I30+raw_materials!J30*raw_materials!K30+raw_materials!L30*raw_materials!M30)*2000</f>
        <v>1101249067.7215605</v>
      </c>
    </row>
    <row r="16" spans="1:20" x14ac:dyDescent="0.2">
      <c r="A16" s="189"/>
      <c r="B16" s="189" t="s">
        <v>369</v>
      </c>
      <c r="G16" s="192"/>
      <c r="H16" s="201">
        <v>169410.52144345659</v>
      </c>
      <c r="L16" s="189"/>
      <c r="M16" s="189" t="s">
        <v>370</v>
      </c>
      <c r="S16" s="196">
        <f>(raw_materials!D36*raw_materials!E36+raw_materials!F36*raw_materials!G36+raw_materials!H36*raw_materials!I36+raw_materials!J36*raw_materials!K36+raw_materials!L36*raw_materials!M36)*2000</f>
        <v>3671866228.5650935</v>
      </c>
    </row>
    <row r="17" spans="1:21" x14ac:dyDescent="0.2">
      <c r="A17" s="189"/>
      <c r="B17" s="189" t="s">
        <v>371</v>
      </c>
      <c r="G17" s="192"/>
      <c r="H17" s="202">
        <v>0</v>
      </c>
      <c r="L17" s="189"/>
      <c r="M17" s="189" t="s">
        <v>372</v>
      </c>
      <c r="S17" s="196">
        <v>341613428.59204513</v>
      </c>
    </row>
    <row r="18" spans="1:21" x14ac:dyDescent="0.2">
      <c r="A18" s="189"/>
      <c r="B18" s="189" t="s">
        <v>373</v>
      </c>
      <c r="G18" s="192"/>
      <c r="H18" s="203">
        <v>1217229.7841722108</v>
      </c>
      <c r="L18" s="189"/>
      <c r="M18" s="189" t="s">
        <v>374</v>
      </c>
      <c r="S18" s="198">
        <v>466036852.91986352</v>
      </c>
    </row>
    <row r="19" spans="1:21" x14ac:dyDescent="0.2">
      <c r="A19" s="189"/>
      <c r="B19" s="189" t="s">
        <v>375</v>
      </c>
      <c r="G19" s="192"/>
      <c r="H19" s="202">
        <v>2734195.7418179316</v>
      </c>
      <c r="L19" s="189"/>
      <c r="M19" s="189" t="s">
        <v>376</v>
      </c>
      <c r="S19" s="204" t="s">
        <v>377</v>
      </c>
      <c r="T19" s="205">
        <f>SUM($S$14:$S$18)</f>
        <v>5996613498.255024</v>
      </c>
      <c r="U19" s="106" t="s">
        <v>378</v>
      </c>
    </row>
    <row r="20" spans="1:21" x14ac:dyDescent="0.2">
      <c r="A20" s="189"/>
      <c r="B20" s="189" t="s">
        <v>379</v>
      </c>
      <c r="G20" s="192"/>
      <c r="H20" s="197">
        <v>0</v>
      </c>
      <c r="L20" s="189"/>
      <c r="M20" s="189"/>
    </row>
    <row r="21" spans="1:21" x14ac:dyDescent="0.2">
      <c r="A21" s="189"/>
      <c r="B21" s="189"/>
      <c r="G21" s="192"/>
      <c r="L21" s="191" t="s">
        <v>380</v>
      </c>
      <c r="M21" s="189"/>
      <c r="S21" s="131"/>
    </row>
    <row r="22" spans="1:21" x14ac:dyDescent="0.2">
      <c r="A22" s="191" t="s">
        <v>381</v>
      </c>
      <c r="B22" s="189"/>
      <c r="G22" s="192"/>
      <c r="L22" s="189"/>
      <c r="M22" s="189" t="s">
        <v>382</v>
      </c>
      <c r="S22" s="196">
        <v>338821042.88691342</v>
      </c>
    </row>
    <row r="23" spans="1:21" x14ac:dyDescent="0.2">
      <c r="A23" s="189"/>
      <c r="B23" s="189" t="s">
        <v>383</v>
      </c>
      <c r="G23" s="192"/>
      <c r="H23" s="193">
        <f>SUM(raw_materials!$O$31:$O$35)</f>
        <v>800000</v>
      </c>
      <c r="L23" s="189"/>
      <c r="M23" s="189" t="s">
        <v>384</v>
      </c>
      <c r="S23" s="196">
        <v>0</v>
      </c>
    </row>
    <row r="24" spans="1:21" x14ac:dyDescent="0.2">
      <c r="A24" s="189"/>
      <c r="B24" s="189" t="s">
        <v>385</v>
      </c>
      <c r="G24" s="192"/>
      <c r="H24" s="197">
        <f>SUM(raw_materials!$O$37:$O$41)</f>
        <v>1800000</v>
      </c>
      <c r="L24" s="189"/>
      <c r="M24" s="189" t="s">
        <v>386</v>
      </c>
      <c r="S24" s="198">
        <v>791199359.71193719</v>
      </c>
    </row>
    <row r="25" spans="1:21" x14ac:dyDescent="0.2">
      <c r="A25" s="189"/>
      <c r="B25" s="189"/>
      <c r="G25" s="192"/>
      <c r="L25" s="189"/>
      <c r="M25" s="189" t="s">
        <v>387</v>
      </c>
      <c r="S25" s="204" t="s">
        <v>377</v>
      </c>
      <c r="T25" s="205">
        <f>SUM($S$22:$S$24)</f>
        <v>1130020402.5988507</v>
      </c>
      <c r="U25" s="106" t="s">
        <v>378</v>
      </c>
    </row>
    <row r="26" spans="1:21" x14ac:dyDescent="0.2">
      <c r="A26" s="191" t="s">
        <v>388</v>
      </c>
      <c r="B26" s="189"/>
      <c r="G26" s="192"/>
      <c r="L26" s="189"/>
      <c r="M26" s="189"/>
    </row>
    <row r="27" spans="1:21" x14ac:dyDescent="0.2">
      <c r="A27" s="189"/>
      <c r="B27" s="189" t="s">
        <v>389</v>
      </c>
      <c r="G27" s="192"/>
      <c r="H27" s="193">
        <f>SUMIF(facilities!$C$6:$C$15,"&gt;0",facilities!$C$6:$C$15)</f>
        <v>0</v>
      </c>
      <c r="L27" s="191" t="s">
        <v>390</v>
      </c>
      <c r="M27" s="189"/>
    </row>
    <row r="28" spans="1:21" x14ac:dyDescent="0.2">
      <c r="A28" s="189"/>
      <c r="B28" s="189" t="s">
        <v>391</v>
      </c>
      <c r="G28" s="192"/>
      <c r="H28" s="195">
        <f>SUMIF(facilities!$C$36:$C$106,"&gt;0",facilities!$C$36:$C$106)</f>
        <v>0</v>
      </c>
      <c r="L28" s="189"/>
      <c r="M28" s="189" t="s">
        <v>392</v>
      </c>
      <c r="S28" s="194">
        <v>0</v>
      </c>
    </row>
    <row r="29" spans="1:21" x14ac:dyDescent="0.2">
      <c r="A29" s="189"/>
      <c r="B29" s="189" t="s">
        <v>393</v>
      </c>
      <c r="G29" s="192"/>
      <c r="H29" s="195">
        <f>SUMIF(facilities!$C$6:$C$15,"&lt;0",facilities!$C$6:$C$15)</f>
        <v>-13</v>
      </c>
      <c r="L29" s="189"/>
      <c r="M29" s="189" t="s">
        <v>394</v>
      </c>
      <c r="S29" s="196">
        <v>137095464.47811738</v>
      </c>
    </row>
    <row r="30" spans="1:21" x14ac:dyDescent="0.2">
      <c r="A30" s="189"/>
      <c r="B30" s="189" t="s">
        <v>395</v>
      </c>
      <c r="G30" s="192"/>
      <c r="H30" s="197">
        <f>SUMIF(facilities!$C$36:$C$106,"&lt;0",facilities!$C$36:$C$106)</f>
        <v>0</v>
      </c>
      <c r="L30" s="189"/>
      <c r="M30" s="189" t="s">
        <v>396</v>
      </c>
      <c r="S30" s="196">
        <v>208476868.02478936</v>
      </c>
    </row>
    <row r="31" spans="1:21" x14ac:dyDescent="0.2">
      <c r="L31" s="189"/>
      <c r="M31" s="189" t="s">
        <v>397</v>
      </c>
      <c r="S31" s="198">
        <f>SUM(ORA!D138:O138)+SUM(POJ!D138:O138)+SUM(ROJ!D138:O138)+SUM(FCOJ!D138:O138)</f>
        <v>184003764.91164008</v>
      </c>
    </row>
    <row r="32" spans="1:21" x14ac:dyDescent="0.2">
      <c r="A32" s="191" t="s">
        <v>398</v>
      </c>
      <c r="B32" s="189"/>
      <c r="G32" s="192"/>
      <c r="L32" s="189"/>
      <c r="M32" s="189" t="s">
        <v>399</v>
      </c>
      <c r="S32" s="119" t="s">
        <v>377</v>
      </c>
      <c r="T32" s="205">
        <f>SUM($S$28:$S$31)</f>
        <v>529576097.41454685</v>
      </c>
      <c r="U32" s="106" t="s">
        <v>378</v>
      </c>
    </row>
    <row r="33" spans="1:21" x14ac:dyDescent="0.2">
      <c r="A33" s="189"/>
      <c r="B33" s="189" t="s">
        <v>400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401</v>
      </c>
      <c r="G34" s="192"/>
      <c r="H34" s="195">
        <f>COUNTIF(facilities!$H$36:$H$106,"=new")</f>
        <v>0</v>
      </c>
      <c r="L34" s="191" t="s">
        <v>402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0</v>
      </c>
      <c r="L35" s="189"/>
      <c r="M35" s="189" t="s">
        <v>403</v>
      </c>
      <c r="S35" s="194">
        <v>17402500</v>
      </c>
    </row>
    <row r="36" spans="1:21" x14ac:dyDescent="0.2">
      <c r="L36" s="189"/>
      <c r="M36" s="189" t="s">
        <v>404</v>
      </c>
      <c r="S36" s="196">
        <f>H33*12000000-H38*70/100*12000000</f>
        <v>0</v>
      </c>
    </row>
    <row r="37" spans="1:21" x14ac:dyDescent="0.2">
      <c r="A37" s="191" t="s">
        <v>405</v>
      </c>
      <c r="L37" s="189"/>
      <c r="M37" s="189" t="s">
        <v>406</v>
      </c>
      <c r="S37" s="196">
        <f>H27*8000+H29*70/100*8000</f>
        <v>-72800</v>
      </c>
    </row>
    <row r="38" spans="1:21" x14ac:dyDescent="0.2">
      <c r="B38" s="189" t="s">
        <v>400</v>
      </c>
      <c r="H38" s="193">
        <f>COUNTIF(facilities!$H$6:$H$15,"=sold")</f>
        <v>0</v>
      </c>
      <c r="L38" s="189"/>
      <c r="M38" s="189" t="s">
        <v>407</v>
      </c>
      <c r="S38" s="196">
        <v>80650000</v>
      </c>
    </row>
    <row r="39" spans="1:21" x14ac:dyDescent="0.2">
      <c r="B39" s="189" t="s">
        <v>401</v>
      </c>
      <c r="H39" s="195">
        <f>COUNTIF(facilities!$H$36:$H$106,"=sold")</f>
        <v>0</v>
      </c>
      <c r="L39" s="189"/>
      <c r="M39" s="189" t="s">
        <v>408</v>
      </c>
      <c r="S39" s="196">
        <f>H34*9000000-H39*80/100*9000000</f>
        <v>0</v>
      </c>
    </row>
    <row r="40" spans="1:21" x14ac:dyDescent="0.2">
      <c r="B40" s="189" t="s">
        <v>18</v>
      </c>
      <c r="H40" s="197">
        <f>-SUMIF(facilities!$C$21:$C$30,"&lt;0",facilities!$C$21:$C$30)</f>
        <v>0</v>
      </c>
      <c r="L40" s="189"/>
      <c r="M40" s="189" t="s">
        <v>409</v>
      </c>
      <c r="S40" s="196">
        <f>H28*6000+H30*80/100*6000</f>
        <v>0</v>
      </c>
    </row>
    <row r="41" spans="1:21" x14ac:dyDescent="0.2">
      <c r="L41" s="189"/>
      <c r="M41" s="189" t="s">
        <v>410</v>
      </c>
      <c r="S41" s="196">
        <v>0</v>
      </c>
    </row>
    <row r="42" spans="1:21" x14ac:dyDescent="0.2">
      <c r="L42" s="189"/>
      <c r="M42" s="189" t="s">
        <v>411</v>
      </c>
      <c r="S42" s="198">
        <f>H35*100000-H40*60/100*100000</f>
        <v>0</v>
      </c>
    </row>
    <row r="43" spans="1:21" x14ac:dyDescent="0.2">
      <c r="L43" s="189"/>
      <c r="M43" s="189" t="s">
        <v>412</v>
      </c>
      <c r="S43" s="183" t="s">
        <v>377</v>
      </c>
      <c r="T43" s="205">
        <f>SUM($S$35:$S$42)</f>
        <v>97979700</v>
      </c>
      <c r="U43" s="106" t="s">
        <v>378</v>
      </c>
    </row>
    <row r="44" spans="1:21" x14ac:dyDescent="0.2">
      <c r="L44" s="189"/>
      <c r="S44" s="116"/>
    </row>
    <row r="45" spans="1:21" ht="14.25" thickBot="1" x14ac:dyDescent="0.3">
      <c r="L45" s="206" t="s">
        <v>413</v>
      </c>
      <c r="M45" s="189"/>
      <c r="T45" s="207">
        <f>$T$11-$T$19-$T$25-$T$32-$T$43</f>
        <v>-7209612928.7108727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21"/>
  <sheetViews>
    <sheetView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313</v>
      </c>
    </row>
    <row r="3" spans="2:14" x14ac:dyDescent="0.2">
      <c r="B3" s="109" t="s">
        <v>314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0.84279738959036588</v>
      </c>
      <c r="D5" s="106">
        <v>0.84130128707866458</v>
      </c>
      <c r="E5" s="106">
        <v>0.9753874913449514</v>
      </c>
      <c r="F5" s="106">
        <v>0.54234113984447585</v>
      </c>
      <c r="G5" s="106">
        <v>0.60759375175966268</v>
      </c>
      <c r="H5" s="106">
        <v>0.64676309793838871</v>
      </c>
      <c r="I5" s="106">
        <v>1.0909784422248763</v>
      </c>
      <c r="J5" s="106">
        <v>0.48103094830793963</v>
      </c>
      <c r="K5" s="106">
        <v>0.60242820656418805</v>
      </c>
      <c r="L5" s="106">
        <v>0.60141595471077414</v>
      </c>
      <c r="M5" s="106">
        <v>0.55153896743057784</v>
      </c>
      <c r="N5" s="106">
        <v>0.58900571968846183</v>
      </c>
    </row>
    <row r="6" spans="2:14" x14ac:dyDescent="0.2">
      <c r="B6" s="177" t="s">
        <v>105</v>
      </c>
      <c r="C6" s="106">
        <v>0.73234345306913129</v>
      </c>
      <c r="D6" s="106">
        <v>0.74031252349789589</v>
      </c>
      <c r="E6" s="106">
        <v>0.64222016468789345</v>
      </c>
      <c r="F6" s="106">
        <v>0.68425117097671295</v>
      </c>
      <c r="G6" s="106">
        <v>0.64477016419917954</v>
      </c>
      <c r="H6" s="106">
        <v>0.72180148587301651</v>
      </c>
      <c r="I6" s="106">
        <v>0.66074602279574512</v>
      </c>
      <c r="J6" s="106">
        <v>0.621641052510015</v>
      </c>
      <c r="K6" s="106">
        <v>0.66749622303438261</v>
      </c>
      <c r="L6" s="106">
        <v>0.66831769065318047</v>
      </c>
      <c r="M6" s="106">
        <v>0.77335820198597494</v>
      </c>
      <c r="N6" s="106">
        <v>0.64024881652003629</v>
      </c>
    </row>
    <row r="7" spans="2:14" x14ac:dyDescent="0.2">
      <c r="B7" s="177" t="s">
        <v>106</v>
      </c>
      <c r="C7" s="106">
        <v>0.77129878093603232</v>
      </c>
      <c r="D7" s="106">
        <v>0.78722740141033654</v>
      </c>
      <c r="E7" s="106">
        <v>0.84006710757499159</v>
      </c>
      <c r="F7" s="106">
        <v>0.72775353397699949</v>
      </c>
      <c r="G7" s="106">
        <v>0.78699278219159641</v>
      </c>
      <c r="H7" s="106">
        <v>0.77494637505125152</v>
      </c>
      <c r="I7" s="106">
        <v>0.75005305869384886</v>
      </c>
      <c r="J7" s="106">
        <v>0.70548266229991907</v>
      </c>
      <c r="K7" s="106">
        <v>0.70580388894614465</v>
      </c>
      <c r="L7" s="106">
        <v>0.71537295429978609</v>
      </c>
      <c r="M7" s="106">
        <v>0.76699449974674572</v>
      </c>
      <c r="N7" s="106">
        <v>0.74468895079021402</v>
      </c>
    </row>
    <row r="8" spans="2:14" x14ac:dyDescent="0.2">
      <c r="B8" s="177" t="s">
        <v>107</v>
      </c>
      <c r="C8" s="106">
        <v>0.75095521935617093</v>
      </c>
      <c r="D8" s="106">
        <v>0.71382371838215919</v>
      </c>
      <c r="E8" s="106">
        <v>0.76882861346193276</v>
      </c>
      <c r="F8" s="106">
        <v>0.72411391435367822</v>
      </c>
      <c r="G8" s="106">
        <v>0.72107854744128952</v>
      </c>
      <c r="H8" s="106">
        <v>0.69944821742974528</v>
      </c>
      <c r="I8" s="106">
        <v>0.68705664956030721</v>
      </c>
      <c r="J8" s="106">
        <v>0.68286165618799466</v>
      </c>
      <c r="K8" s="106">
        <v>0.77985868547760906</v>
      </c>
      <c r="L8" s="106">
        <v>0.72104848892720674</v>
      </c>
      <c r="M8" s="106">
        <v>0.688461021866562</v>
      </c>
      <c r="N8" s="106">
        <v>0.74889900086394579</v>
      </c>
    </row>
    <row r="9" spans="2:14" x14ac:dyDescent="0.2">
      <c r="B9" s="177" t="s">
        <v>108</v>
      </c>
      <c r="C9" s="106">
        <v>2.0122313356399535</v>
      </c>
      <c r="D9" s="106">
        <v>2.0243734395503998</v>
      </c>
      <c r="E9" s="106">
        <v>2.0229263758659362</v>
      </c>
      <c r="F9" s="106">
        <v>2.0410798227787019</v>
      </c>
      <c r="G9" s="106">
        <v>2.0889327144622802</v>
      </c>
      <c r="H9" s="106">
        <v>2.1071843421459198</v>
      </c>
      <c r="I9" s="106">
        <v>2.0607485508918764</v>
      </c>
      <c r="J9" s="106">
        <v>2.0938486492633821</v>
      </c>
      <c r="K9" s="106">
        <v>2.05692018032074</v>
      </c>
      <c r="L9" s="106">
        <v>2.0493401086330416</v>
      </c>
      <c r="M9" s="106">
        <v>2.0209267592430114</v>
      </c>
      <c r="N9" s="106">
        <v>2.0783775007724761</v>
      </c>
    </row>
    <row r="10" spans="2:14" x14ac:dyDescent="0.2">
      <c r="B10" s="177" t="s">
        <v>109</v>
      </c>
      <c r="C10" s="106">
        <v>0.62314319610595703</v>
      </c>
      <c r="D10" s="106">
        <v>0.64624235033988953</v>
      </c>
      <c r="E10" s="106">
        <v>0.60850616693496706</v>
      </c>
      <c r="F10" s="106">
        <v>0.64578087925910954</v>
      </c>
      <c r="G10" s="106">
        <v>0.60550825595855717</v>
      </c>
      <c r="H10" s="106">
        <v>0.68042158484458926</v>
      </c>
      <c r="I10" s="106">
        <v>0.68714522123336796</v>
      </c>
      <c r="J10" s="106">
        <v>0.69133344292640686</v>
      </c>
      <c r="K10" s="106">
        <v>0.64944138526916506</v>
      </c>
      <c r="L10" s="106">
        <v>0.6318497359752655</v>
      </c>
      <c r="M10" s="106">
        <v>0.60817815065383918</v>
      </c>
      <c r="N10" s="106">
        <v>0.62728250622749326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315</v>
      </c>
      <c r="C12" s="107"/>
      <c r="D12" s="107"/>
      <c r="E12" s="107"/>
      <c r="F12" s="107"/>
      <c r="G12" s="107"/>
    </row>
    <row r="13" spans="2:14" x14ac:dyDescent="0.2">
      <c r="B13" s="177" t="s">
        <v>316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317</v>
      </c>
      <c r="C14" s="107">
        <v>0.34973536705607911</v>
      </c>
      <c r="D14" s="107">
        <v>0.3510335405330573</v>
      </c>
      <c r="E14" s="107">
        <v>0.3523280611870756</v>
      </c>
      <c r="F14" s="107">
        <v>0.35361528647355034</v>
      </c>
      <c r="G14" s="107">
        <v>0.35489159437572926</v>
      </c>
      <c r="H14" s="106">
        <v>0.35615339359638459</v>
      </c>
      <c r="I14" s="106">
        <v>0.3573971336630673</v>
      </c>
      <c r="J14" s="106">
        <v>0.35861931491848792</v>
      </c>
      <c r="K14" s="106">
        <v>0.35981649836791257</v>
      </c>
      <c r="L14" s="106">
        <v>0.36098531535586564</v>
      </c>
      <c r="M14" s="106">
        <v>0.3621224770449113</v>
      </c>
      <c r="N14" s="106">
        <v>0.36322478366984046</v>
      </c>
    </row>
    <row r="15" spans="2:14" x14ac:dyDescent="0.2">
      <c r="B15" s="176" t="s">
        <v>318</v>
      </c>
      <c r="C15" s="106">
        <v>1.1972566932870639</v>
      </c>
      <c r="D15" s="106">
        <v>1.2004310257982889</v>
      </c>
      <c r="E15" s="106">
        <v>1.2035964263178465</v>
      </c>
      <c r="F15" s="106">
        <v>1.2067439879870612</v>
      </c>
      <c r="G15" s="106">
        <v>1.2098648541425234</v>
      </c>
      <c r="H15" s="106">
        <v>1.2129502432371213</v>
      </c>
      <c r="I15" s="106">
        <v>1.2159914735497097</v>
      </c>
      <c r="J15" s="106">
        <v>1.2189799876138872</v>
      </c>
      <c r="K15" s="106">
        <v>1.2219073762971431</v>
      </c>
      <c r="L15" s="106">
        <v>1.2247654024626202</v>
      </c>
      <c r="M15" s="106">
        <v>1.2275460241469112</v>
      </c>
      <c r="N15" s="106">
        <v>1.2302414171886766</v>
      </c>
    </row>
    <row r="16" spans="2:14" x14ac:dyDescent="0.2">
      <c r="B16" s="107"/>
    </row>
    <row r="17" spans="2:14" x14ac:dyDescent="0.2">
      <c r="B17" s="109" t="s">
        <v>319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0.84279738959036588</v>
      </c>
      <c r="D19" s="106">
        <f t="shared" ref="D19:N20" si="0">D5</f>
        <v>0.84130128707866458</v>
      </c>
      <c r="E19" s="106">
        <f t="shared" si="0"/>
        <v>0.9753874913449514</v>
      </c>
      <c r="F19" s="106">
        <f t="shared" si="0"/>
        <v>0.54234113984447585</v>
      </c>
      <c r="G19" s="106">
        <f t="shared" si="0"/>
        <v>0.60759375175966268</v>
      </c>
      <c r="H19" s="106">
        <f t="shared" si="0"/>
        <v>0.64676309793838871</v>
      </c>
      <c r="I19" s="106">
        <f t="shared" si="0"/>
        <v>1.0909784422248763</v>
      </c>
      <c r="J19" s="106">
        <f t="shared" si="0"/>
        <v>0.48103094830793963</v>
      </c>
      <c r="K19" s="106">
        <f t="shared" si="0"/>
        <v>0.60242820656418805</v>
      </c>
      <c r="L19" s="106">
        <f t="shared" si="0"/>
        <v>0.60141595471077414</v>
      </c>
      <c r="M19" s="106">
        <f t="shared" si="0"/>
        <v>0.55153896743057784</v>
      </c>
      <c r="N19" s="106">
        <f t="shared" si="0"/>
        <v>0.58900571968846183</v>
      </c>
    </row>
    <row r="20" spans="2:14" x14ac:dyDescent="0.2">
      <c r="B20" s="179" t="s">
        <v>105</v>
      </c>
      <c r="C20" s="106">
        <f>C6</f>
        <v>0.73234345306913129</v>
      </c>
      <c r="D20" s="106">
        <f t="shared" si="0"/>
        <v>0.74031252349789589</v>
      </c>
      <c r="E20" s="106">
        <f t="shared" si="0"/>
        <v>0.64222016468789345</v>
      </c>
      <c r="F20" s="106">
        <f t="shared" si="0"/>
        <v>0.68425117097671295</v>
      </c>
      <c r="G20" s="106">
        <f t="shared" si="0"/>
        <v>0.64477016419917954</v>
      </c>
      <c r="H20" s="106">
        <f t="shared" si="0"/>
        <v>0.72180148587301651</v>
      </c>
      <c r="I20" s="106">
        <f t="shared" si="0"/>
        <v>0.66074602279574512</v>
      </c>
      <c r="J20" s="106">
        <f t="shared" si="0"/>
        <v>0.621641052510015</v>
      </c>
      <c r="K20" s="106">
        <f t="shared" si="0"/>
        <v>0.66749622303438261</v>
      </c>
      <c r="L20" s="106">
        <f t="shared" si="0"/>
        <v>0.66831769065318047</v>
      </c>
      <c r="M20" s="106">
        <f t="shared" si="0"/>
        <v>0.77335820198597494</v>
      </c>
      <c r="N20" s="106">
        <f t="shared" si="0"/>
        <v>0.64024881652003629</v>
      </c>
    </row>
    <row r="21" spans="2:14" x14ac:dyDescent="0.2">
      <c r="B21" s="179" t="s">
        <v>106</v>
      </c>
      <c r="C21" s="106">
        <f t="shared" ref="C21:N22" si="1">C7</f>
        <v>0.77129878093603232</v>
      </c>
      <c r="D21" s="106">
        <f t="shared" si="1"/>
        <v>0.78722740141033654</v>
      </c>
      <c r="E21" s="106">
        <f t="shared" si="1"/>
        <v>0.84006710757499159</v>
      </c>
      <c r="F21" s="106">
        <f t="shared" si="1"/>
        <v>0.72775353397699949</v>
      </c>
      <c r="G21" s="106">
        <f t="shared" si="1"/>
        <v>0.78699278219159641</v>
      </c>
      <c r="H21" s="106">
        <f t="shared" si="1"/>
        <v>0.77494637505125152</v>
      </c>
      <c r="I21" s="106">
        <f t="shared" si="1"/>
        <v>0.75005305869384886</v>
      </c>
      <c r="J21" s="106">
        <f t="shared" si="1"/>
        <v>0.70548266229991907</v>
      </c>
      <c r="K21" s="106">
        <f t="shared" si="1"/>
        <v>0.70580388894614465</v>
      </c>
      <c r="L21" s="106">
        <f t="shared" si="1"/>
        <v>0.71537295429978609</v>
      </c>
      <c r="M21" s="106">
        <f t="shared" si="1"/>
        <v>0.76699449974674572</v>
      </c>
      <c r="N21" s="106">
        <f t="shared" si="1"/>
        <v>0.74468895079021402</v>
      </c>
    </row>
    <row r="22" spans="2:14" x14ac:dyDescent="0.2">
      <c r="B22" s="179" t="s">
        <v>107</v>
      </c>
      <c r="C22" s="106">
        <f t="shared" si="1"/>
        <v>0.75095521935617093</v>
      </c>
      <c r="D22" s="106">
        <f t="shared" si="1"/>
        <v>0.71382371838215919</v>
      </c>
      <c r="E22" s="106">
        <f t="shared" si="1"/>
        <v>0.76882861346193276</v>
      </c>
      <c r="F22" s="106">
        <f t="shared" si="1"/>
        <v>0.72411391435367822</v>
      </c>
      <c r="G22" s="106">
        <f t="shared" si="1"/>
        <v>0.72107854744128952</v>
      </c>
      <c r="H22" s="106">
        <f t="shared" si="1"/>
        <v>0.69944821742974528</v>
      </c>
      <c r="I22" s="106">
        <f t="shared" si="1"/>
        <v>0.68705664956030721</v>
      </c>
      <c r="J22" s="106">
        <f t="shared" si="1"/>
        <v>0.68286165618799466</v>
      </c>
      <c r="K22" s="106">
        <f t="shared" si="1"/>
        <v>0.77985868547760906</v>
      </c>
      <c r="L22" s="106">
        <f t="shared" si="1"/>
        <v>0.72104848892720674</v>
      </c>
      <c r="M22" s="106">
        <f t="shared" si="1"/>
        <v>0.688461021866562</v>
      </c>
      <c r="N22" s="106">
        <f t="shared" si="1"/>
        <v>0.74889900086394579</v>
      </c>
    </row>
    <row r="23" spans="2:14" x14ac:dyDescent="0.2">
      <c r="B23" s="179" t="s">
        <v>108</v>
      </c>
      <c r="C23" s="106">
        <f>C9*C14</f>
        <v>0.70374846477178343</v>
      </c>
      <c r="D23" s="106">
        <f t="shared" ref="D23:N24" si="2">D9*D14</f>
        <v>0.71062297584645995</v>
      </c>
      <c r="E23" s="106">
        <f t="shared" si="2"/>
        <v>0.71273372793304268</v>
      </c>
      <c r="F23" s="106">
        <f t="shared" si="2"/>
        <v>0.721757026247274</v>
      </c>
      <c r="G23" s="106">
        <f t="shared" si="2"/>
        <v>0.74134466157913859</v>
      </c>
      <c r="H23" s="106">
        <f t="shared" si="2"/>
        <v>0.75048085438843448</v>
      </c>
      <c r="I23" s="106">
        <f t="shared" si="2"/>
        <v>0.73650562528907615</v>
      </c>
      <c r="J23" s="106">
        <f t="shared" si="2"/>
        <v>0.75089456814183542</v>
      </c>
      <c r="K23" s="106">
        <f t="shared" si="2"/>
        <v>0.74011381670530396</v>
      </c>
      <c r="L23" s="106">
        <f t="shared" si="2"/>
        <v>0.7397816853863225</v>
      </c>
      <c r="M23" s="106">
        <f t="shared" si="2"/>
        <v>0.73182300398342437</v>
      </c>
      <c r="N23" s="106">
        <f t="shared" si="2"/>
        <v>0.75491821810234627</v>
      </c>
    </row>
    <row r="24" spans="2:14" x14ac:dyDescent="0.2">
      <c r="B24" s="179" t="s">
        <v>109</v>
      </c>
      <c r="C24" s="106">
        <f>C10*C15</f>
        <v>0.74606236241415047</v>
      </c>
      <c r="D24" s="106">
        <f t="shared" si="2"/>
        <v>0.77576936753281078</v>
      </c>
      <c r="E24" s="106">
        <f t="shared" si="2"/>
        <v>0.73239584791529722</v>
      </c>
      <c r="F24" s="106">
        <f t="shared" si="2"/>
        <v>0.77929219360292867</v>
      </c>
      <c r="G24" s="106">
        <f t="shared" si="2"/>
        <v>0.73258315777739347</v>
      </c>
      <c r="H24" s="106">
        <f t="shared" si="2"/>
        <v>0.8253175268410321</v>
      </c>
      <c r="I24" s="106">
        <f t="shared" si="2"/>
        <v>0.83556273011020443</v>
      </c>
      <c r="J24" s="106">
        <f t="shared" si="2"/>
        <v>0.84272163169549741</v>
      </c>
      <c r="K24" s="106">
        <f t="shared" si="2"/>
        <v>0.79355721913302757</v>
      </c>
      <c r="L24" s="106">
        <f t="shared" si="2"/>
        <v>0.77386769617764639</v>
      </c>
      <c r="M24" s="106">
        <f t="shared" si="2"/>
        <v>0.74656667080814143</v>
      </c>
      <c r="N24" s="106">
        <f t="shared" si="2"/>
        <v>0.77170891943897624</v>
      </c>
    </row>
    <row r="25" spans="2:14" x14ac:dyDescent="0.2">
      <c r="B25" s="178"/>
    </row>
    <row r="26" spans="2:14" x14ac:dyDescent="0.2">
      <c r="B26" s="110" t="s">
        <v>320</v>
      </c>
    </row>
    <row r="27" spans="2:14" x14ac:dyDescent="0.2">
      <c r="B27" s="105" t="s">
        <v>321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1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1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1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322</v>
      </c>
    </row>
    <row r="36" spans="2:50" x14ac:dyDescent="0.2">
      <c r="B36" s="176" t="s">
        <v>274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323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7623.5368578941971</v>
      </c>
      <c r="D38" s="106">
        <v>10656.425926379959</v>
      </c>
      <c r="E38" s="106">
        <v>7990.2422882896335</v>
      </c>
      <c r="F38" s="106">
        <v>17653.751630931863</v>
      </c>
      <c r="G38" s="106">
        <v>10109.816705940251</v>
      </c>
      <c r="H38" s="106">
        <v>2532.9414834349459</v>
      </c>
      <c r="I38" s="106">
        <v>25384.255583806131</v>
      </c>
      <c r="J38" s="106">
        <v>10175.622081269879</v>
      </c>
      <c r="K38" s="106">
        <v>10197.521954258855</v>
      </c>
      <c r="L38" s="106">
        <v>10219.398331680677</v>
      </c>
      <c r="M38" s="106">
        <v>10241.247695260481</v>
      </c>
      <c r="N38" s="106">
        <v>10263.066529876487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25928.950094808049</v>
      </c>
      <c r="T38" s="106">
        <v>18187.998737515787</v>
      </c>
      <c r="U38" s="106">
        <v>26036.623097350748</v>
      </c>
      <c r="V38" s="106">
        <v>26090.24469980675</v>
      </c>
      <c r="W38" s="106">
        <v>26143.711499307632</v>
      </c>
      <c r="X38" s="106">
        <v>26197.014871775551</v>
      </c>
      <c r="Y38" s="106">
        <v>10500.058487180351</v>
      </c>
      <c r="Z38" s="106">
        <v>2630.3096964916222</v>
      </c>
      <c r="AA38" s="106">
        <v>2635.5858567616488</v>
      </c>
      <c r="AB38" s="106">
        <v>2640.8422510375026</v>
      </c>
      <c r="AC38" s="106">
        <v>2646.0780308405315</v>
      </c>
      <c r="AD38" s="106">
        <v>26512.923509318131</v>
      </c>
      <c r="AE38" s="106">
        <v>26564.8436946238</v>
      </c>
      <c r="AF38" s="106">
        <v>26616.532481229282</v>
      </c>
      <c r="AG38" s="106">
        <v>26667.981522929855</v>
      </c>
      <c r="AH38" s="106">
        <v>26719.182511895149</v>
      </c>
      <c r="AI38" s="106">
        <v>26770.127180149142</v>
      </c>
      <c r="AJ38" s="106">
        <v>26820.807301044035</v>
      </c>
      <c r="AK38" s="106">
        <v>26871.21469072756</v>
      </c>
      <c r="AL38" s="106">
        <v>18844.938846722496</v>
      </c>
      <c r="AM38" s="106">
        <v>26971.178763785614</v>
      </c>
      <c r="AN38" s="106">
        <v>27020.719306543244</v>
      </c>
      <c r="AO38" s="106">
        <v>27069.954839740756</v>
      </c>
      <c r="AP38" s="106">
        <v>27118.877415268147</v>
      </c>
      <c r="AQ38" s="106">
        <v>19017.235395524818</v>
      </c>
      <c r="AR38" s="106">
        <v>27215.752159530173</v>
      </c>
      <c r="AS38" s="106">
        <v>27263.688694937566</v>
      </c>
      <c r="AT38" s="106">
        <v>27311.281008823513</v>
      </c>
      <c r="AU38" s="106">
        <v>27358.521424379818</v>
      </c>
      <c r="AV38" s="106">
        <v>27405.40232323145</v>
      </c>
      <c r="AW38" s="106">
        <v>27451.916146805794</v>
      </c>
      <c r="AX38" s="106">
        <v>27498.055397691911</v>
      </c>
    </row>
    <row r="39" spans="2:50" x14ac:dyDescent="0.2">
      <c r="B39" s="176" t="s">
        <v>105</v>
      </c>
      <c r="C39" s="106">
        <v>15032.941508406904</v>
      </c>
      <c r="D39" s="106">
        <v>15065.890051575743</v>
      </c>
      <c r="E39" s="106">
        <v>15098.84034768755</v>
      </c>
      <c r="F39" s="106">
        <v>6052.7148448909256</v>
      </c>
      <c r="G39" s="106">
        <v>1516.4725058910378</v>
      </c>
      <c r="H39" s="106">
        <v>15197.648900609674</v>
      </c>
      <c r="I39" s="106">
        <v>15230.553350283679</v>
      </c>
      <c r="J39" s="106">
        <v>15263.433121904818</v>
      </c>
      <c r="K39" s="106">
        <v>15296.282931388283</v>
      </c>
      <c r="L39" s="106">
        <v>15329.097497521014</v>
      </c>
      <c r="M39" s="106">
        <v>15361.87154289072</v>
      </c>
      <c r="N39" s="106">
        <v>15394.599794814729</v>
      </c>
      <c r="O39" s="106">
        <v>15427.276986268587</v>
      </c>
      <c r="P39" s="106">
        <v>15459.897856814132</v>
      </c>
      <c r="Q39" s="106">
        <v>15492.457153526968</v>
      </c>
      <c r="R39" s="106">
        <v>15524.949631923135</v>
      </c>
      <c r="S39" s="106">
        <v>15557.370056884829</v>
      </c>
      <c r="T39" s="106">
        <v>15589.713203584963</v>
      </c>
      <c r="U39" s="106">
        <v>15621.973858410449</v>
      </c>
      <c r="V39" s="106">
        <v>15654.14681988405</v>
      </c>
      <c r="W39" s="106">
        <v>15686.226899584581</v>
      </c>
      <c r="X39" s="106">
        <v>11002.746246145731</v>
      </c>
      <c r="Y39" s="106">
        <v>11025.061411539367</v>
      </c>
      <c r="Z39" s="106">
        <v>11047.300725264813</v>
      </c>
      <c r="AA39" s="106">
        <v>11069.460598398924</v>
      </c>
      <c r="AB39" s="106">
        <v>15845.053506225015</v>
      </c>
      <c r="AC39" s="106">
        <v>15876.468185043188</v>
      </c>
      <c r="AD39" s="106">
        <v>15907.754105590879</v>
      </c>
      <c r="AE39" s="106">
        <v>15938.90621677428</v>
      </c>
      <c r="AF39" s="106">
        <v>15969.919488737569</v>
      </c>
      <c r="AG39" s="106">
        <v>16000.788913757913</v>
      </c>
      <c r="AH39" s="106">
        <v>16031.509507137089</v>
      </c>
      <c r="AI39" s="106">
        <v>11243.453415662638</v>
      </c>
      <c r="AJ39" s="106">
        <v>16092.48438062642</v>
      </c>
      <c r="AK39" s="106">
        <v>16122.728814436536</v>
      </c>
      <c r="AL39" s="106">
        <v>16152.80472576214</v>
      </c>
      <c r="AM39" s="106">
        <v>16182.707258271368</v>
      </c>
      <c r="AN39" s="106">
        <v>16212.431583925947</v>
      </c>
      <c r="AO39" s="106">
        <v>16241.972903844453</v>
      </c>
      <c r="AP39" s="106">
        <v>16271.326449160888</v>
      </c>
      <c r="AQ39" s="106">
        <v>16300.487481878417</v>
      </c>
      <c r="AR39" s="106">
        <v>16329.451295718105</v>
      </c>
      <c r="AS39" s="106">
        <v>1635.821321696254</v>
      </c>
      <c r="AT39" s="106">
        <v>16386.768605294106</v>
      </c>
      <c r="AU39" s="106">
        <v>16415.112854627889</v>
      </c>
      <c r="AV39" s="106">
        <v>16443.241393938872</v>
      </c>
      <c r="AW39" s="106">
        <v>16471.149688083475</v>
      </c>
      <c r="AX39" s="106">
        <v>16498.833238615145</v>
      </c>
    </row>
    <row r="40" spans="2:50" x14ac:dyDescent="0.2">
      <c r="B40" s="176" t="s">
        <v>106</v>
      </c>
      <c r="C40" s="106">
        <v>5010.9805028023011</v>
      </c>
      <c r="D40" s="106">
        <v>5021.9633505252477</v>
      </c>
      <c r="E40" s="106">
        <v>5032.946782562517</v>
      </c>
      <c r="F40" s="106">
        <v>5043.9290374091042</v>
      </c>
      <c r="G40" s="106">
        <v>5054.9083529701256</v>
      </c>
      <c r="H40" s="106">
        <v>5065.8829668698918</v>
      </c>
      <c r="I40" s="106">
        <v>5076.851116761226</v>
      </c>
      <c r="J40" s="106">
        <v>5087.8110406349388</v>
      </c>
      <c r="K40" s="106">
        <v>5098.7609771294274</v>
      </c>
      <c r="L40" s="106">
        <v>510.9699165840338</v>
      </c>
      <c r="M40" s="106">
        <v>5120.6238476302397</v>
      </c>
      <c r="N40" s="106">
        <v>5131.5332649382435</v>
      </c>
      <c r="O40" s="106">
        <v>5142.4256620895294</v>
      </c>
      <c r="P40" s="106">
        <v>5153.2992856047113</v>
      </c>
      <c r="Q40" s="106">
        <v>5164.1523845089887</v>
      </c>
      <c r="R40" s="106">
        <v>5174.9832106410449</v>
      </c>
      <c r="S40" s="106">
        <v>5185.7900189616103</v>
      </c>
      <c r="T40" s="106">
        <v>3637.5997475031577</v>
      </c>
      <c r="U40" s="106">
        <v>5207.3246194701496</v>
      </c>
      <c r="V40" s="106">
        <v>5218.0489399613498</v>
      </c>
      <c r="W40" s="106">
        <v>5228.7422998615266</v>
      </c>
      <c r="X40" s="106">
        <v>5239.40297435511</v>
      </c>
      <c r="Y40" s="106">
        <v>5250.0292435901756</v>
      </c>
      <c r="Z40" s="106">
        <v>5260.6193929832443</v>
      </c>
      <c r="AA40" s="106">
        <v>5271.1717135232975</v>
      </c>
      <c r="AB40" s="106">
        <v>5281.6845020750052</v>
      </c>
      <c r="AC40" s="106">
        <v>5292.156061681063</v>
      </c>
      <c r="AD40" s="106">
        <v>5302.5847018636268</v>
      </c>
      <c r="AE40" s="106">
        <v>5312.9687389247601</v>
      </c>
      <c r="AF40" s="106">
        <v>5323.3064962458566</v>
      </c>
      <c r="AG40" s="106">
        <v>5333.5963045859717</v>
      </c>
      <c r="AH40" s="106">
        <v>5343.8365023790293</v>
      </c>
      <c r="AI40" s="106">
        <v>5354.0254360298286</v>
      </c>
      <c r="AJ40" s="106">
        <v>5364.1614602088066</v>
      </c>
      <c r="AK40" s="106">
        <v>5374.2429381455113</v>
      </c>
      <c r="AL40" s="106">
        <v>5384.2682419207131</v>
      </c>
      <c r="AM40" s="106">
        <v>5394.2357527571221</v>
      </c>
      <c r="AN40" s="106">
        <v>5404.1438613086484</v>
      </c>
      <c r="AO40" s="106">
        <v>5413.9909679481507</v>
      </c>
      <c r="AP40" s="106">
        <v>5423.7754830536296</v>
      </c>
      <c r="AQ40" s="106">
        <v>5433.4958272928061</v>
      </c>
      <c r="AR40" s="106">
        <v>5443.150431906035</v>
      </c>
      <c r="AS40" s="106">
        <v>5452.7377389875128</v>
      </c>
      <c r="AT40" s="106">
        <v>5462.2562017647024</v>
      </c>
      <c r="AU40" s="106">
        <v>5471.7042848759638</v>
      </c>
      <c r="AV40" s="106">
        <v>5481.0804646462902</v>
      </c>
      <c r="AW40" s="106">
        <v>5490.3832293611586</v>
      </c>
      <c r="AX40" s="106">
        <v>5499.611079538382</v>
      </c>
    </row>
    <row r="41" spans="2:50" x14ac:dyDescent="0.2">
      <c r="B41" s="176" t="s">
        <v>107</v>
      </c>
      <c r="C41" s="106">
        <v>2104.6118111769665</v>
      </c>
      <c r="D41" s="106">
        <v>3013.1780103151486</v>
      </c>
      <c r="E41" s="106">
        <v>3019.7680695375102</v>
      </c>
      <c r="F41" s="106">
        <v>3026.3574224454624</v>
      </c>
      <c r="G41" s="106">
        <v>3032.9450117820752</v>
      </c>
      <c r="H41" s="106">
        <v>3039.5297801219349</v>
      </c>
      <c r="I41" s="106">
        <v>3046.1106700567357</v>
      </c>
      <c r="J41" s="106">
        <v>3052.6866243809636</v>
      </c>
      <c r="K41" s="106">
        <v>1223.7026345110626</v>
      </c>
      <c r="L41" s="106">
        <v>3065.8194995042027</v>
      </c>
      <c r="M41" s="106">
        <v>3072.3743085781439</v>
      </c>
      <c r="N41" s="106">
        <v>3078.9199589629461</v>
      </c>
      <c r="O41" s="106">
        <v>3085.4553972537178</v>
      </c>
      <c r="P41" s="106">
        <v>3091.9795713628264</v>
      </c>
      <c r="Q41" s="106">
        <v>3098.4914307053937</v>
      </c>
      <c r="R41" s="106">
        <v>3104.9899263846269</v>
      </c>
      <c r="S41" s="106">
        <v>3111.4740113769658</v>
      </c>
      <c r="T41" s="106">
        <v>3117.9426407169926</v>
      </c>
      <c r="U41" s="106">
        <v>3124.3947716820899</v>
      </c>
      <c r="V41" s="106">
        <v>3130.8293639768099</v>
      </c>
      <c r="W41" s="106">
        <v>3137.2453799169161</v>
      </c>
      <c r="X41" s="106">
        <v>3143.6417846130662</v>
      </c>
      <c r="Y41" s="106">
        <v>3150.0175461541053</v>
      </c>
      <c r="Z41" s="106">
        <v>3156.3716357899466</v>
      </c>
      <c r="AA41" s="106">
        <v>3162.7030281139782</v>
      </c>
      <c r="AB41" s="106">
        <v>3169.010701245003</v>
      </c>
      <c r="AC41" s="106">
        <v>3175.2936370086377</v>
      </c>
      <c r="AD41" s="106">
        <v>3181.5508211181759</v>
      </c>
      <c r="AE41" s="106">
        <v>3187.7812433548561</v>
      </c>
      <c r="AF41" s="106">
        <v>3193.9838977475138</v>
      </c>
      <c r="AG41" s="106">
        <v>3200.1577827515825</v>
      </c>
      <c r="AH41" s="106">
        <v>3206.3019014274178</v>
      </c>
      <c r="AI41" s="106">
        <v>3212.4152616178967</v>
      </c>
      <c r="AJ41" s="106">
        <v>321.84968761252844</v>
      </c>
      <c r="AK41" s="106">
        <v>3224.5457628873069</v>
      </c>
      <c r="AL41" s="106">
        <v>3230.5609451524278</v>
      </c>
      <c r="AM41" s="106">
        <v>3236.5414516542737</v>
      </c>
      <c r="AN41" s="106">
        <v>3242.486316785189</v>
      </c>
      <c r="AO41" s="106">
        <v>3248.3945807688906</v>
      </c>
      <c r="AP41" s="106">
        <v>3254.2652898321776</v>
      </c>
      <c r="AQ41" s="106">
        <v>3260.0974963756835</v>
      </c>
      <c r="AR41" s="106">
        <v>3265.8902591436208</v>
      </c>
      <c r="AS41" s="106">
        <v>3271.6426433925076</v>
      </c>
      <c r="AT41" s="106">
        <v>3277.3537210588215</v>
      </c>
      <c r="AU41" s="106">
        <v>1313.2090283702314</v>
      </c>
      <c r="AV41" s="106">
        <v>3288.648278787774</v>
      </c>
      <c r="AW41" s="106">
        <v>3294.2299376166952</v>
      </c>
      <c r="AX41" s="106">
        <v>3299.7666477230291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324</v>
      </c>
    </row>
    <row r="46" spans="2:50" x14ac:dyDescent="0.2">
      <c r="B46" s="105" t="s">
        <v>274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325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0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</row>
    <row r="49" spans="2:51" x14ac:dyDescent="0.2">
      <c r="B49" s="105" t="s">
        <v>105</v>
      </c>
      <c r="C49" s="106">
        <v>3203.3999387586405</v>
      </c>
      <c r="D49" s="106">
        <v>3203.3999387586405</v>
      </c>
      <c r="E49" s="106">
        <v>3203.3999387586405</v>
      </c>
      <c r="F49" s="106">
        <v>3203.3999387586405</v>
      </c>
      <c r="G49" s="106">
        <v>1516.4725058910378</v>
      </c>
      <c r="H49" s="106">
        <v>3203.3999387586405</v>
      </c>
      <c r="I49" s="106">
        <v>3203.3999387586405</v>
      </c>
      <c r="J49" s="106">
        <v>3203.3999387586405</v>
      </c>
      <c r="K49" s="106">
        <v>3203.3999387586405</v>
      </c>
      <c r="L49" s="106">
        <v>3203.3999387586405</v>
      </c>
      <c r="M49" s="106">
        <v>3203.3999387586405</v>
      </c>
      <c r="N49" s="106">
        <v>3203.3999387586405</v>
      </c>
      <c r="O49" s="106">
        <v>3203.3999387586405</v>
      </c>
      <c r="P49" s="106">
        <v>3203.3999387586405</v>
      </c>
      <c r="Q49" s="106">
        <v>3203.3999387586405</v>
      </c>
      <c r="R49" s="106">
        <v>3203.3999387586405</v>
      </c>
      <c r="S49" s="106">
        <v>3203.3999387586405</v>
      </c>
      <c r="T49" s="106">
        <v>3203.3999387586405</v>
      </c>
      <c r="U49" s="106">
        <v>3203.3999387586405</v>
      </c>
      <c r="V49" s="106">
        <v>3203.3999387586405</v>
      </c>
      <c r="W49" s="106">
        <v>3203.3999387586405</v>
      </c>
      <c r="X49" s="106">
        <v>3203.3999387586405</v>
      </c>
      <c r="Y49" s="106">
        <v>3203.3999387586405</v>
      </c>
      <c r="Z49" s="106">
        <v>3203.3999387586405</v>
      </c>
      <c r="AA49" s="106">
        <v>3203.3999387586405</v>
      </c>
      <c r="AB49" s="106">
        <v>3203.3999387586405</v>
      </c>
      <c r="AC49" s="106">
        <v>3203.3999387586405</v>
      </c>
      <c r="AD49" s="106">
        <v>3203.3999387586405</v>
      </c>
      <c r="AE49" s="106">
        <v>3203.3999387586405</v>
      </c>
      <c r="AF49" s="106">
        <v>3203.3999387586405</v>
      </c>
      <c r="AG49" s="106">
        <v>3203.3999387586405</v>
      </c>
      <c r="AH49" s="106">
        <v>3203.3999387586405</v>
      </c>
      <c r="AI49" s="106">
        <v>3203.3999387586405</v>
      </c>
      <c r="AJ49" s="106">
        <v>3203.3999387586405</v>
      </c>
      <c r="AK49" s="106">
        <v>3203.3999387586405</v>
      </c>
      <c r="AL49" s="106">
        <v>3203.3999387586405</v>
      </c>
      <c r="AM49" s="106">
        <v>3203.3999387586405</v>
      </c>
      <c r="AN49" s="106">
        <v>3203.3999387586405</v>
      </c>
      <c r="AO49" s="106">
        <v>3203.3999387586405</v>
      </c>
      <c r="AP49" s="106">
        <v>3203.3999387586405</v>
      </c>
      <c r="AQ49" s="106">
        <v>3203.3999387586405</v>
      </c>
      <c r="AR49" s="106">
        <v>3203.3999387586405</v>
      </c>
      <c r="AS49" s="106">
        <v>1635.821321696254</v>
      </c>
      <c r="AT49" s="106">
        <v>3203.3999387586405</v>
      </c>
      <c r="AU49" s="106">
        <v>3203.3999387586405</v>
      </c>
      <c r="AV49" s="106">
        <v>3203.3999387586405</v>
      </c>
      <c r="AW49" s="106">
        <v>3203.3999387586405</v>
      </c>
      <c r="AX49" s="106">
        <v>3203.3999387586405</v>
      </c>
    </row>
    <row r="50" spans="2:51" x14ac:dyDescent="0.2">
      <c r="B50" s="105" t="s">
        <v>106</v>
      </c>
      <c r="C50" s="106">
        <v>2958.1665880602222</v>
      </c>
      <c r="D50" s="106">
        <v>2958.1665880602222</v>
      </c>
      <c r="E50" s="106">
        <v>2958.1665880602222</v>
      </c>
      <c r="F50" s="106">
        <v>2958.1665880602222</v>
      </c>
      <c r="G50" s="106">
        <v>2958.1665880602222</v>
      </c>
      <c r="H50" s="106">
        <v>2958.1665880602222</v>
      </c>
      <c r="I50" s="106">
        <v>2958.1665880602222</v>
      </c>
      <c r="J50" s="106">
        <v>2958.1665880602222</v>
      </c>
      <c r="K50" s="106">
        <v>2958.1665880602222</v>
      </c>
      <c r="L50" s="106">
        <v>510.9699165840338</v>
      </c>
      <c r="M50" s="106">
        <v>2958.1665880602222</v>
      </c>
      <c r="N50" s="106">
        <v>2958.1665880602222</v>
      </c>
      <c r="O50" s="106">
        <v>2958.1665880602222</v>
      </c>
      <c r="P50" s="106">
        <v>2958.1665880602222</v>
      </c>
      <c r="Q50" s="106">
        <v>2958.1665880602222</v>
      </c>
      <c r="R50" s="106">
        <v>2958.1665880602222</v>
      </c>
      <c r="S50" s="106">
        <v>2958.1665880602222</v>
      </c>
      <c r="T50" s="106">
        <v>2958.1665880602222</v>
      </c>
      <c r="U50" s="106">
        <v>2958.1665880602222</v>
      </c>
      <c r="V50" s="106">
        <v>2958.1665880602222</v>
      </c>
      <c r="W50" s="106">
        <v>2958.1665880602222</v>
      </c>
      <c r="X50" s="106">
        <v>2958.1665880602222</v>
      </c>
      <c r="Y50" s="106">
        <v>2958.1665880602222</v>
      </c>
      <c r="Z50" s="106">
        <v>2958.1665880602222</v>
      </c>
      <c r="AA50" s="106">
        <v>2958.1665880602222</v>
      </c>
      <c r="AB50" s="106">
        <v>2958.1665880602222</v>
      </c>
      <c r="AC50" s="106">
        <v>2958.1665880602222</v>
      </c>
      <c r="AD50" s="106">
        <v>2958.1665880602222</v>
      </c>
      <c r="AE50" s="106">
        <v>2958.1665880602222</v>
      </c>
      <c r="AF50" s="106">
        <v>2958.1665880602222</v>
      </c>
      <c r="AG50" s="106">
        <v>2958.1665880602222</v>
      </c>
      <c r="AH50" s="106">
        <v>2958.1665880602222</v>
      </c>
      <c r="AI50" s="106">
        <v>2958.1665880602222</v>
      </c>
      <c r="AJ50" s="106">
        <v>2958.1665880602222</v>
      </c>
      <c r="AK50" s="106">
        <v>2958.1665880602222</v>
      </c>
      <c r="AL50" s="106">
        <v>2958.1665880602222</v>
      </c>
      <c r="AM50" s="106">
        <v>2958.1665880602222</v>
      </c>
      <c r="AN50" s="106">
        <v>2958.1665880602222</v>
      </c>
      <c r="AO50" s="106">
        <v>2958.1665880602222</v>
      </c>
      <c r="AP50" s="106">
        <v>2958.1665880602222</v>
      </c>
      <c r="AQ50" s="106">
        <v>2958.1665880602222</v>
      </c>
      <c r="AR50" s="106">
        <v>2958.1665880602222</v>
      </c>
      <c r="AS50" s="106">
        <v>2958.1665880602222</v>
      </c>
      <c r="AT50" s="106">
        <v>2958.1665880602222</v>
      </c>
      <c r="AU50" s="106">
        <v>2958.1665880602222</v>
      </c>
      <c r="AV50" s="106">
        <v>2958.1665880602222</v>
      </c>
      <c r="AW50" s="106">
        <v>2958.1665880602222</v>
      </c>
      <c r="AX50" s="106">
        <v>2958.1665880602222</v>
      </c>
      <c r="AY50" s="118"/>
    </row>
    <row r="51" spans="2:51" x14ac:dyDescent="0.2">
      <c r="B51" s="105" t="s">
        <v>107</v>
      </c>
      <c r="C51" s="106">
        <v>0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17"/>
    </row>
    <row r="52" spans="2:51" x14ac:dyDescent="0.2">
      <c r="B52" s="105" t="s">
        <v>108</v>
      </c>
      <c r="C52" s="106">
        <v>0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</row>
    <row r="53" spans="2:51" x14ac:dyDescent="0.2">
      <c r="B53" s="105" t="s">
        <v>109</v>
      </c>
      <c r="C53" s="106">
        <v>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</row>
    <row r="55" spans="2:51" x14ac:dyDescent="0.2">
      <c r="B55" s="180" t="s">
        <v>326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274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325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0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</row>
    <row r="59" spans="2:51" x14ac:dyDescent="0.2">
      <c r="B59" s="111" t="s">
        <v>105</v>
      </c>
      <c r="C59" s="106">
        <v>4691977.9454238936</v>
      </c>
      <c r="D59" s="106">
        <v>4691977.9454238936</v>
      </c>
      <c r="E59" s="106">
        <v>4691977.9454238936</v>
      </c>
      <c r="F59" s="106">
        <v>4691977.9454238936</v>
      </c>
      <c r="G59" s="106">
        <v>2245327.1753027439</v>
      </c>
      <c r="H59" s="106">
        <v>4743034.1848708289</v>
      </c>
      <c r="I59" s="106">
        <v>4743034.1848708289</v>
      </c>
      <c r="J59" s="106">
        <v>4743034.1848708289</v>
      </c>
      <c r="K59" s="106">
        <v>4114576.072461524</v>
      </c>
      <c r="L59" s="106">
        <v>4114576.072461524</v>
      </c>
      <c r="M59" s="106">
        <v>4114576.072461524</v>
      </c>
      <c r="N59" s="106">
        <v>4114576.072461524</v>
      </c>
      <c r="O59" s="106">
        <v>4383860.3184046606</v>
      </c>
      <c r="P59" s="106">
        <v>4383860.3184046606</v>
      </c>
      <c r="Q59" s="106">
        <v>4383860.3184046606</v>
      </c>
      <c r="R59" s="106">
        <v>4383860.3184046606</v>
      </c>
      <c r="S59" s="106">
        <v>4130913.4090181007</v>
      </c>
      <c r="T59" s="106">
        <v>4130913.4090181007</v>
      </c>
      <c r="U59" s="106">
        <v>4130913.4090181007</v>
      </c>
      <c r="V59" s="106">
        <v>4130913.4090181007</v>
      </c>
      <c r="W59" s="106">
        <v>4624437.6712830337</v>
      </c>
      <c r="X59" s="106">
        <v>4624437.6712830337</v>
      </c>
      <c r="Y59" s="106">
        <v>4624437.6712830337</v>
      </c>
      <c r="Z59" s="106">
        <v>4624437.6712830337</v>
      </c>
      <c r="AA59" s="106">
        <v>4233267.5379178105</v>
      </c>
      <c r="AB59" s="106">
        <v>4233267.5379178105</v>
      </c>
      <c r="AC59" s="106">
        <v>4233267.5379178105</v>
      </c>
      <c r="AD59" s="106">
        <v>4233267.5379178105</v>
      </c>
      <c r="AE59" s="106">
        <v>3982729.819080878</v>
      </c>
      <c r="AF59" s="106">
        <v>3982729.819080878</v>
      </c>
      <c r="AG59" s="106">
        <v>3982729.819080878</v>
      </c>
      <c r="AH59" s="106">
        <v>3982729.819080878</v>
      </c>
      <c r="AI59" s="106">
        <v>4276514.7199799307</v>
      </c>
      <c r="AJ59" s="106">
        <v>4276514.7199799307</v>
      </c>
      <c r="AK59" s="106">
        <v>4276514.7199799307</v>
      </c>
      <c r="AL59" s="106">
        <v>4276514.7199799307</v>
      </c>
      <c r="AM59" s="106">
        <v>4281777.6986194281</v>
      </c>
      <c r="AN59" s="106">
        <v>4281777.6986194281</v>
      </c>
      <c r="AO59" s="106">
        <v>4281777.6986194281</v>
      </c>
      <c r="AP59" s="106">
        <v>4281777.6986194281</v>
      </c>
      <c r="AQ59" s="106">
        <v>4954751.2337607285</v>
      </c>
      <c r="AR59" s="106">
        <v>4954751.2337607285</v>
      </c>
      <c r="AS59" s="106">
        <v>2530151.6722346721</v>
      </c>
      <c r="AT59" s="106">
        <v>4954751.2337607285</v>
      </c>
      <c r="AU59" s="106">
        <v>4101946.0392611525</v>
      </c>
      <c r="AV59" s="106">
        <v>4101946.0392611525</v>
      </c>
      <c r="AW59" s="106">
        <v>4101946.0392611525</v>
      </c>
      <c r="AX59" s="106">
        <v>4101946.0392611525</v>
      </c>
    </row>
    <row r="60" spans="2:51" x14ac:dyDescent="0.2">
      <c r="B60" s="111" t="s">
        <v>106</v>
      </c>
      <c r="C60" s="106">
        <v>4563260.5663531031</v>
      </c>
      <c r="D60" s="106">
        <v>4563260.5663531031</v>
      </c>
      <c r="E60" s="106">
        <v>4563260.5663531031</v>
      </c>
      <c r="F60" s="106">
        <v>4563260.5663531031</v>
      </c>
      <c r="G60" s="106">
        <v>4657499.5921150604</v>
      </c>
      <c r="H60" s="106">
        <v>4657499.5921150604</v>
      </c>
      <c r="I60" s="106">
        <v>4657499.5921150604</v>
      </c>
      <c r="J60" s="106">
        <v>4657499.5921150604</v>
      </c>
      <c r="K60" s="106">
        <v>4970116.8987134648</v>
      </c>
      <c r="L60" s="106">
        <v>858498.03976516798</v>
      </c>
      <c r="M60" s="106">
        <v>4970116.8987134648</v>
      </c>
      <c r="N60" s="106">
        <v>4970116.8987134648</v>
      </c>
      <c r="O60" s="106">
        <v>4305632.3771070195</v>
      </c>
      <c r="P60" s="106">
        <v>4305632.3771070195</v>
      </c>
      <c r="Q60" s="106">
        <v>4305632.3771070195</v>
      </c>
      <c r="R60" s="106">
        <v>4305632.3771070195</v>
      </c>
      <c r="S60" s="106">
        <v>4656111.5066474732</v>
      </c>
      <c r="T60" s="106">
        <v>4656111.5066474732</v>
      </c>
      <c r="U60" s="106">
        <v>4656111.5066474732</v>
      </c>
      <c r="V60" s="106">
        <v>4656111.5066474732</v>
      </c>
      <c r="W60" s="106">
        <v>4584840.9484299961</v>
      </c>
      <c r="X60" s="106">
        <v>4584840.9484299961</v>
      </c>
      <c r="Y60" s="106">
        <v>4584840.9484299961</v>
      </c>
      <c r="Z60" s="106">
        <v>4584840.9484299961</v>
      </c>
      <c r="AA60" s="106">
        <v>4437563.7950010328</v>
      </c>
      <c r="AB60" s="106">
        <v>4437563.7950010328</v>
      </c>
      <c r="AC60" s="106">
        <v>4437563.7950010328</v>
      </c>
      <c r="AD60" s="106">
        <v>4437563.7950010328</v>
      </c>
      <c r="AE60" s="106">
        <v>4173870.4801427876</v>
      </c>
      <c r="AF60" s="106">
        <v>4173870.4801427876</v>
      </c>
      <c r="AG60" s="106">
        <v>4173870.4801427876</v>
      </c>
      <c r="AH60" s="106">
        <v>4173870.4801427876</v>
      </c>
      <c r="AI60" s="106">
        <v>4175770.964006905</v>
      </c>
      <c r="AJ60" s="106">
        <v>4175770.964006905</v>
      </c>
      <c r="AK60" s="106">
        <v>4175770.964006905</v>
      </c>
      <c r="AL60" s="106">
        <v>4175770.964006905</v>
      </c>
      <c r="AM60" s="106">
        <v>4232384.7428231193</v>
      </c>
      <c r="AN60" s="106">
        <v>4232384.7428231193</v>
      </c>
      <c r="AO60" s="106">
        <v>4232384.7428231193</v>
      </c>
      <c r="AP60" s="106">
        <v>4232384.7428231193</v>
      </c>
      <c r="AQ60" s="106">
        <v>4537795.0047535747</v>
      </c>
      <c r="AR60" s="106">
        <v>4537795.0047535747</v>
      </c>
      <c r="AS60" s="106">
        <v>4537795.0047535747</v>
      </c>
      <c r="AT60" s="106">
        <v>4537795.0047535747</v>
      </c>
      <c r="AU60" s="106">
        <v>4405827.945450468</v>
      </c>
      <c r="AV60" s="106">
        <v>4405827.945450468</v>
      </c>
      <c r="AW60" s="106">
        <v>4405827.945450468</v>
      </c>
      <c r="AX60" s="106">
        <v>4405827.945450468</v>
      </c>
    </row>
    <row r="61" spans="2:51" x14ac:dyDescent="0.2">
      <c r="B61" s="111" t="s">
        <v>107</v>
      </c>
      <c r="C61" s="106">
        <v>0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</row>
    <row r="62" spans="2:51" x14ac:dyDescent="0.2">
      <c r="B62" s="111" t="s">
        <v>108</v>
      </c>
      <c r="C62" s="106">
        <v>0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</row>
    <row r="63" spans="2:51" x14ac:dyDescent="0.2">
      <c r="B63" s="111" t="s">
        <v>109</v>
      </c>
      <c r="C63" s="106">
        <v>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</row>
    <row r="64" spans="2:51" x14ac:dyDescent="0.2">
      <c r="B64" s="107"/>
    </row>
    <row r="65" spans="1:14" x14ac:dyDescent="0.2">
      <c r="B65" s="110" t="s">
        <v>327</v>
      </c>
    </row>
    <row r="66" spans="1:14" x14ac:dyDescent="0.2">
      <c r="B66" s="105" t="s">
        <v>328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329</v>
      </c>
      <c r="C67" s="106">
        <v>72000</v>
      </c>
      <c r="D67" s="106">
        <v>64000</v>
      </c>
      <c r="E67" s="106">
        <v>64000</v>
      </c>
      <c r="F67" s="106">
        <v>72000</v>
      </c>
      <c r="G67" s="106">
        <v>64000</v>
      </c>
      <c r="H67" s="106">
        <v>64000</v>
      </c>
      <c r="I67" s="106">
        <v>72000</v>
      </c>
      <c r="J67" s="106">
        <v>64000</v>
      </c>
      <c r="K67" s="106">
        <v>64000</v>
      </c>
      <c r="L67" s="106">
        <v>72000</v>
      </c>
      <c r="M67" s="106">
        <v>64000</v>
      </c>
      <c r="N67" s="106">
        <v>64000</v>
      </c>
    </row>
    <row r="68" spans="1:14" x14ac:dyDescent="0.2">
      <c r="B68" s="105" t="s">
        <v>330</v>
      </c>
      <c r="C68" s="106">
        <v>162000</v>
      </c>
      <c r="D68" s="106">
        <v>144000</v>
      </c>
      <c r="E68" s="106">
        <v>144000</v>
      </c>
      <c r="F68" s="106">
        <v>162000</v>
      </c>
      <c r="G68" s="106">
        <v>144000</v>
      </c>
      <c r="H68" s="106">
        <v>144000</v>
      </c>
      <c r="I68" s="106">
        <v>162000</v>
      </c>
      <c r="J68" s="106">
        <v>144000</v>
      </c>
      <c r="K68" s="106">
        <v>144000</v>
      </c>
      <c r="L68" s="106">
        <v>162000</v>
      </c>
      <c r="M68" s="106">
        <v>144000</v>
      </c>
      <c r="N68" s="106">
        <v>144000</v>
      </c>
    </row>
    <row r="70" spans="1:14" x14ac:dyDescent="0.2">
      <c r="B70" s="110" t="s">
        <v>331</v>
      </c>
    </row>
    <row r="71" spans="1:14" x14ac:dyDescent="0.2">
      <c r="A71" s="111" t="s">
        <v>121</v>
      </c>
      <c r="B71" s="111" t="s">
        <v>332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5437989.0936661046</v>
      </c>
      <c r="D72" s="106">
        <v>36505327.669121616</v>
      </c>
    </row>
    <row r="73" spans="1:14" x14ac:dyDescent="0.2">
      <c r="B73" s="111" t="s">
        <v>93</v>
      </c>
      <c r="C73" s="106">
        <v>4833768.0832587592</v>
      </c>
      <c r="D73" s="106">
        <v>32449180.150330324</v>
      </c>
    </row>
    <row r="74" spans="1:14" x14ac:dyDescent="0.2">
      <c r="B74" s="111" t="s">
        <v>94</v>
      </c>
      <c r="C74" s="106">
        <v>4833768.0832587592</v>
      </c>
      <c r="D74" s="106">
        <v>32449180.150330324</v>
      </c>
    </row>
    <row r="75" spans="1:14" x14ac:dyDescent="0.2">
      <c r="B75" s="111" t="s">
        <v>95</v>
      </c>
      <c r="C75" s="106">
        <v>5437989.0936661046</v>
      </c>
      <c r="D75" s="106">
        <v>36505327.669121616</v>
      </c>
    </row>
    <row r="76" spans="1:14" x14ac:dyDescent="0.2">
      <c r="B76" s="111" t="s">
        <v>96</v>
      </c>
      <c r="C76" s="106">
        <v>4833768.0832587592</v>
      </c>
      <c r="D76" s="106">
        <v>32449180.150330324</v>
      </c>
    </row>
    <row r="77" spans="1:14" x14ac:dyDescent="0.2">
      <c r="B77" s="111" t="s">
        <v>97</v>
      </c>
      <c r="C77" s="106">
        <v>4833768.0832587592</v>
      </c>
      <c r="D77" s="106">
        <v>32449180.150330324</v>
      </c>
    </row>
    <row r="78" spans="1:14" x14ac:dyDescent="0.2">
      <c r="B78" s="111" t="s">
        <v>98</v>
      </c>
      <c r="C78" s="106">
        <v>5437989.0936661046</v>
      </c>
      <c r="D78" s="106">
        <v>36505327.669121616</v>
      </c>
    </row>
    <row r="79" spans="1:14" x14ac:dyDescent="0.2">
      <c r="B79" s="111" t="s">
        <v>99</v>
      </c>
      <c r="C79" s="106">
        <v>4833768.0832587592</v>
      </c>
      <c r="D79" s="106">
        <v>32449180.150330324</v>
      </c>
    </row>
    <row r="80" spans="1:14" x14ac:dyDescent="0.2">
      <c r="B80" s="111" t="s">
        <v>100</v>
      </c>
      <c r="C80" s="106">
        <v>4833768.0832587592</v>
      </c>
      <c r="D80" s="106">
        <v>32449180.150330324</v>
      </c>
    </row>
    <row r="81" spans="2:50" x14ac:dyDescent="0.2">
      <c r="B81" s="111" t="s">
        <v>101</v>
      </c>
      <c r="C81" s="106">
        <v>5437989.0936661046</v>
      </c>
      <c r="D81" s="106">
        <v>36505327.669121616</v>
      </c>
    </row>
    <row r="82" spans="2:50" x14ac:dyDescent="0.2">
      <c r="B82" s="111" t="s">
        <v>102</v>
      </c>
      <c r="C82" s="106">
        <v>4833768.0832587592</v>
      </c>
      <c r="D82" s="106">
        <v>32449180.150330324</v>
      </c>
    </row>
    <row r="83" spans="2:50" x14ac:dyDescent="0.2">
      <c r="B83" s="111" t="s">
        <v>103</v>
      </c>
      <c r="C83" s="106">
        <v>4833768.0832587592</v>
      </c>
      <c r="D83" s="106">
        <v>32449180.150330324</v>
      </c>
    </row>
    <row r="85" spans="2:50" x14ac:dyDescent="0.2">
      <c r="B85" s="109" t="s">
        <v>333</v>
      </c>
    </row>
    <row r="86" spans="2:50" x14ac:dyDescent="0.2">
      <c r="B86" s="105" t="s">
        <v>274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334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18000</v>
      </c>
      <c r="D88" s="106">
        <f>D48+$C$67/4</f>
        <v>18000</v>
      </c>
      <c r="E88" s="106">
        <f>E48+$C$67/4</f>
        <v>18000</v>
      </c>
      <c r="F88" s="106">
        <f>F48+$C$67/4</f>
        <v>18000</v>
      </c>
      <c r="G88" s="106">
        <f>G48+$D$67/4</f>
        <v>16000</v>
      </c>
      <c r="H88" s="106">
        <f>H48+$D$67/4</f>
        <v>16000</v>
      </c>
      <c r="I88" s="106">
        <f>I48+$D$67/4</f>
        <v>16000</v>
      </c>
      <c r="J88" s="106">
        <f>J48+$D$67/4</f>
        <v>16000</v>
      </c>
      <c r="K88" s="106">
        <f>K48+$E$67/4</f>
        <v>16000</v>
      </c>
      <c r="L88" s="106">
        <f>L48+$E$67/4</f>
        <v>16000</v>
      </c>
      <c r="M88" s="106">
        <f>M48+$E$67/4</f>
        <v>16000</v>
      </c>
      <c r="N88" s="106">
        <f>N48+$E$67/4</f>
        <v>16000</v>
      </c>
      <c r="O88" s="106">
        <f>O48+$F$67/4</f>
        <v>18000</v>
      </c>
      <c r="P88" s="106">
        <f>P48+$F$67/4</f>
        <v>18000</v>
      </c>
      <c r="Q88" s="106">
        <f>Q48+$F$67/4</f>
        <v>18000</v>
      </c>
      <c r="R88" s="106">
        <f>R48+$F$67/4</f>
        <v>18000</v>
      </c>
      <c r="S88" s="106">
        <f>S48+$G$67/4</f>
        <v>16000</v>
      </c>
      <c r="T88" s="106">
        <f>T48+$G$67/4</f>
        <v>16000</v>
      </c>
      <c r="U88" s="106">
        <f>U48+$G$67/4</f>
        <v>16000</v>
      </c>
      <c r="V88" s="106">
        <f>V48+$G$67/4</f>
        <v>16000</v>
      </c>
      <c r="W88" s="106">
        <f>W48+$H$67/4</f>
        <v>16000</v>
      </c>
      <c r="X88" s="106">
        <f>X48+$H$67/4</f>
        <v>16000</v>
      </c>
      <c r="Y88" s="106">
        <f>Y48+$H$67/4</f>
        <v>16000</v>
      </c>
      <c r="Z88" s="106">
        <f>Z48+$H$67/4</f>
        <v>16000</v>
      </c>
      <c r="AA88" s="106">
        <f>AA48+$I$67/4</f>
        <v>18000</v>
      </c>
      <c r="AB88" s="106">
        <f>AB48+$I$67/4</f>
        <v>18000</v>
      </c>
      <c r="AC88" s="106">
        <f>AC48+$I$67/4</f>
        <v>18000</v>
      </c>
      <c r="AD88" s="106">
        <f>AD48+$I$67/4</f>
        <v>18000</v>
      </c>
      <c r="AE88" s="106">
        <f>AE48+$J$67/4</f>
        <v>16000</v>
      </c>
      <c r="AF88" s="106">
        <f>AF48+$J$67/4</f>
        <v>16000</v>
      </c>
      <c r="AG88" s="106">
        <f>AG48+$J$67/4</f>
        <v>16000</v>
      </c>
      <c r="AH88" s="106">
        <f>AH48+$J$67/4</f>
        <v>16000</v>
      </c>
      <c r="AI88" s="106">
        <f>AI48+$K$67/4</f>
        <v>16000</v>
      </c>
      <c r="AJ88" s="106">
        <f>AJ48+$K$67/4</f>
        <v>16000</v>
      </c>
      <c r="AK88" s="106">
        <f>AK48+$K$67/4</f>
        <v>16000</v>
      </c>
      <c r="AL88" s="106">
        <f>AL48+$K$67/4</f>
        <v>16000</v>
      </c>
      <c r="AM88" s="106">
        <f>AM48+$L$67/4</f>
        <v>18000</v>
      </c>
      <c r="AN88" s="106">
        <f>AN48+$L$67/4</f>
        <v>18000</v>
      </c>
      <c r="AO88" s="106">
        <f>AO48+$L$67/4</f>
        <v>18000</v>
      </c>
      <c r="AP88" s="106">
        <f>AP48+$L$67/4</f>
        <v>18000</v>
      </c>
      <c r="AQ88" s="106">
        <f>AQ48+$M$67/4</f>
        <v>16000</v>
      </c>
      <c r="AR88" s="106">
        <f>AR48+$M$67/4</f>
        <v>16000</v>
      </c>
      <c r="AS88" s="106">
        <f>AS48+$M$67/4</f>
        <v>16000</v>
      </c>
      <c r="AT88" s="106">
        <f>AT48+$M$67/4</f>
        <v>16000</v>
      </c>
      <c r="AU88" s="106">
        <f>AU48+$N$67/4</f>
        <v>16000</v>
      </c>
      <c r="AV88" s="106">
        <f>AV48+$N$67/4</f>
        <v>16000</v>
      </c>
      <c r="AW88" s="106">
        <f>AW48+$N$67/4</f>
        <v>16000</v>
      </c>
      <c r="AX88" s="106">
        <f>AX48+$N$67/4</f>
        <v>16000</v>
      </c>
    </row>
    <row r="89" spans="2:50" x14ac:dyDescent="0.2">
      <c r="B89" s="105" t="s">
        <v>105</v>
      </c>
      <c r="C89" s="106">
        <f>C49</f>
        <v>3203.3999387586405</v>
      </c>
      <c r="D89" s="106">
        <f t="shared" ref="D89:AX93" si="3">D49</f>
        <v>3203.3999387586405</v>
      </c>
      <c r="E89" s="106">
        <f t="shared" si="3"/>
        <v>3203.3999387586405</v>
      </c>
      <c r="F89" s="106">
        <f t="shared" si="3"/>
        <v>3203.3999387586405</v>
      </c>
      <c r="G89" s="106">
        <f t="shared" si="3"/>
        <v>1516.4725058910378</v>
      </c>
      <c r="H89" s="106">
        <f t="shared" si="3"/>
        <v>3203.3999387586405</v>
      </c>
      <c r="I89" s="106">
        <f t="shared" si="3"/>
        <v>3203.3999387586405</v>
      </c>
      <c r="J89" s="106">
        <f t="shared" si="3"/>
        <v>3203.3999387586405</v>
      </c>
      <c r="K89" s="106">
        <f t="shared" si="3"/>
        <v>3203.3999387586405</v>
      </c>
      <c r="L89" s="106">
        <f t="shared" si="3"/>
        <v>3203.3999387586405</v>
      </c>
      <c r="M89" s="106">
        <f t="shared" si="3"/>
        <v>3203.3999387586405</v>
      </c>
      <c r="N89" s="106">
        <f t="shared" si="3"/>
        <v>3203.3999387586405</v>
      </c>
      <c r="O89" s="106">
        <f t="shared" si="3"/>
        <v>3203.3999387586405</v>
      </c>
      <c r="P89" s="106">
        <f t="shared" si="3"/>
        <v>3203.3999387586405</v>
      </c>
      <c r="Q89" s="106">
        <f t="shared" si="3"/>
        <v>3203.3999387586405</v>
      </c>
      <c r="R89" s="106">
        <f t="shared" si="3"/>
        <v>3203.3999387586405</v>
      </c>
      <c r="S89" s="106">
        <f t="shared" si="3"/>
        <v>3203.3999387586405</v>
      </c>
      <c r="T89" s="106">
        <f t="shared" si="3"/>
        <v>3203.3999387586405</v>
      </c>
      <c r="U89" s="106">
        <f t="shared" si="3"/>
        <v>3203.3999387586405</v>
      </c>
      <c r="V89" s="106">
        <f t="shared" si="3"/>
        <v>3203.3999387586405</v>
      </c>
      <c r="W89" s="106">
        <f t="shared" si="3"/>
        <v>3203.3999387586405</v>
      </c>
      <c r="X89" s="106">
        <f t="shared" si="3"/>
        <v>3203.3999387586405</v>
      </c>
      <c r="Y89" s="106">
        <f t="shared" si="3"/>
        <v>3203.3999387586405</v>
      </c>
      <c r="Z89" s="106">
        <f t="shared" si="3"/>
        <v>3203.3999387586405</v>
      </c>
      <c r="AA89" s="106">
        <f t="shared" si="3"/>
        <v>3203.3999387586405</v>
      </c>
      <c r="AB89" s="106">
        <f t="shared" si="3"/>
        <v>3203.3999387586405</v>
      </c>
      <c r="AC89" s="106">
        <f t="shared" si="3"/>
        <v>3203.3999387586405</v>
      </c>
      <c r="AD89" s="106">
        <f t="shared" si="3"/>
        <v>3203.3999387586405</v>
      </c>
      <c r="AE89" s="106">
        <f t="shared" si="3"/>
        <v>3203.3999387586405</v>
      </c>
      <c r="AF89" s="106">
        <f t="shared" si="3"/>
        <v>3203.3999387586405</v>
      </c>
      <c r="AG89" s="106">
        <f t="shared" si="3"/>
        <v>3203.3999387586405</v>
      </c>
      <c r="AH89" s="106">
        <f t="shared" si="3"/>
        <v>3203.3999387586405</v>
      </c>
      <c r="AI89" s="106">
        <f t="shared" si="3"/>
        <v>3203.3999387586405</v>
      </c>
      <c r="AJ89" s="106">
        <f t="shared" si="3"/>
        <v>3203.3999387586405</v>
      </c>
      <c r="AK89" s="106">
        <f t="shared" si="3"/>
        <v>3203.3999387586405</v>
      </c>
      <c r="AL89" s="106">
        <f t="shared" si="3"/>
        <v>3203.3999387586405</v>
      </c>
      <c r="AM89" s="106">
        <f t="shared" si="3"/>
        <v>3203.3999387586405</v>
      </c>
      <c r="AN89" s="106">
        <f t="shared" si="3"/>
        <v>3203.3999387586405</v>
      </c>
      <c r="AO89" s="106">
        <f t="shared" si="3"/>
        <v>3203.3999387586405</v>
      </c>
      <c r="AP89" s="106">
        <f t="shared" si="3"/>
        <v>3203.3999387586405</v>
      </c>
      <c r="AQ89" s="106">
        <f t="shared" si="3"/>
        <v>3203.3999387586405</v>
      </c>
      <c r="AR89" s="106">
        <f t="shared" si="3"/>
        <v>3203.3999387586405</v>
      </c>
      <c r="AS89" s="106">
        <f t="shared" si="3"/>
        <v>1635.821321696254</v>
      </c>
      <c r="AT89" s="106">
        <f t="shared" si="3"/>
        <v>3203.3999387586405</v>
      </c>
      <c r="AU89" s="106">
        <f t="shared" si="3"/>
        <v>3203.3999387586405</v>
      </c>
      <c r="AV89" s="106">
        <f t="shared" si="3"/>
        <v>3203.3999387586405</v>
      </c>
      <c r="AW89" s="106">
        <f t="shared" si="3"/>
        <v>3203.3999387586405</v>
      </c>
      <c r="AX89" s="106">
        <f t="shared" si="3"/>
        <v>3203.3999387586405</v>
      </c>
    </row>
    <row r="90" spans="2:50" x14ac:dyDescent="0.2">
      <c r="B90" s="105" t="s">
        <v>106</v>
      </c>
      <c r="C90" s="106">
        <f t="shared" ref="C90:R93" si="4">C50</f>
        <v>2958.1665880602222</v>
      </c>
      <c r="D90" s="106">
        <f t="shared" si="4"/>
        <v>2958.1665880602222</v>
      </c>
      <c r="E90" s="106">
        <f t="shared" si="4"/>
        <v>2958.1665880602222</v>
      </c>
      <c r="F90" s="106">
        <f t="shared" si="4"/>
        <v>2958.1665880602222</v>
      </c>
      <c r="G90" s="106">
        <f t="shared" si="4"/>
        <v>2958.1665880602222</v>
      </c>
      <c r="H90" s="106">
        <f t="shared" si="4"/>
        <v>2958.1665880602222</v>
      </c>
      <c r="I90" s="106">
        <f t="shared" si="4"/>
        <v>2958.1665880602222</v>
      </c>
      <c r="J90" s="106">
        <f t="shared" si="4"/>
        <v>2958.1665880602222</v>
      </c>
      <c r="K90" s="106">
        <f t="shared" si="4"/>
        <v>2958.1665880602222</v>
      </c>
      <c r="L90" s="106">
        <f t="shared" si="4"/>
        <v>510.9699165840338</v>
      </c>
      <c r="M90" s="106">
        <f t="shared" si="4"/>
        <v>2958.1665880602222</v>
      </c>
      <c r="N90" s="106">
        <f t="shared" si="4"/>
        <v>2958.1665880602222</v>
      </c>
      <c r="O90" s="106">
        <f t="shared" si="4"/>
        <v>2958.1665880602222</v>
      </c>
      <c r="P90" s="106">
        <f t="shared" si="4"/>
        <v>2958.1665880602222</v>
      </c>
      <c r="Q90" s="106">
        <f t="shared" si="4"/>
        <v>2958.1665880602222</v>
      </c>
      <c r="R90" s="106">
        <f t="shared" si="4"/>
        <v>2958.1665880602222</v>
      </c>
      <c r="S90" s="106">
        <f t="shared" si="3"/>
        <v>2958.1665880602222</v>
      </c>
      <c r="T90" s="106">
        <f t="shared" si="3"/>
        <v>2958.1665880602222</v>
      </c>
      <c r="U90" s="106">
        <f t="shared" si="3"/>
        <v>2958.1665880602222</v>
      </c>
      <c r="V90" s="106">
        <f t="shared" si="3"/>
        <v>2958.1665880602222</v>
      </c>
      <c r="W90" s="106">
        <f t="shared" si="3"/>
        <v>2958.1665880602222</v>
      </c>
      <c r="X90" s="106">
        <f t="shared" si="3"/>
        <v>2958.1665880602222</v>
      </c>
      <c r="Y90" s="106">
        <f t="shared" si="3"/>
        <v>2958.1665880602222</v>
      </c>
      <c r="Z90" s="106">
        <f t="shared" si="3"/>
        <v>2958.1665880602222</v>
      </c>
      <c r="AA90" s="106">
        <f t="shared" si="3"/>
        <v>2958.1665880602222</v>
      </c>
      <c r="AB90" s="106">
        <f t="shared" si="3"/>
        <v>2958.1665880602222</v>
      </c>
      <c r="AC90" s="106">
        <f t="shared" si="3"/>
        <v>2958.1665880602222</v>
      </c>
      <c r="AD90" s="106">
        <f t="shared" si="3"/>
        <v>2958.1665880602222</v>
      </c>
      <c r="AE90" s="106">
        <f t="shared" si="3"/>
        <v>2958.1665880602222</v>
      </c>
      <c r="AF90" s="106">
        <f t="shared" si="3"/>
        <v>2958.1665880602222</v>
      </c>
      <c r="AG90" s="106">
        <f t="shared" si="3"/>
        <v>2958.1665880602222</v>
      </c>
      <c r="AH90" s="106">
        <f t="shared" si="3"/>
        <v>2958.1665880602222</v>
      </c>
      <c r="AI90" s="106">
        <f t="shared" si="3"/>
        <v>2958.1665880602222</v>
      </c>
      <c r="AJ90" s="106">
        <f t="shared" si="3"/>
        <v>2958.1665880602222</v>
      </c>
      <c r="AK90" s="106">
        <f t="shared" si="3"/>
        <v>2958.1665880602222</v>
      </c>
      <c r="AL90" s="106">
        <f t="shared" si="3"/>
        <v>2958.1665880602222</v>
      </c>
      <c r="AM90" s="106">
        <f t="shared" si="3"/>
        <v>2958.1665880602222</v>
      </c>
      <c r="AN90" s="106">
        <f t="shared" si="3"/>
        <v>2958.1665880602222</v>
      </c>
      <c r="AO90" s="106">
        <f t="shared" si="3"/>
        <v>2958.1665880602222</v>
      </c>
      <c r="AP90" s="106">
        <f t="shared" si="3"/>
        <v>2958.1665880602222</v>
      </c>
      <c r="AQ90" s="106">
        <f t="shared" si="3"/>
        <v>2958.1665880602222</v>
      </c>
      <c r="AR90" s="106">
        <f t="shared" si="3"/>
        <v>2958.1665880602222</v>
      </c>
      <c r="AS90" s="106">
        <f t="shared" si="3"/>
        <v>2958.1665880602222</v>
      </c>
      <c r="AT90" s="106">
        <f t="shared" si="3"/>
        <v>2958.1665880602222</v>
      </c>
      <c r="AU90" s="106">
        <f t="shared" si="3"/>
        <v>2958.1665880602222</v>
      </c>
      <c r="AV90" s="106">
        <f t="shared" si="3"/>
        <v>2958.1665880602222</v>
      </c>
      <c r="AW90" s="106">
        <f t="shared" si="3"/>
        <v>2958.1665880602222</v>
      </c>
      <c r="AX90" s="106">
        <f t="shared" si="3"/>
        <v>2958.1665880602222</v>
      </c>
    </row>
    <row r="91" spans="2:50" x14ac:dyDescent="0.2">
      <c r="B91" s="105" t="s">
        <v>107</v>
      </c>
      <c r="C91" s="106">
        <f t="shared" si="4"/>
        <v>0</v>
      </c>
      <c r="D91" s="106">
        <f t="shared" si="3"/>
        <v>0</v>
      </c>
      <c r="E91" s="106">
        <f t="shared" si="3"/>
        <v>0</v>
      </c>
      <c r="F91" s="106">
        <f t="shared" si="3"/>
        <v>0</v>
      </c>
      <c r="G91" s="106">
        <f t="shared" si="3"/>
        <v>0</v>
      </c>
      <c r="H91" s="106">
        <f t="shared" si="3"/>
        <v>0</v>
      </c>
      <c r="I91" s="106">
        <f t="shared" si="3"/>
        <v>0</v>
      </c>
      <c r="J91" s="106">
        <f t="shared" si="3"/>
        <v>0</v>
      </c>
      <c r="K91" s="106">
        <f t="shared" si="3"/>
        <v>0</v>
      </c>
      <c r="L91" s="106">
        <f t="shared" si="3"/>
        <v>0</v>
      </c>
      <c r="M91" s="106">
        <f t="shared" si="3"/>
        <v>0</v>
      </c>
      <c r="N91" s="106">
        <f t="shared" si="3"/>
        <v>0</v>
      </c>
      <c r="O91" s="106">
        <f t="shared" si="3"/>
        <v>0</v>
      </c>
      <c r="P91" s="106">
        <f t="shared" si="3"/>
        <v>0</v>
      </c>
      <c r="Q91" s="106">
        <f t="shared" si="3"/>
        <v>0</v>
      </c>
      <c r="R91" s="106">
        <f t="shared" si="3"/>
        <v>0</v>
      </c>
      <c r="S91" s="106">
        <f t="shared" si="3"/>
        <v>0</v>
      </c>
      <c r="T91" s="106">
        <f t="shared" si="3"/>
        <v>0</v>
      </c>
      <c r="U91" s="106">
        <f t="shared" si="3"/>
        <v>0</v>
      </c>
      <c r="V91" s="106">
        <f t="shared" si="3"/>
        <v>0</v>
      </c>
      <c r="W91" s="106">
        <f t="shared" si="3"/>
        <v>0</v>
      </c>
      <c r="X91" s="106">
        <f t="shared" si="3"/>
        <v>0</v>
      </c>
      <c r="Y91" s="106">
        <f t="shared" si="3"/>
        <v>0</v>
      </c>
      <c r="Z91" s="106">
        <f t="shared" si="3"/>
        <v>0</v>
      </c>
      <c r="AA91" s="106">
        <f t="shared" si="3"/>
        <v>0</v>
      </c>
      <c r="AB91" s="106">
        <f t="shared" si="3"/>
        <v>0</v>
      </c>
      <c r="AC91" s="106">
        <f t="shared" si="3"/>
        <v>0</v>
      </c>
      <c r="AD91" s="106">
        <f t="shared" si="3"/>
        <v>0</v>
      </c>
      <c r="AE91" s="106">
        <f t="shared" si="3"/>
        <v>0</v>
      </c>
      <c r="AF91" s="106">
        <f t="shared" si="3"/>
        <v>0</v>
      </c>
      <c r="AG91" s="106">
        <f t="shared" si="3"/>
        <v>0</v>
      </c>
      <c r="AH91" s="106">
        <f t="shared" si="3"/>
        <v>0</v>
      </c>
      <c r="AI91" s="106">
        <f t="shared" si="3"/>
        <v>0</v>
      </c>
      <c r="AJ91" s="106">
        <f t="shared" si="3"/>
        <v>0</v>
      </c>
      <c r="AK91" s="106">
        <f t="shared" si="3"/>
        <v>0</v>
      </c>
      <c r="AL91" s="106">
        <f t="shared" si="3"/>
        <v>0</v>
      </c>
      <c r="AM91" s="106">
        <f t="shared" si="3"/>
        <v>0</v>
      </c>
      <c r="AN91" s="106">
        <f t="shared" si="3"/>
        <v>0</v>
      </c>
      <c r="AO91" s="106">
        <f t="shared" si="3"/>
        <v>0</v>
      </c>
      <c r="AP91" s="106">
        <f t="shared" si="3"/>
        <v>0</v>
      </c>
      <c r="AQ91" s="106">
        <f t="shared" si="3"/>
        <v>0</v>
      </c>
      <c r="AR91" s="106">
        <f t="shared" si="3"/>
        <v>0</v>
      </c>
      <c r="AS91" s="106">
        <f t="shared" si="3"/>
        <v>0</v>
      </c>
      <c r="AT91" s="106">
        <f t="shared" si="3"/>
        <v>0</v>
      </c>
      <c r="AU91" s="106">
        <f t="shared" si="3"/>
        <v>0</v>
      </c>
      <c r="AV91" s="106">
        <f t="shared" si="3"/>
        <v>0</v>
      </c>
      <c r="AW91" s="106">
        <f t="shared" si="3"/>
        <v>0</v>
      </c>
      <c r="AX91" s="106">
        <f t="shared" si="3"/>
        <v>0</v>
      </c>
    </row>
    <row r="92" spans="2:50" x14ac:dyDescent="0.2">
      <c r="B92" s="105" t="s">
        <v>108</v>
      </c>
      <c r="C92" s="106">
        <f t="shared" si="4"/>
        <v>0</v>
      </c>
      <c r="D92" s="106">
        <f t="shared" si="4"/>
        <v>0</v>
      </c>
      <c r="E92" s="106">
        <f t="shared" si="4"/>
        <v>0</v>
      </c>
      <c r="F92" s="106">
        <f t="shared" si="4"/>
        <v>0</v>
      </c>
      <c r="G92" s="106">
        <f t="shared" si="4"/>
        <v>0</v>
      </c>
      <c r="H92" s="106">
        <f t="shared" si="4"/>
        <v>0</v>
      </c>
      <c r="I92" s="106">
        <f t="shared" si="4"/>
        <v>0</v>
      </c>
      <c r="J92" s="106">
        <f t="shared" si="4"/>
        <v>0</v>
      </c>
      <c r="K92" s="106">
        <f t="shared" si="4"/>
        <v>0</v>
      </c>
      <c r="L92" s="106">
        <f t="shared" si="4"/>
        <v>0</v>
      </c>
      <c r="M92" s="106">
        <f t="shared" si="4"/>
        <v>0</v>
      </c>
      <c r="N92" s="106">
        <f t="shared" si="4"/>
        <v>0</v>
      </c>
      <c r="O92" s="106">
        <f t="shared" si="4"/>
        <v>0</v>
      </c>
      <c r="P92" s="106">
        <f t="shared" si="4"/>
        <v>0</v>
      </c>
      <c r="Q92" s="106">
        <f t="shared" si="4"/>
        <v>0</v>
      </c>
      <c r="R92" s="106">
        <f t="shared" si="4"/>
        <v>0</v>
      </c>
      <c r="S92" s="106">
        <f t="shared" si="3"/>
        <v>0</v>
      </c>
      <c r="T92" s="106">
        <f t="shared" si="3"/>
        <v>0</v>
      </c>
      <c r="U92" s="106">
        <f t="shared" si="3"/>
        <v>0</v>
      </c>
      <c r="V92" s="106">
        <f t="shared" si="3"/>
        <v>0</v>
      </c>
      <c r="W92" s="106">
        <f t="shared" si="3"/>
        <v>0</v>
      </c>
      <c r="X92" s="106">
        <f t="shared" si="3"/>
        <v>0</v>
      </c>
      <c r="Y92" s="106">
        <f t="shared" si="3"/>
        <v>0</v>
      </c>
      <c r="Z92" s="106">
        <f t="shared" si="3"/>
        <v>0</v>
      </c>
      <c r="AA92" s="106">
        <f t="shared" si="3"/>
        <v>0</v>
      </c>
      <c r="AB92" s="106">
        <f t="shared" si="3"/>
        <v>0</v>
      </c>
      <c r="AC92" s="106">
        <f t="shared" si="3"/>
        <v>0</v>
      </c>
      <c r="AD92" s="106">
        <f t="shared" si="3"/>
        <v>0</v>
      </c>
      <c r="AE92" s="106">
        <f t="shared" si="3"/>
        <v>0</v>
      </c>
      <c r="AF92" s="106">
        <f t="shared" si="3"/>
        <v>0</v>
      </c>
      <c r="AG92" s="106">
        <f t="shared" si="3"/>
        <v>0</v>
      </c>
      <c r="AH92" s="106">
        <f t="shared" si="3"/>
        <v>0</v>
      </c>
      <c r="AI92" s="106">
        <f t="shared" si="3"/>
        <v>0</v>
      </c>
      <c r="AJ92" s="106">
        <f t="shared" si="3"/>
        <v>0</v>
      </c>
      <c r="AK92" s="106">
        <f t="shared" si="3"/>
        <v>0</v>
      </c>
      <c r="AL92" s="106">
        <f t="shared" si="3"/>
        <v>0</v>
      </c>
      <c r="AM92" s="106">
        <f t="shared" si="3"/>
        <v>0</v>
      </c>
      <c r="AN92" s="106">
        <f t="shared" si="3"/>
        <v>0</v>
      </c>
      <c r="AO92" s="106">
        <f t="shared" si="3"/>
        <v>0</v>
      </c>
      <c r="AP92" s="106">
        <f t="shared" si="3"/>
        <v>0</v>
      </c>
      <c r="AQ92" s="106">
        <f t="shared" si="3"/>
        <v>0</v>
      </c>
      <c r="AR92" s="106">
        <f t="shared" si="3"/>
        <v>0</v>
      </c>
      <c r="AS92" s="106">
        <f t="shared" si="3"/>
        <v>0</v>
      </c>
      <c r="AT92" s="106">
        <f t="shared" si="3"/>
        <v>0</v>
      </c>
      <c r="AU92" s="106">
        <f t="shared" si="3"/>
        <v>0</v>
      </c>
      <c r="AV92" s="106">
        <f t="shared" si="3"/>
        <v>0</v>
      </c>
      <c r="AW92" s="106">
        <f t="shared" si="3"/>
        <v>0</v>
      </c>
      <c r="AX92" s="106">
        <f t="shared" si="3"/>
        <v>0</v>
      </c>
    </row>
    <row r="93" spans="2:50" x14ac:dyDescent="0.2">
      <c r="B93" s="105" t="s">
        <v>109</v>
      </c>
      <c r="C93" s="106">
        <f t="shared" si="4"/>
        <v>0</v>
      </c>
      <c r="D93" s="106">
        <f t="shared" si="4"/>
        <v>0</v>
      </c>
      <c r="E93" s="106">
        <f t="shared" si="4"/>
        <v>0</v>
      </c>
      <c r="F93" s="106">
        <f t="shared" si="4"/>
        <v>0</v>
      </c>
      <c r="G93" s="106">
        <f t="shared" si="4"/>
        <v>0</v>
      </c>
      <c r="H93" s="106">
        <f t="shared" si="4"/>
        <v>0</v>
      </c>
      <c r="I93" s="106">
        <f t="shared" si="4"/>
        <v>0</v>
      </c>
      <c r="J93" s="106">
        <f t="shared" si="4"/>
        <v>0</v>
      </c>
      <c r="K93" s="106">
        <f t="shared" si="4"/>
        <v>0</v>
      </c>
      <c r="L93" s="106">
        <f t="shared" si="4"/>
        <v>0</v>
      </c>
      <c r="M93" s="106">
        <f t="shared" si="4"/>
        <v>0</v>
      </c>
      <c r="N93" s="106">
        <f t="shared" si="4"/>
        <v>0</v>
      </c>
      <c r="O93" s="106">
        <f t="shared" si="4"/>
        <v>0</v>
      </c>
      <c r="P93" s="106">
        <f t="shared" si="4"/>
        <v>0</v>
      </c>
      <c r="Q93" s="106">
        <f t="shared" si="4"/>
        <v>0</v>
      </c>
      <c r="R93" s="106">
        <f t="shared" si="4"/>
        <v>0</v>
      </c>
      <c r="S93" s="106">
        <f t="shared" si="3"/>
        <v>0</v>
      </c>
      <c r="T93" s="106">
        <f t="shared" si="3"/>
        <v>0</v>
      </c>
      <c r="U93" s="106">
        <f t="shared" si="3"/>
        <v>0</v>
      </c>
      <c r="V93" s="106">
        <f t="shared" si="3"/>
        <v>0</v>
      </c>
      <c r="W93" s="106">
        <f t="shared" si="3"/>
        <v>0</v>
      </c>
      <c r="X93" s="106">
        <f t="shared" si="3"/>
        <v>0</v>
      </c>
      <c r="Y93" s="106">
        <f t="shared" si="3"/>
        <v>0</v>
      </c>
      <c r="Z93" s="106">
        <f t="shared" si="3"/>
        <v>0</v>
      </c>
      <c r="AA93" s="106">
        <f t="shared" si="3"/>
        <v>0</v>
      </c>
      <c r="AB93" s="106">
        <f t="shared" si="3"/>
        <v>0</v>
      </c>
      <c r="AC93" s="106">
        <f t="shared" si="3"/>
        <v>0</v>
      </c>
      <c r="AD93" s="106">
        <f t="shared" si="3"/>
        <v>0</v>
      </c>
      <c r="AE93" s="106">
        <f t="shared" si="3"/>
        <v>0</v>
      </c>
      <c r="AF93" s="106">
        <f t="shared" si="3"/>
        <v>0</v>
      </c>
      <c r="AG93" s="106">
        <f t="shared" si="3"/>
        <v>0</v>
      </c>
      <c r="AH93" s="106">
        <f t="shared" si="3"/>
        <v>0</v>
      </c>
      <c r="AI93" s="106">
        <f t="shared" si="3"/>
        <v>0</v>
      </c>
      <c r="AJ93" s="106">
        <f t="shared" si="3"/>
        <v>0</v>
      </c>
      <c r="AK93" s="106">
        <f t="shared" si="3"/>
        <v>0</v>
      </c>
      <c r="AL93" s="106">
        <f t="shared" si="3"/>
        <v>0</v>
      </c>
      <c r="AM93" s="106">
        <f t="shared" si="3"/>
        <v>0</v>
      </c>
      <c r="AN93" s="106">
        <f t="shared" si="3"/>
        <v>0</v>
      </c>
      <c r="AO93" s="106">
        <f t="shared" si="3"/>
        <v>0</v>
      </c>
      <c r="AP93" s="106">
        <f t="shared" si="3"/>
        <v>0</v>
      </c>
      <c r="AQ93" s="106">
        <f t="shared" si="3"/>
        <v>0</v>
      </c>
      <c r="AR93" s="106">
        <f t="shared" si="3"/>
        <v>0</v>
      </c>
      <c r="AS93" s="106">
        <f t="shared" si="3"/>
        <v>0</v>
      </c>
      <c r="AT93" s="106">
        <f t="shared" si="3"/>
        <v>0</v>
      </c>
      <c r="AU93" s="106">
        <f t="shared" si="3"/>
        <v>0</v>
      </c>
      <c r="AV93" s="106">
        <f t="shared" si="3"/>
        <v>0</v>
      </c>
      <c r="AW93" s="106">
        <f t="shared" si="3"/>
        <v>0</v>
      </c>
      <c r="AX93" s="106">
        <f t="shared" si="3"/>
        <v>0</v>
      </c>
    </row>
    <row r="94" spans="2:50" x14ac:dyDescent="0.2">
      <c r="B94" s="107"/>
    </row>
    <row r="95" spans="2:50" x14ac:dyDescent="0.2">
      <c r="B95" s="180" t="s">
        <v>335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336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12</v>
      </c>
      <c r="C98" s="106">
        <v>1043815.6698383451</v>
      </c>
      <c r="D98" s="106">
        <v>1043815.6698383451</v>
      </c>
      <c r="E98" s="106">
        <v>1043815.6698383451</v>
      </c>
      <c r="F98" s="106">
        <v>1043815.6698383451</v>
      </c>
      <c r="G98" s="106">
        <v>927836.15096741775</v>
      </c>
      <c r="H98" s="106">
        <v>927836.15096741775</v>
      </c>
      <c r="I98" s="106">
        <v>927836.15096741775</v>
      </c>
      <c r="J98" s="106">
        <v>927836.15096741775</v>
      </c>
      <c r="K98" s="106">
        <v>927836.15096741775</v>
      </c>
      <c r="L98" s="106">
        <v>927836.15096741775</v>
      </c>
      <c r="M98" s="106">
        <v>927836.15096741775</v>
      </c>
      <c r="N98" s="106">
        <v>927836.15096741775</v>
      </c>
      <c r="O98" s="106">
        <v>1043815.6698383451</v>
      </c>
      <c r="P98" s="106">
        <v>1043815.6698383451</v>
      </c>
      <c r="Q98" s="106">
        <v>1043815.6698383451</v>
      </c>
      <c r="R98" s="106">
        <v>1043815.6698383451</v>
      </c>
      <c r="S98" s="106">
        <v>927836.15096741775</v>
      </c>
      <c r="T98" s="106">
        <v>927836.15096741775</v>
      </c>
      <c r="U98" s="106">
        <v>927836.15096741775</v>
      </c>
      <c r="V98" s="106">
        <v>927836.15096741775</v>
      </c>
      <c r="W98" s="106">
        <v>927836.15096741775</v>
      </c>
      <c r="X98" s="106">
        <v>927836.15096741775</v>
      </c>
      <c r="Y98" s="106">
        <v>927836.15096741775</v>
      </c>
      <c r="Z98" s="106">
        <v>927836.15096741775</v>
      </c>
      <c r="AA98" s="106">
        <v>1043815.6698383451</v>
      </c>
      <c r="AB98" s="106">
        <v>1043815.6698383451</v>
      </c>
      <c r="AC98" s="106">
        <v>1043815.6698383451</v>
      </c>
      <c r="AD98" s="106">
        <v>1043815.6698383451</v>
      </c>
      <c r="AE98" s="106">
        <v>927836.15096741775</v>
      </c>
      <c r="AF98" s="106">
        <v>927836.15096741775</v>
      </c>
      <c r="AG98" s="106">
        <v>927836.15096741775</v>
      </c>
      <c r="AH98" s="106">
        <v>927836.15096741775</v>
      </c>
      <c r="AI98" s="106">
        <v>927836.15096741775</v>
      </c>
      <c r="AJ98" s="106">
        <v>927836.15096741775</v>
      </c>
      <c r="AK98" s="106">
        <v>927836.15096741775</v>
      </c>
      <c r="AL98" s="106">
        <v>927836.15096741775</v>
      </c>
      <c r="AM98" s="106">
        <v>1043815.6698383451</v>
      </c>
      <c r="AN98" s="106">
        <v>1043815.6698383451</v>
      </c>
      <c r="AO98" s="106">
        <v>1043815.6698383451</v>
      </c>
      <c r="AP98" s="106">
        <v>1043815.6698383451</v>
      </c>
      <c r="AQ98" s="106">
        <v>927836.15096741775</v>
      </c>
      <c r="AR98" s="106">
        <v>927836.15096741775</v>
      </c>
      <c r="AS98" s="106">
        <v>927836.15096741775</v>
      </c>
      <c r="AT98" s="106">
        <v>927836.15096741775</v>
      </c>
      <c r="AU98" s="106">
        <v>927836.15096741775</v>
      </c>
      <c r="AV98" s="106">
        <v>927836.15096741775</v>
      </c>
      <c r="AW98" s="106">
        <v>927836.15096741775</v>
      </c>
      <c r="AX98" s="106">
        <v>927836.15096741775</v>
      </c>
    </row>
    <row r="99" spans="1:50" x14ac:dyDescent="0.2">
      <c r="B99" s="111" t="s">
        <v>22</v>
      </c>
      <c r="C99" s="106">
        <v>2699115.2735791951</v>
      </c>
      <c r="D99" s="106">
        <v>2699115.2735791951</v>
      </c>
      <c r="E99" s="106">
        <v>2699115.2735791951</v>
      </c>
      <c r="F99" s="106">
        <v>2699115.2735791951</v>
      </c>
      <c r="G99" s="106">
        <v>2399213.5765148401</v>
      </c>
      <c r="H99" s="106">
        <v>2399213.5765148401</v>
      </c>
      <c r="I99" s="106">
        <v>2399213.5765148401</v>
      </c>
      <c r="J99" s="106">
        <v>2399213.5765148401</v>
      </c>
      <c r="K99" s="106">
        <v>2399213.5765148401</v>
      </c>
      <c r="L99" s="106">
        <v>2399213.5765148401</v>
      </c>
      <c r="M99" s="106">
        <v>2399213.5765148401</v>
      </c>
      <c r="N99" s="106">
        <v>2399213.5765148401</v>
      </c>
      <c r="O99" s="106">
        <v>2699115.2735791951</v>
      </c>
      <c r="P99" s="106">
        <v>2699115.2735791951</v>
      </c>
      <c r="Q99" s="106">
        <v>2699115.2735791951</v>
      </c>
      <c r="R99" s="106">
        <v>2699115.2735791951</v>
      </c>
      <c r="S99" s="106">
        <v>2399213.5765148401</v>
      </c>
      <c r="T99" s="106">
        <v>2399213.5765148401</v>
      </c>
      <c r="U99" s="106">
        <v>2399213.5765148401</v>
      </c>
      <c r="V99" s="106">
        <v>2399213.5765148401</v>
      </c>
      <c r="W99" s="106">
        <v>2399213.5765148401</v>
      </c>
      <c r="X99" s="106">
        <v>2399213.5765148401</v>
      </c>
      <c r="Y99" s="106">
        <v>2399213.5765148401</v>
      </c>
      <c r="Z99" s="106">
        <v>2399213.5765148401</v>
      </c>
      <c r="AA99" s="106">
        <v>2699115.2735791951</v>
      </c>
      <c r="AB99" s="106">
        <v>2699115.2735791951</v>
      </c>
      <c r="AC99" s="106">
        <v>2699115.2735791951</v>
      </c>
      <c r="AD99" s="106">
        <v>2699115.2735791951</v>
      </c>
      <c r="AE99" s="106">
        <v>2399213.5765148401</v>
      </c>
      <c r="AF99" s="106">
        <v>2399213.5765148401</v>
      </c>
      <c r="AG99" s="106">
        <v>2399213.5765148401</v>
      </c>
      <c r="AH99" s="106">
        <v>2399213.5765148401</v>
      </c>
      <c r="AI99" s="106">
        <v>2399213.5765148401</v>
      </c>
      <c r="AJ99" s="106">
        <v>2399213.5765148401</v>
      </c>
      <c r="AK99" s="106">
        <v>2399213.5765148401</v>
      </c>
      <c r="AL99" s="106">
        <v>2399213.5765148401</v>
      </c>
      <c r="AM99" s="106">
        <v>2699115.2735791951</v>
      </c>
      <c r="AN99" s="106">
        <v>2699115.2735791951</v>
      </c>
      <c r="AO99" s="106">
        <v>2699115.2735791951</v>
      </c>
      <c r="AP99" s="106">
        <v>2699115.2735791951</v>
      </c>
      <c r="AQ99" s="106">
        <v>2399213.5765148401</v>
      </c>
      <c r="AR99" s="106">
        <v>2399213.5765148401</v>
      </c>
      <c r="AS99" s="106">
        <v>2399213.5765148401</v>
      </c>
      <c r="AT99" s="106">
        <v>2399213.5765148401</v>
      </c>
      <c r="AU99" s="106">
        <v>2399213.5765148401</v>
      </c>
      <c r="AV99" s="106">
        <v>2399213.5765148401</v>
      </c>
      <c r="AW99" s="106">
        <v>2399213.5765148401</v>
      </c>
      <c r="AX99" s="106">
        <v>2399213.5765148401</v>
      </c>
    </row>
    <row r="100" spans="1:50" x14ac:dyDescent="0.2">
      <c r="B100" s="111" t="s">
        <v>59</v>
      </c>
      <c r="C100" s="106">
        <v>1398519.0248310945</v>
      </c>
      <c r="D100" s="106">
        <v>1398519.0248310945</v>
      </c>
      <c r="E100" s="106">
        <v>1398519.0248310945</v>
      </c>
      <c r="F100" s="106">
        <v>1398519.0248310945</v>
      </c>
      <c r="G100" s="106">
        <v>1243128.022072084</v>
      </c>
      <c r="H100" s="106">
        <v>1243128.022072084</v>
      </c>
      <c r="I100" s="106">
        <v>1243128.022072084</v>
      </c>
      <c r="J100" s="106">
        <v>1243128.022072084</v>
      </c>
      <c r="K100" s="106">
        <v>1243128.022072084</v>
      </c>
      <c r="L100" s="106">
        <v>1243128.022072084</v>
      </c>
      <c r="M100" s="106">
        <v>1243128.022072084</v>
      </c>
      <c r="N100" s="106">
        <v>1243128.022072084</v>
      </c>
      <c r="O100" s="106">
        <v>1398519.0248310945</v>
      </c>
      <c r="P100" s="106">
        <v>1398519.0248310945</v>
      </c>
      <c r="Q100" s="106">
        <v>1398519.0248310945</v>
      </c>
      <c r="R100" s="106">
        <v>1398519.0248310945</v>
      </c>
      <c r="S100" s="106">
        <v>1243128.022072084</v>
      </c>
      <c r="T100" s="106">
        <v>1243128.022072084</v>
      </c>
      <c r="U100" s="106">
        <v>1243128.022072084</v>
      </c>
      <c r="V100" s="106">
        <v>1243128.022072084</v>
      </c>
      <c r="W100" s="106">
        <v>1243128.022072084</v>
      </c>
      <c r="X100" s="106">
        <v>1243128.022072084</v>
      </c>
      <c r="Y100" s="106">
        <v>1243128.022072084</v>
      </c>
      <c r="Z100" s="106">
        <v>1243128.022072084</v>
      </c>
      <c r="AA100" s="106">
        <v>1398519.0248310945</v>
      </c>
      <c r="AB100" s="106">
        <v>1398519.0248310945</v>
      </c>
      <c r="AC100" s="106">
        <v>1398519.0248310945</v>
      </c>
      <c r="AD100" s="106">
        <v>1398519.0248310945</v>
      </c>
      <c r="AE100" s="106">
        <v>1243128.022072084</v>
      </c>
      <c r="AF100" s="106">
        <v>1243128.022072084</v>
      </c>
      <c r="AG100" s="106">
        <v>1243128.022072084</v>
      </c>
      <c r="AH100" s="106">
        <v>1243128.022072084</v>
      </c>
      <c r="AI100" s="106">
        <v>1243128.022072084</v>
      </c>
      <c r="AJ100" s="106">
        <v>1243128.022072084</v>
      </c>
      <c r="AK100" s="106">
        <v>1243128.022072084</v>
      </c>
      <c r="AL100" s="106">
        <v>1243128.022072084</v>
      </c>
      <c r="AM100" s="106">
        <v>1398519.0248310945</v>
      </c>
      <c r="AN100" s="106">
        <v>1398519.0248310945</v>
      </c>
      <c r="AO100" s="106">
        <v>1398519.0248310945</v>
      </c>
      <c r="AP100" s="106">
        <v>1398519.0248310945</v>
      </c>
      <c r="AQ100" s="106">
        <v>1243128.022072084</v>
      </c>
      <c r="AR100" s="106">
        <v>1243128.022072084</v>
      </c>
      <c r="AS100" s="106">
        <v>1243128.022072084</v>
      </c>
      <c r="AT100" s="106">
        <v>1243128.022072084</v>
      </c>
      <c r="AU100" s="106">
        <v>1243128.022072084</v>
      </c>
      <c r="AV100" s="106">
        <v>1243128.022072084</v>
      </c>
      <c r="AW100" s="106">
        <v>1243128.022072084</v>
      </c>
      <c r="AX100" s="106">
        <v>1243128.022072084</v>
      </c>
    </row>
    <row r="101" spans="1:50" x14ac:dyDescent="0.2">
      <c r="B101" s="106" t="s">
        <v>278</v>
      </c>
      <c r="C101" s="111">
        <f>SUM(C$98:C$100)</f>
        <v>5141449.9682486346</v>
      </c>
      <c r="D101" s="111">
        <f t="shared" ref="D101:AX101" si="5">SUM(D$98:D$100)</f>
        <v>5141449.9682486346</v>
      </c>
      <c r="E101" s="111">
        <f t="shared" si="5"/>
        <v>5141449.9682486346</v>
      </c>
      <c r="F101" s="111">
        <f t="shared" si="5"/>
        <v>5141449.9682486346</v>
      </c>
      <c r="G101" s="111">
        <f t="shared" si="5"/>
        <v>4570177.7495543417</v>
      </c>
      <c r="H101" s="111">
        <f t="shared" si="5"/>
        <v>4570177.7495543417</v>
      </c>
      <c r="I101" s="111">
        <f t="shared" si="5"/>
        <v>4570177.7495543417</v>
      </c>
      <c r="J101" s="111">
        <f t="shared" si="5"/>
        <v>4570177.7495543417</v>
      </c>
      <c r="K101" s="111">
        <f t="shared" si="5"/>
        <v>4570177.7495543417</v>
      </c>
      <c r="L101" s="111">
        <f t="shared" si="5"/>
        <v>4570177.7495543417</v>
      </c>
      <c r="M101" s="111">
        <f t="shared" si="5"/>
        <v>4570177.7495543417</v>
      </c>
      <c r="N101" s="111">
        <f t="shared" si="5"/>
        <v>4570177.7495543417</v>
      </c>
      <c r="O101" s="111">
        <f t="shared" si="5"/>
        <v>5141449.9682486346</v>
      </c>
      <c r="P101" s="111">
        <f t="shared" si="5"/>
        <v>5141449.9682486346</v>
      </c>
      <c r="Q101" s="111">
        <f t="shared" si="5"/>
        <v>5141449.9682486346</v>
      </c>
      <c r="R101" s="111">
        <f t="shared" si="5"/>
        <v>5141449.9682486346</v>
      </c>
      <c r="S101" s="111">
        <f t="shared" si="5"/>
        <v>4570177.7495543417</v>
      </c>
      <c r="T101" s="111">
        <f t="shared" si="5"/>
        <v>4570177.7495543417</v>
      </c>
      <c r="U101" s="111">
        <f t="shared" si="5"/>
        <v>4570177.7495543417</v>
      </c>
      <c r="V101" s="111">
        <f t="shared" si="5"/>
        <v>4570177.7495543417</v>
      </c>
      <c r="W101" s="111">
        <f t="shared" si="5"/>
        <v>4570177.7495543417</v>
      </c>
      <c r="X101" s="111">
        <f t="shared" si="5"/>
        <v>4570177.7495543417</v>
      </c>
      <c r="Y101" s="111">
        <f t="shared" si="5"/>
        <v>4570177.7495543417</v>
      </c>
      <c r="Z101" s="111">
        <f t="shared" si="5"/>
        <v>4570177.7495543417</v>
      </c>
      <c r="AA101" s="111">
        <f t="shared" si="5"/>
        <v>5141449.9682486346</v>
      </c>
      <c r="AB101" s="111">
        <f t="shared" si="5"/>
        <v>5141449.9682486346</v>
      </c>
      <c r="AC101" s="111">
        <f t="shared" si="5"/>
        <v>5141449.9682486346</v>
      </c>
      <c r="AD101" s="111">
        <f t="shared" si="5"/>
        <v>5141449.9682486346</v>
      </c>
      <c r="AE101" s="111">
        <f t="shared" si="5"/>
        <v>4570177.7495543417</v>
      </c>
      <c r="AF101" s="111">
        <f t="shared" si="5"/>
        <v>4570177.7495543417</v>
      </c>
      <c r="AG101" s="111">
        <f t="shared" si="5"/>
        <v>4570177.7495543417</v>
      </c>
      <c r="AH101" s="111">
        <f t="shared" si="5"/>
        <v>4570177.7495543417</v>
      </c>
      <c r="AI101" s="111">
        <f t="shared" si="5"/>
        <v>4570177.7495543417</v>
      </c>
      <c r="AJ101" s="111">
        <f t="shared" si="5"/>
        <v>4570177.7495543417</v>
      </c>
      <c r="AK101" s="111">
        <f t="shared" si="5"/>
        <v>4570177.7495543417</v>
      </c>
      <c r="AL101" s="111">
        <f t="shared" si="5"/>
        <v>4570177.7495543417</v>
      </c>
      <c r="AM101" s="111">
        <f t="shared" si="5"/>
        <v>5141449.9682486346</v>
      </c>
      <c r="AN101" s="111">
        <f t="shared" si="5"/>
        <v>5141449.9682486346</v>
      </c>
      <c r="AO101" s="111">
        <f t="shared" si="5"/>
        <v>5141449.9682486346</v>
      </c>
      <c r="AP101" s="111">
        <f t="shared" si="5"/>
        <v>5141449.9682486346</v>
      </c>
      <c r="AQ101" s="111">
        <f t="shared" si="5"/>
        <v>4570177.7495543417</v>
      </c>
      <c r="AR101" s="111">
        <f t="shared" si="5"/>
        <v>4570177.7495543417</v>
      </c>
      <c r="AS101" s="111">
        <f t="shared" si="5"/>
        <v>4570177.7495543417</v>
      </c>
      <c r="AT101" s="111">
        <f t="shared" si="5"/>
        <v>4570177.7495543417</v>
      </c>
      <c r="AU101" s="111">
        <f t="shared" si="5"/>
        <v>4570177.7495543417</v>
      </c>
      <c r="AV101" s="111">
        <f t="shared" si="5"/>
        <v>4570177.7495543417</v>
      </c>
      <c r="AW101" s="111">
        <f t="shared" si="5"/>
        <v>4570177.7495543417</v>
      </c>
      <c r="AX101" s="111">
        <f t="shared" si="5"/>
        <v>4570177.7495543417</v>
      </c>
    </row>
    <row r="102" spans="1:50" x14ac:dyDescent="0.2">
      <c r="A102" s="111" t="s">
        <v>105</v>
      </c>
      <c r="B102" s="111" t="s">
        <v>12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</row>
    <row r="103" spans="1:50" x14ac:dyDescent="0.2">
      <c r="B103" s="111" t="s">
        <v>22</v>
      </c>
      <c r="C103" s="106">
        <v>81194.627631842683</v>
      </c>
      <c r="D103" s="106">
        <v>81194.627631842683</v>
      </c>
      <c r="E103" s="106">
        <v>81194.627631842683</v>
      </c>
      <c r="F103" s="106">
        <v>81194.627631842683</v>
      </c>
      <c r="G103" s="106">
        <v>38437.105195633005</v>
      </c>
      <c r="H103" s="106">
        <v>81194.627631842683</v>
      </c>
      <c r="I103" s="106">
        <v>81194.627631842683</v>
      </c>
      <c r="J103" s="106">
        <v>81194.627631842683</v>
      </c>
      <c r="K103" s="106">
        <v>81194.627631842683</v>
      </c>
      <c r="L103" s="106">
        <v>81194.627631842683</v>
      </c>
      <c r="M103" s="106">
        <v>81194.627631842683</v>
      </c>
      <c r="N103" s="106">
        <v>81194.627631842683</v>
      </c>
      <c r="O103" s="106">
        <v>81194.627631842683</v>
      </c>
      <c r="P103" s="106">
        <v>81194.627631842683</v>
      </c>
      <c r="Q103" s="106">
        <v>81194.627631842683</v>
      </c>
      <c r="R103" s="106">
        <v>81194.627631842683</v>
      </c>
      <c r="S103" s="106">
        <v>81194.627631842683</v>
      </c>
      <c r="T103" s="106">
        <v>81194.627631842683</v>
      </c>
      <c r="U103" s="106">
        <v>81194.627631842683</v>
      </c>
      <c r="V103" s="106">
        <v>81194.627631842683</v>
      </c>
      <c r="W103" s="106">
        <v>81194.627631842683</v>
      </c>
      <c r="X103" s="106">
        <v>81194.627631842683</v>
      </c>
      <c r="Y103" s="106">
        <v>81194.627631842683</v>
      </c>
      <c r="Z103" s="106">
        <v>81194.627631842683</v>
      </c>
      <c r="AA103" s="106">
        <v>81194.627631842683</v>
      </c>
      <c r="AB103" s="106">
        <v>81194.627631842683</v>
      </c>
      <c r="AC103" s="106">
        <v>81194.627631842683</v>
      </c>
      <c r="AD103" s="106">
        <v>81194.627631842683</v>
      </c>
      <c r="AE103" s="106">
        <v>81194.627631842683</v>
      </c>
      <c r="AF103" s="106">
        <v>81194.627631842683</v>
      </c>
      <c r="AG103" s="106">
        <v>81194.627631842683</v>
      </c>
      <c r="AH103" s="106">
        <v>81194.627631842683</v>
      </c>
      <c r="AI103" s="106">
        <v>81194.627631842683</v>
      </c>
      <c r="AJ103" s="106">
        <v>81194.627631842683</v>
      </c>
      <c r="AK103" s="106">
        <v>81194.627631842683</v>
      </c>
      <c r="AL103" s="106">
        <v>81194.627631842683</v>
      </c>
      <c r="AM103" s="106">
        <v>81194.627631842683</v>
      </c>
      <c r="AN103" s="106">
        <v>81194.627631842683</v>
      </c>
      <c r="AO103" s="106">
        <v>81194.627631842683</v>
      </c>
      <c r="AP103" s="106">
        <v>81194.627631842683</v>
      </c>
      <c r="AQ103" s="106">
        <v>81194.627631842683</v>
      </c>
      <c r="AR103" s="106">
        <v>81194.627631842683</v>
      </c>
      <c r="AS103" s="106">
        <v>41462.166955907953</v>
      </c>
      <c r="AT103" s="106">
        <v>81194.627631842683</v>
      </c>
      <c r="AU103" s="106">
        <v>81194.627631842683</v>
      </c>
      <c r="AV103" s="106">
        <v>81194.627631842683</v>
      </c>
      <c r="AW103" s="106">
        <v>81194.627631842683</v>
      </c>
      <c r="AX103" s="106">
        <v>81194.627631842683</v>
      </c>
    </row>
    <row r="104" spans="1:50" x14ac:dyDescent="0.2">
      <c r="B104" s="111" t="s">
        <v>59</v>
      </c>
      <c r="C104" s="106">
        <v>1741903.0068269416</v>
      </c>
      <c r="D104" s="106">
        <v>1741903.0068269416</v>
      </c>
      <c r="E104" s="106">
        <v>1741903.0068269416</v>
      </c>
      <c r="F104" s="106">
        <v>1741903.0068269416</v>
      </c>
      <c r="G104" s="106">
        <v>824607.62573580502</v>
      </c>
      <c r="H104" s="106">
        <v>1741903.0068269416</v>
      </c>
      <c r="I104" s="106">
        <v>1741903.0068269416</v>
      </c>
      <c r="J104" s="106">
        <v>1741903.0068269416</v>
      </c>
      <c r="K104" s="106">
        <v>1741903.0068269416</v>
      </c>
      <c r="L104" s="106">
        <v>1741903.0068269416</v>
      </c>
      <c r="M104" s="106">
        <v>1741903.0068269416</v>
      </c>
      <c r="N104" s="106">
        <v>1741903.0068269416</v>
      </c>
      <c r="O104" s="106">
        <v>1741903.0068269416</v>
      </c>
      <c r="P104" s="106">
        <v>1741903.0068269416</v>
      </c>
      <c r="Q104" s="106">
        <v>1741903.0068269416</v>
      </c>
      <c r="R104" s="106">
        <v>1741903.0068269416</v>
      </c>
      <c r="S104" s="106">
        <v>1741903.0068269416</v>
      </c>
      <c r="T104" s="106">
        <v>1741903.0068269416</v>
      </c>
      <c r="U104" s="106">
        <v>1741903.0068269416</v>
      </c>
      <c r="V104" s="106">
        <v>1741903.0068269416</v>
      </c>
      <c r="W104" s="106">
        <v>1741903.0068269416</v>
      </c>
      <c r="X104" s="106">
        <v>1741903.0068269416</v>
      </c>
      <c r="Y104" s="106">
        <v>1741903.0068269416</v>
      </c>
      <c r="Z104" s="106">
        <v>1741903.0068269416</v>
      </c>
      <c r="AA104" s="106">
        <v>1741903.0068269416</v>
      </c>
      <c r="AB104" s="106">
        <v>1741903.0068269416</v>
      </c>
      <c r="AC104" s="106">
        <v>1741903.0068269416</v>
      </c>
      <c r="AD104" s="106">
        <v>1741903.0068269416</v>
      </c>
      <c r="AE104" s="106">
        <v>1741903.0068269416</v>
      </c>
      <c r="AF104" s="106">
        <v>1741903.0068269416</v>
      </c>
      <c r="AG104" s="106">
        <v>1741903.0068269416</v>
      </c>
      <c r="AH104" s="106">
        <v>1741903.0068269416</v>
      </c>
      <c r="AI104" s="106">
        <v>1741903.0068269416</v>
      </c>
      <c r="AJ104" s="106">
        <v>1741903.0068269416</v>
      </c>
      <c r="AK104" s="106">
        <v>1741903.0068269416</v>
      </c>
      <c r="AL104" s="106">
        <v>1741903.0068269416</v>
      </c>
      <c r="AM104" s="106">
        <v>1741903.0068269416</v>
      </c>
      <c r="AN104" s="106">
        <v>1741903.0068269416</v>
      </c>
      <c r="AO104" s="106">
        <v>1741903.0068269416</v>
      </c>
      <c r="AP104" s="106">
        <v>1741903.0068269416</v>
      </c>
      <c r="AQ104" s="106">
        <v>1741903.0068269416</v>
      </c>
      <c r="AR104" s="106">
        <v>1741903.0068269416</v>
      </c>
      <c r="AS104" s="106">
        <v>889505.56701281655</v>
      </c>
      <c r="AT104" s="106">
        <v>1741903.0068269416</v>
      </c>
      <c r="AU104" s="106">
        <v>1741903.0068269416</v>
      </c>
      <c r="AV104" s="106">
        <v>1741903.0068269416</v>
      </c>
      <c r="AW104" s="106">
        <v>1741903.0068269416</v>
      </c>
      <c r="AX104" s="106">
        <v>1741903.0068269416</v>
      </c>
    </row>
    <row r="105" spans="1:50" x14ac:dyDescent="0.2">
      <c r="B105" s="106" t="s">
        <v>278</v>
      </c>
      <c r="C105" s="111">
        <f>SUM(C$102:C$104)</f>
        <v>1823097.6344587842</v>
      </c>
      <c r="D105" s="111">
        <f t="shared" ref="D105:AX105" si="6">SUM(D$102:D$104)</f>
        <v>1823097.6344587842</v>
      </c>
      <c r="E105" s="111">
        <f t="shared" si="6"/>
        <v>1823097.6344587842</v>
      </c>
      <c r="F105" s="111">
        <f t="shared" si="6"/>
        <v>1823097.6344587842</v>
      </c>
      <c r="G105" s="111">
        <f t="shared" si="6"/>
        <v>863044.73093143804</v>
      </c>
      <c r="H105" s="111">
        <f t="shared" si="6"/>
        <v>1823097.6344587842</v>
      </c>
      <c r="I105" s="111">
        <f t="shared" si="6"/>
        <v>1823097.6344587842</v>
      </c>
      <c r="J105" s="111">
        <f t="shared" si="6"/>
        <v>1823097.6344587842</v>
      </c>
      <c r="K105" s="111">
        <f t="shared" si="6"/>
        <v>1823097.6344587842</v>
      </c>
      <c r="L105" s="111">
        <f t="shared" si="6"/>
        <v>1823097.6344587842</v>
      </c>
      <c r="M105" s="111">
        <f t="shared" si="6"/>
        <v>1823097.6344587842</v>
      </c>
      <c r="N105" s="111">
        <f t="shared" si="6"/>
        <v>1823097.6344587842</v>
      </c>
      <c r="O105" s="111">
        <f t="shared" si="6"/>
        <v>1823097.6344587842</v>
      </c>
      <c r="P105" s="111">
        <f t="shared" si="6"/>
        <v>1823097.6344587842</v>
      </c>
      <c r="Q105" s="111">
        <f t="shared" si="6"/>
        <v>1823097.6344587842</v>
      </c>
      <c r="R105" s="111">
        <f t="shared" si="6"/>
        <v>1823097.6344587842</v>
      </c>
      <c r="S105" s="111">
        <f t="shared" si="6"/>
        <v>1823097.6344587842</v>
      </c>
      <c r="T105" s="111">
        <f t="shared" si="6"/>
        <v>1823097.6344587842</v>
      </c>
      <c r="U105" s="111">
        <f t="shared" si="6"/>
        <v>1823097.6344587842</v>
      </c>
      <c r="V105" s="111">
        <f t="shared" si="6"/>
        <v>1823097.6344587842</v>
      </c>
      <c r="W105" s="111">
        <f t="shared" si="6"/>
        <v>1823097.6344587842</v>
      </c>
      <c r="X105" s="111">
        <f t="shared" si="6"/>
        <v>1823097.6344587842</v>
      </c>
      <c r="Y105" s="111">
        <f t="shared" si="6"/>
        <v>1823097.6344587842</v>
      </c>
      <c r="Z105" s="111">
        <f t="shared" si="6"/>
        <v>1823097.6344587842</v>
      </c>
      <c r="AA105" s="111">
        <f t="shared" si="6"/>
        <v>1823097.6344587842</v>
      </c>
      <c r="AB105" s="111">
        <f t="shared" si="6"/>
        <v>1823097.6344587842</v>
      </c>
      <c r="AC105" s="111">
        <f t="shared" si="6"/>
        <v>1823097.6344587842</v>
      </c>
      <c r="AD105" s="111">
        <f t="shared" si="6"/>
        <v>1823097.6344587842</v>
      </c>
      <c r="AE105" s="111">
        <f t="shared" si="6"/>
        <v>1823097.6344587842</v>
      </c>
      <c r="AF105" s="111">
        <f t="shared" si="6"/>
        <v>1823097.6344587842</v>
      </c>
      <c r="AG105" s="111">
        <f t="shared" si="6"/>
        <v>1823097.6344587842</v>
      </c>
      <c r="AH105" s="111">
        <f t="shared" si="6"/>
        <v>1823097.6344587842</v>
      </c>
      <c r="AI105" s="111">
        <f t="shared" si="6"/>
        <v>1823097.6344587842</v>
      </c>
      <c r="AJ105" s="111">
        <f t="shared" si="6"/>
        <v>1823097.6344587842</v>
      </c>
      <c r="AK105" s="111">
        <f t="shared" si="6"/>
        <v>1823097.6344587842</v>
      </c>
      <c r="AL105" s="111">
        <f t="shared" si="6"/>
        <v>1823097.6344587842</v>
      </c>
      <c r="AM105" s="111">
        <f t="shared" si="6"/>
        <v>1823097.6344587842</v>
      </c>
      <c r="AN105" s="111">
        <f t="shared" si="6"/>
        <v>1823097.6344587842</v>
      </c>
      <c r="AO105" s="111">
        <f t="shared" si="6"/>
        <v>1823097.6344587842</v>
      </c>
      <c r="AP105" s="111">
        <f t="shared" si="6"/>
        <v>1823097.6344587842</v>
      </c>
      <c r="AQ105" s="111">
        <f t="shared" si="6"/>
        <v>1823097.6344587842</v>
      </c>
      <c r="AR105" s="111">
        <f t="shared" si="6"/>
        <v>1823097.6344587842</v>
      </c>
      <c r="AS105" s="111">
        <f t="shared" si="6"/>
        <v>930967.7339687245</v>
      </c>
      <c r="AT105" s="111">
        <f t="shared" si="6"/>
        <v>1823097.6344587842</v>
      </c>
      <c r="AU105" s="111">
        <f t="shared" si="6"/>
        <v>1823097.6344587842</v>
      </c>
      <c r="AV105" s="111">
        <f t="shared" si="6"/>
        <v>1823097.6344587842</v>
      </c>
      <c r="AW105" s="111">
        <f t="shared" si="6"/>
        <v>1823097.6344587842</v>
      </c>
      <c r="AX105" s="111">
        <f t="shared" si="6"/>
        <v>1823097.6344587842</v>
      </c>
    </row>
    <row r="106" spans="1:50" x14ac:dyDescent="0.2">
      <c r="A106" s="111" t="s">
        <v>106</v>
      </c>
      <c r="B106" s="111" t="s">
        <v>12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</row>
    <row r="107" spans="1:50" x14ac:dyDescent="0.2">
      <c r="B107" s="111" t="s">
        <v>22</v>
      </c>
      <c r="C107" s="106">
        <v>29564.897293049082</v>
      </c>
      <c r="D107" s="106">
        <v>29564.897293049082</v>
      </c>
      <c r="E107" s="106">
        <v>29564.897293049082</v>
      </c>
      <c r="F107" s="106">
        <v>29564.897293049082</v>
      </c>
      <c r="G107" s="106">
        <v>29564.897293049082</v>
      </c>
      <c r="H107" s="106">
        <v>29564.897293049082</v>
      </c>
      <c r="I107" s="106">
        <v>29564.897293049082</v>
      </c>
      <c r="J107" s="106">
        <v>29564.897293049082</v>
      </c>
      <c r="K107" s="106">
        <v>29564.897293049082</v>
      </c>
      <c r="L107" s="106">
        <v>5106.8026948241877</v>
      </c>
      <c r="M107" s="106">
        <v>29564.897293049082</v>
      </c>
      <c r="N107" s="106">
        <v>29564.897293049082</v>
      </c>
      <c r="O107" s="106">
        <v>29564.897293049082</v>
      </c>
      <c r="P107" s="106">
        <v>29564.897293049082</v>
      </c>
      <c r="Q107" s="106">
        <v>29564.897293049082</v>
      </c>
      <c r="R107" s="106">
        <v>29564.897293049082</v>
      </c>
      <c r="S107" s="106">
        <v>29564.897293049082</v>
      </c>
      <c r="T107" s="106">
        <v>29564.897293049082</v>
      </c>
      <c r="U107" s="106">
        <v>29564.897293049082</v>
      </c>
      <c r="V107" s="106">
        <v>29564.897293049082</v>
      </c>
      <c r="W107" s="106">
        <v>29564.897293049082</v>
      </c>
      <c r="X107" s="106">
        <v>29564.897293049082</v>
      </c>
      <c r="Y107" s="106">
        <v>29564.897293049082</v>
      </c>
      <c r="Z107" s="106">
        <v>29564.897293049082</v>
      </c>
      <c r="AA107" s="106">
        <v>29564.897293049082</v>
      </c>
      <c r="AB107" s="106">
        <v>29564.897293049082</v>
      </c>
      <c r="AC107" s="106">
        <v>29564.897293049082</v>
      </c>
      <c r="AD107" s="106">
        <v>29564.897293049082</v>
      </c>
      <c r="AE107" s="106">
        <v>29564.897293049082</v>
      </c>
      <c r="AF107" s="106">
        <v>29564.897293049082</v>
      </c>
      <c r="AG107" s="106">
        <v>29564.897293049082</v>
      </c>
      <c r="AH107" s="106">
        <v>29564.897293049082</v>
      </c>
      <c r="AI107" s="106">
        <v>29564.897293049082</v>
      </c>
      <c r="AJ107" s="106">
        <v>29564.897293049082</v>
      </c>
      <c r="AK107" s="106">
        <v>29564.897293049082</v>
      </c>
      <c r="AL107" s="106">
        <v>29564.897293049082</v>
      </c>
      <c r="AM107" s="106">
        <v>29564.897293049082</v>
      </c>
      <c r="AN107" s="106">
        <v>29564.897293049082</v>
      </c>
      <c r="AO107" s="106">
        <v>29564.897293049082</v>
      </c>
      <c r="AP107" s="106">
        <v>29564.897293049082</v>
      </c>
      <c r="AQ107" s="106">
        <v>29564.897293049082</v>
      </c>
      <c r="AR107" s="106">
        <v>29564.897293049082</v>
      </c>
      <c r="AS107" s="106">
        <v>29564.897293049082</v>
      </c>
      <c r="AT107" s="106">
        <v>29564.897293049082</v>
      </c>
      <c r="AU107" s="106">
        <v>29564.897293049082</v>
      </c>
      <c r="AV107" s="106">
        <v>29564.897293049082</v>
      </c>
      <c r="AW107" s="106">
        <v>29564.897293049082</v>
      </c>
      <c r="AX107" s="106">
        <v>29564.897293049082</v>
      </c>
    </row>
    <row r="108" spans="1:50" x14ac:dyDescent="0.2">
      <c r="B108" s="111" t="s">
        <v>59</v>
      </c>
      <c r="C108" s="106">
        <v>552297.46944132389</v>
      </c>
      <c r="D108" s="106">
        <v>552297.46944132389</v>
      </c>
      <c r="E108" s="106">
        <v>552297.46944132389</v>
      </c>
      <c r="F108" s="106">
        <v>552297.46944132389</v>
      </c>
      <c r="G108" s="106">
        <v>552297.46944132389</v>
      </c>
      <c r="H108" s="106">
        <v>552297.46944132389</v>
      </c>
      <c r="I108" s="106">
        <v>552297.46944132389</v>
      </c>
      <c r="J108" s="106">
        <v>552297.46944132389</v>
      </c>
      <c r="K108" s="106">
        <v>552297.46944132389</v>
      </c>
      <c r="L108" s="106">
        <v>95399.425113194826</v>
      </c>
      <c r="M108" s="106">
        <v>552297.46944132389</v>
      </c>
      <c r="N108" s="106">
        <v>552297.46944132389</v>
      </c>
      <c r="O108" s="106">
        <v>552297.46944132389</v>
      </c>
      <c r="P108" s="106">
        <v>552297.46944132389</v>
      </c>
      <c r="Q108" s="106">
        <v>552297.46944132389</v>
      </c>
      <c r="R108" s="106">
        <v>552297.46944132389</v>
      </c>
      <c r="S108" s="106">
        <v>552297.46944132389</v>
      </c>
      <c r="T108" s="106">
        <v>552297.46944132389</v>
      </c>
      <c r="U108" s="106">
        <v>552297.46944132389</v>
      </c>
      <c r="V108" s="106">
        <v>552297.46944132389</v>
      </c>
      <c r="W108" s="106">
        <v>552297.46944132389</v>
      </c>
      <c r="X108" s="106">
        <v>552297.46944132389</v>
      </c>
      <c r="Y108" s="106">
        <v>552297.46944132389</v>
      </c>
      <c r="Z108" s="106">
        <v>552297.46944132389</v>
      </c>
      <c r="AA108" s="106">
        <v>552297.46944132389</v>
      </c>
      <c r="AB108" s="106">
        <v>552297.46944132389</v>
      </c>
      <c r="AC108" s="106">
        <v>552297.46944132389</v>
      </c>
      <c r="AD108" s="106">
        <v>552297.46944132389</v>
      </c>
      <c r="AE108" s="106">
        <v>552297.46944132389</v>
      </c>
      <c r="AF108" s="106">
        <v>552297.46944132389</v>
      </c>
      <c r="AG108" s="106">
        <v>552297.46944132389</v>
      </c>
      <c r="AH108" s="106">
        <v>552297.46944132389</v>
      </c>
      <c r="AI108" s="106">
        <v>552297.46944132389</v>
      </c>
      <c r="AJ108" s="106">
        <v>552297.46944132389</v>
      </c>
      <c r="AK108" s="106">
        <v>552297.46944132389</v>
      </c>
      <c r="AL108" s="106">
        <v>552297.46944132389</v>
      </c>
      <c r="AM108" s="106">
        <v>552297.46944132389</v>
      </c>
      <c r="AN108" s="106">
        <v>552297.46944132389</v>
      </c>
      <c r="AO108" s="106">
        <v>552297.46944132389</v>
      </c>
      <c r="AP108" s="106">
        <v>552297.46944132389</v>
      </c>
      <c r="AQ108" s="106">
        <v>552297.46944132389</v>
      </c>
      <c r="AR108" s="106">
        <v>552297.46944132389</v>
      </c>
      <c r="AS108" s="106">
        <v>552297.46944132389</v>
      </c>
      <c r="AT108" s="106">
        <v>552297.46944132389</v>
      </c>
      <c r="AU108" s="106">
        <v>552297.46944132389</v>
      </c>
      <c r="AV108" s="106">
        <v>552297.46944132389</v>
      </c>
      <c r="AW108" s="106">
        <v>552297.46944132389</v>
      </c>
      <c r="AX108" s="106">
        <v>552297.46944132389</v>
      </c>
    </row>
    <row r="109" spans="1:50" x14ac:dyDescent="0.2">
      <c r="B109" s="107" t="s">
        <v>278</v>
      </c>
      <c r="C109" s="111">
        <f>SUM(C$106:C$108)</f>
        <v>581862.36673437292</v>
      </c>
      <c r="D109" s="111">
        <f t="shared" ref="D109:AX109" si="7">SUM(D$106:D$108)</f>
        <v>581862.36673437292</v>
      </c>
      <c r="E109" s="111">
        <f t="shared" si="7"/>
        <v>581862.36673437292</v>
      </c>
      <c r="F109" s="111">
        <f t="shared" si="7"/>
        <v>581862.36673437292</v>
      </c>
      <c r="G109" s="111">
        <f t="shared" si="7"/>
        <v>581862.36673437292</v>
      </c>
      <c r="H109" s="111">
        <f t="shared" si="7"/>
        <v>581862.36673437292</v>
      </c>
      <c r="I109" s="111">
        <f t="shared" si="7"/>
        <v>581862.36673437292</v>
      </c>
      <c r="J109" s="111">
        <f t="shared" si="7"/>
        <v>581862.36673437292</v>
      </c>
      <c r="K109" s="111">
        <f t="shared" si="7"/>
        <v>581862.36673437292</v>
      </c>
      <c r="L109" s="111">
        <f t="shared" si="7"/>
        <v>100506.22780801902</v>
      </c>
      <c r="M109" s="111">
        <f t="shared" si="7"/>
        <v>581862.36673437292</v>
      </c>
      <c r="N109" s="111">
        <f t="shared" si="7"/>
        <v>581862.36673437292</v>
      </c>
      <c r="O109" s="111">
        <f t="shared" si="7"/>
        <v>581862.36673437292</v>
      </c>
      <c r="P109" s="111">
        <f t="shared" si="7"/>
        <v>581862.36673437292</v>
      </c>
      <c r="Q109" s="111">
        <f t="shared" si="7"/>
        <v>581862.36673437292</v>
      </c>
      <c r="R109" s="111">
        <f t="shared" si="7"/>
        <v>581862.36673437292</v>
      </c>
      <c r="S109" s="111">
        <f t="shared" si="7"/>
        <v>581862.36673437292</v>
      </c>
      <c r="T109" s="111">
        <f t="shared" si="7"/>
        <v>581862.36673437292</v>
      </c>
      <c r="U109" s="111">
        <f t="shared" si="7"/>
        <v>581862.36673437292</v>
      </c>
      <c r="V109" s="111">
        <f t="shared" si="7"/>
        <v>581862.36673437292</v>
      </c>
      <c r="W109" s="111">
        <f t="shared" si="7"/>
        <v>581862.36673437292</v>
      </c>
      <c r="X109" s="111">
        <f t="shared" si="7"/>
        <v>581862.36673437292</v>
      </c>
      <c r="Y109" s="111">
        <f t="shared" si="7"/>
        <v>581862.36673437292</v>
      </c>
      <c r="Z109" s="111">
        <f t="shared" si="7"/>
        <v>581862.36673437292</v>
      </c>
      <c r="AA109" s="111">
        <f t="shared" si="7"/>
        <v>581862.36673437292</v>
      </c>
      <c r="AB109" s="111">
        <f t="shared" si="7"/>
        <v>581862.36673437292</v>
      </c>
      <c r="AC109" s="111">
        <f t="shared" si="7"/>
        <v>581862.36673437292</v>
      </c>
      <c r="AD109" s="111">
        <f t="shared" si="7"/>
        <v>581862.36673437292</v>
      </c>
      <c r="AE109" s="111">
        <f t="shared" si="7"/>
        <v>581862.36673437292</v>
      </c>
      <c r="AF109" s="111">
        <f t="shared" si="7"/>
        <v>581862.36673437292</v>
      </c>
      <c r="AG109" s="111">
        <f t="shared" si="7"/>
        <v>581862.36673437292</v>
      </c>
      <c r="AH109" s="111">
        <f t="shared" si="7"/>
        <v>581862.36673437292</v>
      </c>
      <c r="AI109" s="111">
        <f t="shared" si="7"/>
        <v>581862.36673437292</v>
      </c>
      <c r="AJ109" s="111">
        <f t="shared" si="7"/>
        <v>581862.36673437292</v>
      </c>
      <c r="AK109" s="111">
        <f t="shared" si="7"/>
        <v>581862.36673437292</v>
      </c>
      <c r="AL109" s="111">
        <f t="shared" si="7"/>
        <v>581862.36673437292</v>
      </c>
      <c r="AM109" s="111">
        <f t="shared" si="7"/>
        <v>581862.36673437292</v>
      </c>
      <c r="AN109" s="111">
        <f t="shared" si="7"/>
        <v>581862.36673437292</v>
      </c>
      <c r="AO109" s="111">
        <f t="shared" si="7"/>
        <v>581862.36673437292</v>
      </c>
      <c r="AP109" s="111">
        <f t="shared" si="7"/>
        <v>581862.36673437292</v>
      </c>
      <c r="AQ109" s="111">
        <f t="shared" si="7"/>
        <v>581862.36673437292</v>
      </c>
      <c r="AR109" s="111">
        <f t="shared" si="7"/>
        <v>581862.36673437292</v>
      </c>
      <c r="AS109" s="111">
        <f t="shared" si="7"/>
        <v>581862.36673437292</v>
      </c>
      <c r="AT109" s="111">
        <f t="shared" si="7"/>
        <v>581862.36673437292</v>
      </c>
      <c r="AU109" s="111">
        <f t="shared" si="7"/>
        <v>581862.36673437292</v>
      </c>
      <c r="AV109" s="111">
        <f t="shared" si="7"/>
        <v>581862.36673437292</v>
      </c>
      <c r="AW109" s="111">
        <f t="shared" si="7"/>
        <v>581862.36673437292</v>
      </c>
      <c r="AX109" s="111">
        <f t="shared" si="7"/>
        <v>581862.36673437292</v>
      </c>
    </row>
    <row r="110" spans="1:50" x14ac:dyDescent="0.2">
      <c r="A110" s="111" t="s">
        <v>107</v>
      </c>
      <c r="B110" s="111" t="s">
        <v>12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22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</row>
    <row r="112" spans="1:50" x14ac:dyDescent="0.2">
      <c r="B112" s="111" t="s">
        <v>59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</row>
    <row r="113" spans="1:50" x14ac:dyDescent="0.2">
      <c r="B113" s="107" t="s">
        <v>278</v>
      </c>
      <c r="C113" s="111">
        <f>SUM(C$110:C$112)</f>
        <v>0</v>
      </c>
      <c r="D113" s="111">
        <f t="shared" ref="D113:AX113" si="8">SUM(D$110:D$112)</f>
        <v>0</v>
      </c>
      <c r="E113" s="111">
        <f t="shared" si="8"/>
        <v>0</v>
      </c>
      <c r="F113" s="111">
        <f t="shared" si="8"/>
        <v>0</v>
      </c>
      <c r="G113" s="111">
        <f t="shared" si="8"/>
        <v>0</v>
      </c>
      <c r="H113" s="111">
        <f t="shared" si="8"/>
        <v>0</v>
      </c>
      <c r="I113" s="111">
        <f t="shared" si="8"/>
        <v>0</v>
      </c>
      <c r="J113" s="111">
        <f t="shared" si="8"/>
        <v>0</v>
      </c>
      <c r="K113" s="111">
        <f t="shared" si="8"/>
        <v>0</v>
      </c>
      <c r="L113" s="111">
        <f t="shared" si="8"/>
        <v>0</v>
      </c>
      <c r="M113" s="111">
        <f t="shared" si="8"/>
        <v>0</v>
      </c>
      <c r="N113" s="111">
        <f t="shared" si="8"/>
        <v>0</v>
      </c>
      <c r="O113" s="111">
        <f t="shared" si="8"/>
        <v>0</v>
      </c>
      <c r="P113" s="111">
        <f t="shared" si="8"/>
        <v>0</v>
      </c>
      <c r="Q113" s="111">
        <f t="shared" si="8"/>
        <v>0</v>
      </c>
      <c r="R113" s="111">
        <f t="shared" si="8"/>
        <v>0</v>
      </c>
      <c r="S113" s="111">
        <f t="shared" si="8"/>
        <v>0</v>
      </c>
      <c r="T113" s="111">
        <f t="shared" si="8"/>
        <v>0</v>
      </c>
      <c r="U113" s="111">
        <f t="shared" si="8"/>
        <v>0</v>
      </c>
      <c r="V113" s="111">
        <f t="shared" si="8"/>
        <v>0</v>
      </c>
      <c r="W113" s="111">
        <f t="shared" si="8"/>
        <v>0</v>
      </c>
      <c r="X113" s="111">
        <f t="shared" si="8"/>
        <v>0</v>
      </c>
      <c r="Y113" s="111">
        <f t="shared" si="8"/>
        <v>0</v>
      </c>
      <c r="Z113" s="111">
        <f t="shared" si="8"/>
        <v>0</v>
      </c>
      <c r="AA113" s="111">
        <f t="shared" si="8"/>
        <v>0</v>
      </c>
      <c r="AB113" s="111">
        <f t="shared" si="8"/>
        <v>0</v>
      </c>
      <c r="AC113" s="111">
        <f t="shared" si="8"/>
        <v>0</v>
      </c>
      <c r="AD113" s="111">
        <f t="shared" si="8"/>
        <v>0</v>
      </c>
      <c r="AE113" s="111">
        <f t="shared" si="8"/>
        <v>0</v>
      </c>
      <c r="AF113" s="111">
        <f t="shared" si="8"/>
        <v>0</v>
      </c>
      <c r="AG113" s="111">
        <f t="shared" si="8"/>
        <v>0</v>
      </c>
      <c r="AH113" s="111">
        <f t="shared" si="8"/>
        <v>0</v>
      </c>
      <c r="AI113" s="111">
        <f t="shared" si="8"/>
        <v>0</v>
      </c>
      <c r="AJ113" s="111">
        <f t="shared" si="8"/>
        <v>0</v>
      </c>
      <c r="AK113" s="111">
        <f t="shared" si="8"/>
        <v>0</v>
      </c>
      <c r="AL113" s="111">
        <f t="shared" si="8"/>
        <v>0</v>
      </c>
      <c r="AM113" s="111">
        <f t="shared" si="8"/>
        <v>0</v>
      </c>
      <c r="AN113" s="111">
        <f t="shared" si="8"/>
        <v>0</v>
      </c>
      <c r="AO113" s="111">
        <f t="shared" si="8"/>
        <v>0</v>
      </c>
      <c r="AP113" s="111">
        <f t="shared" si="8"/>
        <v>0</v>
      </c>
      <c r="AQ113" s="111">
        <f t="shared" si="8"/>
        <v>0</v>
      </c>
      <c r="AR113" s="111">
        <f t="shared" si="8"/>
        <v>0</v>
      </c>
      <c r="AS113" s="111">
        <f t="shared" si="8"/>
        <v>0</v>
      </c>
      <c r="AT113" s="111">
        <f t="shared" si="8"/>
        <v>0</v>
      </c>
      <c r="AU113" s="111">
        <f t="shared" si="8"/>
        <v>0</v>
      </c>
      <c r="AV113" s="111">
        <f t="shared" si="8"/>
        <v>0</v>
      </c>
      <c r="AW113" s="111">
        <f t="shared" si="8"/>
        <v>0</v>
      </c>
      <c r="AX113" s="111">
        <f t="shared" si="8"/>
        <v>0</v>
      </c>
    </row>
    <row r="114" spans="1:50" x14ac:dyDescent="0.2">
      <c r="A114" s="111" t="s">
        <v>108</v>
      </c>
      <c r="B114" s="111" t="s">
        <v>12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</row>
    <row r="115" spans="1:50" x14ac:dyDescent="0.2">
      <c r="B115" s="111" t="s">
        <v>22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</row>
    <row r="116" spans="1:50" x14ac:dyDescent="0.2">
      <c r="B116" s="111" t="s">
        <v>59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</row>
    <row r="117" spans="1:50" x14ac:dyDescent="0.2">
      <c r="B117" s="106" t="s">
        <v>278</v>
      </c>
      <c r="C117" s="111">
        <f>SUM(C$114:C$116)</f>
        <v>0</v>
      </c>
      <c r="D117" s="111">
        <f t="shared" ref="D117:AX117" si="9">SUM(D$114:D$116)</f>
        <v>0</v>
      </c>
      <c r="E117" s="111">
        <f t="shared" si="9"/>
        <v>0</v>
      </c>
      <c r="F117" s="111">
        <f t="shared" si="9"/>
        <v>0</v>
      </c>
      <c r="G117" s="111">
        <f t="shared" si="9"/>
        <v>0</v>
      </c>
      <c r="H117" s="111">
        <f t="shared" si="9"/>
        <v>0</v>
      </c>
      <c r="I117" s="111">
        <f t="shared" si="9"/>
        <v>0</v>
      </c>
      <c r="J117" s="111">
        <f t="shared" si="9"/>
        <v>0</v>
      </c>
      <c r="K117" s="111">
        <f t="shared" si="9"/>
        <v>0</v>
      </c>
      <c r="L117" s="111">
        <f t="shared" si="9"/>
        <v>0</v>
      </c>
      <c r="M117" s="111">
        <f t="shared" si="9"/>
        <v>0</v>
      </c>
      <c r="N117" s="111">
        <f t="shared" si="9"/>
        <v>0</v>
      </c>
      <c r="O117" s="111">
        <f t="shared" si="9"/>
        <v>0</v>
      </c>
      <c r="P117" s="111">
        <f t="shared" si="9"/>
        <v>0</v>
      </c>
      <c r="Q117" s="111">
        <f t="shared" si="9"/>
        <v>0</v>
      </c>
      <c r="R117" s="111">
        <f t="shared" si="9"/>
        <v>0</v>
      </c>
      <c r="S117" s="111">
        <f t="shared" si="9"/>
        <v>0</v>
      </c>
      <c r="T117" s="111">
        <f t="shared" si="9"/>
        <v>0</v>
      </c>
      <c r="U117" s="111">
        <f t="shared" si="9"/>
        <v>0</v>
      </c>
      <c r="V117" s="111">
        <f t="shared" si="9"/>
        <v>0</v>
      </c>
      <c r="W117" s="111">
        <f t="shared" si="9"/>
        <v>0</v>
      </c>
      <c r="X117" s="111">
        <f t="shared" si="9"/>
        <v>0</v>
      </c>
      <c r="Y117" s="111">
        <f t="shared" si="9"/>
        <v>0</v>
      </c>
      <c r="Z117" s="111">
        <f t="shared" si="9"/>
        <v>0</v>
      </c>
      <c r="AA117" s="111">
        <f t="shared" si="9"/>
        <v>0</v>
      </c>
      <c r="AB117" s="111">
        <f t="shared" si="9"/>
        <v>0</v>
      </c>
      <c r="AC117" s="111">
        <f t="shared" si="9"/>
        <v>0</v>
      </c>
      <c r="AD117" s="111">
        <f t="shared" si="9"/>
        <v>0</v>
      </c>
      <c r="AE117" s="111">
        <f t="shared" si="9"/>
        <v>0</v>
      </c>
      <c r="AF117" s="111">
        <f t="shared" si="9"/>
        <v>0</v>
      </c>
      <c r="AG117" s="111">
        <f t="shared" si="9"/>
        <v>0</v>
      </c>
      <c r="AH117" s="111">
        <f t="shared" si="9"/>
        <v>0</v>
      </c>
      <c r="AI117" s="111">
        <f t="shared" si="9"/>
        <v>0</v>
      </c>
      <c r="AJ117" s="111">
        <f t="shared" si="9"/>
        <v>0</v>
      </c>
      <c r="AK117" s="111">
        <f t="shared" si="9"/>
        <v>0</v>
      </c>
      <c r="AL117" s="111">
        <f t="shared" si="9"/>
        <v>0</v>
      </c>
      <c r="AM117" s="111">
        <f t="shared" si="9"/>
        <v>0</v>
      </c>
      <c r="AN117" s="111">
        <f t="shared" si="9"/>
        <v>0</v>
      </c>
      <c r="AO117" s="111">
        <f t="shared" si="9"/>
        <v>0</v>
      </c>
      <c r="AP117" s="111">
        <f t="shared" si="9"/>
        <v>0</v>
      </c>
      <c r="AQ117" s="111">
        <f t="shared" si="9"/>
        <v>0</v>
      </c>
      <c r="AR117" s="111">
        <f t="shared" si="9"/>
        <v>0</v>
      </c>
      <c r="AS117" s="111">
        <f t="shared" si="9"/>
        <v>0</v>
      </c>
      <c r="AT117" s="111">
        <f t="shared" si="9"/>
        <v>0</v>
      </c>
      <c r="AU117" s="111">
        <f t="shared" si="9"/>
        <v>0</v>
      </c>
      <c r="AV117" s="111">
        <f t="shared" si="9"/>
        <v>0</v>
      </c>
      <c r="AW117" s="111">
        <f t="shared" si="9"/>
        <v>0</v>
      </c>
      <c r="AX117" s="111">
        <f t="shared" si="9"/>
        <v>0</v>
      </c>
    </row>
    <row r="118" spans="1:50" x14ac:dyDescent="0.2">
      <c r="A118" s="111" t="s">
        <v>109</v>
      </c>
      <c r="B118" s="111" t="s">
        <v>12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22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59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</row>
    <row r="121" spans="1:50" x14ac:dyDescent="0.2">
      <c r="B121" s="106" t="s">
        <v>278</v>
      </c>
      <c r="C121" s="111">
        <f>SUM(C$118:C$120)</f>
        <v>0</v>
      </c>
      <c r="D121" s="111">
        <f t="shared" ref="D121:AX121" si="10">SUM(D$118:D$120)</f>
        <v>0</v>
      </c>
      <c r="E121" s="111">
        <f t="shared" si="10"/>
        <v>0</v>
      </c>
      <c r="F121" s="111">
        <f t="shared" si="10"/>
        <v>0</v>
      </c>
      <c r="G121" s="111">
        <f t="shared" si="10"/>
        <v>0</v>
      </c>
      <c r="H121" s="111">
        <f t="shared" si="10"/>
        <v>0</v>
      </c>
      <c r="I121" s="111">
        <f t="shared" si="10"/>
        <v>0</v>
      </c>
      <c r="J121" s="111">
        <f t="shared" si="10"/>
        <v>0</v>
      </c>
      <c r="K121" s="111">
        <f t="shared" si="10"/>
        <v>0</v>
      </c>
      <c r="L121" s="111">
        <f t="shared" si="10"/>
        <v>0</v>
      </c>
      <c r="M121" s="111">
        <f t="shared" si="10"/>
        <v>0</v>
      </c>
      <c r="N121" s="111">
        <f t="shared" si="10"/>
        <v>0</v>
      </c>
      <c r="O121" s="111">
        <f t="shared" si="10"/>
        <v>0</v>
      </c>
      <c r="P121" s="111">
        <f t="shared" si="10"/>
        <v>0</v>
      </c>
      <c r="Q121" s="111">
        <f t="shared" si="10"/>
        <v>0</v>
      </c>
      <c r="R121" s="111">
        <f t="shared" si="10"/>
        <v>0</v>
      </c>
      <c r="S121" s="111">
        <f t="shared" si="10"/>
        <v>0</v>
      </c>
      <c r="T121" s="111">
        <f t="shared" si="10"/>
        <v>0</v>
      </c>
      <c r="U121" s="111">
        <f t="shared" si="10"/>
        <v>0</v>
      </c>
      <c r="V121" s="111">
        <f t="shared" si="10"/>
        <v>0</v>
      </c>
      <c r="W121" s="111">
        <f t="shared" si="10"/>
        <v>0</v>
      </c>
      <c r="X121" s="111">
        <f t="shared" si="10"/>
        <v>0</v>
      </c>
      <c r="Y121" s="111">
        <f t="shared" si="10"/>
        <v>0</v>
      </c>
      <c r="Z121" s="111">
        <f t="shared" si="10"/>
        <v>0</v>
      </c>
      <c r="AA121" s="111">
        <f t="shared" si="10"/>
        <v>0</v>
      </c>
      <c r="AB121" s="111">
        <f t="shared" si="10"/>
        <v>0</v>
      </c>
      <c r="AC121" s="111">
        <f t="shared" si="10"/>
        <v>0</v>
      </c>
      <c r="AD121" s="111">
        <f t="shared" si="10"/>
        <v>0</v>
      </c>
      <c r="AE121" s="111">
        <f t="shared" si="10"/>
        <v>0</v>
      </c>
      <c r="AF121" s="111">
        <f t="shared" si="10"/>
        <v>0</v>
      </c>
      <c r="AG121" s="111">
        <f t="shared" si="10"/>
        <v>0</v>
      </c>
      <c r="AH121" s="111">
        <f t="shared" si="10"/>
        <v>0</v>
      </c>
      <c r="AI121" s="111">
        <f t="shared" si="10"/>
        <v>0</v>
      </c>
      <c r="AJ121" s="111">
        <f t="shared" si="10"/>
        <v>0</v>
      </c>
      <c r="AK121" s="111">
        <f t="shared" si="10"/>
        <v>0</v>
      </c>
      <c r="AL121" s="111">
        <f t="shared" si="10"/>
        <v>0</v>
      </c>
      <c r="AM121" s="111">
        <f t="shared" si="10"/>
        <v>0</v>
      </c>
      <c r="AN121" s="111">
        <f t="shared" si="10"/>
        <v>0</v>
      </c>
      <c r="AO121" s="111">
        <f t="shared" si="10"/>
        <v>0</v>
      </c>
      <c r="AP121" s="111">
        <f t="shared" si="10"/>
        <v>0</v>
      </c>
      <c r="AQ121" s="111">
        <f t="shared" si="10"/>
        <v>0</v>
      </c>
      <c r="AR121" s="111">
        <f t="shared" si="10"/>
        <v>0</v>
      </c>
      <c r="AS121" s="111">
        <f t="shared" si="10"/>
        <v>0</v>
      </c>
      <c r="AT121" s="111">
        <f t="shared" si="10"/>
        <v>0</v>
      </c>
      <c r="AU121" s="111">
        <f t="shared" si="10"/>
        <v>0</v>
      </c>
      <c r="AV121" s="111">
        <f t="shared" si="10"/>
        <v>0</v>
      </c>
      <c r="AW121" s="111">
        <f t="shared" si="10"/>
        <v>0</v>
      </c>
      <c r="AX121" s="111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12</v>
      </c>
      <c r="E2" s="116"/>
    </row>
    <row r="3" spans="1:52" x14ac:dyDescent="0.2">
      <c r="A3" s="106" t="s">
        <v>286</v>
      </c>
      <c r="B3" s="113">
        <v>3761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4086.6638079960267</v>
      </c>
      <c r="E7" s="150">
        <v>4086.6638079960267</v>
      </c>
      <c r="F7" s="150">
        <v>4086.6638079960267</v>
      </c>
      <c r="G7" s="150">
        <v>4086.6638079960267</v>
      </c>
      <c r="H7" s="150">
        <v>3632.5900515520234</v>
      </c>
      <c r="I7" s="150">
        <v>3632.5900515520234</v>
      </c>
      <c r="J7" s="150">
        <v>3632.5900515520234</v>
      </c>
      <c r="K7" s="150">
        <v>3632.5900515520234</v>
      </c>
      <c r="L7" s="150">
        <v>3632.5900515520234</v>
      </c>
      <c r="M7" s="150">
        <v>3632.5900515520234</v>
      </c>
      <c r="N7" s="150">
        <v>3632.5900515520234</v>
      </c>
      <c r="O7" s="150">
        <v>3632.5900515520234</v>
      </c>
      <c r="P7" s="150">
        <v>4086.6638079960267</v>
      </c>
      <c r="Q7" s="150">
        <v>4086.6638079960267</v>
      </c>
      <c r="R7" s="150">
        <v>4086.6638079960267</v>
      </c>
      <c r="S7" s="150">
        <v>4086.6638079960267</v>
      </c>
      <c r="T7" s="150">
        <v>3632.5900515520234</v>
      </c>
      <c r="U7" s="150">
        <v>3632.5900515520234</v>
      </c>
      <c r="V7" s="150">
        <v>3632.5900515520234</v>
      </c>
      <c r="W7" s="150">
        <v>3632.5900515520234</v>
      </c>
      <c r="X7" s="150">
        <v>3632.5900515520234</v>
      </c>
      <c r="Y7" s="150">
        <v>3632.5900515520234</v>
      </c>
      <c r="Z7" s="150">
        <v>3632.5900515520234</v>
      </c>
      <c r="AA7" s="150">
        <v>3632.5900515520234</v>
      </c>
      <c r="AB7" s="150">
        <v>4086.6638079960267</v>
      </c>
      <c r="AC7" s="150">
        <v>4086.6638079960267</v>
      </c>
      <c r="AD7" s="150">
        <v>4086.6638079960267</v>
      </c>
      <c r="AE7" s="150">
        <v>4086.6638079960267</v>
      </c>
      <c r="AF7" s="150">
        <v>3632.5900515520234</v>
      </c>
      <c r="AG7" s="150">
        <v>3632.5900515520234</v>
      </c>
      <c r="AH7" s="150">
        <v>3632.5900515520234</v>
      </c>
      <c r="AI7" s="150">
        <v>3632.5900515520234</v>
      </c>
      <c r="AJ7" s="150">
        <v>3632.5900515520234</v>
      </c>
      <c r="AK7" s="150">
        <v>3632.5900515520234</v>
      </c>
      <c r="AL7" s="150">
        <v>3632.5900515520234</v>
      </c>
      <c r="AM7" s="150">
        <v>3632.5900515520234</v>
      </c>
      <c r="AN7" s="150">
        <v>4086.6638079960267</v>
      </c>
      <c r="AO7" s="150">
        <v>4086.6638079960267</v>
      </c>
      <c r="AP7" s="150">
        <v>4086.6638079960267</v>
      </c>
      <c r="AQ7" s="150">
        <v>4086.6638079960267</v>
      </c>
      <c r="AR7" s="150">
        <v>3632.5900515520234</v>
      </c>
      <c r="AS7" s="150">
        <v>3632.5900515520234</v>
      </c>
      <c r="AT7" s="150">
        <v>3632.5900515520234</v>
      </c>
      <c r="AU7" s="150">
        <v>3632.5900515520234</v>
      </c>
      <c r="AV7" s="150">
        <v>3632.5900515520234</v>
      </c>
      <c r="AW7" s="150">
        <v>3632.5900515520234</v>
      </c>
      <c r="AX7" s="150">
        <v>3632.5900515520234</v>
      </c>
      <c r="AY7" s="150">
        <v>3632.5900515520234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325.66380799602666</v>
      </c>
      <c r="E10" s="150">
        <f t="shared" si="0"/>
        <v>325.66380799602666</v>
      </c>
      <c r="F10" s="150">
        <f t="shared" si="0"/>
        <v>325.66380799602666</v>
      </c>
      <c r="G10" s="150">
        <f t="shared" si="0"/>
        <v>325.66380799602666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325.66380799602666</v>
      </c>
      <c r="Q10" s="150">
        <f t="shared" si="0"/>
        <v>325.66380799602666</v>
      </c>
      <c r="R10" s="150">
        <f t="shared" si="0"/>
        <v>325.66380799602666</v>
      </c>
      <c r="S10" s="150">
        <f t="shared" si="0"/>
        <v>325.66380799602666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325.66380799602666</v>
      </c>
      <c r="AC10" s="150">
        <f t="shared" si="0"/>
        <v>325.66380799602666</v>
      </c>
      <c r="AD10" s="150">
        <f t="shared" si="0"/>
        <v>325.66380799602666</v>
      </c>
      <c r="AE10" s="150">
        <f t="shared" si="0"/>
        <v>325.66380799602666</v>
      </c>
      <c r="AF10" s="150">
        <f t="shared" si="0"/>
        <v>0</v>
      </c>
      <c r="AG10" s="150">
        <f t="shared" si="0"/>
        <v>0</v>
      </c>
      <c r="AH10" s="150">
        <f t="shared" si="0"/>
        <v>3504.1801031040468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325.66380799602666</v>
      </c>
      <c r="AO10" s="150">
        <f t="shared" si="0"/>
        <v>325.66380799602666</v>
      </c>
      <c r="AP10" s="150">
        <f t="shared" si="0"/>
        <v>325.66380799602666</v>
      </c>
      <c r="AQ10" s="150">
        <f t="shared" si="0"/>
        <v>325.66380799602666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3504.1801031040468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12218.98113414452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3632.5900515520234</v>
      </c>
      <c r="D13" s="144">
        <f t="shared" ref="D13:AY13" si="1">D$7-D$10</f>
        <v>3761</v>
      </c>
      <c r="E13" s="144">
        <f t="shared" si="1"/>
        <v>3761</v>
      </c>
      <c r="F13" s="144">
        <f t="shared" si="1"/>
        <v>3761</v>
      </c>
      <c r="G13" s="144">
        <f t="shared" si="1"/>
        <v>3761</v>
      </c>
      <c r="H13" s="144">
        <f t="shared" si="1"/>
        <v>3632.5900515520234</v>
      </c>
      <c r="I13" s="144">
        <f t="shared" si="1"/>
        <v>3632.5900515520234</v>
      </c>
      <c r="J13" s="144">
        <f t="shared" si="1"/>
        <v>3632.5900515520234</v>
      </c>
      <c r="K13" s="144">
        <f t="shared" si="1"/>
        <v>3632.5900515520234</v>
      </c>
      <c r="L13" s="144">
        <f t="shared" si="1"/>
        <v>3632.5900515520234</v>
      </c>
      <c r="M13" s="144">
        <f t="shared" si="1"/>
        <v>3632.5900515520234</v>
      </c>
      <c r="N13" s="144">
        <f t="shared" si="1"/>
        <v>3632.5900515520234</v>
      </c>
      <c r="O13" s="144">
        <f t="shared" si="1"/>
        <v>3632.5900515520234</v>
      </c>
      <c r="P13" s="144">
        <f t="shared" si="1"/>
        <v>3761</v>
      </c>
      <c r="Q13" s="144">
        <f t="shared" si="1"/>
        <v>3761</v>
      </c>
      <c r="R13" s="144">
        <f t="shared" si="1"/>
        <v>3761</v>
      </c>
      <c r="S13" s="144">
        <f t="shared" si="1"/>
        <v>3761</v>
      </c>
      <c r="T13" s="144">
        <f t="shared" si="1"/>
        <v>3632.5900515520234</v>
      </c>
      <c r="U13" s="144">
        <f t="shared" si="1"/>
        <v>3632.5900515520234</v>
      </c>
      <c r="V13" s="144">
        <f t="shared" si="1"/>
        <v>3632.5900515520234</v>
      </c>
      <c r="W13" s="144">
        <f t="shared" si="1"/>
        <v>3632.5900515520234</v>
      </c>
      <c r="X13" s="144">
        <f t="shared" si="1"/>
        <v>3632.5900515520234</v>
      </c>
      <c r="Y13" s="144">
        <f t="shared" si="1"/>
        <v>3632.5900515520234</v>
      </c>
      <c r="Z13" s="144">
        <f t="shared" si="1"/>
        <v>3632.5900515520234</v>
      </c>
      <c r="AA13" s="144">
        <f t="shared" si="1"/>
        <v>3632.5900515520234</v>
      </c>
      <c r="AB13" s="144">
        <f t="shared" si="1"/>
        <v>3761</v>
      </c>
      <c r="AC13" s="144">
        <f t="shared" si="1"/>
        <v>3761</v>
      </c>
      <c r="AD13" s="144">
        <f t="shared" si="1"/>
        <v>3761</v>
      </c>
      <c r="AE13" s="144">
        <f t="shared" si="1"/>
        <v>3761</v>
      </c>
      <c r="AF13" s="144">
        <f t="shared" si="1"/>
        <v>3632.5900515520234</v>
      </c>
      <c r="AG13" s="144">
        <f t="shared" si="1"/>
        <v>3632.5900515520234</v>
      </c>
      <c r="AH13" s="144">
        <f t="shared" si="1"/>
        <v>128.4099484479766</v>
      </c>
      <c r="AI13" s="144">
        <f t="shared" si="1"/>
        <v>3632.5900515520234</v>
      </c>
      <c r="AJ13" s="144">
        <f t="shared" si="1"/>
        <v>3632.5900515520234</v>
      </c>
      <c r="AK13" s="144">
        <f t="shared" si="1"/>
        <v>3632.5900515520234</v>
      </c>
      <c r="AL13" s="144">
        <f t="shared" si="1"/>
        <v>3632.5900515520234</v>
      </c>
      <c r="AM13" s="144">
        <f t="shared" si="1"/>
        <v>3632.5900515520234</v>
      </c>
      <c r="AN13" s="144">
        <f t="shared" si="1"/>
        <v>3761</v>
      </c>
      <c r="AO13" s="144">
        <f t="shared" si="1"/>
        <v>3761</v>
      </c>
      <c r="AP13" s="144">
        <f t="shared" si="1"/>
        <v>3761</v>
      </c>
      <c r="AQ13" s="144">
        <f t="shared" si="1"/>
        <v>3761</v>
      </c>
      <c r="AR13" s="144">
        <f t="shared" si="1"/>
        <v>3632.5900515520234</v>
      </c>
      <c r="AS13" s="144">
        <f t="shared" si="1"/>
        <v>3632.5900515520234</v>
      </c>
      <c r="AT13" s="144">
        <f t="shared" si="1"/>
        <v>3632.5900515520234</v>
      </c>
      <c r="AU13" s="144">
        <f t="shared" si="1"/>
        <v>3632.5900515520234</v>
      </c>
      <c r="AV13" s="144">
        <f t="shared" si="1"/>
        <v>128.4099484479766</v>
      </c>
      <c r="AW13" s="144">
        <f t="shared" si="1"/>
        <v>3632.5900515520234</v>
      </c>
      <c r="AX13" s="144">
        <f t="shared" si="1"/>
        <v>3632.5900515520234</v>
      </c>
      <c r="AY13" s="144">
        <f t="shared" si="1"/>
        <v>3632.5900515520234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3632.5900515520234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3632.5900515520234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 t="s">
        <v>340</v>
      </c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 t="s">
        <v>340</v>
      </c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1</v>
      </c>
      <c r="C21" s="162" t="s">
        <v>293</v>
      </c>
      <c r="D21" s="112">
        <f>IF(C$20="Yes",0,SUM(C$13:C$16)*$B$21)</f>
        <v>3632.5900515520234</v>
      </c>
      <c r="E21" s="112">
        <f t="shared" ref="E21:AY21" si="3">IF(D$20="Yes",0,SUM(D$13:D$16)*$B$21)</f>
        <v>3761</v>
      </c>
      <c r="F21" s="112">
        <f t="shared" si="3"/>
        <v>3761</v>
      </c>
      <c r="G21" s="112">
        <f t="shared" si="3"/>
        <v>3761</v>
      </c>
      <c r="H21" s="112">
        <f t="shared" si="3"/>
        <v>3761</v>
      </c>
      <c r="I21" s="112">
        <f t="shared" si="3"/>
        <v>3632.5900515520234</v>
      </c>
      <c r="J21" s="112">
        <f t="shared" si="3"/>
        <v>3632.5900515520234</v>
      </c>
      <c r="K21" s="112">
        <f t="shared" si="3"/>
        <v>3632.5900515520234</v>
      </c>
      <c r="L21" s="112">
        <f t="shared" si="3"/>
        <v>3632.5900515520234</v>
      </c>
      <c r="M21" s="112">
        <f t="shared" si="3"/>
        <v>3632.5900515520234</v>
      </c>
      <c r="N21" s="112">
        <f t="shared" si="3"/>
        <v>3632.5900515520234</v>
      </c>
      <c r="O21" s="112">
        <f t="shared" si="3"/>
        <v>3632.5900515520234</v>
      </c>
      <c r="P21" s="112">
        <f t="shared" si="3"/>
        <v>3632.5900515520234</v>
      </c>
      <c r="Q21" s="112">
        <f t="shared" si="3"/>
        <v>3761</v>
      </c>
      <c r="R21" s="112">
        <f t="shared" si="3"/>
        <v>3761</v>
      </c>
      <c r="S21" s="112">
        <f t="shared" si="3"/>
        <v>3761</v>
      </c>
      <c r="T21" s="112">
        <f t="shared" si="3"/>
        <v>3761</v>
      </c>
      <c r="U21" s="112">
        <f t="shared" si="3"/>
        <v>3632.5900515520234</v>
      </c>
      <c r="V21" s="112">
        <f t="shared" si="3"/>
        <v>3632.5900515520234</v>
      </c>
      <c r="W21" s="112">
        <f t="shared" si="3"/>
        <v>3632.5900515520234</v>
      </c>
      <c r="X21" s="112">
        <f t="shared" si="3"/>
        <v>3632.5900515520234</v>
      </c>
      <c r="Y21" s="112">
        <f t="shared" si="3"/>
        <v>3632.5900515520234</v>
      </c>
      <c r="Z21" s="112">
        <f t="shared" si="3"/>
        <v>3632.5900515520234</v>
      </c>
      <c r="AA21" s="112">
        <f t="shared" si="3"/>
        <v>3632.5900515520234</v>
      </c>
      <c r="AB21" s="112">
        <f t="shared" si="3"/>
        <v>3632.5900515520234</v>
      </c>
      <c r="AC21" s="112">
        <f t="shared" si="3"/>
        <v>3761</v>
      </c>
      <c r="AD21" s="112">
        <f t="shared" si="3"/>
        <v>3761</v>
      </c>
      <c r="AE21" s="112">
        <f t="shared" si="3"/>
        <v>3761</v>
      </c>
      <c r="AF21" s="112">
        <f t="shared" si="3"/>
        <v>3761</v>
      </c>
      <c r="AG21" s="112">
        <f t="shared" si="3"/>
        <v>3632.5900515520234</v>
      </c>
      <c r="AH21" s="112">
        <f t="shared" si="3"/>
        <v>0</v>
      </c>
      <c r="AI21" s="112">
        <f t="shared" si="3"/>
        <v>3761</v>
      </c>
      <c r="AJ21" s="112">
        <f t="shared" si="3"/>
        <v>3632.5900515520234</v>
      </c>
      <c r="AK21" s="112">
        <f t="shared" si="3"/>
        <v>3632.5900515520234</v>
      </c>
      <c r="AL21" s="112">
        <f t="shared" si="3"/>
        <v>3632.5900515520234</v>
      </c>
      <c r="AM21" s="112">
        <f t="shared" si="3"/>
        <v>3632.5900515520234</v>
      </c>
      <c r="AN21" s="112">
        <f t="shared" si="3"/>
        <v>3632.5900515520234</v>
      </c>
      <c r="AO21" s="112">
        <f t="shared" si="3"/>
        <v>3761</v>
      </c>
      <c r="AP21" s="112">
        <f t="shared" si="3"/>
        <v>3761</v>
      </c>
      <c r="AQ21" s="112">
        <f t="shared" si="3"/>
        <v>3761</v>
      </c>
      <c r="AR21" s="112">
        <f t="shared" si="3"/>
        <v>3761</v>
      </c>
      <c r="AS21" s="112">
        <f t="shared" si="3"/>
        <v>3632.5900515520234</v>
      </c>
      <c r="AT21" s="112">
        <f t="shared" si="3"/>
        <v>3632.5900515520234</v>
      </c>
      <c r="AU21" s="112">
        <f t="shared" si="3"/>
        <v>3632.5900515520234</v>
      </c>
      <c r="AV21" s="112">
        <f t="shared" si="3"/>
        <v>0</v>
      </c>
      <c r="AW21" s="112">
        <f t="shared" si="3"/>
        <v>3761</v>
      </c>
      <c r="AX21" s="112">
        <f t="shared" si="3"/>
        <v>3632.5900515520234</v>
      </c>
      <c r="AY21" s="112">
        <f t="shared" si="3"/>
        <v>3632.5900515520234</v>
      </c>
      <c r="AZ21" s="163">
        <f>SUM($D21:$AY21)</f>
        <v>169410.52144345659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7265180.1031040465</v>
      </c>
      <c r="E23" s="106">
        <f t="shared" ref="E23:AY23" si="6">E$21*$B$23</f>
        <v>7522000</v>
      </c>
      <c r="F23" s="106">
        <f t="shared" si="6"/>
        <v>7522000</v>
      </c>
      <c r="G23" s="106">
        <f t="shared" si="6"/>
        <v>7522000</v>
      </c>
      <c r="H23" s="106">
        <f t="shared" si="6"/>
        <v>7522000</v>
      </c>
      <c r="I23" s="106">
        <f t="shared" si="6"/>
        <v>7265180.1031040465</v>
      </c>
      <c r="J23" s="106">
        <f t="shared" si="6"/>
        <v>7265180.1031040465</v>
      </c>
      <c r="K23" s="106">
        <f t="shared" si="6"/>
        <v>7265180.1031040465</v>
      </c>
      <c r="L23" s="106">
        <f t="shared" si="6"/>
        <v>7265180.1031040465</v>
      </c>
      <c r="M23" s="106">
        <f t="shared" si="6"/>
        <v>7265180.1031040465</v>
      </c>
      <c r="N23" s="106">
        <f t="shared" si="6"/>
        <v>7265180.1031040465</v>
      </c>
      <c r="O23" s="106">
        <f t="shared" si="6"/>
        <v>7265180.1031040465</v>
      </c>
      <c r="P23" s="106">
        <f t="shared" si="6"/>
        <v>7265180.1031040465</v>
      </c>
      <c r="Q23" s="106">
        <f t="shared" si="6"/>
        <v>7522000</v>
      </c>
      <c r="R23" s="106">
        <f t="shared" si="6"/>
        <v>7522000</v>
      </c>
      <c r="S23" s="106">
        <f t="shared" si="6"/>
        <v>7522000</v>
      </c>
      <c r="T23" s="106">
        <f t="shared" si="6"/>
        <v>7522000</v>
      </c>
      <c r="U23" s="106">
        <f t="shared" si="6"/>
        <v>7265180.1031040465</v>
      </c>
      <c r="V23" s="106">
        <f t="shared" si="6"/>
        <v>7265180.1031040465</v>
      </c>
      <c r="W23" s="106">
        <f t="shared" si="6"/>
        <v>7265180.1031040465</v>
      </c>
      <c r="X23" s="106">
        <f t="shared" si="6"/>
        <v>7265180.1031040465</v>
      </c>
      <c r="Y23" s="106">
        <f t="shared" si="6"/>
        <v>7265180.1031040465</v>
      </c>
      <c r="Z23" s="106">
        <f t="shared" si="6"/>
        <v>7265180.1031040465</v>
      </c>
      <c r="AA23" s="106">
        <f t="shared" si="6"/>
        <v>7265180.1031040465</v>
      </c>
      <c r="AB23" s="106">
        <f t="shared" si="6"/>
        <v>7265180.1031040465</v>
      </c>
      <c r="AC23" s="106">
        <f t="shared" si="6"/>
        <v>7522000</v>
      </c>
      <c r="AD23" s="106">
        <f t="shared" si="6"/>
        <v>7522000</v>
      </c>
      <c r="AE23" s="106">
        <f t="shared" si="6"/>
        <v>7522000</v>
      </c>
      <c r="AF23" s="106">
        <f t="shared" si="6"/>
        <v>7522000</v>
      </c>
      <c r="AG23" s="106">
        <f t="shared" si="6"/>
        <v>7265180.1031040465</v>
      </c>
      <c r="AH23" s="106">
        <f t="shared" si="6"/>
        <v>0</v>
      </c>
      <c r="AI23" s="106">
        <f t="shared" si="6"/>
        <v>7522000</v>
      </c>
      <c r="AJ23" s="106">
        <f t="shared" si="6"/>
        <v>7265180.1031040465</v>
      </c>
      <c r="AK23" s="106">
        <f t="shared" si="6"/>
        <v>7265180.1031040465</v>
      </c>
      <c r="AL23" s="106">
        <f t="shared" si="6"/>
        <v>7265180.1031040465</v>
      </c>
      <c r="AM23" s="106">
        <f t="shared" si="6"/>
        <v>7265180.1031040465</v>
      </c>
      <c r="AN23" s="106">
        <f t="shared" si="6"/>
        <v>7265180.1031040465</v>
      </c>
      <c r="AO23" s="106">
        <f t="shared" si="6"/>
        <v>7522000</v>
      </c>
      <c r="AP23" s="106">
        <f t="shared" si="6"/>
        <v>7522000</v>
      </c>
      <c r="AQ23" s="106">
        <f t="shared" si="6"/>
        <v>7522000</v>
      </c>
      <c r="AR23" s="106">
        <f t="shared" si="6"/>
        <v>7522000</v>
      </c>
      <c r="AS23" s="106">
        <f t="shared" si="6"/>
        <v>7265180.1031040465</v>
      </c>
      <c r="AT23" s="106">
        <f t="shared" si="6"/>
        <v>7265180.1031040465</v>
      </c>
      <c r="AU23" s="106">
        <f t="shared" si="6"/>
        <v>7265180.1031040465</v>
      </c>
      <c r="AV23" s="106">
        <f t="shared" si="6"/>
        <v>0</v>
      </c>
      <c r="AW23" s="106">
        <f t="shared" si="6"/>
        <v>7522000</v>
      </c>
      <c r="AX23" s="106">
        <f t="shared" si="6"/>
        <v>7265180.1031040465</v>
      </c>
      <c r="AY23" s="106">
        <f t="shared" si="6"/>
        <v>7265180.1031040465</v>
      </c>
      <c r="AZ23" s="145">
        <f t="shared" si="5"/>
        <v>338821042.88691342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0</v>
      </c>
      <c r="D27" s="130">
        <f>C$27-C$28+C$29</f>
        <v>0</v>
      </c>
      <c r="E27" s="130">
        <f t="shared" ref="E27:AY27" si="8">D27-D28+D29</f>
        <v>0</v>
      </c>
      <c r="F27" s="130">
        <f t="shared" si="8"/>
        <v>0</v>
      </c>
      <c r="G27" s="130">
        <f t="shared" si="8"/>
        <v>0</v>
      </c>
      <c r="H27" s="130">
        <f t="shared" si="8"/>
        <v>0</v>
      </c>
      <c r="I27" s="130">
        <f t="shared" si="8"/>
        <v>0</v>
      </c>
      <c r="J27" s="130">
        <f t="shared" si="8"/>
        <v>0</v>
      </c>
      <c r="K27" s="130">
        <f t="shared" si="8"/>
        <v>0</v>
      </c>
      <c r="L27" s="130">
        <f t="shared" si="8"/>
        <v>0</v>
      </c>
      <c r="M27" s="130">
        <f t="shared" si="8"/>
        <v>0</v>
      </c>
      <c r="N27" s="130">
        <f t="shared" si="8"/>
        <v>0</v>
      </c>
      <c r="O27" s="130">
        <f t="shared" si="8"/>
        <v>0</v>
      </c>
      <c r="P27" s="130">
        <f t="shared" si="8"/>
        <v>0</v>
      </c>
      <c r="Q27" s="130">
        <f t="shared" si="8"/>
        <v>0</v>
      </c>
      <c r="R27" s="130">
        <f t="shared" si="8"/>
        <v>0</v>
      </c>
      <c r="S27" s="130">
        <f t="shared" si="8"/>
        <v>0</v>
      </c>
      <c r="T27" s="130">
        <f t="shared" si="8"/>
        <v>0</v>
      </c>
      <c r="U27" s="130">
        <f t="shared" si="8"/>
        <v>0</v>
      </c>
      <c r="V27" s="130">
        <f t="shared" si="8"/>
        <v>0</v>
      </c>
      <c r="W27" s="130">
        <f t="shared" si="8"/>
        <v>0</v>
      </c>
      <c r="X27" s="130">
        <f t="shared" si="8"/>
        <v>0</v>
      </c>
      <c r="Y27" s="130">
        <f t="shared" si="8"/>
        <v>0</v>
      </c>
      <c r="Z27" s="130">
        <f t="shared" si="8"/>
        <v>0</v>
      </c>
      <c r="AA27" s="130">
        <f t="shared" si="8"/>
        <v>0</v>
      </c>
      <c r="AB27" s="130">
        <f t="shared" si="8"/>
        <v>0</v>
      </c>
      <c r="AC27" s="130">
        <f t="shared" si="8"/>
        <v>0</v>
      </c>
      <c r="AD27" s="130">
        <f t="shared" si="8"/>
        <v>0</v>
      </c>
      <c r="AE27" s="130">
        <f t="shared" si="8"/>
        <v>0</v>
      </c>
      <c r="AF27" s="130">
        <f t="shared" si="8"/>
        <v>0</v>
      </c>
      <c r="AG27" s="130">
        <f t="shared" si="8"/>
        <v>0</v>
      </c>
      <c r="AH27" s="130">
        <f t="shared" si="8"/>
        <v>0</v>
      </c>
      <c r="AI27" s="130">
        <f t="shared" si="8"/>
        <v>0</v>
      </c>
      <c r="AJ27" s="130">
        <f t="shared" si="8"/>
        <v>0</v>
      </c>
      <c r="AK27" s="130">
        <f t="shared" si="8"/>
        <v>0</v>
      </c>
      <c r="AL27" s="130">
        <f t="shared" si="8"/>
        <v>0</v>
      </c>
      <c r="AM27" s="130">
        <f t="shared" si="8"/>
        <v>0</v>
      </c>
      <c r="AN27" s="130">
        <f t="shared" si="8"/>
        <v>0</v>
      </c>
      <c r="AO27" s="130">
        <f t="shared" si="8"/>
        <v>0</v>
      </c>
      <c r="AP27" s="130">
        <f t="shared" si="8"/>
        <v>0</v>
      </c>
      <c r="AQ27" s="130">
        <f t="shared" si="8"/>
        <v>0</v>
      </c>
      <c r="AR27" s="130">
        <f t="shared" si="8"/>
        <v>0</v>
      </c>
      <c r="AS27" s="130">
        <f t="shared" si="8"/>
        <v>0</v>
      </c>
      <c r="AT27" s="130">
        <f t="shared" si="8"/>
        <v>0</v>
      </c>
      <c r="AU27" s="130">
        <f t="shared" si="8"/>
        <v>0</v>
      </c>
      <c r="AV27" s="130">
        <f t="shared" si="8"/>
        <v>0</v>
      </c>
      <c r="AW27" s="130">
        <f t="shared" si="8"/>
        <v>0</v>
      </c>
      <c r="AX27" s="130">
        <f t="shared" si="8"/>
        <v>0</v>
      </c>
      <c r="AY27" s="170">
        <f t="shared" si="8"/>
        <v>0</v>
      </c>
      <c r="AZ27" s="112"/>
    </row>
    <row r="28" spans="1:52" x14ac:dyDescent="0.2">
      <c r="B28" s="171" t="s">
        <v>310</v>
      </c>
      <c r="C28" s="116">
        <v>0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72">
        <v>0</v>
      </c>
      <c r="AZ28" s="112"/>
    </row>
    <row r="29" spans="1:52" x14ac:dyDescent="0.2">
      <c r="B29" s="142" t="s">
        <v>311</v>
      </c>
      <c r="C29" s="131">
        <v>0</v>
      </c>
      <c r="D29" s="131">
        <f>C$28</f>
        <v>0</v>
      </c>
      <c r="E29" s="131">
        <f t="shared" ref="E29:AY29" si="9">D$28</f>
        <v>0</v>
      </c>
      <c r="F29" s="131">
        <f t="shared" si="9"/>
        <v>0</v>
      </c>
      <c r="G29" s="131">
        <f t="shared" si="9"/>
        <v>0</v>
      </c>
      <c r="H29" s="131">
        <f t="shared" si="9"/>
        <v>0</v>
      </c>
      <c r="I29" s="131">
        <f t="shared" si="9"/>
        <v>0</v>
      </c>
      <c r="J29" s="131">
        <f t="shared" si="9"/>
        <v>0</v>
      </c>
      <c r="K29" s="131">
        <f t="shared" si="9"/>
        <v>0</v>
      </c>
      <c r="L29" s="131">
        <f t="shared" si="9"/>
        <v>0</v>
      </c>
      <c r="M29" s="131">
        <f t="shared" si="9"/>
        <v>0</v>
      </c>
      <c r="N29" s="131">
        <f t="shared" si="9"/>
        <v>0</v>
      </c>
      <c r="O29" s="131">
        <f t="shared" si="9"/>
        <v>0</v>
      </c>
      <c r="P29" s="131">
        <f t="shared" si="9"/>
        <v>0</v>
      </c>
      <c r="Q29" s="131">
        <f t="shared" si="9"/>
        <v>0</v>
      </c>
      <c r="R29" s="131">
        <f t="shared" si="9"/>
        <v>0</v>
      </c>
      <c r="S29" s="131">
        <f t="shared" si="9"/>
        <v>0</v>
      </c>
      <c r="T29" s="131">
        <f t="shared" si="9"/>
        <v>0</v>
      </c>
      <c r="U29" s="131">
        <f t="shared" si="9"/>
        <v>0</v>
      </c>
      <c r="V29" s="131">
        <f t="shared" si="9"/>
        <v>0</v>
      </c>
      <c r="W29" s="131">
        <f t="shared" si="9"/>
        <v>0</v>
      </c>
      <c r="X29" s="131">
        <f t="shared" si="9"/>
        <v>0</v>
      </c>
      <c r="Y29" s="131">
        <f t="shared" si="9"/>
        <v>0</v>
      </c>
      <c r="Z29" s="131">
        <f t="shared" si="9"/>
        <v>0</v>
      </c>
      <c r="AA29" s="131">
        <f t="shared" si="9"/>
        <v>0</v>
      </c>
      <c r="AB29" s="131">
        <f t="shared" si="9"/>
        <v>0</v>
      </c>
      <c r="AC29" s="131">
        <f t="shared" si="9"/>
        <v>0</v>
      </c>
      <c r="AD29" s="131">
        <f t="shared" si="9"/>
        <v>0</v>
      </c>
      <c r="AE29" s="131">
        <f t="shared" si="9"/>
        <v>0</v>
      </c>
      <c r="AF29" s="131">
        <f t="shared" si="9"/>
        <v>0</v>
      </c>
      <c r="AG29" s="131">
        <f t="shared" si="9"/>
        <v>0</v>
      </c>
      <c r="AH29" s="131">
        <f t="shared" si="9"/>
        <v>0</v>
      </c>
      <c r="AI29" s="131">
        <f t="shared" si="9"/>
        <v>0</v>
      </c>
      <c r="AJ29" s="131">
        <f t="shared" si="9"/>
        <v>0</v>
      </c>
      <c r="AK29" s="131">
        <f t="shared" si="9"/>
        <v>0</v>
      </c>
      <c r="AL29" s="131">
        <f t="shared" si="9"/>
        <v>0</v>
      </c>
      <c r="AM29" s="131">
        <f t="shared" si="9"/>
        <v>0</v>
      </c>
      <c r="AN29" s="131">
        <f t="shared" si="9"/>
        <v>0</v>
      </c>
      <c r="AO29" s="131">
        <f t="shared" si="9"/>
        <v>0</v>
      </c>
      <c r="AP29" s="131">
        <f t="shared" si="9"/>
        <v>0</v>
      </c>
      <c r="AQ29" s="131">
        <f t="shared" si="9"/>
        <v>0</v>
      </c>
      <c r="AR29" s="131">
        <f t="shared" si="9"/>
        <v>0</v>
      </c>
      <c r="AS29" s="131">
        <f t="shared" si="9"/>
        <v>0</v>
      </c>
      <c r="AT29" s="131">
        <f t="shared" si="9"/>
        <v>0</v>
      </c>
      <c r="AU29" s="131">
        <f t="shared" si="9"/>
        <v>0</v>
      </c>
      <c r="AV29" s="131">
        <f t="shared" si="9"/>
        <v>0</v>
      </c>
      <c r="AW29" s="131">
        <f t="shared" si="9"/>
        <v>0</v>
      </c>
      <c r="AX29" s="131">
        <f t="shared" si="9"/>
        <v>0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0</v>
      </c>
      <c r="E30" s="123">
        <f t="shared" ref="E30:AY30" si="10">E$27*$B$30</f>
        <v>0</v>
      </c>
      <c r="F30" s="123">
        <f t="shared" si="10"/>
        <v>0</v>
      </c>
      <c r="G30" s="123">
        <f t="shared" si="10"/>
        <v>0</v>
      </c>
      <c r="H30" s="123">
        <f t="shared" si="10"/>
        <v>0</v>
      </c>
      <c r="I30" s="123">
        <f t="shared" si="10"/>
        <v>0</v>
      </c>
      <c r="J30" s="123">
        <f t="shared" si="10"/>
        <v>0</v>
      </c>
      <c r="K30" s="123">
        <f t="shared" si="10"/>
        <v>0</v>
      </c>
      <c r="L30" s="123">
        <f t="shared" si="10"/>
        <v>0</v>
      </c>
      <c r="M30" s="123">
        <f t="shared" si="10"/>
        <v>0</v>
      </c>
      <c r="N30" s="123">
        <f t="shared" si="10"/>
        <v>0</v>
      </c>
      <c r="O30" s="123">
        <f t="shared" si="10"/>
        <v>0</v>
      </c>
      <c r="P30" s="123">
        <f t="shared" si="10"/>
        <v>0</v>
      </c>
      <c r="Q30" s="123">
        <f t="shared" si="10"/>
        <v>0</v>
      </c>
      <c r="R30" s="123">
        <f>R$27*$B$30</f>
        <v>0</v>
      </c>
      <c r="S30" s="123">
        <f t="shared" si="10"/>
        <v>0</v>
      </c>
      <c r="T30" s="123">
        <f t="shared" si="10"/>
        <v>0</v>
      </c>
      <c r="U30" s="123">
        <f t="shared" si="10"/>
        <v>0</v>
      </c>
      <c r="V30" s="123">
        <f t="shared" si="10"/>
        <v>0</v>
      </c>
      <c r="W30" s="123">
        <f t="shared" si="10"/>
        <v>0</v>
      </c>
      <c r="X30" s="123">
        <f t="shared" si="10"/>
        <v>0</v>
      </c>
      <c r="Y30" s="123">
        <f t="shared" si="10"/>
        <v>0</v>
      </c>
      <c r="Z30" s="123">
        <f t="shared" si="10"/>
        <v>0</v>
      </c>
      <c r="AA30" s="123">
        <f t="shared" si="10"/>
        <v>0</v>
      </c>
      <c r="AB30" s="123">
        <f t="shared" si="10"/>
        <v>0</v>
      </c>
      <c r="AC30" s="123">
        <f t="shared" si="10"/>
        <v>0</v>
      </c>
      <c r="AD30" s="123">
        <f t="shared" si="10"/>
        <v>0</v>
      </c>
      <c r="AE30" s="123">
        <f>AE$27*$B$30</f>
        <v>0</v>
      </c>
      <c r="AF30" s="123">
        <f t="shared" si="10"/>
        <v>0</v>
      </c>
      <c r="AG30" s="123">
        <f t="shared" si="10"/>
        <v>0</v>
      </c>
      <c r="AH30" s="123">
        <f t="shared" si="10"/>
        <v>0</v>
      </c>
      <c r="AI30" s="123">
        <f t="shared" si="10"/>
        <v>0</v>
      </c>
      <c r="AJ30" s="123">
        <f t="shared" si="10"/>
        <v>0</v>
      </c>
      <c r="AK30" s="123">
        <f t="shared" si="10"/>
        <v>0</v>
      </c>
      <c r="AL30" s="123">
        <f t="shared" si="10"/>
        <v>0</v>
      </c>
      <c r="AM30" s="123">
        <f t="shared" si="10"/>
        <v>0</v>
      </c>
      <c r="AN30" s="123">
        <f t="shared" si="10"/>
        <v>0</v>
      </c>
      <c r="AO30" s="123">
        <f t="shared" si="10"/>
        <v>0</v>
      </c>
      <c r="AP30" s="123">
        <f t="shared" si="10"/>
        <v>0</v>
      </c>
      <c r="AQ30" s="123">
        <f t="shared" si="10"/>
        <v>0</v>
      </c>
      <c r="AR30" s="123">
        <f t="shared" si="10"/>
        <v>0</v>
      </c>
      <c r="AS30" s="123">
        <f t="shared" si="10"/>
        <v>0</v>
      </c>
      <c r="AT30" s="123">
        <f t="shared" si="10"/>
        <v>0</v>
      </c>
      <c r="AU30" s="123">
        <f t="shared" si="10"/>
        <v>0</v>
      </c>
      <c r="AV30" s="123">
        <f t="shared" si="10"/>
        <v>0</v>
      </c>
      <c r="AW30" s="123">
        <f t="shared" si="10"/>
        <v>0</v>
      </c>
      <c r="AX30" s="123">
        <f t="shared" si="10"/>
        <v>0</v>
      </c>
      <c r="AY30" s="123">
        <f t="shared" si="10"/>
        <v>0</v>
      </c>
      <c r="AZ30" s="147">
        <f t="shared" si="5"/>
        <v>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342</v>
      </c>
      <c r="C33" s="130"/>
      <c r="D33" s="130">
        <f>D$21*shipping_manufacturing!$D$27/100</f>
        <v>3632.5900515520234</v>
      </c>
      <c r="E33" s="130">
        <f>E$21*shipping_manufacturing!$D$27/100</f>
        <v>3761</v>
      </c>
      <c r="F33" s="130">
        <f>F$21*shipping_manufacturing!$D$27/100</f>
        <v>3761</v>
      </c>
      <c r="G33" s="130">
        <f>G$21*shipping_manufacturing!$D$27/100</f>
        <v>3761</v>
      </c>
      <c r="H33" s="130">
        <f>H$21*shipping_manufacturing!$D$27/100</f>
        <v>3761</v>
      </c>
      <c r="I33" s="130">
        <f>I$21*shipping_manufacturing!$D$27/100</f>
        <v>3632.5900515520234</v>
      </c>
      <c r="J33" s="130">
        <f>J$21*shipping_manufacturing!$D$27/100</f>
        <v>3632.5900515520234</v>
      </c>
      <c r="K33" s="130">
        <f>K$21*shipping_manufacturing!$D$27/100</f>
        <v>3632.5900515520234</v>
      </c>
      <c r="L33" s="130">
        <f>L$21*shipping_manufacturing!$D$27/100</f>
        <v>3632.5900515520234</v>
      </c>
      <c r="M33" s="130">
        <f>M$21*shipping_manufacturing!$D$27/100</f>
        <v>3632.5900515520234</v>
      </c>
      <c r="N33" s="130">
        <f>N$21*shipping_manufacturing!$D$27/100</f>
        <v>3632.5900515520234</v>
      </c>
      <c r="O33" s="130">
        <f>O$21*shipping_manufacturing!$D$27/100</f>
        <v>3632.5900515520234</v>
      </c>
      <c r="P33" s="130">
        <f>P$21*shipping_manufacturing!$D$27/100</f>
        <v>3632.5900515520234</v>
      </c>
      <c r="Q33" s="130">
        <f>Q$21*shipping_manufacturing!$D$27/100</f>
        <v>3761</v>
      </c>
      <c r="R33" s="130">
        <f>R$21*shipping_manufacturing!$D$27/100</f>
        <v>3761</v>
      </c>
      <c r="S33" s="130">
        <f>S$21*shipping_manufacturing!$D$27/100</f>
        <v>3761</v>
      </c>
      <c r="T33" s="130">
        <f>T$21*shipping_manufacturing!$D$27/100</f>
        <v>3761</v>
      </c>
      <c r="U33" s="130">
        <f>U$21*shipping_manufacturing!$D$27/100</f>
        <v>3632.5900515520234</v>
      </c>
      <c r="V33" s="130">
        <f>V$21*shipping_manufacturing!$D$27/100</f>
        <v>3632.5900515520234</v>
      </c>
      <c r="W33" s="130">
        <f>W$21*shipping_manufacturing!$D$27/100</f>
        <v>3632.5900515520234</v>
      </c>
      <c r="X33" s="130">
        <f>X$21*shipping_manufacturing!$D$27/100</f>
        <v>3632.5900515520234</v>
      </c>
      <c r="Y33" s="130">
        <f>Y$21*shipping_manufacturing!$D$27/100</f>
        <v>3632.5900515520234</v>
      </c>
      <c r="Z33" s="130">
        <f>Z$21*shipping_manufacturing!$D$27/100</f>
        <v>3632.5900515520234</v>
      </c>
      <c r="AA33" s="130">
        <f>AA$21*shipping_manufacturing!$D$27/100</f>
        <v>3632.5900515520234</v>
      </c>
      <c r="AB33" s="130">
        <f>AB$21*shipping_manufacturing!$D$27/100</f>
        <v>3632.5900515520234</v>
      </c>
      <c r="AC33" s="130">
        <f>AC$21*shipping_manufacturing!$D$27/100</f>
        <v>3761</v>
      </c>
      <c r="AD33" s="130">
        <f>AD$21*shipping_manufacturing!$D$27/100</f>
        <v>3761</v>
      </c>
      <c r="AE33" s="130">
        <f>AE$21*shipping_manufacturing!$D$27/100</f>
        <v>3761</v>
      </c>
      <c r="AF33" s="130">
        <f>AF$21*shipping_manufacturing!$D$27/100</f>
        <v>3761</v>
      </c>
      <c r="AG33" s="130">
        <f>AG$21*shipping_manufacturing!$D$27/100</f>
        <v>3632.5900515520234</v>
      </c>
      <c r="AH33" s="130">
        <f>AH$21*shipping_manufacturing!$D$27/100</f>
        <v>0</v>
      </c>
      <c r="AI33" s="130">
        <f>AI$21*shipping_manufacturing!$D$27/100</f>
        <v>3761</v>
      </c>
      <c r="AJ33" s="130">
        <f>AJ$21*shipping_manufacturing!$D$27/100</f>
        <v>3632.5900515520234</v>
      </c>
      <c r="AK33" s="130">
        <f>AK$21*shipping_manufacturing!$D$27/100</f>
        <v>3632.5900515520234</v>
      </c>
      <c r="AL33" s="130">
        <f>AL$21*shipping_manufacturing!$D$27/100</f>
        <v>3632.5900515520234</v>
      </c>
      <c r="AM33" s="130">
        <f>AM$21*shipping_manufacturing!$D$27/100</f>
        <v>3632.5900515520234</v>
      </c>
      <c r="AN33" s="130">
        <f>AN$21*shipping_manufacturing!$D$27/100</f>
        <v>3632.5900515520234</v>
      </c>
      <c r="AO33" s="130">
        <f>AO$21*shipping_manufacturing!$D$27/100</f>
        <v>3761</v>
      </c>
      <c r="AP33" s="130">
        <f>AP$21*shipping_manufacturing!$D$27/100</f>
        <v>3761</v>
      </c>
      <c r="AQ33" s="130">
        <f>AQ$21*shipping_manufacturing!$D$27/100</f>
        <v>3761</v>
      </c>
      <c r="AR33" s="130">
        <f>AR$21*shipping_manufacturing!$D$27/100</f>
        <v>3761</v>
      </c>
      <c r="AS33" s="130">
        <f>AS$21*shipping_manufacturing!$D$27/100</f>
        <v>3632.5900515520234</v>
      </c>
      <c r="AT33" s="130">
        <f>AT$21*shipping_manufacturing!$D$27/100</f>
        <v>3632.5900515520234</v>
      </c>
      <c r="AU33" s="130">
        <f>AU$21*shipping_manufacturing!$D$27/100</f>
        <v>3632.5900515520234</v>
      </c>
      <c r="AV33" s="130">
        <f>AV$21*shipping_manufacturing!$D$27/100</f>
        <v>0</v>
      </c>
      <c r="AW33" s="130">
        <f>AW$21*shipping_manufacturing!$D$27/100</f>
        <v>3761</v>
      </c>
      <c r="AX33" s="130">
        <f>AX$21*shipping_manufacturing!$D$27/100</f>
        <v>3632.5900515520234</v>
      </c>
      <c r="AY33" s="130">
        <f>AY$21*shipping_manufacturing!$D$27/100</f>
        <v>3632.5900515520234</v>
      </c>
    </row>
    <row r="34" spans="1:52" x14ac:dyDescent="0.2">
      <c r="A34" s="119" t="s">
        <v>341</v>
      </c>
      <c r="B34" s="171" t="s">
        <v>343</v>
      </c>
      <c r="C34" s="116"/>
      <c r="D34" s="116">
        <f>D$22*shipping_manufacturing!$E$27/100</f>
        <v>0</v>
      </c>
      <c r="E34" s="116">
        <f>E$22*shipping_manufacturing!$E$27/100</f>
        <v>0</v>
      </c>
      <c r="F34" s="116">
        <f>F$22*shipping_manufacturing!$E$27/100</f>
        <v>0</v>
      </c>
      <c r="G34" s="116">
        <f>G$22*shipping_manufacturing!$E$27/100</f>
        <v>0</v>
      </c>
      <c r="H34" s="116">
        <f>H$22*shipping_manufacturing!$E$27/100</f>
        <v>0</v>
      </c>
      <c r="I34" s="116">
        <f>I$22*shipping_manufacturing!$E$27/100</f>
        <v>0</v>
      </c>
      <c r="J34" s="116">
        <f>J$22*shipping_manufacturing!$E$27/100</f>
        <v>0</v>
      </c>
      <c r="K34" s="116">
        <f>K$22*shipping_manufacturing!$E$27/100</f>
        <v>0</v>
      </c>
      <c r="L34" s="116">
        <f>L$22*shipping_manufacturing!$E$27/100</f>
        <v>0</v>
      </c>
      <c r="M34" s="116">
        <f>M$22*shipping_manufacturing!$E$27/100</f>
        <v>0</v>
      </c>
      <c r="N34" s="116">
        <f>N$22*shipping_manufacturing!$E$27/100</f>
        <v>0</v>
      </c>
      <c r="O34" s="116">
        <f>O$22*shipping_manufacturing!$E$27/100</f>
        <v>0</v>
      </c>
      <c r="P34" s="116">
        <f>P$22*shipping_manufacturing!$E$27/100</f>
        <v>0</v>
      </c>
      <c r="Q34" s="116">
        <f>Q$22*shipping_manufacturing!$E$27/100</f>
        <v>0</v>
      </c>
      <c r="R34" s="116">
        <f>R$22*shipping_manufacturing!$E$27/100</f>
        <v>0</v>
      </c>
      <c r="S34" s="116">
        <f>S$22*shipping_manufacturing!$E$27/100</f>
        <v>0</v>
      </c>
      <c r="T34" s="116">
        <f>T$22*shipping_manufacturing!$E$27/100</f>
        <v>0</v>
      </c>
      <c r="U34" s="116">
        <f>U$22*shipping_manufacturing!$E$27/100</f>
        <v>0</v>
      </c>
      <c r="V34" s="116">
        <f>V$22*shipping_manufacturing!$E$27/100</f>
        <v>0</v>
      </c>
      <c r="W34" s="116">
        <f>W$22*shipping_manufacturing!$E$27/100</f>
        <v>0</v>
      </c>
      <c r="X34" s="116">
        <f>X$22*shipping_manufacturing!$E$27/100</f>
        <v>0</v>
      </c>
      <c r="Y34" s="116">
        <f>Y$22*shipping_manufacturing!$E$27/100</f>
        <v>0</v>
      </c>
      <c r="Z34" s="116">
        <f>Z$22*shipping_manufacturing!$E$27/100</f>
        <v>0</v>
      </c>
      <c r="AA34" s="116">
        <f>AA$22*shipping_manufacturing!$E$27/100</f>
        <v>0</v>
      </c>
      <c r="AB34" s="116">
        <f>AB$22*shipping_manufacturing!$E$27/100</f>
        <v>0</v>
      </c>
      <c r="AC34" s="116">
        <f>AC$22*shipping_manufacturing!$E$27/100</f>
        <v>0</v>
      </c>
      <c r="AD34" s="116">
        <f>AD$22*shipping_manufacturing!$E$27/100</f>
        <v>0</v>
      </c>
      <c r="AE34" s="116">
        <f>AE$22*shipping_manufacturing!$E$27/100</f>
        <v>0</v>
      </c>
      <c r="AF34" s="116">
        <f>AF$22*shipping_manufacturing!$E$27/100</f>
        <v>0</v>
      </c>
      <c r="AG34" s="116">
        <f>AG$22*shipping_manufacturing!$E$27/100</f>
        <v>0</v>
      </c>
      <c r="AH34" s="116">
        <f>AH$22*shipping_manufacturing!$E$27/100</f>
        <v>0</v>
      </c>
      <c r="AI34" s="116">
        <f>AI$22*shipping_manufacturing!$E$27/100</f>
        <v>0</v>
      </c>
      <c r="AJ34" s="116">
        <f>AJ$22*shipping_manufacturing!$E$27/100</f>
        <v>0</v>
      </c>
      <c r="AK34" s="116">
        <f>AK$22*shipping_manufacturing!$E$27/100</f>
        <v>0</v>
      </c>
      <c r="AL34" s="116">
        <f>AL$22*shipping_manufacturing!$E$27/100</f>
        <v>0</v>
      </c>
      <c r="AM34" s="116">
        <f>AM$22*shipping_manufacturing!$E$27/100</f>
        <v>0</v>
      </c>
      <c r="AN34" s="116">
        <f>AN$22*shipping_manufacturing!$E$27/100</f>
        <v>0</v>
      </c>
      <c r="AO34" s="116">
        <f>AO$22*shipping_manufacturing!$E$27/100</f>
        <v>0</v>
      </c>
      <c r="AP34" s="116">
        <f>AP$22*shipping_manufacturing!$E$27/100</f>
        <v>0</v>
      </c>
      <c r="AQ34" s="116">
        <f>AQ$22*shipping_manufacturing!$E$27/100</f>
        <v>0</v>
      </c>
      <c r="AR34" s="116">
        <f>AR$22*shipping_manufacturing!$E$27/100</f>
        <v>0</v>
      </c>
      <c r="AS34" s="116">
        <f>AS$22*shipping_manufacturing!$E$27/100</f>
        <v>0</v>
      </c>
      <c r="AT34" s="116">
        <f>AT$22*shipping_manufacturing!$E$27/100</f>
        <v>0</v>
      </c>
      <c r="AU34" s="116">
        <f>AU$22*shipping_manufacturing!$E$27/100</f>
        <v>0</v>
      </c>
      <c r="AV34" s="116">
        <f>AV$22*shipping_manufacturing!$E$27/100</f>
        <v>0</v>
      </c>
      <c r="AW34" s="116">
        <f>AW$22*shipping_manufacturing!$E$27/100</f>
        <v>0</v>
      </c>
      <c r="AX34" s="116">
        <f>AX$22*shipping_manufacturing!$E$27/100</f>
        <v>0</v>
      </c>
      <c r="AY34" s="116">
        <f>AY$22*shipping_manufacturing!$E$27/100</f>
        <v>0</v>
      </c>
    </row>
    <row r="35" spans="1:52" x14ac:dyDescent="0.2">
      <c r="A35" s="116">
        <v>1245</v>
      </c>
      <c r="B35" s="171" t="s">
        <v>344</v>
      </c>
      <c r="C35" s="116"/>
      <c r="D35" s="116">
        <f>SUM(D33:D34)</f>
        <v>3632.5900515520234</v>
      </c>
      <c r="E35" s="116">
        <f t="shared" ref="E35:AY35" si="11">SUM(E33:E34)</f>
        <v>3761</v>
      </c>
      <c r="F35" s="116">
        <f t="shared" si="11"/>
        <v>3761</v>
      </c>
      <c r="G35" s="116">
        <f t="shared" si="11"/>
        <v>3761</v>
      </c>
      <c r="H35" s="116">
        <f t="shared" si="11"/>
        <v>3761</v>
      </c>
      <c r="I35" s="116">
        <f t="shared" si="11"/>
        <v>3632.5900515520234</v>
      </c>
      <c r="J35" s="116">
        <f t="shared" si="11"/>
        <v>3632.5900515520234</v>
      </c>
      <c r="K35" s="116">
        <f t="shared" si="11"/>
        <v>3632.5900515520234</v>
      </c>
      <c r="L35" s="116">
        <f t="shared" si="11"/>
        <v>3632.5900515520234</v>
      </c>
      <c r="M35" s="116">
        <f t="shared" si="11"/>
        <v>3632.5900515520234</v>
      </c>
      <c r="N35" s="116">
        <f t="shared" si="11"/>
        <v>3632.5900515520234</v>
      </c>
      <c r="O35" s="116">
        <f t="shared" si="11"/>
        <v>3632.5900515520234</v>
      </c>
      <c r="P35" s="116">
        <f t="shared" si="11"/>
        <v>3632.5900515520234</v>
      </c>
      <c r="Q35" s="116">
        <f t="shared" si="11"/>
        <v>3761</v>
      </c>
      <c r="R35" s="116">
        <f t="shared" si="11"/>
        <v>3761</v>
      </c>
      <c r="S35" s="116">
        <f t="shared" si="11"/>
        <v>3761</v>
      </c>
      <c r="T35" s="116">
        <f t="shared" si="11"/>
        <v>3761</v>
      </c>
      <c r="U35" s="116">
        <f t="shared" si="11"/>
        <v>3632.5900515520234</v>
      </c>
      <c r="V35" s="116">
        <f t="shared" si="11"/>
        <v>3632.5900515520234</v>
      </c>
      <c r="W35" s="116">
        <f t="shared" si="11"/>
        <v>3632.5900515520234</v>
      </c>
      <c r="X35" s="116">
        <f t="shared" si="11"/>
        <v>3632.5900515520234</v>
      </c>
      <c r="Y35" s="116">
        <f t="shared" si="11"/>
        <v>3632.5900515520234</v>
      </c>
      <c r="Z35" s="116">
        <f t="shared" si="11"/>
        <v>3632.5900515520234</v>
      </c>
      <c r="AA35" s="116">
        <f t="shared" si="11"/>
        <v>3632.5900515520234</v>
      </c>
      <c r="AB35" s="116">
        <f t="shared" si="11"/>
        <v>3632.5900515520234</v>
      </c>
      <c r="AC35" s="116">
        <f t="shared" si="11"/>
        <v>3761</v>
      </c>
      <c r="AD35" s="116">
        <f t="shared" si="11"/>
        <v>3761</v>
      </c>
      <c r="AE35" s="116">
        <f t="shared" si="11"/>
        <v>3761</v>
      </c>
      <c r="AF35" s="116">
        <f t="shared" si="11"/>
        <v>3761</v>
      </c>
      <c r="AG35" s="116">
        <f t="shared" si="11"/>
        <v>3632.5900515520234</v>
      </c>
      <c r="AH35" s="116">
        <f t="shared" si="11"/>
        <v>0</v>
      </c>
      <c r="AI35" s="116">
        <f t="shared" si="11"/>
        <v>3761</v>
      </c>
      <c r="AJ35" s="116">
        <f t="shared" si="11"/>
        <v>3632.5900515520234</v>
      </c>
      <c r="AK35" s="116">
        <f t="shared" si="11"/>
        <v>3632.5900515520234</v>
      </c>
      <c r="AL35" s="116">
        <f t="shared" si="11"/>
        <v>3632.5900515520234</v>
      </c>
      <c r="AM35" s="116">
        <f t="shared" si="11"/>
        <v>3632.5900515520234</v>
      </c>
      <c r="AN35" s="116">
        <f t="shared" si="11"/>
        <v>3632.5900515520234</v>
      </c>
      <c r="AO35" s="116">
        <f t="shared" si="11"/>
        <v>3761</v>
      </c>
      <c r="AP35" s="116">
        <f t="shared" si="11"/>
        <v>3761</v>
      </c>
      <c r="AQ35" s="116">
        <f t="shared" si="11"/>
        <v>3761</v>
      </c>
      <c r="AR35" s="116">
        <f t="shared" si="11"/>
        <v>3761</v>
      </c>
      <c r="AS35" s="116">
        <f t="shared" si="11"/>
        <v>3632.5900515520234</v>
      </c>
      <c r="AT35" s="116">
        <f t="shared" si="11"/>
        <v>3632.5900515520234</v>
      </c>
      <c r="AU35" s="116">
        <f t="shared" si="11"/>
        <v>3632.5900515520234</v>
      </c>
      <c r="AV35" s="116">
        <f t="shared" si="11"/>
        <v>0</v>
      </c>
      <c r="AW35" s="116">
        <f t="shared" si="11"/>
        <v>3761</v>
      </c>
      <c r="AX35" s="116">
        <f t="shared" si="11"/>
        <v>3632.5900515520234</v>
      </c>
      <c r="AY35" s="116">
        <f t="shared" si="11"/>
        <v>3632.5900515520234</v>
      </c>
    </row>
    <row r="36" spans="1:52" x14ac:dyDescent="0.2">
      <c r="A36" s="116"/>
      <c r="B36" s="171" t="s">
        <v>345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346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347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348</v>
      </c>
      <c r="C39" s="116"/>
      <c r="D39" s="116">
        <f>D33-D36</f>
        <v>3632.5900515520234</v>
      </c>
      <c r="E39" s="116">
        <f t="shared" ref="E39:AY39" si="12">E33-E36</f>
        <v>3761</v>
      </c>
      <c r="F39" s="116">
        <f t="shared" si="12"/>
        <v>3761</v>
      </c>
      <c r="G39" s="116">
        <f t="shared" si="12"/>
        <v>3761</v>
      </c>
      <c r="H39" s="116">
        <f t="shared" si="12"/>
        <v>3761</v>
      </c>
      <c r="I39" s="116">
        <f t="shared" si="12"/>
        <v>3632.5900515520234</v>
      </c>
      <c r="J39" s="116">
        <f t="shared" si="12"/>
        <v>3632.5900515520234</v>
      </c>
      <c r="K39" s="116">
        <f t="shared" si="12"/>
        <v>3632.5900515520234</v>
      </c>
      <c r="L39" s="116">
        <f t="shared" si="12"/>
        <v>3632.5900515520234</v>
      </c>
      <c r="M39" s="116">
        <f t="shared" si="12"/>
        <v>3632.5900515520234</v>
      </c>
      <c r="N39" s="116">
        <f t="shared" si="12"/>
        <v>3632.5900515520234</v>
      </c>
      <c r="O39" s="116">
        <f t="shared" si="12"/>
        <v>3632.5900515520234</v>
      </c>
      <c r="P39" s="116">
        <f t="shared" si="12"/>
        <v>3632.5900515520234</v>
      </c>
      <c r="Q39" s="116">
        <f t="shared" si="12"/>
        <v>3761</v>
      </c>
      <c r="R39" s="116">
        <f t="shared" si="12"/>
        <v>3761</v>
      </c>
      <c r="S39" s="116">
        <f t="shared" si="12"/>
        <v>3761</v>
      </c>
      <c r="T39" s="116">
        <f t="shared" si="12"/>
        <v>3761</v>
      </c>
      <c r="U39" s="116">
        <f t="shared" si="12"/>
        <v>3632.5900515520234</v>
      </c>
      <c r="V39" s="116">
        <f t="shared" si="12"/>
        <v>3632.5900515520234</v>
      </c>
      <c r="W39" s="116">
        <f t="shared" si="12"/>
        <v>3632.5900515520234</v>
      </c>
      <c r="X39" s="116">
        <f t="shared" si="12"/>
        <v>3632.5900515520234</v>
      </c>
      <c r="Y39" s="116">
        <f t="shared" si="12"/>
        <v>3632.5900515520234</v>
      </c>
      <c r="Z39" s="116">
        <f t="shared" si="12"/>
        <v>3632.5900515520234</v>
      </c>
      <c r="AA39" s="116">
        <f t="shared" si="12"/>
        <v>3632.5900515520234</v>
      </c>
      <c r="AB39" s="116">
        <f t="shared" si="12"/>
        <v>3632.5900515520234</v>
      </c>
      <c r="AC39" s="116">
        <f t="shared" si="12"/>
        <v>3761</v>
      </c>
      <c r="AD39" s="116">
        <f t="shared" si="12"/>
        <v>3761</v>
      </c>
      <c r="AE39" s="116">
        <f t="shared" si="12"/>
        <v>3761</v>
      </c>
      <c r="AF39" s="116">
        <f t="shared" si="12"/>
        <v>3761</v>
      </c>
      <c r="AG39" s="116">
        <f t="shared" si="12"/>
        <v>3632.5900515520234</v>
      </c>
      <c r="AH39" s="116">
        <f t="shared" si="12"/>
        <v>0</v>
      </c>
      <c r="AI39" s="116">
        <f t="shared" si="12"/>
        <v>3761</v>
      </c>
      <c r="AJ39" s="116">
        <f t="shared" si="12"/>
        <v>3632.5900515520234</v>
      </c>
      <c r="AK39" s="116">
        <f t="shared" si="12"/>
        <v>3632.5900515520234</v>
      </c>
      <c r="AL39" s="116">
        <f t="shared" si="12"/>
        <v>3632.5900515520234</v>
      </c>
      <c r="AM39" s="116">
        <f t="shared" si="12"/>
        <v>3632.5900515520234</v>
      </c>
      <c r="AN39" s="116">
        <f t="shared" si="12"/>
        <v>3632.5900515520234</v>
      </c>
      <c r="AO39" s="116">
        <f t="shared" si="12"/>
        <v>3761</v>
      </c>
      <c r="AP39" s="116">
        <f t="shared" si="12"/>
        <v>3761</v>
      </c>
      <c r="AQ39" s="116">
        <f t="shared" si="12"/>
        <v>3761</v>
      </c>
      <c r="AR39" s="116">
        <f t="shared" si="12"/>
        <v>3761</v>
      </c>
      <c r="AS39" s="116">
        <f t="shared" si="12"/>
        <v>3632.5900515520234</v>
      </c>
      <c r="AT39" s="116">
        <f t="shared" si="12"/>
        <v>3632.5900515520234</v>
      </c>
      <c r="AU39" s="116">
        <f t="shared" si="12"/>
        <v>3632.5900515520234</v>
      </c>
      <c r="AV39" s="116">
        <f t="shared" si="12"/>
        <v>0</v>
      </c>
      <c r="AW39" s="116">
        <f t="shared" si="12"/>
        <v>3761</v>
      </c>
      <c r="AX39" s="116">
        <f t="shared" si="12"/>
        <v>3632.5900515520234</v>
      </c>
      <c r="AY39" s="116">
        <f t="shared" si="12"/>
        <v>3632.5900515520234</v>
      </c>
    </row>
    <row r="40" spans="1:52" x14ac:dyDescent="0.2">
      <c r="A40" s="116"/>
      <c r="B40" s="171" t="s">
        <v>349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350</v>
      </c>
      <c r="C41" s="116"/>
      <c r="D41" s="116">
        <v>1</v>
      </c>
      <c r="E41" s="116">
        <v>1</v>
      </c>
      <c r="F41" s="116">
        <v>1</v>
      </c>
      <c r="G41" s="116">
        <v>1</v>
      </c>
      <c r="H41" s="116">
        <v>1</v>
      </c>
      <c r="I41" s="116">
        <v>2</v>
      </c>
      <c r="J41" s="116">
        <v>1</v>
      </c>
      <c r="K41" s="116">
        <v>1</v>
      </c>
      <c r="L41" s="116">
        <v>2</v>
      </c>
      <c r="M41" s="116">
        <v>1</v>
      </c>
      <c r="N41" s="116">
        <v>1</v>
      </c>
      <c r="O41" s="116">
        <v>2</v>
      </c>
      <c r="P41" s="116">
        <v>1</v>
      </c>
      <c r="Q41" s="116">
        <v>1</v>
      </c>
      <c r="R41" s="116">
        <v>1</v>
      </c>
      <c r="S41" s="116">
        <v>1</v>
      </c>
      <c r="T41" s="116">
        <v>2</v>
      </c>
      <c r="U41" s="116">
        <v>1</v>
      </c>
      <c r="V41" s="116">
        <v>1</v>
      </c>
      <c r="W41" s="116">
        <v>1</v>
      </c>
      <c r="X41" s="116">
        <v>1</v>
      </c>
      <c r="Y41" s="116">
        <v>1</v>
      </c>
      <c r="Z41" s="116">
        <v>2</v>
      </c>
      <c r="AA41" s="116">
        <v>1</v>
      </c>
      <c r="AB41" s="116">
        <v>2</v>
      </c>
      <c r="AC41" s="116">
        <v>1</v>
      </c>
      <c r="AD41" s="116">
        <v>1</v>
      </c>
      <c r="AE41" s="116">
        <v>2</v>
      </c>
      <c r="AF41" s="116">
        <v>1</v>
      </c>
      <c r="AG41" s="116">
        <v>2</v>
      </c>
      <c r="AH41" s="116">
        <v>1</v>
      </c>
      <c r="AI41" s="116">
        <v>1</v>
      </c>
      <c r="AJ41" s="116">
        <v>1</v>
      </c>
      <c r="AK41" s="116">
        <v>1</v>
      </c>
      <c r="AL41" s="116">
        <v>2</v>
      </c>
      <c r="AM41" s="116">
        <v>2</v>
      </c>
      <c r="AN41" s="116">
        <v>1</v>
      </c>
      <c r="AO41" s="116">
        <v>2</v>
      </c>
      <c r="AP41" s="116">
        <v>1</v>
      </c>
      <c r="AQ41" s="116">
        <v>1</v>
      </c>
      <c r="AR41" s="116">
        <v>2</v>
      </c>
      <c r="AS41" s="116">
        <v>3</v>
      </c>
      <c r="AT41" s="116">
        <v>1</v>
      </c>
      <c r="AU41" s="116">
        <v>2</v>
      </c>
      <c r="AV41" s="116">
        <v>1</v>
      </c>
      <c r="AW41" s="116">
        <v>1</v>
      </c>
      <c r="AX41" s="116">
        <v>1</v>
      </c>
      <c r="AY41" s="116">
        <v>1</v>
      </c>
    </row>
    <row r="42" spans="1:52" x14ac:dyDescent="0.2">
      <c r="A42" s="116"/>
      <c r="B42" s="184" t="s">
        <v>351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352</v>
      </c>
      <c r="C43" s="116"/>
      <c r="D43" s="116">
        <v>2939673.4992184751</v>
      </c>
      <c r="E43" s="116">
        <v>3043589.25</v>
      </c>
      <c r="F43" s="116">
        <v>3043589.25</v>
      </c>
      <c r="G43" s="116">
        <v>3043589.25</v>
      </c>
      <c r="H43" s="116">
        <v>3043589.25</v>
      </c>
      <c r="I43" s="116">
        <v>2939673.4992184751</v>
      </c>
      <c r="J43" s="116">
        <v>2939673.4992184751</v>
      </c>
      <c r="K43" s="116">
        <v>2939673.4992184751</v>
      </c>
      <c r="L43" s="116">
        <v>2939673.4992184751</v>
      </c>
      <c r="M43" s="116">
        <v>2939673.4992184751</v>
      </c>
      <c r="N43" s="116">
        <v>2939673.4992184751</v>
      </c>
      <c r="O43" s="116">
        <v>2939673.4992184751</v>
      </c>
      <c r="P43" s="116">
        <v>2939673.4992184751</v>
      </c>
      <c r="Q43" s="116">
        <v>3043589.25</v>
      </c>
      <c r="R43" s="116">
        <v>3043589.25</v>
      </c>
      <c r="S43" s="116">
        <v>3043589.25</v>
      </c>
      <c r="T43" s="116">
        <v>3043589.25</v>
      </c>
      <c r="U43" s="116">
        <v>2939673.4992184751</v>
      </c>
      <c r="V43" s="116">
        <v>2939673.4992184751</v>
      </c>
      <c r="W43" s="116">
        <v>2939673.4992184751</v>
      </c>
      <c r="X43" s="116">
        <v>2939673.4992184751</v>
      </c>
      <c r="Y43" s="116">
        <v>2939673.4992184751</v>
      </c>
      <c r="Z43" s="116">
        <v>2939673.4992184751</v>
      </c>
      <c r="AA43" s="116">
        <v>2939673.4992184751</v>
      </c>
      <c r="AB43" s="116">
        <v>2939673.4992184751</v>
      </c>
      <c r="AC43" s="116">
        <v>3043589.25</v>
      </c>
      <c r="AD43" s="116">
        <v>3043589.25</v>
      </c>
      <c r="AE43" s="116">
        <v>3043589.25</v>
      </c>
      <c r="AF43" s="116">
        <v>3043589.25</v>
      </c>
      <c r="AG43" s="116">
        <v>2939673.4992184751</v>
      </c>
      <c r="AH43" s="116">
        <v>0</v>
      </c>
      <c r="AI43" s="116">
        <v>3043589.25</v>
      </c>
      <c r="AJ43" s="116">
        <v>2939673.4992184751</v>
      </c>
      <c r="AK43" s="116">
        <v>2939673.4992184751</v>
      </c>
      <c r="AL43" s="116">
        <v>2939673.4992184751</v>
      </c>
      <c r="AM43" s="116">
        <v>2939673.4992184751</v>
      </c>
      <c r="AN43" s="116">
        <v>2939673.4992184751</v>
      </c>
      <c r="AO43" s="116">
        <v>3043589.25</v>
      </c>
      <c r="AP43" s="116">
        <v>3043589.25</v>
      </c>
      <c r="AQ43" s="116">
        <v>3043589.25</v>
      </c>
      <c r="AR43" s="116">
        <v>3043589.25</v>
      </c>
      <c r="AS43" s="116">
        <v>2939673.4992184751</v>
      </c>
      <c r="AT43" s="116">
        <v>2939673.4992184751</v>
      </c>
      <c r="AU43" s="116">
        <v>2939673.4992184751</v>
      </c>
      <c r="AV43" s="116">
        <v>0</v>
      </c>
      <c r="AW43" s="116">
        <v>3043589.25</v>
      </c>
      <c r="AX43" s="116">
        <v>2939673.4992184751</v>
      </c>
      <c r="AY43" s="116">
        <v>2939673.4992184751</v>
      </c>
      <c r="AZ43" s="106">
        <f>SUM($D$43:$AY$43)</f>
        <v>137095464.47811738</v>
      </c>
    </row>
    <row r="44" spans="1:52" x14ac:dyDescent="0.2">
      <c r="A44" s="141" t="s">
        <v>59</v>
      </c>
      <c r="B44" s="141" t="s">
        <v>342</v>
      </c>
      <c r="C44" s="130"/>
      <c r="D44" s="130">
        <f>D$21*shipping_manufacturing!$D$28/100</f>
        <v>0</v>
      </c>
      <c r="E44" s="130">
        <f>E$21*shipping_manufacturing!$D$28/100</f>
        <v>0</v>
      </c>
      <c r="F44" s="130">
        <f>F$21*shipping_manufacturing!$D$28/100</f>
        <v>0</v>
      </c>
      <c r="G44" s="130">
        <f>G$21*shipping_manufacturing!$D$28/100</f>
        <v>0</v>
      </c>
      <c r="H44" s="130">
        <f>H$21*shipping_manufacturing!$D$28/100</f>
        <v>0</v>
      </c>
      <c r="I44" s="130">
        <f>I$21*shipping_manufacturing!$D$28/100</f>
        <v>0</v>
      </c>
      <c r="J44" s="130">
        <f>J$21*shipping_manufacturing!$D$28/100</f>
        <v>0</v>
      </c>
      <c r="K44" s="130">
        <f>K$21*shipping_manufacturing!$D$28/100</f>
        <v>0</v>
      </c>
      <c r="L44" s="130">
        <f>L$21*shipping_manufacturing!$D$28/100</f>
        <v>0</v>
      </c>
      <c r="M44" s="130">
        <f>M$21*shipping_manufacturing!$D$28/100</f>
        <v>0</v>
      </c>
      <c r="N44" s="130">
        <f>N$21*shipping_manufacturing!$D$28/100</f>
        <v>0</v>
      </c>
      <c r="O44" s="130">
        <f>O$21*shipping_manufacturing!$D$28/100</f>
        <v>0</v>
      </c>
      <c r="P44" s="130">
        <f>P$21*shipping_manufacturing!$D$28/100</f>
        <v>0</v>
      </c>
      <c r="Q44" s="130">
        <f>Q$21*shipping_manufacturing!$D$28/100</f>
        <v>0</v>
      </c>
      <c r="R44" s="130">
        <f>R$21*shipping_manufacturing!$D$28/100</f>
        <v>0</v>
      </c>
      <c r="S44" s="130">
        <f>S$21*shipping_manufacturing!$D$28/100</f>
        <v>0</v>
      </c>
      <c r="T44" s="130">
        <f>T$21*shipping_manufacturing!$D$28/100</f>
        <v>0</v>
      </c>
      <c r="U44" s="130">
        <f>U$21*shipping_manufacturing!$D$28/100</f>
        <v>0</v>
      </c>
      <c r="V44" s="130">
        <f>V$21*shipping_manufacturing!$D$28/100</f>
        <v>0</v>
      </c>
      <c r="W44" s="130">
        <f>W$21*shipping_manufacturing!$D$28/100</f>
        <v>0</v>
      </c>
      <c r="X44" s="130">
        <f>X$21*shipping_manufacturing!$D$28/100</f>
        <v>0</v>
      </c>
      <c r="Y44" s="130">
        <f>Y$21*shipping_manufacturing!$D$28/100</f>
        <v>0</v>
      </c>
      <c r="Z44" s="130">
        <f>Z$21*shipping_manufacturing!$D$28/100</f>
        <v>0</v>
      </c>
      <c r="AA44" s="130">
        <f>AA$21*shipping_manufacturing!$D$28/100</f>
        <v>0</v>
      </c>
      <c r="AB44" s="130">
        <f>AB$21*shipping_manufacturing!$D$28/100</f>
        <v>0</v>
      </c>
      <c r="AC44" s="130">
        <f>AC$21*shipping_manufacturing!$D$28/100</f>
        <v>0</v>
      </c>
      <c r="AD44" s="130">
        <f>AD$21*shipping_manufacturing!$D$28/100</f>
        <v>0</v>
      </c>
      <c r="AE44" s="130">
        <f>AE$21*shipping_manufacturing!$D$28/100</f>
        <v>0</v>
      </c>
      <c r="AF44" s="130">
        <f>AF$21*shipping_manufacturing!$D$28/100</f>
        <v>0</v>
      </c>
      <c r="AG44" s="130">
        <f>AG$21*shipping_manufacturing!$D$28/100</f>
        <v>0</v>
      </c>
      <c r="AH44" s="130">
        <f>AH$21*shipping_manufacturing!$D$28/100</f>
        <v>0</v>
      </c>
      <c r="AI44" s="130">
        <f>AI$21*shipping_manufacturing!$D$28/100</f>
        <v>0</v>
      </c>
      <c r="AJ44" s="130">
        <f>AJ$21*shipping_manufacturing!$D$28/100</f>
        <v>0</v>
      </c>
      <c r="AK44" s="130">
        <f>AK$21*shipping_manufacturing!$D$28/100</f>
        <v>0</v>
      </c>
      <c r="AL44" s="130">
        <f>AL$21*shipping_manufacturing!$D$28/100</f>
        <v>0</v>
      </c>
      <c r="AM44" s="130">
        <f>AM$21*shipping_manufacturing!$D$28/100</f>
        <v>0</v>
      </c>
      <c r="AN44" s="130">
        <f>AN$21*shipping_manufacturing!$D$28/100</f>
        <v>0</v>
      </c>
      <c r="AO44" s="130">
        <f>AO$21*shipping_manufacturing!$D$28/100</f>
        <v>0</v>
      </c>
      <c r="AP44" s="130">
        <f>AP$21*shipping_manufacturing!$D$28/100</f>
        <v>0</v>
      </c>
      <c r="AQ44" s="130">
        <f>AQ$21*shipping_manufacturing!$D$28/100</f>
        <v>0</v>
      </c>
      <c r="AR44" s="130">
        <f>AR$21*shipping_manufacturing!$D$28/100</f>
        <v>0</v>
      </c>
      <c r="AS44" s="130">
        <f>AS$21*shipping_manufacturing!$D$28/100</f>
        <v>0</v>
      </c>
      <c r="AT44" s="130">
        <f>AT$21*shipping_manufacturing!$D$28/100</f>
        <v>0</v>
      </c>
      <c r="AU44" s="130">
        <f>AU$21*shipping_manufacturing!$D$28/100</f>
        <v>0</v>
      </c>
      <c r="AV44" s="130">
        <f>AV$21*shipping_manufacturing!$D$28/100</f>
        <v>0</v>
      </c>
      <c r="AW44" s="130">
        <f>AW$21*shipping_manufacturing!$D$28/100</f>
        <v>0</v>
      </c>
      <c r="AX44" s="130">
        <f>AX$21*shipping_manufacturing!$D$28/100</f>
        <v>0</v>
      </c>
      <c r="AY44" s="130">
        <f>AY$21*shipping_manufacturing!$D$28/100</f>
        <v>0</v>
      </c>
    </row>
    <row r="45" spans="1:52" x14ac:dyDescent="0.2">
      <c r="A45" s="119" t="s">
        <v>341</v>
      </c>
      <c r="B45" s="171" t="s">
        <v>343</v>
      </c>
      <c r="C45" s="116"/>
      <c r="D45" s="116">
        <f>D$22*shipping_manufacturing!$E$28/100</f>
        <v>0</v>
      </c>
      <c r="E45" s="116">
        <f>E$22*shipping_manufacturing!$E$28/100</f>
        <v>0</v>
      </c>
      <c r="F45" s="116">
        <f>F$22*shipping_manufacturing!$E$28/100</f>
        <v>0</v>
      </c>
      <c r="G45" s="116">
        <f>G$22*shipping_manufacturing!$E$28/100</f>
        <v>0</v>
      </c>
      <c r="H45" s="116">
        <f>H$22*shipping_manufacturing!$E$28/100</f>
        <v>0</v>
      </c>
      <c r="I45" s="116">
        <f>I$22*shipping_manufacturing!$E$28/100</f>
        <v>0</v>
      </c>
      <c r="J45" s="116">
        <f>J$22*shipping_manufacturing!$E$28/100</f>
        <v>0</v>
      </c>
      <c r="K45" s="116">
        <f>K$22*shipping_manufacturing!$E$28/100</f>
        <v>0</v>
      </c>
      <c r="L45" s="116">
        <f>L$22*shipping_manufacturing!$E$28/100</f>
        <v>0</v>
      </c>
      <c r="M45" s="116">
        <f>M$22*shipping_manufacturing!$E$28/100</f>
        <v>0</v>
      </c>
      <c r="N45" s="116">
        <f>N$22*shipping_manufacturing!$E$28/100</f>
        <v>0</v>
      </c>
      <c r="O45" s="116">
        <f>O$22*shipping_manufacturing!$E$28/100</f>
        <v>0</v>
      </c>
      <c r="P45" s="116">
        <f>P$22*shipping_manufacturing!$E$28/100</f>
        <v>0</v>
      </c>
      <c r="Q45" s="116">
        <f>Q$22*shipping_manufacturing!$E$28/100</f>
        <v>0</v>
      </c>
      <c r="R45" s="116">
        <f>R$22*shipping_manufacturing!$E$28/100</f>
        <v>0</v>
      </c>
      <c r="S45" s="116">
        <f>S$22*shipping_manufacturing!$E$28/100</f>
        <v>0</v>
      </c>
      <c r="T45" s="116">
        <f>T$22*shipping_manufacturing!$E$28/100</f>
        <v>0</v>
      </c>
      <c r="U45" s="116">
        <f>U$22*shipping_manufacturing!$E$28/100</f>
        <v>0</v>
      </c>
      <c r="V45" s="116">
        <f>V$22*shipping_manufacturing!$E$28/100</f>
        <v>0</v>
      </c>
      <c r="W45" s="116">
        <f>W$22*shipping_manufacturing!$E$28/100</f>
        <v>0</v>
      </c>
      <c r="X45" s="116">
        <f>X$22*shipping_manufacturing!$E$28/100</f>
        <v>0</v>
      </c>
      <c r="Y45" s="116">
        <f>Y$22*shipping_manufacturing!$E$28/100</f>
        <v>0</v>
      </c>
      <c r="Z45" s="116">
        <f>Z$22*shipping_manufacturing!$E$28/100</f>
        <v>0</v>
      </c>
      <c r="AA45" s="116">
        <f>AA$22*shipping_manufacturing!$E$28/100</f>
        <v>0</v>
      </c>
      <c r="AB45" s="116">
        <f>AB$22*shipping_manufacturing!$E$28/100</f>
        <v>0</v>
      </c>
      <c r="AC45" s="116">
        <f>AC$22*shipping_manufacturing!$E$28/100</f>
        <v>0</v>
      </c>
      <c r="AD45" s="116">
        <f>AD$22*shipping_manufacturing!$E$28/100</f>
        <v>0</v>
      </c>
      <c r="AE45" s="116">
        <f>AE$22*shipping_manufacturing!$E$28/100</f>
        <v>0</v>
      </c>
      <c r="AF45" s="116">
        <f>AF$22*shipping_manufacturing!$E$28/100</f>
        <v>0</v>
      </c>
      <c r="AG45" s="116">
        <f>AG$22*shipping_manufacturing!$E$28/100</f>
        <v>0</v>
      </c>
      <c r="AH45" s="116">
        <f>AH$22*shipping_manufacturing!$E$28/100</f>
        <v>0</v>
      </c>
      <c r="AI45" s="116">
        <f>AI$22*shipping_manufacturing!$E$28/100</f>
        <v>0</v>
      </c>
      <c r="AJ45" s="116">
        <f>AJ$22*shipping_manufacturing!$E$28/100</f>
        <v>0</v>
      </c>
      <c r="AK45" s="116">
        <f>AK$22*shipping_manufacturing!$E$28/100</f>
        <v>0</v>
      </c>
      <c r="AL45" s="116">
        <f>AL$22*shipping_manufacturing!$E$28/100</f>
        <v>0</v>
      </c>
      <c r="AM45" s="116">
        <f>AM$22*shipping_manufacturing!$E$28/100</f>
        <v>0</v>
      </c>
      <c r="AN45" s="116">
        <f>AN$22*shipping_manufacturing!$E$28/100</f>
        <v>0</v>
      </c>
      <c r="AO45" s="116">
        <f>AO$22*shipping_manufacturing!$E$28/100</f>
        <v>0</v>
      </c>
      <c r="AP45" s="116">
        <f>AP$22*shipping_manufacturing!$E$28/100</f>
        <v>0</v>
      </c>
      <c r="AQ45" s="116">
        <f>AQ$22*shipping_manufacturing!$E$28/100</f>
        <v>0</v>
      </c>
      <c r="AR45" s="116">
        <f>AR$22*shipping_manufacturing!$E$28/100</f>
        <v>0</v>
      </c>
      <c r="AS45" s="116">
        <f>AS$22*shipping_manufacturing!$E$28/100</f>
        <v>0</v>
      </c>
      <c r="AT45" s="116">
        <f>AT$22*shipping_manufacturing!$E$28/100</f>
        <v>0</v>
      </c>
      <c r="AU45" s="116">
        <f>AU$22*shipping_manufacturing!$E$28/100</f>
        <v>0</v>
      </c>
      <c r="AV45" s="116">
        <f>AV$22*shipping_manufacturing!$E$28/100</f>
        <v>0</v>
      </c>
      <c r="AW45" s="116">
        <f>AW$22*shipping_manufacturing!$E$28/100</f>
        <v>0</v>
      </c>
      <c r="AX45" s="116">
        <f>AX$22*shipping_manufacturing!$E$28/100</f>
        <v>0</v>
      </c>
      <c r="AY45" s="116">
        <f>AY$22*shipping_manufacturing!$E$28/100</f>
        <v>0</v>
      </c>
    </row>
    <row r="46" spans="1:52" x14ac:dyDescent="0.2">
      <c r="A46" s="116">
        <v>495</v>
      </c>
      <c r="B46" s="171" t="s">
        <v>344</v>
      </c>
      <c r="C46" s="116"/>
      <c r="D46" s="116">
        <f>SUM(D44:D45)</f>
        <v>0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345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346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347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348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349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350</v>
      </c>
      <c r="C52" s="116"/>
      <c r="D52" s="116">
        <v>2</v>
      </c>
      <c r="E52" s="116">
        <v>1</v>
      </c>
      <c r="F52" s="116">
        <v>1</v>
      </c>
      <c r="G52" s="116">
        <v>2</v>
      </c>
      <c r="H52" s="116">
        <v>1</v>
      </c>
      <c r="I52" s="116">
        <v>2</v>
      </c>
      <c r="J52" s="116">
        <v>1</v>
      </c>
      <c r="K52" s="116">
        <v>1</v>
      </c>
      <c r="L52" s="116">
        <v>2</v>
      </c>
      <c r="M52" s="116">
        <v>1</v>
      </c>
      <c r="N52" s="116">
        <v>1</v>
      </c>
      <c r="O52" s="116">
        <v>2</v>
      </c>
      <c r="P52" s="116">
        <v>1</v>
      </c>
      <c r="Q52" s="116">
        <v>1</v>
      </c>
      <c r="R52" s="116">
        <v>1</v>
      </c>
      <c r="S52" s="116">
        <v>1</v>
      </c>
      <c r="T52" s="116">
        <v>1</v>
      </c>
      <c r="U52" s="116">
        <v>1</v>
      </c>
      <c r="V52" s="116">
        <v>2</v>
      </c>
      <c r="W52" s="116">
        <v>2</v>
      </c>
      <c r="X52" s="116">
        <v>1</v>
      </c>
      <c r="Y52" s="116">
        <v>1</v>
      </c>
      <c r="Z52" s="116">
        <v>1</v>
      </c>
      <c r="AA52" s="116">
        <v>1</v>
      </c>
      <c r="AB52" s="116">
        <v>1</v>
      </c>
      <c r="AC52" s="116">
        <v>1</v>
      </c>
      <c r="AD52" s="116">
        <v>1</v>
      </c>
      <c r="AE52" s="116">
        <v>1</v>
      </c>
      <c r="AF52" s="116">
        <v>1</v>
      </c>
      <c r="AG52" s="116">
        <v>1</v>
      </c>
      <c r="AH52" s="116">
        <v>2</v>
      </c>
      <c r="AI52" s="116">
        <v>1</v>
      </c>
      <c r="AJ52" s="116">
        <v>2</v>
      </c>
      <c r="AK52" s="116">
        <v>1</v>
      </c>
      <c r="AL52" s="116">
        <v>2</v>
      </c>
      <c r="AM52" s="116">
        <v>2</v>
      </c>
      <c r="AN52" s="116">
        <v>1</v>
      </c>
      <c r="AO52" s="116">
        <v>1</v>
      </c>
      <c r="AP52" s="116">
        <v>1</v>
      </c>
      <c r="AQ52" s="116">
        <v>1</v>
      </c>
      <c r="AR52" s="116">
        <v>1</v>
      </c>
      <c r="AS52" s="116">
        <v>2</v>
      </c>
      <c r="AT52" s="116">
        <v>2</v>
      </c>
      <c r="AU52" s="116">
        <v>1</v>
      </c>
      <c r="AV52" s="116">
        <v>1</v>
      </c>
      <c r="AW52" s="116">
        <v>1</v>
      </c>
      <c r="AX52" s="116">
        <v>1</v>
      </c>
      <c r="AY52" s="116">
        <v>1</v>
      </c>
    </row>
    <row r="53" spans="1:52" x14ac:dyDescent="0.2">
      <c r="A53" s="116"/>
      <c r="B53" s="184" t="s">
        <v>351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352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284</v>
      </c>
    </row>
    <row r="2" spans="1:53" x14ac:dyDescent="0.2">
      <c r="A2" s="106" t="s">
        <v>285</v>
      </c>
      <c r="B2" s="113" t="s">
        <v>22</v>
      </c>
    </row>
    <row r="3" spans="1:53" x14ac:dyDescent="0.2">
      <c r="A3" s="106" t="s">
        <v>286</v>
      </c>
      <c r="B3" s="114">
        <v>50000</v>
      </c>
      <c r="C3" s="115"/>
    </row>
    <row r="4" spans="1:53" x14ac:dyDescent="0.2">
      <c r="B4" s="116"/>
      <c r="C4" s="116"/>
    </row>
    <row r="5" spans="1:53" x14ac:dyDescent="0.2">
      <c r="C5" s="117" t="s">
        <v>287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3" x14ac:dyDescent="0.2">
      <c r="A8" s="108" t="s">
        <v>292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293</v>
      </c>
      <c r="D9" s="123">
        <v>9989.5468008141706</v>
      </c>
      <c r="E9" s="123">
        <v>9989.5468008141706</v>
      </c>
      <c r="F9" s="123">
        <v>9989.5468008141706</v>
      </c>
      <c r="G9" s="123">
        <v>9989.5468008141706</v>
      </c>
      <c r="H9" s="123">
        <v>8936.267925088172</v>
      </c>
      <c r="I9" s="123">
        <v>9061.5757102010302</v>
      </c>
      <c r="J9" s="123">
        <v>9061.5757102010302</v>
      </c>
      <c r="K9" s="123">
        <v>9061.5757102010302</v>
      </c>
      <c r="L9" s="123">
        <v>9061.5757102010302</v>
      </c>
      <c r="M9" s="123">
        <v>7903.5219886941704</v>
      </c>
      <c r="N9" s="123">
        <v>9061.5757102010302</v>
      </c>
      <c r="O9" s="123">
        <v>9061.5757102010302</v>
      </c>
      <c r="P9" s="123">
        <v>9989.5468008141706</v>
      </c>
      <c r="Q9" s="123">
        <v>9989.5468008141706</v>
      </c>
      <c r="R9" s="123">
        <v>9989.5468008141706</v>
      </c>
      <c r="S9" s="123">
        <v>9989.5468008141706</v>
      </c>
      <c r="T9" s="123">
        <v>9061.5757102010302</v>
      </c>
      <c r="U9" s="123">
        <v>9061.5757102010302</v>
      </c>
      <c r="V9" s="123">
        <v>9061.5757102010302</v>
      </c>
      <c r="W9" s="123">
        <v>9061.5757102010302</v>
      </c>
      <c r="X9" s="123">
        <v>9061.5757102010302</v>
      </c>
      <c r="Y9" s="123">
        <v>9061.5757102010302</v>
      </c>
      <c r="Z9" s="123">
        <v>9061.5757102010302</v>
      </c>
      <c r="AA9" s="123">
        <v>9061.5757102010302</v>
      </c>
      <c r="AB9" s="123">
        <v>9989.5468008141706</v>
      </c>
      <c r="AC9" s="123">
        <v>9989.5468008141706</v>
      </c>
      <c r="AD9" s="123">
        <v>9989.5468008141706</v>
      </c>
      <c r="AE9" s="123">
        <v>9989.5468008141706</v>
      </c>
      <c r="AF9" s="123">
        <v>9061.5757102010302</v>
      </c>
      <c r="AG9" s="123">
        <v>9061.5757102010302</v>
      </c>
      <c r="AH9" s="123">
        <v>9061.5757102010302</v>
      </c>
      <c r="AI9" s="123">
        <v>9061.5757102010302</v>
      </c>
      <c r="AJ9" s="123">
        <v>9061.5757102010302</v>
      </c>
      <c r="AK9" s="123">
        <v>9061.5757102010302</v>
      </c>
      <c r="AL9" s="123">
        <v>9061.5757102010302</v>
      </c>
      <c r="AM9" s="123">
        <v>9061.5757102010302</v>
      </c>
      <c r="AN9" s="123">
        <v>9989.5468008141706</v>
      </c>
      <c r="AO9" s="123">
        <v>9989.5468008141706</v>
      </c>
      <c r="AP9" s="123">
        <v>9989.5468008141706</v>
      </c>
      <c r="AQ9" s="123">
        <v>9989.5468008141706</v>
      </c>
      <c r="AR9" s="123">
        <v>9061.5757102010302</v>
      </c>
      <c r="AS9" s="123">
        <v>9061.5757102010302</v>
      </c>
      <c r="AT9" s="123">
        <v>8945.1333543135243</v>
      </c>
      <c r="AU9" s="123">
        <v>9061.5757102010302</v>
      </c>
      <c r="AV9" s="123">
        <v>9061.5757102010302</v>
      </c>
      <c r="AW9" s="123">
        <v>9061.5757102010302</v>
      </c>
      <c r="AX9" s="123">
        <v>9061.5757102010302</v>
      </c>
      <c r="AY9" s="123">
        <v>9061.5757102010302</v>
      </c>
    </row>
    <row r="10" spans="1:53" x14ac:dyDescent="0.2">
      <c r="A10" s="124" t="s">
        <v>133</v>
      </c>
      <c r="B10" s="125">
        <v>1</v>
      </c>
      <c r="C10" s="112" t="s">
        <v>293</v>
      </c>
      <c r="D10" s="106">
        <v>3632.5900515520234</v>
      </c>
      <c r="E10" s="106">
        <v>3632.5900515520234</v>
      </c>
      <c r="F10" s="106">
        <v>3761</v>
      </c>
      <c r="G10" s="106">
        <v>3761</v>
      </c>
      <c r="H10" s="106">
        <v>3761</v>
      </c>
      <c r="I10" s="106">
        <v>3761</v>
      </c>
      <c r="J10" s="106">
        <v>0</v>
      </c>
      <c r="K10" s="106">
        <v>3632.5900515520234</v>
      </c>
      <c r="L10" s="106">
        <v>3632.5900515520234</v>
      </c>
      <c r="M10" s="106">
        <v>0</v>
      </c>
      <c r="N10" s="106">
        <v>3632.5900515520234</v>
      </c>
      <c r="O10" s="106">
        <v>3632.5900515520234</v>
      </c>
      <c r="P10" s="106">
        <v>0</v>
      </c>
      <c r="Q10" s="106">
        <v>3632.5900515520234</v>
      </c>
      <c r="R10" s="106">
        <v>3761</v>
      </c>
      <c r="S10" s="106">
        <v>3761</v>
      </c>
      <c r="T10" s="106">
        <v>3761</v>
      </c>
      <c r="U10" s="106">
        <v>0</v>
      </c>
      <c r="V10" s="106">
        <v>3632.5900515520234</v>
      </c>
      <c r="W10" s="106">
        <v>3632.5900515520234</v>
      </c>
      <c r="X10" s="106">
        <v>3632.5900515520234</v>
      </c>
      <c r="Y10" s="106">
        <v>3632.5900515520234</v>
      </c>
      <c r="Z10" s="106">
        <v>3632.5900515520234</v>
      </c>
      <c r="AA10" s="106">
        <v>0</v>
      </c>
      <c r="AB10" s="106">
        <v>3632.5900515520234</v>
      </c>
      <c r="AC10" s="106">
        <v>0</v>
      </c>
      <c r="AD10" s="106">
        <v>3761</v>
      </c>
      <c r="AE10" s="106">
        <v>3761</v>
      </c>
      <c r="AF10" s="106">
        <v>0</v>
      </c>
      <c r="AG10" s="106">
        <v>3761</v>
      </c>
      <c r="AH10" s="106">
        <v>0</v>
      </c>
      <c r="AI10" s="106">
        <v>0</v>
      </c>
      <c r="AJ10" s="106">
        <v>3761</v>
      </c>
      <c r="AK10" s="106">
        <v>3632.5900515520234</v>
      </c>
      <c r="AL10" s="106">
        <v>3632.5900515520234</v>
      </c>
      <c r="AM10" s="106">
        <v>0</v>
      </c>
      <c r="AN10" s="106">
        <v>0</v>
      </c>
      <c r="AO10" s="106">
        <v>3632.5900515520234</v>
      </c>
      <c r="AP10" s="106">
        <v>0</v>
      </c>
      <c r="AQ10" s="106">
        <v>3761</v>
      </c>
      <c r="AR10" s="106">
        <v>3761</v>
      </c>
      <c r="AS10" s="106">
        <v>0</v>
      </c>
      <c r="AT10" s="106">
        <v>0</v>
      </c>
      <c r="AU10" s="106">
        <v>3632.5900515520234</v>
      </c>
      <c r="AV10" s="106">
        <v>0</v>
      </c>
      <c r="AW10" s="106">
        <v>0</v>
      </c>
      <c r="AX10" s="106">
        <v>3761</v>
      </c>
      <c r="AY10" s="106">
        <v>3632.5900515520234</v>
      </c>
      <c r="AZ10" s="106">
        <v>3632.5900515520234</v>
      </c>
    </row>
    <row r="11" spans="1:53" x14ac:dyDescent="0.2">
      <c r="B11" s="125">
        <v>2</v>
      </c>
      <c r="C11" s="112" t="s">
        <v>293</v>
      </c>
      <c r="K11" s="106">
        <v>3632.5900515520234</v>
      </c>
      <c r="N11" s="106">
        <v>3632.5900515520234</v>
      </c>
      <c r="Q11" s="106">
        <v>3632.5900515520234</v>
      </c>
      <c r="V11" s="106">
        <v>3761</v>
      </c>
      <c r="AB11" s="106">
        <v>3632.5900515520234</v>
      </c>
      <c r="AD11" s="106">
        <v>3632.5900515520234</v>
      </c>
      <c r="AG11" s="106">
        <v>3761</v>
      </c>
      <c r="AI11" s="106">
        <v>3632.5900515520234</v>
      </c>
      <c r="AN11" s="106">
        <v>3632.5900515520234</v>
      </c>
      <c r="AO11" s="106">
        <v>3632.5900515520234</v>
      </c>
      <c r="AQ11" s="106">
        <v>3761</v>
      </c>
      <c r="AT11" s="106">
        <v>3761</v>
      </c>
      <c r="AW11" s="106">
        <v>3632.5900515520234</v>
      </c>
    </row>
    <row r="12" spans="1:53" x14ac:dyDescent="0.2">
      <c r="B12" s="126">
        <v>3</v>
      </c>
      <c r="C12" s="112" t="s">
        <v>293</v>
      </c>
      <c r="AV12" s="106">
        <v>3632.5900515520234</v>
      </c>
    </row>
    <row r="13" spans="1:53" x14ac:dyDescent="0.2">
      <c r="B13" s="126">
        <v>4</v>
      </c>
      <c r="C13" s="112" t="s">
        <v>293</v>
      </c>
    </row>
    <row r="14" spans="1:53" x14ac:dyDescent="0.2">
      <c r="A14" s="121" t="s">
        <v>134</v>
      </c>
      <c r="B14" s="127">
        <v>1</v>
      </c>
      <c r="C14" s="123" t="s">
        <v>293</v>
      </c>
      <c r="D14" s="123">
        <v>3371.4946605292248</v>
      </c>
      <c r="E14" s="123">
        <f t="shared" ref="E14:AZ14" si="0">D$172*SUM(D$122:D$169)</f>
        <v>3528.5107125887453</v>
      </c>
      <c r="F14" s="123">
        <f t="shared" si="0"/>
        <v>3604.829125736323</v>
      </c>
      <c r="G14" s="123">
        <f t="shared" si="0"/>
        <v>3647.7360263447713</v>
      </c>
      <c r="H14" s="123">
        <f t="shared" si="0"/>
        <v>3688.7407425254942</v>
      </c>
      <c r="I14" s="123">
        <f t="shared" si="0"/>
        <v>3577.0596889127573</v>
      </c>
      <c r="J14" s="123">
        <f t="shared" si="0"/>
        <v>3488.4246882406273</v>
      </c>
      <c r="K14" s="123">
        <f t="shared" si="0"/>
        <v>3447.6093701020268</v>
      </c>
      <c r="L14" s="123">
        <f t="shared" si="0"/>
        <v>3421.8903810515444</v>
      </c>
      <c r="M14" s="123">
        <f t="shared" si="0"/>
        <v>3369.9306705022727</v>
      </c>
      <c r="N14" s="123">
        <f t="shared" si="0"/>
        <v>3402.5087308645675</v>
      </c>
      <c r="O14" s="123">
        <f t="shared" si="0"/>
        <v>3423.9114524020852</v>
      </c>
      <c r="P14" s="123">
        <f t="shared" si="0"/>
        <v>3435.5641414104834</v>
      </c>
      <c r="Q14" s="123">
        <f t="shared" si="0"/>
        <v>3576.036849705346</v>
      </c>
      <c r="R14" s="123">
        <f t="shared" si="0"/>
        <v>3642.5712412444786</v>
      </c>
      <c r="S14" s="123">
        <f t="shared" si="0"/>
        <v>3700.1455483029454</v>
      </c>
      <c r="T14" s="123">
        <f t="shared" si="0"/>
        <v>3748.4733745332137</v>
      </c>
      <c r="U14" s="123">
        <f t="shared" si="0"/>
        <v>3644.0264453396317</v>
      </c>
      <c r="V14" s="123">
        <f t="shared" si="0"/>
        <v>3528.6864630066038</v>
      </c>
      <c r="W14" s="123">
        <f t="shared" si="0"/>
        <v>3456.953862009253</v>
      </c>
      <c r="X14" s="123">
        <f t="shared" si="0"/>
        <v>3376.0593037287217</v>
      </c>
      <c r="Y14" s="123">
        <f t="shared" si="0"/>
        <v>3355.9998743649994</v>
      </c>
      <c r="Z14" s="123">
        <f t="shared" si="0"/>
        <v>3205.6909684700004</v>
      </c>
      <c r="AA14" s="123">
        <f t="shared" si="0"/>
        <v>3108.0692000203489</v>
      </c>
      <c r="AB14" s="123">
        <f t="shared" si="0"/>
        <v>3062.1191185514995</v>
      </c>
      <c r="AC14" s="123">
        <f t="shared" si="0"/>
        <v>3095.5824359874805</v>
      </c>
      <c r="AD14" s="123">
        <f t="shared" si="0"/>
        <v>3092.0140885672758</v>
      </c>
      <c r="AE14" s="123">
        <f t="shared" si="0"/>
        <v>3025.5348702702845</v>
      </c>
      <c r="AF14" s="123">
        <f t="shared" si="0"/>
        <v>2969.9283658750182</v>
      </c>
      <c r="AG14" s="123">
        <f t="shared" si="0"/>
        <v>2829.5536787597539</v>
      </c>
      <c r="AH14" s="123">
        <f t="shared" si="0"/>
        <v>3025.8252279943267</v>
      </c>
      <c r="AI14" s="123">
        <f t="shared" si="0"/>
        <v>3151.7941055498777</v>
      </c>
      <c r="AJ14" s="123">
        <f t="shared" si="0"/>
        <v>3249.6803999042786</v>
      </c>
      <c r="AK14" s="123">
        <f t="shared" si="0"/>
        <v>3320.3330651825145</v>
      </c>
      <c r="AL14" s="123">
        <f t="shared" si="0"/>
        <v>3372.0785478882399</v>
      </c>
      <c r="AM14" s="123">
        <f t="shared" si="0"/>
        <v>3408.1961274771074</v>
      </c>
      <c r="AN14" s="123">
        <f t="shared" si="0"/>
        <v>3441.2518870157378</v>
      </c>
      <c r="AO14" s="123">
        <f t="shared" si="0"/>
        <v>3579.0565565078496</v>
      </c>
      <c r="AP14" s="123">
        <f t="shared" si="0"/>
        <v>3638.7004338548763</v>
      </c>
      <c r="AQ14" s="123">
        <f t="shared" si="0"/>
        <v>3662.3645334180401</v>
      </c>
      <c r="AR14" s="123">
        <f t="shared" si="0"/>
        <v>3692.180017574492</v>
      </c>
      <c r="AS14" s="123">
        <f t="shared" si="0"/>
        <v>3599.9316327982874</v>
      </c>
      <c r="AT14" s="123">
        <f t="shared" si="0"/>
        <v>3461.4838702846637</v>
      </c>
      <c r="AU14" s="123">
        <f t="shared" si="0"/>
        <v>3404.4034481917715</v>
      </c>
      <c r="AV14" s="123">
        <f t="shared" si="0"/>
        <v>3302.1790047540726</v>
      </c>
      <c r="AW14" s="123">
        <f t="shared" si="0"/>
        <v>3250.4152097090209</v>
      </c>
      <c r="AX14" s="123">
        <f t="shared" si="0"/>
        <v>3320.5901023388988</v>
      </c>
      <c r="AY14" s="123">
        <f t="shared" si="0"/>
        <v>3351.0587285583251</v>
      </c>
      <c r="AZ14" s="116">
        <f t="shared" si="0"/>
        <v>3363.2216641511559</v>
      </c>
      <c r="BA14" s="113">
        <f>SUM($E14:$AZ14)</f>
        <v>163048.90598257206</v>
      </c>
    </row>
    <row r="15" spans="1:53" x14ac:dyDescent="0.2">
      <c r="A15" s="128" t="s">
        <v>123</v>
      </c>
      <c r="B15" s="129">
        <v>1</v>
      </c>
      <c r="C15" s="130" t="s">
        <v>293</v>
      </c>
      <c r="D15" s="130">
        <v>4206.6256371573927</v>
      </c>
      <c r="E15" s="130">
        <v>4206.6256371573927</v>
      </c>
      <c r="F15" s="130">
        <v>4206.6256371573927</v>
      </c>
      <c r="G15" s="130">
        <v>4206.6256371573927</v>
      </c>
      <c r="H15" s="130">
        <v>3739.222788584349</v>
      </c>
      <c r="I15" s="130">
        <v>3739.222788584349</v>
      </c>
      <c r="J15" s="130">
        <v>3739.222788584349</v>
      </c>
      <c r="K15" s="130">
        <v>3739.222788584349</v>
      </c>
      <c r="L15" s="130">
        <v>3739.222788584349</v>
      </c>
      <c r="M15" s="130">
        <v>3739.222788584349</v>
      </c>
      <c r="N15" s="130">
        <v>3739.222788584349</v>
      </c>
      <c r="O15" s="130">
        <v>3739.222788584349</v>
      </c>
      <c r="P15" s="130">
        <v>4206.6256371573927</v>
      </c>
      <c r="Q15" s="130">
        <v>4206.6256371573927</v>
      </c>
      <c r="R15" s="130">
        <v>4206.6256371573927</v>
      </c>
      <c r="S15" s="130">
        <v>4206.6256371573927</v>
      </c>
      <c r="T15" s="130">
        <v>3739.222788584349</v>
      </c>
      <c r="U15" s="130">
        <v>3739.222788584349</v>
      </c>
      <c r="V15" s="130">
        <v>3739.222788584349</v>
      </c>
      <c r="W15" s="130">
        <v>3739.222788584349</v>
      </c>
      <c r="X15" s="130">
        <v>3739.222788584349</v>
      </c>
      <c r="Y15" s="130">
        <v>3739.222788584349</v>
      </c>
      <c r="Z15" s="130">
        <v>3739.222788584349</v>
      </c>
      <c r="AA15" s="130">
        <v>3739.222788584349</v>
      </c>
      <c r="AB15" s="130">
        <v>4206.6256371573927</v>
      </c>
      <c r="AC15" s="130">
        <v>4206.6256371573927</v>
      </c>
      <c r="AD15" s="130">
        <v>4206.6256371573927</v>
      </c>
      <c r="AE15" s="130">
        <v>4206.6256371573927</v>
      </c>
      <c r="AF15" s="130">
        <v>3739.222788584349</v>
      </c>
      <c r="AG15" s="130">
        <v>3739.222788584349</v>
      </c>
      <c r="AH15" s="130">
        <v>3739.222788584349</v>
      </c>
      <c r="AI15" s="130">
        <v>3739.222788584349</v>
      </c>
      <c r="AJ15" s="130">
        <v>3739.222788584349</v>
      </c>
      <c r="AK15" s="130">
        <v>3739.222788584349</v>
      </c>
      <c r="AL15" s="130">
        <v>3739.222788584349</v>
      </c>
      <c r="AM15" s="130">
        <v>3739.222788584349</v>
      </c>
      <c r="AN15" s="130">
        <v>4206.6256371573927</v>
      </c>
      <c r="AO15" s="130">
        <v>4206.6256371573927</v>
      </c>
      <c r="AP15" s="130">
        <v>4206.6256371573927</v>
      </c>
      <c r="AQ15" s="130">
        <v>4206.6256371573927</v>
      </c>
      <c r="AR15" s="130">
        <v>3739.222788584349</v>
      </c>
      <c r="AS15" s="130">
        <v>3739.222788584349</v>
      </c>
      <c r="AT15" s="130">
        <v>3739.222788584349</v>
      </c>
      <c r="AU15" s="130">
        <v>3739.222788584349</v>
      </c>
      <c r="AV15" s="130">
        <v>3739.222788584349</v>
      </c>
      <c r="AW15" s="130">
        <v>3739.222788584349</v>
      </c>
      <c r="AX15" s="130">
        <v>3739.222788584349</v>
      </c>
      <c r="AY15" s="130">
        <v>3739.222788584349</v>
      </c>
      <c r="AZ15" s="106">
        <v>0</v>
      </c>
    </row>
    <row r="16" spans="1:53" x14ac:dyDescent="0.2">
      <c r="A16" s="116"/>
      <c r="B16" s="125">
        <v>2</v>
      </c>
      <c r="C16" s="115" t="s">
        <v>293</v>
      </c>
      <c r="D16" s="112"/>
      <c r="E16" s="116"/>
      <c r="F16" s="116"/>
      <c r="G16" s="116"/>
      <c r="H16" s="116"/>
      <c r="I16" s="116"/>
      <c r="J16" s="116"/>
      <c r="K16" s="116">
        <v>0</v>
      </c>
      <c r="L16" s="116"/>
      <c r="M16" s="116"/>
      <c r="N16" s="116">
        <v>0</v>
      </c>
      <c r="O16" s="116"/>
      <c r="P16" s="116"/>
      <c r="Q16" s="116">
        <v>0</v>
      </c>
      <c r="R16" s="116"/>
      <c r="S16" s="116"/>
      <c r="T16" s="116"/>
      <c r="U16" s="116"/>
      <c r="V16" s="116">
        <v>0</v>
      </c>
      <c r="W16" s="116"/>
      <c r="X16" s="116"/>
      <c r="Y16" s="116"/>
      <c r="Z16" s="116"/>
      <c r="AA16" s="116"/>
      <c r="AB16" s="116">
        <v>0</v>
      </c>
      <c r="AC16" s="116"/>
      <c r="AD16" s="116">
        <v>0</v>
      </c>
      <c r="AE16" s="116"/>
      <c r="AF16" s="116"/>
      <c r="AG16" s="116">
        <v>0</v>
      </c>
      <c r="AH16" s="116"/>
      <c r="AI16" s="116">
        <v>0</v>
      </c>
      <c r="AJ16" s="116"/>
      <c r="AK16" s="116"/>
      <c r="AL16" s="116"/>
      <c r="AM16" s="116"/>
      <c r="AN16" s="116">
        <v>0</v>
      </c>
      <c r="AO16" s="116">
        <v>0</v>
      </c>
      <c r="AP16" s="116"/>
      <c r="AQ16" s="116">
        <v>0</v>
      </c>
      <c r="AR16" s="116"/>
      <c r="AS16" s="116"/>
      <c r="AT16" s="116">
        <v>0</v>
      </c>
      <c r="AU16" s="116"/>
      <c r="AV16" s="116"/>
      <c r="AW16" s="116">
        <v>0</v>
      </c>
      <c r="AX16" s="116"/>
      <c r="AY16" s="116"/>
    </row>
    <row r="17" spans="1:51" x14ac:dyDescent="0.2">
      <c r="A17" s="116"/>
      <c r="B17" s="125">
        <v>3</v>
      </c>
      <c r="C17" s="115" t="s">
        <v>293</v>
      </c>
      <c r="D17" s="112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>
        <v>0</v>
      </c>
      <c r="AW17" s="116"/>
      <c r="AX17" s="116"/>
      <c r="AY17" s="116"/>
    </row>
    <row r="18" spans="1:51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1" x14ac:dyDescent="0.2">
      <c r="A20" s="108" t="s">
        <v>294</v>
      </c>
    </row>
    <row r="21" spans="1:51" x14ac:dyDescent="0.2">
      <c r="A21" s="132" t="s">
        <v>125</v>
      </c>
      <c r="B21" s="129">
        <v>1</v>
      </c>
      <c r="C21" s="130" t="s">
        <v>293</v>
      </c>
      <c r="D21" s="130">
        <v>9989.5468008141706</v>
      </c>
      <c r="E21" s="130">
        <v>9989.5468008141706</v>
      </c>
      <c r="F21" s="130">
        <v>9989.5468008141706</v>
      </c>
      <c r="G21" s="130">
        <v>9989.5468008141706</v>
      </c>
      <c r="H21" s="130">
        <v>8936.267925088172</v>
      </c>
      <c r="I21" s="130">
        <v>9061.5757102010302</v>
      </c>
      <c r="J21" s="130">
        <v>9061.5757102010302</v>
      </c>
      <c r="K21" s="130">
        <v>9061.5757102010302</v>
      </c>
      <c r="L21" s="130">
        <v>9061.5757102010302</v>
      </c>
      <c r="M21" s="130">
        <v>7903.5219886941704</v>
      </c>
      <c r="N21" s="130">
        <v>9061.5757102010302</v>
      </c>
      <c r="O21" s="130">
        <v>9061.5757102010302</v>
      </c>
      <c r="P21" s="130">
        <v>9989.5468008141706</v>
      </c>
      <c r="Q21" s="130">
        <v>9989.5468008141706</v>
      </c>
      <c r="R21" s="130">
        <v>9989.5468008141706</v>
      </c>
      <c r="S21" s="130">
        <v>9989.5468008141706</v>
      </c>
      <c r="T21" s="130">
        <v>9061.5757102010302</v>
      </c>
      <c r="U21" s="130">
        <v>9061.5757102010302</v>
      </c>
      <c r="V21" s="130">
        <v>9061.5757102010302</v>
      </c>
      <c r="W21" s="130">
        <v>9061.5757102010302</v>
      </c>
      <c r="X21" s="130">
        <v>9061.5757102010302</v>
      </c>
      <c r="Y21" s="130">
        <v>9061.5757102010302</v>
      </c>
      <c r="Z21" s="130">
        <v>9061.5757102010302</v>
      </c>
      <c r="AA21" s="130">
        <v>8566.0996738487447</v>
      </c>
      <c r="AB21" s="130">
        <v>9989.5468008141706</v>
      </c>
      <c r="AC21" s="130">
        <v>8764.6664721856414</v>
      </c>
      <c r="AD21" s="130">
        <v>9989.5468008141706</v>
      </c>
      <c r="AE21" s="130">
        <v>9989.5468008141706</v>
      </c>
      <c r="AF21" s="130">
        <v>6684.1839627474537</v>
      </c>
      <c r="AG21" s="130">
        <v>9061.5757102010302</v>
      </c>
      <c r="AH21" s="130">
        <v>7036.8006773562984</v>
      </c>
      <c r="AI21" s="130">
        <v>7358.6545584686892</v>
      </c>
      <c r="AJ21" s="130">
        <v>7629.3142621257166</v>
      </c>
      <c r="AK21" s="130">
        <v>7839.2797375969785</v>
      </c>
      <c r="AL21" s="130">
        <v>8061.6954429277312</v>
      </c>
      <c r="AM21" s="130">
        <v>7566.1460732237847</v>
      </c>
      <c r="AN21" s="130">
        <v>9778.2740892007077</v>
      </c>
      <c r="AO21" s="130">
        <v>9989.5468008141706</v>
      </c>
      <c r="AP21" s="130">
        <v>9989.5468008141706</v>
      </c>
      <c r="AQ21" s="130">
        <v>9989.5468008141706</v>
      </c>
      <c r="AR21" s="130">
        <v>9061.5757102010302</v>
      </c>
      <c r="AS21" s="130">
        <v>9061.5757102010302</v>
      </c>
      <c r="AT21" s="130">
        <v>8945.1333543135243</v>
      </c>
      <c r="AU21" s="130">
        <v>9061.5757102010302</v>
      </c>
      <c r="AV21" s="130">
        <v>9061.5757102010302</v>
      </c>
      <c r="AW21" s="130">
        <v>9061.5757102010302</v>
      </c>
      <c r="AX21" s="130">
        <v>9061.5757102010302</v>
      </c>
      <c r="AY21" s="130">
        <v>9061.5757102010302</v>
      </c>
    </row>
    <row r="22" spans="1:51" x14ac:dyDescent="0.2">
      <c r="A22" s="115"/>
      <c r="B22" s="126">
        <v>2</v>
      </c>
      <c r="C22" s="116" t="s">
        <v>293</v>
      </c>
      <c r="D22" s="116">
        <v>0</v>
      </c>
      <c r="E22" s="116">
        <v>0</v>
      </c>
      <c r="F22" s="116">
        <v>0</v>
      </c>
      <c r="G22" s="116">
        <v>0</v>
      </c>
      <c r="H22" s="116">
        <v>0</v>
      </c>
      <c r="I22" s="116">
        <v>0</v>
      </c>
      <c r="J22" s="116">
        <v>0</v>
      </c>
      <c r="K22" s="116">
        <v>0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1066.8803286285292</v>
      </c>
      <c r="AE22" s="116">
        <v>0</v>
      </c>
      <c r="AF22" s="116">
        <v>0</v>
      </c>
      <c r="AG22" s="116">
        <v>2133.3917474535765</v>
      </c>
      <c r="AH22" s="116">
        <v>0</v>
      </c>
      <c r="AI22" s="116">
        <v>1844.7750328447319</v>
      </c>
      <c r="AJ22" s="116">
        <v>1490.9211517323411</v>
      </c>
      <c r="AK22" s="116">
        <v>1162.2614480753136</v>
      </c>
      <c r="AL22" s="116">
        <v>946.29597260405171</v>
      </c>
      <c r="AM22" s="116">
        <v>693.88026727329907</v>
      </c>
      <c r="AN22" s="116">
        <v>1285.4296369772455</v>
      </c>
      <c r="AO22" s="116">
        <v>0</v>
      </c>
      <c r="AP22" s="116">
        <v>0</v>
      </c>
      <c r="AQ22" s="116">
        <v>0</v>
      </c>
      <c r="AR22" s="116">
        <v>0</v>
      </c>
      <c r="AS22" s="116">
        <v>0</v>
      </c>
      <c r="AT22" s="116">
        <v>0</v>
      </c>
      <c r="AU22" s="116">
        <v>0</v>
      </c>
      <c r="AV22" s="116">
        <v>0</v>
      </c>
      <c r="AW22" s="116">
        <v>0</v>
      </c>
      <c r="AX22" s="116">
        <v>0</v>
      </c>
      <c r="AY22" s="116">
        <v>0</v>
      </c>
    </row>
    <row r="23" spans="1:51" x14ac:dyDescent="0.2">
      <c r="A23" s="115"/>
      <c r="B23" s="133">
        <v>3</v>
      </c>
      <c r="C23" s="116" t="s">
        <v>293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1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1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1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1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1" x14ac:dyDescent="0.2">
      <c r="A28" s="115"/>
      <c r="B28" s="126">
        <v>4</v>
      </c>
      <c r="C28" s="115" t="s">
        <v>293</v>
      </c>
      <c r="D28" s="116">
        <v>2185.3504874787691</v>
      </c>
      <c r="E28" s="116">
        <v>2340.0727015417124</v>
      </c>
      <c r="F28" s="116">
        <v>2594.65084877664</v>
      </c>
      <c r="G28" s="116">
        <v>2914.5812809972463</v>
      </c>
      <c r="H28" s="116">
        <v>2714.5432545540539</v>
      </c>
      <c r="I28" s="116">
        <v>2582.0309983798115</v>
      </c>
      <c r="J28" s="116">
        <v>841.93088493227731</v>
      </c>
      <c r="K28" s="116">
        <v>2935.292314815898</v>
      </c>
      <c r="L28" s="116">
        <v>2571.7164920190071</v>
      </c>
      <c r="M28" s="116">
        <v>331.11071548464452</v>
      </c>
      <c r="N28" s="116">
        <v>2498.0956827308405</v>
      </c>
      <c r="O28" s="116">
        <v>1981.8168361774096</v>
      </c>
      <c r="P28" s="116">
        <v>542.60325315721991</v>
      </c>
      <c r="Q28" s="116">
        <v>2715.1499683436555</v>
      </c>
      <c r="R28" s="116">
        <v>2983.0295084245454</v>
      </c>
      <c r="S28" s="116">
        <v>3264.9214639528527</v>
      </c>
      <c r="T28" s="116">
        <v>3157.0093612185528</v>
      </c>
      <c r="U28" s="116">
        <v>690.19670486170742</v>
      </c>
      <c r="V28" s="116">
        <v>3228.3389433165207</v>
      </c>
      <c r="W28" s="116">
        <v>2531.7211095000112</v>
      </c>
      <c r="X28" s="116">
        <v>2613.0005238114118</v>
      </c>
      <c r="Y28" s="116">
        <v>1550.2522164031664</v>
      </c>
      <c r="Z28" s="116">
        <v>1157.853347610253</v>
      </c>
      <c r="AA28" s="116"/>
      <c r="AB28" s="116">
        <v>1252.0977642553282</v>
      </c>
      <c r="AC28" s="116"/>
      <c r="AD28" s="116">
        <v>715.84858055297627</v>
      </c>
      <c r="AE28" s="116">
        <v>462.41132567681194</v>
      </c>
      <c r="AF28" s="116"/>
      <c r="AG28" s="116">
        <v>226.40087101353322</v>
      </c>
      <c r="AH28" s="116"/>
      <c r="AI28" s="116"/>
      <c r="AJ28" s="116"/>
      <c r="AK28" s="116"/>
      <c r="AL28" s="116"/>
      <c r="AM28" s="116"/>
      <c r="AN28" s="116"/>
      <c r="AO28" s="116">
        <v>2340.9209490913395</v>
      </c>
      <c r="AP28" s="116">
        <v>686.41120482295412</v>
      </c>
      <c r="AQ28" s="116">
        <v>3095.8042186916264</v>
      </c>
      <c r="AR28" s="116">
        <v>2550.3443165479739</v>
      </c>
      <c r="AS28" s="116">
        <v>919.71158974509899</v>
      </c>
      <c r="AT28" s="116">
        <v>1116.1913412062872</v>
      </c>
      <c r="AU28" s="116">
        <v>848.20278338561775</v>
      </c>
      <c r="AV28" s="116">
        <v>598.91416476895336</v>
      </c>
      <c r="AW28" s="116">
        <v>482.89952384525918</v>
      </c>
      <c r="AX28" s="116">
        <v>441.96055598611406</v>
      </c>
      <c r="AY28" s="116">
        <v>307.67733571989936</v>
      </c>
    </row>
    <row r="29" spans="1:51" x14ac:dyDescent="0.2">
      <c r="A29" s="115"/>
      <c r="B29" s="133">
        <v>5</v>
      </c>
      <c r="C29" s="115" t="s">
        <v>293</v>
      </c>
      <c r="D29" s="116">
        <v>936.99625557091008</v>
      </c>
      <c r="E29" s="116">
        <v>312.23956407325431</v>
      </c>
      <c r="F29" s="116">
        <v>259.51735001031102</v>
      </c>
      <c r="G29" s="116">
        <v>209.93920277538336</v>
      </c>
      <c r="H29" s="116">
        <v>0</v>
      </c>
      <c r="I29" s="116">
        <v>0</v>
      </c>
      <c r="J29" s="116">
        <v>0</v>
      </c>
      <c r="K29" s="116">
        <v>1292.0936842406577</v>
      </c>
      <c r="L29" s="116">
        <v>0</v>
      </c>
      <c r="M29" s="116">
        <v>0</v>
      </c>
      <c r="N29" s="116">
        <v>1086.4705292324738</v>
      </c>
      <c r="O29" s="116">
        <v>0</v>
      </c>
      <c r="P29" s="116">
        <v>0</v>
      </c>
      <c r="Q29" s="116">
        <v>2127.2543825906</v>
      </c>
      <c r="R29" s="116">
        <v>311.44008320836792</v>
      </c>
      <c r="S29" s="116">
        <v>49.560543127478013</v>
      </c>
      <c r="T29" s="116">
        <v>0</v>
      </c>
      <c r="U29" s="116">
        <v>0</v>
      </c>
      <c r="V29" s="116">
        <v>1076.0525730709337</v>
      </c>
      <c r="W29" s="116">
        <v>0</v>
      </c>
      <c r="X29" s="116">
        <v>0</v>
      </c>
      <c r="Y29" s="116">
        <v>0</v>
      </c>
      <c r="Z29" s="116">
        <v>0</v>
      </c>
      <c r="AA29" s="116">
        <v>17.974301916035397</v>
      </c>
      <c r="AB29" s="116">
        <v>2019.6297120986717</v>
      </c>
      <c r="AC29" s="116">
        <v>1615.6954896034263</v>
      </c>
      <c r="AD29" s="116">
        <v>3373.3868492452925</v>
      </c>
      <c r="AE29" s="116">
        <v>2184.7414709990471</v>
      </c>
      <c r="AF29" s="116">
        <v>1855.2973390723557</v>
      </c>
      <c r="AG29" s="116">
        <v>3018.471438354879</v>
      </c>
      <c r="AH29" s="116">
        <v>1859.5349541558871</v>
      </c>
      <c r="AI29" s="116">
        <v>2329.8875210951451</v>
      </c>
      <c r="AJ29" s="116">
        <v>2445.1460841554608</v>
      </c>
      <c r="AK29" s="116">
        <v>3020.9982637302505</v>
      </c>
      <c r="AL29" s="116">
        <v>2807.4219310034487</v>
      </c>
      <c r="AM29" s="116">
        <v>0</v>
      </c>
      <c r="AN29" s="116">
        <v>1915.8068527456385</v>
      </c>
      <c r="AO29" s="116">
        <v>2589.983625204683</v>
      </c>
      <c r="AP29" s="116">
        <v>0</v>
      </c>
      <c r="AQ29" s="116">
        <v>1605.8479491897533</v>
      </c>
      <c r="AR29" s="116">
        <v>0</v>
      </c>
      <c r="AS29" s="116">
        <v>0</v>
      </c>
      <c r="AT29" s="116">
        <v>2005.3199781193475</v>
      </c>
      <c r="AU29" s="116">
        <v>2032.8086587937128</v>
      </c>
      <c r="AV29" s="116">
        <v>2328.7972166143823</v>
      </c>
      <c r="AW29" s="116">
        <v>2314.0858352310465</v>
      </c>
      <c r="AX29" s="116">
        <v>2474.6905277067644</v>
      </c>
      <c r="AY29" s="116">
        <v>2495.6294955659096</v>
      </c>
    </row>
    <row r="30" spans="1:51" x14ac:dyDescent="0.2">
      <c r="A30" s="115"/>
      <c r="B30" s="133">
        <v>6</v>
      </c>
      <c r="C30" s="115" t="s">
        <v>293</v>
      </c>
      <c r="D30" s="116">
        <v>0</v>
      </c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</row>
    <row r="31" spans="1:51" x14ac:dyDescent="0.2">
      <c r="A31" s="115"/>
      <c r="B31" s="136">
        <v>7</v>
      </c>
      <c r="C31" s="115" t="s">
        <v>293</v>
      </c>
      <c r="D31" s="116">
        <v>0</v>
      </c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1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293</v>
      </c>
      <c r="D40" s="112">
        <v>2159.7510332335783</v>
      </c>
      <c r="E40" s="112">
        <v>2220.6169945546399</v>
      </c>
      <c r="F40" s="112">
        <v>2407.9203349297522</v>
      </c>
      <c r="G40" s="112">
        <v>2641.8638317394948</v>
      </c>
      <c r="H40" s="112">
        <v>2655.8548635474845</v>
      </c>
      <c r="I40" s="112">
        <v>2671.3904763082492</v>
      </c>
      <c r="J40" s="112">
        <v>835.49791841065871</v>
      </c>
      <c r="K40" s="112">
        <v>2631.3008153401406</v>
      </c>
      <c r="L40" s="112">
        <v>2539.902502928283</v>
      </c>
      <c r="M40" s="112">
        <v>414.50386343924635</v>
      </c>
      <c r="N40" s="112">
        <v>2508.5114174280016</v>
      </c>
      <c r="O40" s="112">
        <v>2337.7713950421949</v>
      </c>
      <c r="P40" s="112">
        <v>586.053036516877</v>
      </c>
      <c r="Q40" s="112">
        <v>2607.3947369313055</v>
      </c>
      <c r="R40" s="112">
        <v>2831.1260942151539</v>
      </c>
      <c r="S40" s="112">
        <v>2808.1436300770579</v>
      </c>
      <c r="T40" s="112">
        <v>2750.2134273658016</v>
      </c>
      <c r="U40" s="112">
        <v>820.02608372264751</v>
      </c>
      <c r="V40" s="112">
        <v>2938.9914066091683</v>
      </c>
      <c r="W40" s="112">
        <v>2703.1716848434394</v>
      </c>
      <c r="X40" s="112">
        <v>2658.4198597579179</v>
      </c>
      <c r="Y40" s="112">
        <v>2112.9436337857792</v>
      </c>
      <c r="Z40" s="112">
        <v>1645.3318850674214</v>
      </c>
      <c r="AA40" s="112"/>
      <c r="AB40" s="112">
        <v>1256.0397128070206</v>
      </c>
      <c r="AC40" s="112"/>
      <c r="AD40" s="112">
        <v>681.23721092589494</v>
      </c>
      <c r="AE40" s="112">
        <v>429.75618939817917</v>
      </c>
      <c r="AF40" s="112"/>
      <c r="AG40" s="112">
        <v>192.97294003239162</v>
      </c>
      <c r="AH40" s="112"/>
      <c r="AI40" s="112"/>
      <c r="AJ40" s="112"/>
      <c r="AK40" s="112"/>
      <c r="AL40" s="112"/>
      <c r="AM40" s="112"/>
      <c r="AN40" s="112"/>
      <c r="AO40" s="112">
        <v>1949.9083474819006</v>
      </c>
      <c r="AP40" s="112">
        <v>606.29755182200881</v>
      </c>
      <c r="AQ40" s="112">
        <v>2769.4769155481404</v>
      </c>
      <c r="AR40" s="112">
        <v>2695.878472036381</v>
      </c>
      <c r="AS40" s="112">
        <v>830.51119883925594</v>
      </c>
      <c r="AT40" s="112">
        <v>1011.4860427074573</v>
      </c>
      <c r="AU40" s="112">
        <v>776.09131318738582</v>
      </c>
      <c r="AV40" s="112">
        <v>569.9408849246862</v>
      </c>
      <c r="AW40" s="112">
        <v>483.71180947691192</v>
      </c>
      <c r="AX40" s="112">
        <v>445.58308051350491</v>
      </c>
      <c r="AY40" s="112">
        <v>312.72455594602945</v>
      </c>
    </row>
    <row r="41" spans="1:51" x14ac:dyDescent="0.2">
      <c r="A41" s="115"/>
      <c r="B41" s="133">
        <v>9</v>
      </c>
      <c r="C41" s="115" t="s">
        <v>293</v>
      </c>
      <c r="D41" s="112">
        <v>546.11791242616482</v>
      </c>
      <c r="E41" s="112">
        <v>1147.2864285398014</v>
      </c>
      <c r="F41" s="112">
        <v>876.53710344069987</v>
      </c>
      <c r="G41" s="112">
        <v>707.24132164526509</v>
      </c>
      <c r="H41" s="112">
        <v>361.82467048281251</v>
      </c>
      <c r="I41" s="112">
        <v>134.80131389628696</v>
      </c>
      <c r="J41" s="112">
        <v>192.7939852414188</v>
      </c>
      <c r="K41" s="112">
        <v>2134.7160772916964</v>
      </c>
      <c r="L41" s="112">
        <v>367.19384518908419</v>
      </c>
      <c r="M41" s="112">
        <v>152.60820966046231</v>
      </c>
      <c r="N41" s="112">
        <v>2218.3252622970767</v>
      </c>
      <c r="O41" s="112">
        <v>265.22460891676974</v>
      </c>
      <c r="P41" s="112">
        <v>486.96934748329932</v>
      </c>
      <c r="Q41" s="112">
        <v>2187.0066523958803</v>
      </c>
      <c r="R41" s="112">
        <v>100.02995130932186</v>
      </c>
      <c r="S41" s="112">
        <v>0</v>
      </c>
      <c r="T41" s="112">
        <v>0</v>
      </c>
      <c r="U41" s="112">
        <v>0</v>
      </c>
      <c r="V41" s="112">
        <v>2017.4299171397506</v>
      </c>
      <c r="W41" s="112">
        <v>62.920045792916881</v>
      </c>
      <c r="X41" s="112">
        <v>292.39245656704406</v>
      </c>
      <c r="Y41" s="112">
        <v>272.61698994742801</v>
      </c>
      <c r="Z41" s="112">
        <v>881.62760745869946</v>
      </c>
      <c r="AA41" s="112">
        <v>1090.7245230205972</v>
      </c>
      <c r="AB41" s="112">
        <v>3078.5625147481405</v>
      </c>
      <c r="AC41" s="112">
        <v>1682.8104761825002</v>
      </c>
      <c r="AD41" s="112">
        <v>3247.8627193567149</v>
      </c>
      <c r="AE41" s="112">
        <v>2169.7166510833581</v>
      </c>
      <c r="AF41" s="112">
        <v>1740.3171969655682</v>
      </c>
      <c r="AG41" s="112">
        <v>3120.9857917299737</v>
      </c>
      <c r="AH41" s="112">
        <v>1752.4628672731842</v>
      </c>
      <c r="AI41" s="112">
        <v>2382.0714379288365</v>
      </c>
      <c r="AJ41" s="112">
        <v>2439.4170007718653</v>
      </c>
      <c r="AK41" s="112">
        <v>2383.8491009348613</v>
      </c>
      <c r="AL41" s="112">
        <v>2464.9752038021725</v>
      </c>
      <c r="AM41" s="112">
        <v>2152.7721582882932</v>
      </c>
      <c r="AN41" s="112">
        <v>2553.2519106000013</v>
      </c>
      <c r="AO41" s="112">
        <v>2252.7201068700556</v>
      </c>
      <c r="AP41" s="112">
        <v>528.91688051242613</v>
      </c>
      <c r="AQ41" s="112">
        <v>1917.496553727869</v>
      </c>
      <c r="AR41" s="112">
        <v>0</v>
      </c>
      <c r="AS41" s="112">
        <v>0</v>
      </c>
      <c r="AT41" s="112">
        <v>1729.2254265512556</v>
      </c>
      <c r="AU41" s="112">
        <v>1717.7100847696502</v>
      </c>
      <c r="AV41" s="112">
        <v>2093.160573828352</v>
      </c>
      <c r="AW41" s="112">
        <v>2178.1156715831635</v>
      </c>
      <c r="AX41" s="112">
        <v>2182.9886243779642</v>
      </c>
      <c r="AY41" s="112">
        <v>1742.7814529045354</v>
      </c>
    </row>
    <row r="42" spans="1:51" x14ac:dyDescent="0.2">
      <c r="A42" s="115"/>
      <c r="B42" s="136">
        <v>10</v>
      </c>
      <c r="C42" s="115" t="s">
        <v>293</v>
      </c>
      <c r="D42" s="112">
        <v>0</v>
      </c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0</v>
      </c>
      <c r="Z42" s="112">
        <v>0</v>
      </c>
      <c r="AA42" s="112">
        <v>0</v>
      </c>
      <c r="AB42" s="112">
        <v>0</v>
      </c>
      <c r="AC42" s="112">
        <v>0</v>
      </c>
      <c r="AD42" s="112">
        <v>0</v>
      </c>
      <c r="AE42" s="112">
        <v>0</v>
      </c>
      <c r="AF42" s="112">
        <v>0</v>
      </c>
      <c r="AG42" s="112">
        <v>0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</row>
    <row r="43" spans="1:51" x14ac:dyDescent="0.2">
      <c r="A43" s="115"/>
      <c r="B43" s="136">
        <v>11</v>
      </c>
      <c r="C43" s="115" t="s">
        <v>293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293</v>
      </c>
      <c r="D88" s="116">
        <v>0</v>
      </c>
      <c r="E88" s="116">
        <v>0</v>
      </c>
      <c r="F88" s="116">
        <v>0</v>
      </c>
      <c r="G88" s="116">
        <v>0</v>
      </c>
      <c r="H88" s="116">
        <v>0</v>
      </c>
      <c r="I88" s="116">
        <v>0</v>
      </c>
      <c r="J88" s="116">
        <v>0</v>
      </c>
      <c r="K88" s="116">
        <v>0</v>
      </c>
      <c r="L88" s="116">
        <v>0</v>
      </c>
      <c r="M88" s="116">
        <v>0</v>
      </c>
      <c r="N88" s="116">
        <v>0</v>
      </c>
      <c r="O88" s="116">
        <v>0</v>
      </c>
      <c r="P88" s="116">
        <v>0</v>
      </c>
      <c r="Q88" s="116">
        <v>0</v>
      </c>
      <c r="R88" s="116">
        <v>0</v>
      </c>
      <c r="S88" s="116">
        <v>0</v>
      </c>
      <c r="T88" s="116">
        <v>0</v>
      </c>
      <c r="U88" s="116">
        <v>0</v>
      </c>
      <c r="V88" s="116">
        <v>0</v>
      </c>
      <c r="W88" s="116">
        <v>0</v>
      </c>
      <c r="X88" s="116">
        <v>0</v>
      </c>
      <c r="Y88" s="116">
        <v>0</v>
      </c>
      <c r="Z88" s="116">
        <v>0</v>
      </c>
      <c r="AA88" s="116"/>
      <c r="AB88" s="116">
        <v>0</v>
      </c>
      <c r="AC88" s="116"/>
      <c r="AD88" s="116">
        <v>0</v>
      </c>
      <c r="AE88" s="116">
        <v>0</v>
      </c>
      <c r="AF88" s="116"/>
      <c r="AG88" s="116">
        <v>0</v>
      </c>
      <c r="AH88" s="116"/>
      <c r="AI88" s="116"/>
      <c r="AJ88" s="116"/>
      <c r="AK88" s="116"/>
      <c r="AL88" s="116"/>
      <c r="AM88" s="116"/>
      <c r="AN88" s="116"/>
      <c r="AO88" s="116">
        <v>0</v>
      </c>
      <c r="AP88" s="116">
        <v>0</v>
      </c>
      <c r="AQ88" s="116">
        <v>0</v>
      </c>
      <c r="AR88" s="116">
        <v>0</v>
      </c>
      <c r="AS88" s="116">
        <v>0</v>
      </c>
      <c r="AT88" s="116">
        <v>0</v>
      </c>
      <c r="AU88" s="116">
        <v>0</v>
      </c>
      <c r="AV88" s="116">
        <v>0</v>
      </c>
      <c r="AW88" s="116">
        <v>0</v>
      </c>
      <c r="AX88" s="116">
        <v>0</v>
      </c>
      <c r="AY88" s="116">
        <v>0</v>
      </c>
    </row>
    <row r="89" spans="1:52" x14ac:dyDescent="0.2">
      <c r="A89" s="115"/>
      <c r="B89" s="136">
        <v>45</v>
      </c>
      <c r="C89" s="115" t="s">
        <v>293</v>
      </c>
      <c r="D89" s="116">
        <v>0</v>
      </c>
      <c r="E89" s="116">
        <v>0</v>
      </c>
      <c r="F89" s="116">
        <v>0</v>
      </c>
      <c r="G89" s="116">
        <v>0</v>
      </c>
      <c r="H89" s="116">
        <v>0</v>
      </c>
      <c r="I89" s="116">
        <v>0</v>
      </c>
      <c r="J89" s="116">
        <v>0</v>
      </c>
      <c r="K89" s="116">
        <v>0</v>
      </c>
      <c r="L89" s="116">
        <v>0</v>
      </c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>
        <v>0</v>
      </c>
      <c r="AB89" s="116">
        <v>0</v>
      </c>
      <c r="AC89" s="116">
        <v>0</v>
      </c>
      <c r="AD89" s="116">
        <v>0</v>
      </c>
      <c r="AE89" s="116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293</v>
      </c>
      <c r="D90" s="116">
        <v>0</v>
      </c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293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696291.27980166057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0</v>
      </c>
      <c r="D95" s="116">
        <v>0</v>
      </c>
      <c r="E95" s="116">
        <v>0</v>
      </c>
      <c r="F95" s="116">
        <v>0</v>
      </c>
      <c r="G95" s="116">
        <v>0</v>
      </c>
      <c r="H95" s="116">
        <v>0</v>
      </c>
      <c r="I95" s="116">
        <v>0</v>
      </c>
      <c r="J95" s="116">
        <v>0</v>
      </c>
      <c r="K95" s="116">
        <v>0</v>
      </c>
      <c r="L95" s="116">
        <v>0</v>
      </c>
      <c r="M95" s="116">
        <v>0</v>
      </c>
      <c r="N95" s="116">
        <v>0</v>
      </c>
      <c r="O95" s="116">
        <v>0</v>
      </c>
      <c r="P95" s="116">
        <v>0</v>
      </c>
      <c r="Q95" s="116">
        <v>0</v>
      </c>
      <c r="R95" s="116">
        <v>0</v>
      </c>
      <c r="S95" s="116">
        <v>0</v>
      </c>
      <c r="T95" s="116">
        <v>0</v>
      </c>
      <c r="U95" s="116">
        <v>0</v>
      </c>
      <c r="V95" s="116">
        <v>0</v>
      </c>
      <c r="W95" s="116">
        <v>0</v>
      </c>
      <c r="X95" s="116">
        <v>0</v>
      </c>
      <c r="Y95" s="116">
        <v>0</v>
      </c>
      <c r="Z95" s="116">
        <v>0</v>
      </c>
      <c r="AA95" s="116">
        <v>495.47603635228552</v>
      </c>
      <c r="AB95" s="116">
        <v>0</v>
      </c>
      <c r="AC95" s="116">
        <v>1224.8803286285292</v>
      </c>
      <c r="AD95" s="116">
        <v>0</v>
      </c>
      <c r="AE95" s="116">
        <v>0</v>
      </c>
      <c r="AF95" s="116">
        <v>2377.3917474535765</v>
      </c>
      <c r="AG95" s="116">
        <v>0</v>
      </c>
      <c r="AH95" s="116">
        <v>2024.7750328447319</v>
      </c>
      <c r="AI95" s="116">
        <v>1702.9211517323411</v>
      </c>
      <c r="AJ95" s="116">
        <v>1432.2614480753136</v>
      </c>
      <c r="AK95" s="116">
        <v>1222.2959726040517</v>
      </c>
      <c r="AL95" s="116">
        <v>999.88026727329907</v>
      </c>
      <c r="AM95" s="116">
        <v>1495.4296369772455</v>
      </c>
      <c r="AN95" s="116">
        <v>211.27271161346289</v>
      </c>
      <c r="AO95" s="116">
        <v>0</v>
      </c>
      <c r="AP95" s="116">
        <v>0</v>
      </c>
      <c r="AQ95" s="116">
        <v>0</v>
      </c>
      <c r="AR95" s="116">
        <v>0</v>
      </c>
      <c r="AS95" s="116">
        <v>0</v>
      </c>
      <c r="AT95" s="116">
        <v>0</v>
      </c>
      <c r="AU95" s="116">
        <v>0</v>
      </c>
      <c r="AV95" s="116">
        <v>0</v>
      </c>
      <c r="AW95" s="116">
        <v>0</v>
      </c>
      <c r="AX95" s="116">
        <v>0</v>
      </c>
      <c r="AY95" s="116">
        <v>0</v>
      </c>
    </row>
    <row r="96" spans="1:52" x14ac:dyDescent="0.2">
      <c r="A96" s="115"/>
      <c r="B96" s="126">
        <v>2</v>
      </c>
      <c r="C96" s="116">
        <v>0</v>
      </c>
      <c r="D96" s="116">
        <v>0</v>
      </c>
      <c r="E96" s="116">
        <v>0</v>
      </c>
      <c r="F96" s="116">
        <v>0</v>
      </c>
      <c r="G96" s="116">
        <v>0</v>
      </c>
      <c r="H96" s="116">
        <v>0</v>
      </c>
      <c r="I96" s="116">
        <v>0</v>
      </c>
      <c r="J96" s="116">
        <v>0</v>
      </c>
      <c r="K96" s="116">
        <v>0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0</v>
      </c>
      <c r="AD96" s="116">
        <v>0</v>
      </c>
      <c r="AE96" s="116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>
        <v>0</v>
      </c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296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>
        <v>3632.5900515520234</v>
      </c>
      <c r="D100" s="112">
        <v>3632.5900515520234</v>
      </c>
      <c r="E100" s="112">
        <v>3632.5900515520234</v>
      </c>
      <c r="F100" s="112">
        <v>3761</v>
      </c>
      <c r="G100" s="112">
        <v>3761</v>
      </c>
      <c r="H100" s="112">
        <v>3761</v>
      </c>
      <c r="I100" s="112">
        <v>3761</v>
      </c>
      <c r="J100" s="112">
        <v>0</v>
      </c>
      <c r="K100" s="112">
        <v>3632.5900515520234</v>
      </c>
      <c r="L100" s="112">
        <v>3632.5900515520234</v>
      </c>
      <c r="M100" s="112">
        <v>0</v>
      </c>
      <c r="N100" s="112">
        <v>3632.5900515520234</v>
      </c>
      <c r="O100" s="112">
        <v>3632.5900515520234</v>
      </c>
      <c r="P100" s="112">
        <v>0</v>
      </c>
      <c r="Q100" s="112">
        <v>3632.5900515520234</v>
      </c>
      <c r="R100" s="112">
        <v>3761</v>
      </c>
      <c r="S100" s="112">
        <v>3761</v>
      </c>
      <c r="T100" s="112">
        <v>3761</v>
      </c>
      <c r="U100" s="112">
        <v>0</v>
      </c>
      <c r="V100" s="112">
        <v>3632.5900515520234</v>
      </c>
      <c r="W100" s="112">
        <v>3632.5900515520234</v>
      </c>
      <c r="X100" s="112">
        <v>3632.5900515520234</v>
      </c>
      <c r="Y100" s="112">
        <v>3632.5900515520234</v>
      </c>
      <c r="Z100" s="112">
        <v>3632.5900515520234</v>
      </c>
      <c r="AA100" s="112">
        <v>0</v>
      </c>
      <c r="AB100" s="112">
        <v>3632.5900515520234</v>
      </c>
      <c r="AC100" s="112">
        <v>0</v>
      </c>
      <c r="AD100" s="112">
        <v>3761</v>
      </c>
      <c r="AE100" s="112">
        <v>3761</v>
      </c>
      <c r="AF100" s="112">
        <v>0</v>
      </c>
      <c r="AG100" s="112">
        <v>3761</v>
      </c>
      <c r="AH100" s="112">
        <v>0</v>
      </c>
      <c r="AI100" s="112">
        <v>0</v>
      </c>
      <c r="AJ100" s="112">
        <v>3761</v>
      </c>
      <c r="AK100" s="112">
        <v>3632.5900515520234</v>
      </c>
      <c r="AL100" s="112">
        <v>3632.5900515520234</v>
      </c>
      <c r="AM100" s="112">
        <v>0</v>
      </c>
      <c r="AN100" s="112">
        <v>0</v>
      </c>
      <c r="AO100" s="112">
        <v>3632.5900515520234</v>
      </c>
      <c r="AP100" s="112">
        <v>0</v>
      </c>
      <c r="AQ100" s="112">
        <v>3761</v>
      </c>
      <c r="AR100" s="112">
        <v>3761</v>
      </c>
      <c r="AS100" s="112">
        <v>0</v>
      </c>
      <c r="AT100" s="112">
        <v>0</v>
      </c>
      <c r="AU100" s="112">
        <v>3632.5900515520234</v>
      </c>
      <c r="AV100" s="112">
        <v>0</v>
      </c>
      <c r="AW100" s="112">
        <v>0</v>
      </c>
      <c r="AX100" s="112">
        <v>3761</v>
      </c>
      <c r="AY100" s="112">
        <v>3632.5900515520234</v>
      </c>
    </row>
    <row r="101" spans="1:52" x14ac:dyDescent="0.2">
      <c r="A101" s="115"/>
      <c r="B101" s="125">
        <v>2</v>
      </c>
      <c r="C101" s="112">
        <v>3632.5900515520234</v>
      </c>
      <c r="D101" s="112">
        <v>3632.5900515520234</v>
      </c>
      <c r="E101" s="112">
        <v>3632.5900515520234</v>
      </c>
      <c r="F101" s="112">
        <v>3632.5900515520234</v>
      </c>
      <c r="G101" s="112">
        <v>3761</v>
      </c>
      <c r="H101" s="112">
        <v>3761</v>
      </c>
      <c r="I101" s="112">
        <v>3761</v>
      </c>
      <c r="J101" s="112">
        <v>3761</v>
      </c>
      <c r="K101" s="112">
        <v>3632.5900515520234</v>
      </c>
      <c r="L101" s="112">
        <v>3632.5900515520234</v>
      </c>
      <c r="M101" s="112">
        <v>3632.5900515520234</v>
      </c>
      <c r="N101" s="112">
        <v>3632.5900515520234</v>
      </c>
      <c r="O101" s="112">
        <v>3632.5900515520234</v>
      </c>
      <c r="P101" s="112">
        <v>3632.5900515520234</v>
      </c>
      <c r="Q101" s="112">
        <v>3632.5900515520234</v>
      </c>
      <c r="R101" s="112">
        <v>3632.5900515520234</v>
      </c>
      <c r="S101" s="112">
        <v>3761</v>
      </c>
      <c r="T101" s="112">
        <v>3761</v>
      </c>
      <c r="U101" s="112">
        <v>3761</v>
      </c>
      <c r="V101" s="112">
        <v>3761</v>
      </c>
      <c r="W101" s="112">
        <v>3632.5900515520234</v>
      </c>
      <c r="X101" s="112">
        <v>3632.5900515520234</v>
      </c>
      <c r="Y101" s="112">
        <v>3632.5900515520234</v>
      </c>
      <c r="Z101" s="112">
        <v>3632.5900515520234</v>
      </c>
      <c r="AA101" s="112">
        <v>3632.5900515520234</v>
      </c>
      <c r="AB101" s="112">
        <v>3632.5900515520234</v>
      </c>
      <c r="AC101" s="112">
        <v>3632.5900515520234</v>
      </c>
      <c r="AD101" s="112">
        <v>3632.5900515520234</v>
      </c>
      <c r="AE101" s="112">
        <v>3761</v>
      </c>
      <c r="AF101" s="112">
        <v>3761</v>
      </c>
      <c r="AG101" s="112">
        <v>3761</v>
      </c>
      <c r="AH101" s="112">
        <v>3761</v>
      </c>
      <c r="AI101" s="112">
        <v>3632.5900515520234</v>
      </c>
      <c r="AJ101" s="112">
        <v>0</v>
      </c>
      <c r="AK101" s="112">
        <v>3761</v>
      </c>
      <c r="AL101" s="112">
        <v>3632.5900515520234</v>
      </c>
      <c r="AM101" s="112">
        <v>3632.5900515520234</v>
      </c>
      <c r="AN101" s="112">
        <v>3632.5900515520234</v>
      </c>
      <c r="AO101" s="112">
        <v>3632.5900515520234</v>
      </c>
      <c r="AP101" s="112">
        <v>3632.5900515520234</v>
      </c>
      <c r="AQ101" s="112">
        <v>3761</v>
      </c>
      <c r="AR101" s="112">
        <v>3761</v>
      </c>
      <c r="AS101" s="112">
        <v>3761</v>
      </c>
      <c r="AT101" s="112">
        <v>3761</v>
      </c>
      <c r="AU101" s="112">
        <v>0</v>
      </c>
      <c r="AV101" s="112">
        <v>3632.5900515520234</v>
      </c>
      <c r="AW101" s="112">
        <v>3632.5900515520234</v>
      </c>
      <c r="AX101" s="112">
        <v>0</v>
      </c>
      <c r="AY101" s="112">
        <v>3761</v>
      </c>
    </row>
    <row r="102" spans="1:52" x14ac:dyDescent="0.2">
      <c r="A102" s="115"/>
      <c r="B102" s="126">
        <v>3</v>
      </c>
      <c r="C102" s="112">
        <v>3632.5900515520234</v>
      </c>
      <c r="D102" s="112">
        <v>3632.5900515520234</v>
      </c>
      <c r="E102" s="112">
        <v>3632.5900515520234</v>
      </c>
      <c r="F102" s="112">
        <v>3632.5900515520234</v>
      </c>
      <c r="G102" s="112">
        <v>3632.5900515520234</v>
      </c>
      <c r="H102" s="112">
        <v>3761</v>
      </c>
      <c r="I102" s="112">
        <v>3761</v>
      </c>
      <c r="J102" s="112">
        <v>3761</v>
      </c>
      <c r="K102" s="112">
        <v>3761</v>
      </c>
      <c r="L102" s="112">
        <v>3632.5900515520234</v>
      </c>
      <c r="M102" s="112">
        <v>3632.5900515520234</v>
      </c>
      <c r="N102" s="112">
        <v>3632.5900515520234</v>
      </c>
      <c r="O102" s="112">
        <v>3632.5900515520234</v>
      </c>
      <c r="P102" s="112">
        <v>3632.5900515520234</v>
      </c>
      <c r="Q102" s="112">
        <v>3632.5900515520234</v>
      </c>
      <c r="R102" s="112">
        <v>3632.5900515520234</v>
      </c>
      <c r="S102" s="112">
        <v>3632.5900515520234</v>
      </c>
      <c r="T102" s="112">
        <v>3761</v>
      </c>
      <c r="U102" s="112">
        <v>3761</v>
      </c>
      <c r="V102" s="112">
        <v>3761</v>
      </c>
      <c r="W102" s="112">
        <v>3761</v>
      </c>
      <c r="X102" s="112">
        <v>3632.5900515520234</v>
      </c>
      <c r="Y102" s="112">
        <v>3632.5900515520234</v>
      </c>
      <c r="Z102" s="112">
        <v>3632.5900515520234</v>
      </c>
      <c r="AA102" s="112">
        <v>3632.5900515520234</v>
      </c>
      <c r="AB102" s="112">
        <v>3632.5900515520234</v>
      </c>
      <c r="AC102" s="112">
        <v>3632.5900515520234</v>
      </c>
      <c r="AD102" s="112">
        <v>3632.5900515520234</v>
      </c>
      <c r="AE102" s="112">
        <v>3632.5900515520234</v>
      </c>
      <c r="AF102" s="112">
        <v>3761</v>
      </c>
      <c r="AG102" s="112">
        <v>3761</v>
      </c>
      <c r="AH102" s="112">
        <v>3761</v>
      </c>
      <c r="AI102" s="112">
        <v>3761</v>
      </c>
      <c r="AJ102" s="112">
        <v>3632.5900515520234</v>
      </c>
      <c r="AK102" s="112">
        <v>0</v>
      </c>
      <c r="AL102" s="112">
        <v>3761</v>
      </c>
      <c r="AM102" s="112">
        <v>3632.5900515520234</v>
      </c>
      <c r="AN102" s="112">
        <v>3632.5900515520234</v>
      </c>
      <c r="AO102" s="112">
        <v>3632.5900515520234</v>
      </c>
      <c r="AP102" s="112">
        <v>3632.5900515520234</v>
      </c>
      <c r="AQ102" s="112">
        <v>3632.5900515520234</v>
      </c>
      <c r="AR102" s="112">
        <v>3761</v>
      </c>
      <c r="AS102" s="112">
        <v>3761</v>
      </c>
      <c r="AT102" s="112">
        <v>3761</v>
      </c>
      <c r="AU102" s="112">
        <v>3761</v>
      </c>
      <c r="AV102" s="112">
        <v>3632.5900515520234</v>
      </c>
      <c r="AW102" s="112">
        <v>3632.5900515520234</v>
      </c>
      <c r="AX102" s="112">
        <v>3632.5900515520234</v>
      </c>
      <c r="AY102" s="112">
        <v>0</v>
      </c>
    </row>
    <row r="103" spans="1:52" x14ac:dyDescent="0.2">
      <c r="A103" s="115"/>
      <c r="B103" s="126">
        <v>4</v>
      </c>
      <c r="C103" s="112">
        <v>1602.9962555709101</v>
      </c>
      <c r="D103" s="112">
        <v>1447.2395640732543</v>
      </c>
      <c r="E103" s="112">
        <v>1292.517350010311</v>
      </c>
      <c r="F103" s="112">
        <v>1037.9392027753834</v>
      </c>
      <c r="G103" s="112">
        <v>718.00877055477713</v>
      </c>
      <c r="H103" s="112">
        <v>613.05556755274665</v>
      </c>
      <c r="I103" s="112">
        <v>629.02456917293512</v>
      </c>
      <c r="J103" s="112">
        <v>2536.0936842406577</v>
      </c>
      <c r="K103" s="112">
        <v>825.70768518410205</v>
      </c>
      <c r="L103" s="112">
        <v>1000.991193165095</v>
      </c>
      <c r="M103" s="112">
        <v>2548.4705292324738</v>
      </c>
      <c r="N103" s="112">
        <v>1134.4943688211829</v>
      </c>
      <c r="O103" s="112">
        <v>1145.2675841957966</v>
      </c>
      <c r="P103" s="112">
        <v>2769.2543825906</v>
      </c>
      <c r="Q103" s="112">
        <v>917.44008320836792</v>
      </c>
      <c r="R103" s="112">
        <v>649.56054312747801</v>
      </c>
      <c r="S103" s="112">
        <v>367.66858759917068</v>
      </c>
      <c r="T103" s="112">
        <v>297.24927793264123</v>
      </c>
      <c r="U103" s="112">
        <v>2054.0525730709337</v>
      </c>
      <c r="V103" s="112">
        <v>532.66105668347927</v>
      </c>
      <c r="W103" s="112">
        <v>685.93994718346812</v>
      </c>
      <c r="X103" s="112">
        <v>901.93942337205635</v>
      </c>
      <c r="Y103" s="112">
        <v>1122.2772585209134</v>
      </c>
      <c r="Z103" s="112">
        <v>1446.0139624626836</v>
      </c>
      <c r="AA103" s="112">
        <v>3632.5900515520234</v>
      </c>
      <c r="AB103" s="112">
        <v>2380.4922872966954</v>
      </c>
      <c r="AC103" s="112">
        <v>3632.5900515520234</v>
      </c>
      <c r="AD103" s="112">
        <v>2916.7414709990471</v>
      </c>
      <c r="AE103" s="112">
        <v>3170.1787258752115</v>
      </c>
      <c r="AF103" s="112">
        <v>3632.5900515520234</v>
      </c>
      <c r="AG103" s="112">
        <v>3534.5991289864669</v>
      </c>
      <c r="AH103" s="112">
        <v>3761</v>
      </c>
      <c r="AI103" s="112">
        <v>3761</v>
      </c>
      <c r="AJ103" s="112">
        <v>3761</v>
      </c>
      <c r="AK103" s="112">
        <v>3632.5900515520234</v>
      </c>
      <c r="AL103" s="112">
        <v>0</v>
      </c>
      <c r="AM103" s="112">
        <v>2991.2004263982981</v>
      </c>
      <c r="AN103" s="112">
        <v>3632.5900515520234</v>
      </c>
      <c r="AO103" s="112">
        <v>1291.6691024606839</v>
      </c>
      <c r="AP103" s="112">
        <v>2881.8479491897533</v>
      </c>
      <c r="AQ103" s="112">
        <v>536.78583286039702</v>
      </c>
      <c r="AR103" s="112">
        <v>414.03156786444652</v>
      </c>
      <c r="AS103" s="112">
        <v>2568.3199781193475</v>
      </c>
      <c r="AT103" s="112">
        <v>2644.8086587937128</v>
      </c>
      <c r="AU103" s="112">
        <v>2912.7972166143823</v>
      </c>
      <c r="AV103" s="112">
        <v>3162.0858352310465</v>
      </c>
      <c r="AW103" s="112">
        <v>3149.6905277067644</v>
      </c>
      <c r="AX103" s="112">
        <v>3190.6294955659096</v>
      </c>
      <c r="AY103" s="112">
        <v>3324.9127158321239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1.0396605466481965</v>
      </c>
      <c r="AB104" s="112">
        <v>0</v>
      </c>
      <c r="AC104" s="112">
        <v>225.79679769326913</v>
      </c>
      <c r="AD104" s="112">
        <v>0</v>
      </c>
      <c r="AE104" s="112">
        <v>0</v>
      </c>
      <c r="AF104" s="112">
        <v>659.88138680285579</v>
      </c>
      <c r="AG104" s="112">
        <v>0</v>
      </c>
      <c r="AH104" s="112">
        <v>535.06417483057976</v>
      </c>
      <c r="AI104" s="112">
        <v>539.17665373543468</v>
      </c>
      <c r="AJ104" s="112">
        <v>459.03056957997387</v>
      </c>
      <c r="AK104" s="112">
        <v>471.03230584972334</v>
      </c>
      <c r="AL104" s="112">
        <v>348.20042639829808</v>
      </c>
      <c r="AM104" s="112">
        <v>0</v>
      </c>
      <c r="AN104" s="112">
        <v>41.393573652659597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3352.2139957023551</v>
      </c>
      <c r="D109" s="112">
        <v>3371.4946605292248</v>
      </c>
      <c r="E109" s="112">
        <v>3528.5107125887453</v>
      </c>
      <c r="F109" s="112">
        <v>3604.829125736323</v>
      </c>
      <c r="G109" s="112">
        <v>3647.7360263447713</v>
      </c>
      <c r="H109" s="112">
        <v>3688.7407425254942</v>
      </c>
      <c r="I109" s="112">
        <v>3577.0596889127573</v>
      </c>
      <c r="J109" s="112">
        <v>3488.4246882406273</v>
      </c>
      <c r="K109" s="112">
        <v>3447.6093701020268</v>
      </c>
      <c r="L109" s="112">
        <v>3421.8903810515444</v>
      </c>
      <c r="M109" s="112">
        <v>3369.9306705022727</v>
      </c>
      <c r="N109" s="112">
        <v>3402.5087308645675</v>
      </c>
      <c r="O109" s="112">
        <v>3423.9114524020852</v>
      </c>
      <c r="P109" s="112">
        <v>3435.5641414104834</v>
      </c>
      <c r="Q109" s="112">
        <v>3576.036849705346</v>
      </c>
      <c r="R109" s="112">
        <v>3642.5712412444786</v>
      </c>
      <c r="S109" s="112">
        <v>3700.1455483029454</v>
      </c>
      <c r="T109" s="112">
        <v>3748.4733745332137</v>
      </c>
      <c r="U109" s="112">
        <v>3644.0264453396317</v>
      </c>
      <c r="V109" s="112">
        <v>3528.6864630066038</v>
      </c>
      <c r="W109" s="112">
        <v>3456.953862009253</v>
      </c>
      <c r="X109" s="112">
        <v>3376.0593037287217</v>
      </c>
      <c r="Y109" s="112">
        <v>3355.9998743649994</v>
      </c>
      <c r="Z109" s="112">
        <v>3205.6909684700004</v>
      </c>
      <c r="AA109" s="112">
        <v>3108.0692000203489</v>
      </c>
      <c r="AB109" s="112">
        <v>3062.1191185514995</v>
      </c>
      <c r="AC109" s="112">
        <v>3095.5824359874805</v>
      </c>
      <c r="AD109" s="112">
        <v>3092.0140885672758</v>
      </c>
      <c r="AE109" s="112">
        <v>3025.5348702702845</v>
      </c>
      <c r="AF109" s="112">
        <v>2969.9283658750182</v>
      </c>
      <c r="AG109" s="112">
        <v>2829.5536787597539</v>
      </c>
      <c r="AH109" s="112">
        <v>3025.8252279943267</v>
      </c>
      <c r="AI109" s="112">
        <v>3151.7941055498777</v>
      </c>
      <c r="AJ109" s="112">
        <v>3249.6803999042786</v>
      </c>
      <c r="AK109" s="112">
        <v>3320.3330651825145</v>
      </c>
      <c r="AL109" s="112">
        <v>3372.0785478882399</v>
      </c>
      <c r="AM109" s="112">
        <v>3408.1961274771074</v>
      </c>
      <c r="AN109" s="112">
        <v>3441.2518870157378</v>
      </c>
      <c r="AO109" s="112">
        <v>3579.0565565078496</v>
      </c>
      <c r="AP109" s="112">
        <v>3638.7004338548763</v>
      </c>
      <c r="AQ109" s="112">
        <v>3662.3645334180401</v>
      </c>
      <c r="AR109" s="112">
        <v>3692.180017574492</v>
      </c>
      <c r="AS109" s="112">
        <v>3599.9316327982874</v>
      </c>
      <c r="AT109" s="112">
        <v>3461.4838702846637</v>
      </c>
      <c r="AU109" s="112">
        <v>3404.4034481917715</v>
      </c>
      <c r="AV109" s="112">
        <v>3302.1790047540726</v>
      </c>
      <c r="AW109" s="112">
        <v>3250.4152097090209</v>
      </c>
      <c r="AX109" s="112">
        <v>3320.5901023388988</v>
      </c>
      <c r="AY109" s="112">
        <v>3351.0587285583251</v>
      </c>
    </row>
    <row r="110" spans="1:52" x14ac:dyDescent="0.2">
      <c r="A110" s="115"/>
      <c r="B110" s="125">
        <v>2</v>
      </c>
      <c r="C110" s="112">
        <v>3322.184461549668</v>
      </c>
      <c r="D110" s="112">
        <v>3352.2139957023551</v>
      </c>
      <c r="E110" s="112">
        <v>3371.4946605292248</v>
      </c>
      <c r="F110" s="112">
        <v>3528.5107125887453</v>
      </c>
      <c r="G110" s="112">
        <v>3604.829125736323</v>
      </c>
      <c r="H110" s="112">
        <v>3647.7360263447713</v>
      </c>
      <c r="I110" s="112">
        <v>3688.7407425254942</v>
      </c>
      <c r="J110" s="112">
        <v>3577.0596889127573</v>
      </c>
      <c r="K110" s="112">
        <v>3488.4246882406273</v>
      </c>
      <c r="L110" s="112">
        <v>3447.6093701020268</v>
      </c>
      <c r="M110" s="112">
        <v>3421.8903810515444</v>
      </c>
      <c r="N110" s="112">
        <v>3369.9306705022727</v>
      </c>
      <c r="O110" s="112">
        <v>3402.5087308645675</v>
      </c>
      <c r="P110" s="112">
        <v>3423.9114524020852</v>
      </c>
      <c r="Q110" s="112">
        <v>3435.5641414104834</v>
      </c>
      <c r="R110" s="112">
        <v>3576.036849705346</v>
      </c>
      <c r="S110" s="112">
        <v>3642.5712412444786</v>
      </c>
      <c r="T110" s="112">
        <v>3700.1455483029454</v>
      </c>
      <c r="U110" s="112">
        <v>3748.4733745332137</v>
      </c>
      <c r="V110" s="112">
        <v>3644.0264453396317</v>
      </c>
      <c r="W110" s="112">
        <v>3528.6864630066038</v>
      </c>
      <c r="X110" s="112">
        <v>3456.953862009253</v>
      </c>
      <c r="Y110" s="112">
        <v>3376.0593037287217</v>
      </c>
      <c r="Z110" s="112">
        <v>3355.9998743649994</v>
      </c>
      <c r="AA110" s="112">
        <v>3205.6909684700004</v>
      </c>
      <c r="AB110" s="112">
        <v>3108.0692000203489</v>
      </c>
      <c r="AC110" s="112">
        <v>3062.1191185514995</v>
      </c>
      <c r="AD110" s="112">
        <v>3095.5824359874805</v>
      </c>
      <c r="AE110" s="112">
        <v>3092.0140885672758</v>
      </c>
      <c r="AF110" s="112">
        <v>3025.5348702702845</v>
      </c>
      <c r="AG110" s="112">
        <v>2969.9283658750182</v>
      </c>
      <c r="AH110" s="112">
        <v>2829.5536787597539</v>
      </c>
      <c r="AI110" s="112">
        <v>3025.8252279943267</v>
      </c>
      <c r="AJ110" s="112">
        <v>3151.7941055498777</v>
      </c>
      <c r="AK110" s="112">
        <v>3249.6803999042786</v>
      </c>
      <c r="AL110" s="112">
        <v>3320.3330651825145</v>
      </c>
      <c r="AM110" s="112">
        <v>3372.0785478882399</v>
      </c>
      <c r="AN110" s="112">
        <v>3408.1961274771074</v>
      </c>
      <c r="AO110" s="112">
        <v>3441.2518870157378</v>
      </c>
      <c r="AP110" s="112">
        <v>3579.0565565078496</v>
      </c>
      <c r="AQ110" s="112">
        <v>3638.7004338548763</v>
      </c>
      <c r="AR110" s="112">
        <v>3662.3645334180401</v>
      </c>
      <c r="AS110" s="112">
        <v>3692.180017574492</v>
      </c>
      <c r="AT110" s="112">
        <v>3599.9316327982874</v>
      </c>
      <c r="AU110" s="112">
        <v>3461.4838702846637</v>
      </c>
      <c r="AV110" s="112">
        <v>3404.4034481917715</v>
      </c>
      <c r="AW110" s="112">
        <v>3302.1790047540726</v>
      </c>
      <c r="AX110" s="112">
        <v>3250.4152097090209</v>
      </c>
      <c r="AY110" s="112">
        <v>3320.5901023388988</v>
      </c>
    </row>
    <row r="111" spans="1:52" x14ac:dyDescent="0.2">
      <c r="A111" s="115"/>
      <c r="B111" s="125">
        <v>3</v>
      </c>
      <c r="C111" s="112">
        <v>3255.6561774437714</v>
      </c>
      <c r="D111" s="112">
        <v>3322.184461549668</v>
      </c>
      <c r="E111" s="112">
        <v>3352.2139957023551</v>
      </c>
      <c r="F111" s="112">
        <v>3371.4946605292248</v>
      </c>
      <c r="G111" s="112">
        <v>3528.5107125887453</v>
      </c>
      <c r="H111" s="112">
        <v>3604.829125736323</v>
      </c>
      <c r="I111" s="112">
        <v>3647.7360263447713</v>
      </c>
      <c r="J111" s="112">
        <v>3688.7407425254942</v>
      </c>
      <c r="K111" s="112">
        <v>3577.0596889127573</v>
      </c>
      <c r="L111" s="112">
        <v>3488.4246882406273</v>
      </c>
      <c r="M111" s="112">
        <v>3447.6093701020268</v>
      </c>
      <c r="N111" s="112">
        <v>3421.8903810515444</v>
      </c>
      <c r="O111" s="112">
        <v>3369.9306705022727</v>
      </c>
      <c r="P111" s="112">
        <v>3402.5087308645675</v>
      </c>
      <c r="Q111" s="112">
        <v>3423.9114524020852</v>
      </c>
      <c r="R111" s="112">
        <v>3435.5641414104834</v>
      </c>
      <c r="S111" s="112">
        <v>3576.036849705346</v>
      </c>
      <c r="T111" s="112">
        <v>3642.5712412444786</v>
      </c>
      <c r="U111" s="112">
        <v>3700.1455483029454</v>
      </c>
      <c r="V111" s="112">
        <v>3748.4733745332137</v>
      </c>
      <c r="W111" s="112">
        <v>3644.0264453396317</v>
      </c>
      <c r="X111" s="112">
        <v>3528.6864630066038</v>
      </c>
      <c r="Y111" s="112">
        <v>3456.953862009253</v>
      </c>
      <c r="Z111" s="112">
        <v>3376.0593037287217</v>
      </c>
      <c r="AA111" s="112">
        <v>3355.9998743649994</v>
      </c>
      <c r="AB111" s="112">
        <v>3205.6909684700004</v>
      </c>
      <c r="AC111" s="112">
        <v>3108.0692000203489</v>
      </c>
      <c r="AD111" s="112">
        <v>3062.1191185514995</v>
      </c>
      <c r="AE111" s="112">
        <v>3095.5824359874805</v>
      </c>
      <c r="AF111" s="112">
        <v>3092.0140885672758</v>
      </c>
      <c r="AG111" s="112">
        <v>3025.5348702702845</v>
      </c>
      <c r="AH111" s="112">
        <v>2969.9283658750182</v>
      </c>
      <c r="AI111" s="112">
        <v>2829.5536787597539</v>
      </c>
      <c r="AJ111" s="112">
        <v>3025.8252279943267</v>
      </c>
      <c r="AK111" s="112">
        <v>3151.7941055498777</v>
      </c>
      <c r="AL111" s="112">
        <v>3249.6803999042786</v>
      </c>
      <c r="AM111" s="112">
        <v>3320.3330651825145</v>
      </c>
      <c r="AN111" s="112">
        <v>3372.0785478882399</v>
      </c>
      <c r="AO111" s="112">
        <v>3408.1961274771074</v>
      </c>
      <c r="AP111" s="112">
        <v>3441.2518870157378</v>
      </c>
      <c r="AQ111" s="112">
        <v>3579.0565565078496</v>
      </c>
      <c r="AR111" s="112">
        <v>3638.7004338548763</v>
      </c>
      <c r="AS111" s="112">
        <v>3662.3645334180401</v>
      </c>
      <c r="AT111" s="112">
        <v>3692.180017574492</v>
      </c>
      <c r="AU111" s="112">
        <v>3599.9316327982874</v>
      </c>
      <c r="AV111" s="112">
        <v>3461.4838702846637</v>
      </c>
      <c r="AW111" s="112">
        <v>3404.4034481917715</v>
      </c>
      <c r="AX111" s="112">
        <v>3302.1790047540726</v>
      </c>
      <c r="AY111" s="112">
        <v>3250.4152097090209</v>
      </c>
    </row>
    <row r="112" spans="1:52" x14ac:dyDescent="0.2">
      <c r="A112" s="115"/>
      <c r="B112" s="126">
        <v>4</v>
      </c>
      <c r="C112" s="112">
        <v>3292.6885022223073</v>
      </c>
      <c r="D112" s="112">
        <v>3255.6561774437714</v>
      </c>
      <c r="E112" s="112">
        <v>3322.184461549668</v>
      </c>
      <c r="F112" s="112">
        <v>3352.2139957023551</v>
      </c>
      <c r="G112" s="112">
        <v>3371.4946605292248</v>
      </c>
      <c r="H112" s="112">
        <v>3528.5107125887453</v>
      </c>
      <c r="I112" s="112">
        <v>3604.829125736323</v>
      </c>
      <c r="J112" s="112">
        <v>3647.7360263447713</v>
      </c>
      <c r="K112" s="112">
        <v>3688.7407425254942</v>
      </c>
      <c r="L112" s="112">
        <v>3577.0596889127573</v>
      </c>
      <c r="M112" s="112">
        <v>3488.4246882406273</v>
      </c>
      <c r="N112" s="112">
        <v>3447.6093701020268</v>
      </c>
      <c r="O112" s="112">
        <v>3421.8903810515444</v>
      </c>
      <c r="P112" s="112">
        <v>3369.9306705022727</v>
      </c>
      <c r="Q112" s="112">
        <v>3402.5087308645675</v>
      </c>
      <c r="R112" s="112">
        <v>3423.9114524020852</v>
      </c>
      <c r="S112" s="112">
        <v>3435.5641414104834</v>
      </c>
      <c r="T112" s="112">
        <v>3576.036849705346</v>
      </c>
      <c r="U112" s="112">
        <v>3642.5712412444786</v>
      </c>
      <c r="V112" s="112">
        <v>3700.1455483029454</v>
      </c>
      <c r="W112" s="112">
        <v>3748.4733745332137</v>
      </c>
      <c r="X112" s="112">
        <v>3644.0264453396317</v>
      </c>
      <c r="Y112" s="112">
        <v>3528.6864630066038</v>
      </c>
      <c r="Z112" s="112">
        <v>3456.953862009253</v>
      </c>
      <c r="AA112" s="112">
        <v>3376.0593037287217</v>
      </c>
      <c r="AB112" s="112">
        <v>3355.9998743649994</v>
      </c>
      <c r="AC112" s="112">
        <v>3205.6909684700004</v>
      </c>
      <c r="AD112" s="112">
        <v>3108.0692000203489</v>
      </c>
      <c r="AE112" s="112">
        <v>3062.1191185514995</v>
      </c>
      <c r="AF112" s="112">
        <v>3095.5824359874805</v>
      </c>
      <c r="AG112" s="112">
        <v>3092.0140885672758</v>
      </c>
      <c r="AH112" s="112">
        <v>3025.5348702702845</v>
      </c>
      <c r="AI112" s="112">
        <v>2969.9283658750182</v>
      </c>
      <c r="AJ112" s="112">
        <v>2829.5536787597539</v>
      </c>
      <c r="AK112" s="112">
        <v>3025.8252279943267</v>
      </c>
      <c r="AL112" s="112">
        <v>3151.7941055498777</v>
      </c>
      <c r="AM112" s="112">
        <v>3249.6803999042786</v>
      </c>
      <c r="AN112" s="112">
        <v>3320.3330651825145</v>
      </c>
      <c r="AO112" s="112">
        <v>3372.0785478882399</v>
      </c>
      <c r="AP112" s="112">
        <v>3408.1961274771074</v>
      </c>
      <c r="AQ112" s="112">
        <v>3441.2518870157378</v>
      </c>
      <c r="AR112" s="112">
        <v>3579.0565565078496</v>
      </c>
      <c r="AS112" s="112">
        <v>3638.7004338548763</v>
      </c>
      <c r="AT112" s="112">
        <v>3662.3645334180401</v>
      </c>
      <c r="AU112" s="112">
        <v>3692.180017574492</v>
      </c>
      <c r="AV112" s="112">
        <v>3599.9316327982874</v>
      </c>
      <c r="AW112" s="112">
        <v>3461.4838702846637</v>
      </c>
      <c r="AX112" s="112">
        <v>3404.4034481917715</v>
      </c>
      <c r="AY112" s="112">
        <v>3302.1790047540726</v>
      </c>
    </row>
    <row r="113" spans="1:52" x14ac:dyDescent="0.2">
      <c r="A113" s="115"/>
      <c r="B113" s="126">
        <v>5</v>
      </c>
      <c r="C113" s="112">
        <v>3371.1616565750173</v>
      </c>
      <c r="D113" s="112">
        <v>3292.6885022223073</v>
      </c>
      <c r="E113" s="112">
        <v>3255.6561774437714</v>
      </c>
      <c r="F113" s="112">
        <v>3322.184461549668</v>
      </c>
      <c r="G113" s="112">
        <v>3352.2139957023551</v>
      </c>
      <c r="H113" s="112">
        <v>3371.4946605292248</v>
      </c>
      <c r="I113" s="112">
        <v>3528.5107125887453</v>
      </c>
      <c r="J113" s="112">
        <v>3604.829125736323</v>
      </c>
      <c r="K113" s="112">
        <v>3647.7360263447713</v>
      </c>
      <c r="L113" s="112">
        <v>3688.7407425254942</v>
      </c>
      <c r="M113" s="112">
        <v>3577.0596889127573</v>
      </c>
      <c r="N113" s="112">
        <v>3488.4246882406273</v>
      </c>
      <c r="O113" s="112">
        <v>3447.6093701020268</v>
      </c>
      <c r="P113" s="112">
        <v>3421.8903810515444</v>
      </c>
      <c r="Q113" s="112">
        <v>3369.9306705022727</v>
      </c>
      <c r="R113" s="112">
        <v>3402.5087308645675</v>
      </c>
      <c r="S113" s="112">
        <v>3423.9114524020852</v>
      </c>
      <c r="T113" s="112">
        <v>3435.5641414104834</v>
      </c>
      <c r="U113" s="112">
        <v>3576.036849705346</v>
      </c>
      <c r="V113" s="112">
        <v>3642.5712412444786</v>
      </c>
      <c r="W113" s="112">
        <v>3700.1455483029454</v>
      </c>
      <c r="X113" s="112">
        <v>3748.4733745332137</v>
      </c>
      <c r="Y113" s="112">
        <v>3644.0264453396317</v>
      </c>
      <c r="Z113" s="112">
        <v>3528.6864630066038</v>
      </c>
      <c r="AA113" s="112">
        <v>3456.953862009253</v>
      </c>
      <c r="AB113" s="112">
        <v>3376.0593037287217</v>
      </c>
      <c r="AC113" s="112">
        <v>3355.9998743649994</v>
      </c>
      <c r="AD113" s="112">
        <v>3205.6909684700004</v>
      </c>
      <c r="AE113" s="112">
        <v>3108.0692000203489</v>
      </c>
      <c r="AF113" s="112">
        <v>3062.1191185514995</v>
      </c>
      <c r="AG113" s="112">
        <v>3095.5824359874805</v>
      </c>
      <c r="AH113" s="112">
        <v>3092.0140885672758</v>
      </c>
      <c r="AI113" s="112">
        <v>3025.5348702702845</v>
      </c>
      <c r="AJ113" s="112">
        <v>2969.9283658750182</v>
      </c>
      <c r="AK113" s="112">
        <v>2829.5536787597539</v>
      </c>
      <c r="AL113" s="112">
        <v>3025.8252279943267</v>
      </c>
      <c r="AM113" s="112">
        <v>3151.7941055498777</v>
      </c>
      <c r="AN113" s="112">
        <v>3249.6803999042786</v>
      </c>
      <c r="AO113" s="112">
        <v>3320.3330651825145</v>
      </c>
      <c r="AP113" s="112">
        <v>3372.0785478882399</v>
      </c>
      <c r="AQ113" s="112">
        <v>3408.1961274771074</v>
      </c>
      <c r="AR113" s="112">
        <v>3441.2518870157378</v>
      </c>
      <c r="AS113" s="112">
        <v>3579.0565565078496</v>
      </c>
      <c r="AT113" s="112">
        <v>3638.7004338548763</v>
      </c>
      <c r="AU113" s="112">
        <v>3662.3645334180401</v>
      </c>
      <c r="AV113" s="112">
        <v>3692.180017574492</v>
      </c>
      <c r="AW113" s="112">
        <v>3599.9316327982874</v>
      </c>
      <c r="AX113" s="112">
        <v>3461.4838702846637</v>
      </c>
      <c r="AY113" s="112">
        <v>3404.4034481917715</v>
      </c>
    </row>
    <row r="114" spans="1:52" x14ac:dyDescent="0.2">
      <c r="A114" s="115"/>
      <c r="B114" s="126">
        <v>6</v>
      </c>
      <c r="C114" s="112">
        <v>3447.1540979953397</v>
      </c>
      <c r="D114" s="112">
        <v>3371.1616565750173</v>
      </c>
      <c r="E114" s="112">
        <v>3292.6885022223073</v>
      </c>
      <c r="F114" s="112">
        <v>3255.6561774437714</v>
      </c>
      <c r="G114" s="112">
        <v>3322.184461549668</v>
      </c>
      <c r="H114" s="112">
        <v>3352.2139957023551</v>
      </c>
      <c r="I114" s="112">
        <v>3371.4946605292248</v>
      </c>
      <c r="J114" s="112">
        <v>3528.5107125887453</v>
      </c>
      <c r="K114" s="112">
        <v>3604.829125736323</v>
      </c>
      <c r="L114" s="112">
        <v>3647.7360263447713</v>
      </c>
      <c r="M114" s="112">
        <v>3688.7407425254942</v>
      </c>
      <c r="N114" s="112">
        <v>3577.0596889127573</v>
      </c>
      <c r="O114" s="112">
        <v>3488.4246882406273</v>
      </c>
      <c r="P114" s="112">
        <v>3447.6093701020268</v>
      </c>
      <c r="Q114" s="112">
        <v>3421.8903810515444</v>
      </c>
      <c r="R114" s="112">
        <v>3369.9306705022727</v>
      </c>
      <c r="S114" s="112">
        <v>3402.5087308645675</v>
      </c>
      <c r="T114" s="112">
        <v>3423.9114524020852</v>
      </c>
      <c r="U114" s="112">
        <v>3435.5641414104834</v>
      </c>
      <c r="V114" s="112">
        <v>3576.036849705346</v>
      </c>
      <c r="W114" s="112">
        <v>3642.5712412444786</v>
      </c>
      <c r="X114" s="112">
        <v>3700.1455483029454</v>
      </c>
      <c r="Y114" s="112">
        <v>3748.4733745332137</v>
      </c>
      <c r="Z114" s="112">
        <v>3644.0264453396317</v>
      </c>
      <c r="AA114" s="112">
        <v>3528.6864630066038</v>
      </c>
      <c r="AB114" s="112">
        <v>3456.953862009253</v>
      </c>
      <c r="AC114" s="112">
        <v>3376.0593037287217</v>
      </c>
      <c r="AD114" s="112">
        <v>3355.9998743649994</v>
      </c>
      <c r="AE114" s="112">
        <v>3205.6909684700004</v>
      </c>
      <c r="AF114" s="112">
        <v>3108.0692000203489</v>
      </c>
      <c r="AG114" s="112">
        <v>3062.1191185514995</v>
      </c>
      <c r="AH114" s="112">
        <v>3095.5824359874805</v>
      </c>
      <c r="AI114" s="112">
        <v>3092.0140885672758</v>
      </c>
      <c r="AJ114" s="112">
        <v>3025.5348702702845</v>
      </c>
      <c r="AK114" s="112">
        <v>2969.9283658750182</v>
      </c>
      <c r="AL114" s="112">
        <v>2829.5536787597539</v>
      </c>
      <c r="AM114" s="112">
        <v>3025.8252279943267</v>
      </c>
      <c r="AN114" s="112">
        <v>3151.7941055498777</v>
      </c>
      <c r="AO114" s="112">
        <v>3249.6803999042786</v>
      </c>
      <c r="AP114" s="112">
        <v>3320.3330651825145</v>
      </c>
      <c r="AQ114" s="112">
        <v>3372.0785478882399</v>
      </c>
      <c r="AR114" s="112">
        <v>3408.1961274771074</v>
      </c>
      <c r="AS114" s="112">
        <v>3441.2518870157378</v>
      </c>
      <c r="AT114" s="112">
        <v>3579.0565565078496</v>
      </c>
      <c r="AU114" s="112">
        <v>3638.7004338548763</v>
      </c>
      <c r="AV114" s="112">
        <v>3662.3645334180401</v>
      </c>
      <c r="AW114" s="112">
        <v>3692.180017574492</v>
      </c>
      <c r="AX114" s="112">
        <v>3599.9316327982874</v>
      </c>
      <c r="AY114" s="112">
        <v>3461.4838702846637</v>
      </c>
    </row>
    <row r="115" spans="1:52" x14ac:dyDescent="0.2">
      <c r="A115" s="115"/>
      <c r="B115" s="133">
        <v>7</v>
      </c>
      <c r="C115" s="112">
        <v>3590.0374617733796</v>
      </c>
      <c r="D115" s="112">
        <v>3447.1540979953397</v>
      </c>
      <c r="E115" s="112">
        <v>3371.1616565750173</v>
      </c>
      <c r="F115" s="112">
        <v>3292.6885022223073</v>
      </c>
      <c r="G115" s="112">
        <v>3255.6561774437714</v>
      </c>
      <c r="H115" s="112">
        <v>3322.184461549668</v>
      </c>
      <c r="I115" s="112">
        <v>3352.2139957023551</v>
      </c>
      <c r="J115" s="112">
        <v>3371.4946605292248</v>
      </c>
      <c r="K115" s="112">
        <v>3528.5107125887453</v>
      </c>
      <c r="L115" s="112">
        <v>3604.829125736323</v>
      </c>
      <c r="M115" s="112">
        <v>3647.7360263447713</v>
      </c>
      <c r="N115" s="112">
        <v>3688.7407425254942</v>
      </c>
      <c r="O115" s="112">
        <v>3577.0596889127573</v>
      </c>
      <c r="P115" s="112">
        <v>3488.4246882406273</v>
      </c>
      <c r="Q115" s="112">
        <v>3447.6093701020268</v>
      </c>
      <c r="R115" s="112">
        <v>3421.8903810515444</v>
      </c>
      <c r="S115" s="112">
        <v>3369.9306705022727</v>
      </c>
      <c r="T115" s="112">
        <v>3402.5087308645675</v>
      </c>
      <c r="U115" s="112">
        <v>3423.9114524020852</v>
      </c>
      <c r="V115" s="112">
        <v>3435.5641414104834</v>
      </c>
      <c r="W115" s="112">
        <v>3576.036849705346</v>
      </c>
      <c r="X115" s="112">
        <v>3642.5712412444786</v>
      </c>
      <c r="Y115" s="112">
        <v>3700.1455483029454</v>
      </c>
      <c r="Z115" s="112">
        <v>3748.4733745332137</v>
      </c>
      <c r="AA115" s="112">
        <v>3644.0264453396317</v>
      </c>
      <c r="AB115" s="112">
        <v>3528.6864630066038</v>
      </c>
      <c r="AC115" s="112">
        <v>3456.953862009253</v>
      </c>
      <c r="AD115" s="112">
        <v>3376.0593037287217</v>
      </c>
      <c r="AE115" s="112">
        <v>3355.9998743649994</v>
      </c>
      <c r="AF115" s="112">
        <v>3205.6909684700004</v>
      </c>
      <c r="AG115" s="112">
        <v>3108.0692000203489</v>
      </c>
      <c r="AH115" s="112">
        <v>3062.1191185514995</v>
      </c>
      <c r="AI115" s="112">
        <v>3095.5824359874805</v>
      </c>
      <c r="AJ115" s="112">
        <v>3092.0140885672758</v>
      </c>
      <c r="AK115" s="112">
        <v>3025.5348702702845</v>
      </c>
      <c r="AL115" s="112">
        <v>2969.9283658750182</v>
      </c>
      <c r="AM115" s="112">
        <v>2829.5536787597539</v>
      </c>
      <c r="AN115" s="112">
        <v>3025.8252279943267</v>
      </c>
      <c r="AO115" s="112">
        <v>3151.7941055498777</v>
      </c>
      <c r="AP115" s="112">
        <v>3249.6803999042786</v>
      </c>
      <c r="AQ115" s="112">
        <v>3320.3330651825145</v>
      </c>
      <c r="AR115" s="112">
        <v>3372.0785478882399</v>
      </c>
      <c r="AS115" s="112">
        <v>3408.1961274771074</v>
      </c>
      <c r="AT115" s="112">
        <v>3441.2518870157378</v>
      </c>
      <c r="AU115" s="112">
        <v>3579.0565565078496</v>
      </c>
      <c r="AV115" s="112">
        <v>3638.7004338548763</v>
      </c>
      <c r="AW115" s="112">
        <v>3662.3645334180401</v>
      </c>
      <c r="AX115" s="112">
        <v>3692.180017574492</v>
      </c>
      <c r="AY115" s="112">
        <v>3599.9316327982874</v>
      </c>
    </row>
    <row r="116" spans="1:52" x14ac:dyDescent="0.2">
      <c r="A116" s="115"/>
      <c r="B116" s="133">
        <v>8</v>
      </c>
      <c r="C116" s="112">
        <v>1626.1179124261648</v>
      </c>
      <c r="D116" s="112">
        <v>1430.2864285398014</v>
      </c>
      <c r="E116" s="112">
        <v>1226.5371034406999</v>
      </c>
      <c r="F116" s="112">
        <v>963.24132164526509</v>
      </c>
      <c r="G116" s="112">
        <v>650.82467048281251</v>
      </c>
      <c r="H116" s="112">
        <v>599.80131389628696</v>
      </c>
      <c r="I116" s="112">
        <v>650.7939852414188</v>
      </c>
      <c r="J116" s="112">
        <v>2516.7160772916964</v>
      </c>
      <c r="K116" s="112">
        <v>740.19384518908419</v>
      </c>
      <c r="L116" s="112">
        <v>988.60820966046231</v>
      </c>
      <c r="M116" s="112">
        <v>3190.3252622970767</v>
      </c>
      <c r="N116" s="112">
        <v>1139.2246089167697</v>
      </c>
      <c r="O116" s="112">
        <v>1350.9693474832993</v>
      </c>
      <c r="P116" s="112">
        <v>2991.0066523958803</v>
      </c>
      <c r="Q116" s="112">
        <v>881.02995130932186</v>
      </c>
      <c r="R116" s="112">
        <v>616.48327588687289</v>
      </c>
      <c r="S116" s="112">
        <v>316.23002686135942</v>
      </c>
      <c r="T116" s="112">
        <v>258.94726999783052</v>
      </c>
      <c r="U116" s="112">
        <v>2440.4299171397506</v>
      </c>
      <c r="V116" s="112">
        <v>484.92004579291688</v>
      </c>
      <c r="W116" s="112">
        <v>732.39245656704406</v>
      </c>
      <c r="X116" s="112">
        <v>917.61698994742801</v>
      </c>
      <c r="Y116" s="112">
        <v>1529.6276074586995</v>
      </c>
      <c r="Z116" s="112">
        <v>2054.813663235524</v>
      </c>
      <c r="AA116" s="112">
        <v>3748.4733745332137</v>
      </c>
      <c r="AB116" s="112">
        <v>2387.9867325326113</v>
      </c>
      <c r="AC116" s="112">
        <v>3528.6864630066038</v>
      </c>
      <c r="AD116" s="112">
        <v>2775.7166510833581</v>
      </c>
      <c r="AE116" s="112">
        <v>2946.3031143305425</v>
      </c>
      <c r="AF116" s="112">
        <v>3355.9998743649994</v>
      </c>
      <c r="AG116" s="112">
        <v>3012.7180284376086</v>
      </c>
      <c r="AH116" s="112">
        <v>3108.0692000203489</v>
      </c>
      <c r="AI116" s="112">
        <v>3062.1191185514995</v>
      </c>
      <c r="AJ116" s="112">
        <v>3095.5824359874805</v>
      </c>
      <c r="AK116" s="112">
        <v>3092.0140885672758</v>
      </c>
      <c r="AL116" s="112">
        <v>3025.5348702702845</v>
      </c>
      <c r="AM116" s="112">
        <v>2969.9283658750182</v>
      </c>
      <c r="AN116" s="112">
        <v>2829.5536787597539</v>
      </c>
      <c r="AO116" s="112">
        <v>1075.9168805124261</v>
      </c>
      <c r="AP116" s="112">
        <v>2545.496553727869</v>
      </c>
      <c r="AQ116" s="112">
        <v>480.20348435613823</v>
      </c>
      <c r="AR116" s="112">
        <v>437.65807750227168</v>
      </c>
      <c r="AS116" s="112">
        <v>2319.2254265512556</v>
      </c>
      <c r="AT116" s="112">
        <v>2396.7100847696502</v>
      </c>
      <c r="AU116" s="112">
        <v>2665.160573828352</v>
      </c>
      <c r="AV116" s="112">
        <v>3009.1156715831635</v>
      </c>
      <c r="AW116" s="112">
        <v>3154.9886243779642</v>
      </c>
      <c r="AX116" s="112">
        <v>3216.7814529045354</v>
      </c>
      <c r="AY116" s="112">
        <v>3379.4554616284627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63.089140214926829</v>
      </c>
      <c r="AB117" s="112">
        <v>0</v>
      </c>
      <c r="AC117" s="112">
        <v>235.17625635011109</v>
      </c>
      <c r="AD117" s="112">
        <v>0</v>
      </c>
      <c r="AE117" s="112">
        <v>0</v>
      </c>
      <c r="AF117" s="112">
        <v>618.98591736497428</v>
      </c>
      <c r="AG117" s="112">
        <v>0</v>
      </c>
      <c r="AH117" s="112">
        <v>504.25516116442441</v>
      </c>
      <c r="AI117" s="112">
        <v>551.25292325593682</v>
      </c>
      <c r="AJ117" s="112">
        <v>457.95504103557096</v>
      </c>
      <c r="AK117" s="112">
        <v>371.68837608819013</v>
      </c>
      <c r="AL117" s="112">
        <v>305.7272608532935</v>
      </c>
      <c r="AM117" s="112">
        <v>425.48997283528479</v>
      </c>
      <c r="AN117" s="112">
        <v>55.166428110301695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3739.222788584349</v>
      </c>
      <c r="D122" s="112">
        <v>4206.6256371573927</v>
      </c>
      <c r="E122" s="112">
        <v>4206.6256371573927</v>
      </c>
      <c r="F122" s="112">
        <v>4206.6256371573927</v>
      </c>
      <c r="G122" s="112">
        <v>4206.6256371573927</v>
      </c>
      <c r="H122" s="112">
        <v>3739.222788584349</v>
      </c>
      <c r="I122" s="112">
        <v>3739.222788584349</v>
      </c>
      <c r="J122" s="112">
        <v>3739.222788584349</v>
      </c>
      <c r="K122" s="112">
        <v>3739.222788584349</v>
      </c>
      <c r="L122" s="112">
        <v>3739.222788584349</v>
      </c>
      <c r="M122" s="112">
        <v>3739.222788584349</v>
      </c>
      <c r="N122" s="112">
        <v>3739.222788584349</v>
      </c>
      <c r="O122" s="112">
        <v>3739.222788584349</v>
      </c>
      <c r="P122" s="112">
        <v>4206.6256371573927</v>
      </c>
      <c r="Q122" s="112">
        <v>4206.6256371573927</v>
      </c>
      <c r="R122" s="112">
        <v>4206.6256371573927</v>
      </c>
      <c r="S122" s="112">
        <v>4206.6256371573927</v>
      </c>
      <c r="T122" s="112">
        <v>3739.222788584349</v>
      </c>
      <c r="U122" s="112">
        <v>3739.222788584349</v>
      </c>
      <c r="V122" s="112">
        <v>3739.222788584349</v>
      </c>
      <c r="W122" s="112">
        <v>3739.222788584349</v>
      </c>
      <c r="X122" s="112">
        <v>3739.222788584349</v>
      </c>
      <c r="Y122" s="112">
        <v>3739.222788584349</v>
      </c>
      <c r="Z122" s="112">
        <v>3739.222788584349</v>
      </c>
      <c r="AA122" s="112">
        <v>3739.222788584349</v>
      </c>
      <c r="AB122" s="112">
        <v>4206.6256371573927</v>
      </c>
      <c r="AC122" s="112">
        <v>4206.6256371573927</v>
      </c>
      <c r="AD122" s="112">
        <v>4206.6256371573927</v>
      </c>
      <c r="AE122" s="112">
        <v>4206.6256371573927</v>
      </c>
      <c r="AF122" s="112">
        <v>3739.222788584349</v>
      </c>
      <c r="AG122" s="112">
        <v>3739.222788584349</v>
      </c>
      <c r="AH122" s="112">
        <v>3739.222788584349</v>
      </c>
      <c r="AI122" s="112">
        <v>3739.222788584349</v>
      </c>
      <c r="AJ122" s="112">
        <v>3739.222788584349</v>
      </c>
      <c r="AK122" s="112">
        <v>3739.222788584349</v>
      </c>
      <c r="AL122" s="112">
        <v>3739.222788584349</v>
      </c>
      <c r="AM122" s="112">
        <v>3739.222788584349</v>
      </c>
      <c r="AN122" s="112">
        <v>4206.6256371573927</v>
      </c>
      <c r="AO122" s="112">
        <v>4206.6256371573927</v>
      </c>
      <c r="AP122" s="112">
        <v>4206.6256371573927</v>
      </c>
      <c r="AQ122" s="112">
        <v>4206.6256371573927</v>
      </c>
      <c r="AR122" s="112">
        <v>3739.222788584349</v>
      </c>
      <c r="AS122" s="112">
        <v>3739.222788584349</v>
      </c>
      <c r="AT122" s="112">
        <v>3739.222788584349</v>
      </c>
      <c r="AU122" s="112">
        <v>3739.222788584349</v>
      </c>
      <c r="AV122" s="112">
        <v>3739.222788584349</v>
      </c>
      <c r="AW122" s="112">
        <v>3739.222788584349</v>
      </c>
      <c r="AX122" s="112">
        <v>3739.222788584349</v>
      </c>
      <c r="AY122" s="112">
        <v>3739.222788584349</v>
      </c>
    </row>
    <row r="123" spans="1:52" x14ac:dyDescent="0.2">
      <c r="A123" s="115"/>
      <c r="B123" s="125">
        <v>2</v>
      </c>
      <c r="C123" s="112">
        <v>2709.4278395240503</v>
      </c>
      <c r="D123" s="112">
        <v>2709.4278395240503</v>
      </c>
      <c r="E123" s="112">
        <v>3048.1063194645562</v>
      </c>
      <c r="F123" s="112">
        <v>3048.1063194645562</v>
      </c>
      <c r="G123" s="112">
        <v>3048.1063194645562</v>
      </c>
      <c r="H123" s="112">
        <v>3048.1063194645562</v>
      </c>
      <c r="I123" s="112">
        <v>2709.4278395240503</v>
      </c>
      <c r="J123" s="112">
        <v>2709.4278395240503</v>
      </c>
      <c r="K123" s="112">
        <v>2709.4278395240503</v>
      </c>
      <c r="L123" s="112">
        <v>2709.4278395240503</v>
      </c>
      <c r="M123" s="112">
        <v>2709.4278395240503</v>
      </c>
      <c r="N123" s="112">
        <v>2709.4278395240503</v>
      </c>
      <c r="O123" s="112">
        <v>2709.4278395240503</v>
      </c>
      <c r="P123" s="112">
        <v>2709.4278395240503</v>
      </c>
      <c r="Q123" s="112">
        <v>3048.1063194645562</v>
      </c>
      <c r="R123" s="112">
        <v>3048.1063194645562</v>
      </c>
      <c r="S123" s="112">
        <v>3048.1063194645562</v>
      </c>
      <c r="T123" s="112">
        <v>3048.1063194645562</v>
      </c>
      <c r="U123" s="112">
        <v>2709.4278395240503</v>
      </c>
      <c r="V123" s="112">
        <v>2709.4278395240503</v>
      </c>
      <c r="W123" s="112">
        <v>2709.4278395240503</v>
      </c>
      <c r="X123" s="112">
        <v>2709.4278395240503</v>
      </c>
      <c r="Y123" s="112">
        <v>2709.4278395240503</v>
      </c>
      <c r="Z123" s="112">
        <v>2709.4278395240503</v>
      </c>
      <c r="AA123" s="112">
        <v>2709.4278395240503</v>
      </c>
      <c r="AB123" s="112">
        <v>2709.4278395240503</v>
      </c>
      <c r="AC123" s="112">
        <v>3048.1063194645562</v>
      </c>
      <c r="AD123" s="112">
        <v>3048.1063194645562</v>
      </c>
      <c r="AE123" s="112">
        <v>3048.1063194645562</v>
      </c>
      <c r="AF123" s="112">
        <v>3048.1063194645562</v>
      </c>
      <c r="AG123" s="112">
        <v>2709.4278395240503</v>
      </c>
      <c r="AH123" s="112">
        <v>2709.4278395240503</v>
      </c>
      <c r="AI123" s="112">
        <v>2709.4278395240503</v>
      </c>
      <c r="AJ123" s="112">
        <v>2709.4278395240503</v>
      </c>
      <c r="AK123" s="112">
        <v>2709.4278395240503</v>
      </c>
      <c r="AL123" s="112">
        <v>2709.4278395240503</v>
      </c>
      <c r="AM123" s="112">
        <v>2709.4278395240503</v>
      </c>
      <c r="AN123" s="112">
        <v>2709.4278395240503</v>
      </c>
      <c r="AO123" s="112">
        <v>3048.1063194645562</v>
      </c>
      <c r="AP123" s="112">
        <v>3048.1063194645562</v>
      </c>
      <c r="AQ123" s="112">
        <v>3048.1063194645562</v>
      </c>
      <c r="AR123" s="112">
        <v>3048.1063194645562</v>
      </c>
      <c r="AS123" s="112">
        <v>2709.4278395240503</v>
      </c>
      <c r="AT123" s="112">
        <v>2709.4278395240503</v>
      </c>
      <c r="AU123" s="112">
        <v>2709.4278395240503</v>
      </c>
      <c r="AV123" s="112">
        <v>2709.4278395240503</v>
      </c>
      <c r="AW123" s="112">
        <v>2709.4278395240503</v>
      </c>
      <c r="AX123" s="112">
        <v>2709.4278395240503</v>
      </c>
      <c r="AY123" s="112">
        <v>2709.4278395240503</v>
      </c>
    </row>
    <row r="124" spans="1:52" x14ac:dyDescent="0.2">
      <c r="A124" s="115"/>
      <c r="B124" s="125">
        <v>3</v>
      </c>
      <c r="C124" s="112">
        <v>1963.2419977754864</v>
      </c>
      <c r="D124" s="112">
        <v>1963.2419977754864</v>
      </c>
      <c r="E124" s="112">
        <v>1963.2419977754864</v>
      </c>
      <c r="F124" s="112">
        <v>2208.6472474974221</v>
      </c>
      <c r="G124" s="112">
        <v>2208.6472474974221</v>
      </c>
      <c r="H124" s="112">
        <v>2208.6472474974221</v>
      </c>
      <c r="I124" s="112">
        <v>2208.6472474974221</v>
      </c>
      <c r="J124" s="112">
        <v>1963.2419977754864</v>
      </c>
      <c r="K124" s="112">
        <v>1963.2419977754864</v>
      </c>
      <c r="L124" s="112">
        <v>1963.2419977754864</v>
      </c>
      <c r="M124" s="112">
        <v>1963.2419977754864</v>
      </c>
      <c r="N124" s="112">
        <v>1963.2419977754864</v>
      </c>
      <c r="O124" s="112">
        <v>1963.2419977754864</v>
      </c>
      <c r="P124" s="112">
        <v>1963.2419977754864</v>
      </c>
      <c r="Q124" s="112">
        <v>1963.2419977754864</v>
      </c>
      <c r="R124" s="112">
        <v>2208.6472474974221</v>
      </c>
      <c r="S124" s="112">
        <v>2208.6472474974221</v>
      </c>
      <c r="T124" s="112">
        <v>2208.6472474974221</v>
      </c>
      <c r="U124" s="112">
        <v>2208.6472474974221</v>
      </c>
      <c r="V124" s="112">
        <v>1963.2419977754864</v>
      </c>
      <c r="W124" s="112">
        <v>1963.2419977754864</v>
      </c>
      <c r="X124" s="112">
        <v>1963.2419977754864</v>
      </c>
      <c r="Y124" s="112">
        <v>1963.2419977754864</v>
      </c>
      <c r="Z124" s="112">
        <v>1963.2419977754864</v>
      </c>
      <c r="AA124" s="112">
        <v>1963.2419977754864</v>
      </c>
      <c r="AB124" s="112">
        <v>1963.2419977754864</v>
      </c>
      <c r="AC124" s="112">
        <v>1963.2419977754864</v>
      </c>
      <c r="AD124" s="112">
        <v>2208.6472474974221</v>
      </c>
      <c r="AE124" s="112">
        <v>2208.6472474974221</v>
      </c>
      <c r="AF124" s="112">
        <v>2208.6472474974221</v>
      </c>
      <c r="AG124" s="112">
        <v>2208.6472474974221</v>
      </c>
      <c r="AH124" s="112">
        <v>1963.2419977754864</v>
      </c>
      <c r="AI124" s="112">
        <v>1963.2419977754864</v>
      </c>
      <c r="AJ124" s="112">
        <v>1963.2419977754864</v>
      </c>
      <c r="AK124" s="112">
        <v>1963.2419977754864</v>
      </c>
      <c r="AL124" s="112">
        <v>1963.2419977754864</v>
      </c>
      <c r="AM124" s="112">
        <v>1963.2419977754864</v>
      </c>
      <c r="AN124" s="112">
        <v>1963.2419977754864</v>
      </c>
      <c r="AO124" s="112">
        <v>1963.2419977754864</v>
      </c>
      <c r="AP124" s="112">
        <v>2208.6472474974221</v>
      </c>
      <c r="AQ124" s="112">
        <v>2208.6472474974221</v>
      </c>
      <c r="AR124" s="112">
        <v>2208.6472474974221</v>
      </c>
      <c r="AS124" s="112">
        <v>2208.6472474974221</v>
      </c>
      <c r="AT124" s="112">
        <v>1963.2419977754864</v>
      </c>
      <c r="AU124" s="112">
        <v>1963.2419977754864</v>
      </c>
      <c r="AV124" s="112">
        <v>1963.2419977754864</v>
      </c>
      <c r="AW124" s="112">
        <v>1963.2419977754864</v>
      </c>
      <c r="AX124" s="112">
        <v>1963.2419977754864</v>
      </c>
      <c r="AY124" s="112">
        <v>1963.2419977754864</v>
      </c>
    </row>
    <row r="125" spans="1:52" x14ac:dyDescent="0.2">
      <c r="A125" s="115"/>
      <c r="B125" s="125">
        <v>4</v>
      </c>
      <c r="C125" s="112">
        <v>1422.5583296975899</v>
      </c>
      <c r="D125" s="112">
        <v>1422.5583296975899</v>
      </c>
      <c r="E125" s="112">
        <v>1422.5583296975899</v>
      </c>
      <c r="F125" s="112">
        <v>1422.5583296975899</v>
      </c>
      <c r="G125" s="112">
        <v>1600.3781209097885</v>
      </c>
      <c r="H125" s="112">
        <v>1600.3781209097885</v>
      </c>
      <c r="I125" s="112">
        <v>1600.3781209097885</v>
      </c>
      <c r="J125" s="112">
        <v>1600.3781209097885</v>
      </c>
      <c r="K125" s="112">
        <v>1422.5583296975899</v>
      </c>
      <c r="L125" s="112">
        <v>1422.5583296975899</v>
      </c>
      <c r="M125" s="112">
        <v>1422.5583296975899</v>
      </c>
      <c r="N125" s="112">
        <v>1422.5583296975899</v>
      </c>
      <c r="O125" s="112">
        <v>1422.5583296975899</v>
      </c>
      <c r="P125" s="112">
        <v>1422.5583296975899</v>
      </c>
      <c r="Q125" s="112">
        <v>1422.5583296975899</v>
      </c>
      <c r="R125" s="112">
        <v>1422.5583296975899</v>
      </c>
      <c r="S125" s="112">
        <v>1600.3781209097885</v>
      </c>
      <c r="T125" s="112">
        <v>1600.3781209097885</v>
      </c>
      <c r="U125" s="112">
        <v>1600.3781209097885</v>
      </c>
      <c r="V125" s="112">
        <v>1600.3781209097885</v>
      </c>
      <c r="W125" s="112">
        <v>1422.5583296975899</v>
      </c>
      <c r="X125" s="112">
        <v>1422.5583296975899</v>
      </c>
      <c r="Y125" s="112">
        <v>1422.5583296975899</v>
      </c>
      <c r="Z125" s="112">
        <v>1422.5583296975899</v>
      </c>
      <c r="AA125" s="112">
        <v>1422.5583296975899</v>
      </c>
      <c r="AB125" s="112">
        <v>1422.5583296975899</v>
      </c>
      <c r="AC125" s="112">
        <v>1422.5583296975899</v>
      </c>
      <c r="AD125" s="112">
        <v>1422.5583296975899</v>
      </c>
      <c r="AE125" s="112">
        <v>1320.5383478909616</v>
      </c>
      <c r="AF125" s="112">
        <v>1278.2356191733361</v>
      </c>
      <c r="AG125" s="112">
        <v>1600.3781209097885</v>
      </c>
      <c r="AH125" s="112">
        <v>1600.3781209097885</v>
      </c>
      <c r="AI125" s="112">
        <v>1422.5583296975899</v>
      </c>
      <c r="AJ125" s="112">
        <v>1422.5583296975899</v>
      </c>
      <c r="AK125" s="112">
        <v>1422.5583296975899</v>
      </c>
      <c r="AL125" s="112">
        <v>1422.5583296975899</v>
      </c>
      <c r="AM125" s="112">
        <v>1422.5583296975899</v>
      </c>
      <c r="AN125" s="112">
        <v>1422.5583296975899</v>
      </c>
      <c r="AO125" s="112">
        <v>1422.5583296975899</v>
      </c>
      <c r="AP125" s="112">
        <v>1422.5583296975899</v>
      </c>
      <c r="AQ125" s="112">
        <v>1600.3781209097885</v>
      </c>
      <c r="AR125" s="112">
        <v>1600.3781209097885</v>
      </c>
      <c r="AS125" s="112">
        <v>1600.3781209097885</v>
      </c>
      <c r="AT125" s="112">
        <v>1600.3781209097885</v>
      </c>
      <c r="AU125" s="112">
        <v>1422.5583296975899</v>
      </c>
      <c r="AV125" s="112">
        <v>1422.5583296975899</v>
      </c>
      <c r="AW125" s="112">
        <v>1422.5583296975899</v>
      </c>
      <c r="AX125" s="112">
        <v>1422.5583296975899</v>
      </c>
      <c r="AY125" s="112">
        <v>1422.5583296975899</v>
      </c>
    </row>
    <row r="126" spans="1:52" x14ac:dyDescent="0.2">
      <c r="A126" s="115"/>
      <c r="B126" s="125">
        <v>5</v>
      </c>
      <c r="C126" s="112">
        <v>1030.7808225807023</v>
      </c>
      <c r="D126" s="112">
        <v>1030.7808225807023</v>
      </c>
      <c r="E126" s="112">
        <v>1030.7808225807023</v>
      </c>
      <c r="F126" s="112">
        <v>1030.7808225807023</v>
      </c>
      <c r="G126" s="112">
        <v>1030.7808225807023</v>
      </c>
      <c r="H126" s="112">
        <v>1159.6284254032898</v>
      </c>
      <c r="I126" s="112">
        <v>1159.6284254032898</v>
      </c>
      <c r="J126" s="112">
        <v>1159.6284254032898</v>
      </c>
      <c r="K126" s="112">
        <v>1159.6284254032898</v>
      </c>
      <c r="L126" s="112">
        <v>1030.7808225807023</v>
      </c>
      <c r="M126" s="112">
        <v>1030.7808225807023</v>
      </c>
      <c r="N126" s="112">
        <v>1030.7808225807023</v>
      </c>
      <c r="O126" s="112">
        <v>1030.7808225807023</v>
      </c>
      <c r="P126" s="112">
        <v>1030.7808225807023</v>
      </c>
      <c r="Q126" s="112">
        <v>1030.7808225807023</v>
      </c>
      <c r="R126" s="112">
        <v>1030.7808225807023</v>
      </c>
      <c r="S126" s="112">
        <v>1030.7808225807023</v>
      </c>
      <c r="T126" s="112">
        <v>1159.6284254032898</v>
      </c>
      <c r="U126" s="112">
        <v>1159.6284254032898</v>
      </c>
      <c r="V126" s="112">
        <v>1159.6284254032898</v>
      </c>
      <c r="W126" s="112">
        <v>1159.6284254032898</v>
      </c>
      <c r="X126" s="112">
        <v>1030.7808225807023</v>
      </c>
      <c r="Y126" s="112">
        <v>1030.7808225807023</v>
      </c>
      <c r="Z126" s="112">
        <v>1030.7808225807023</v>
      </c>
      <c r="AA126" s="112">
        <v>1030.7808225807023</v>
      </c>
      <c r="AB126" s="112">
        <v>938.31823120867443</v>
      </c>
      <c r="AC126" s="112">
        <v>586.68295243808132</v>
      </c>
      <c r="AD126" s="112">
        <v>99.88925130626285</v>
      </c>
      <c r="AE126" s="112">
        <v>0</v>
      </c>
      <c r="AF126" s="112">
        <v>0</v>
      </c>
      <c r="AG126" s="112">
        <v>729.20508802864936</v>
      </c>
      <c r="AH126" s="112">
        <v>1159.6284254032898</v>
      </c>
      <c r="AI126" s="112">
        <v>1159.6284254032898</v>
      </c>
      <c r="AJ126" s="112">
        <v>1030.7808225807023</v>
      </c>
      <c r="AK126" s="112">
        <v>1030.7808225807023</v>
      </c>
      <c r="AL126" s="112">
        <v>1030.7808225807023</v>
      </c>
      <c r="AM126" s="112">
        <v>1030.7808225807023</v>
      </c>
      <c r="AN126" s="112">
        <v>1030.7808225807023</v>
      </c>
      <c r="AO126" s="112">
        <v>1030.7808225807023</v>
      </c>
      <c r="AP126" s="112">
        <v>1030.7808225807023</v>
      </c>
      <c r="AQ126" s="112">
        <v>1030.7808225807023</v>
      </c>
      <c r="AR126" s="112">
        <v>1159.6284254032898</v>
      </c>
      <c r="AS126" s="112">
        <v>1159.6284254032898</v>
      </c>
      <c r="AT126" s="112">
        <v>1159.6284254032898</v>
      </c>
      <c r="AU126" s="112">
        <v>1159.6284254032898</v>
      </c>
      <c r="AV126" s="112">
        <v>1030.7808225807023</v>
      </c>
      <c r="AW126" s="112">
        <v>1030.7808225807023</v>
      </c>
      <c r="AX126" s="112">
        <v>1030.7808225807023</v>
      </c>
      <c r="AY126" s="112">
        <v>1030.7808225807023</v>
      </c>
    </row>
    <row r="127" spans="1:52" x14ac:dyDescent="0.2">
      <c r="A127" s="115"/>
      <c r="B127" s="125">
        <v>6</v>
      </c>
      <c r="C127" s="112">
        <v>746.9002022757262</v>
      </c>
      <c r="D127" s="112">
        <v>746.9002022757262</v>
      </c>
      <c r="E127" s="112">
        <v>746.9002022757262</v>
      </c>
      <c r="F127" s="112">
        <v>746.9002022757262</v>
      </c>
      <c r="G127" s="112">
        <v>746.9002022757262</v>
      </c>
      <c r="H127" s="112">
        <v>746.9002022757262</v>
      </c>
      <c r="I127" s="112">
        <v>840.26272756019182</v>
      </c>
      <c r="J127" s="112">
        <v>840.26272756019182</v>
      </c>
      <c r="K127" s="112">
        <v>840.26272756019182</v>
      </c>
      <c r="L127" s="112">
        <v>840.26272756019182</v>
      </c>
      <c r="M127" s="112">
        <v>746.9002022757262</v>
      </c>
      <c r="N127" s="112">
        <v>746.9002022757262</v>
      </c>
      <c r="O127" s="112">
        <v>746.9002022757262</v>
      </c>
      <c r="P127" s="112">
        <v>746.9002022757262</v>
      </c>
      <c r="Q127" s="112">
        <v>746.9002022757262</v>
      </c>
      <c r="R127" s="112">
        <v>746.9002022757262</v>
      </c>
      <c r="S127" s="112">
        <v>746.9002022757262</v>
      </c>
      <c r="T127" s="112">
        <v>746.9002022757262</v>
      </c>
      <c r="U127" s="112">
        <v>840.26272756019182</v>
      </c>
      <c r="V127" s="112">
        <v>840.26272756019182</v>
      </c>
      <c r="W127" s="112">
        <v>840.26272756019182</v>
      </c>
      <c r="X127" s="112">
        <v>840.26272756019182</v>
      </c>
      <c r="Y127" s="112">
        <v>746.9002022757262</v>
      </c>
      <c r="Z127" s="112">
        <v>420.28015003112137</v>
      </c>
      <c r="AA127" s="112">
        <v>253.43373859512212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272.37947293731838</v>
      </c>
      <c r="AI127" s="112">
        <v>805.62794718398914</v>
      </c>
      <c r="AJ127" s="112">
        <v>840.26272756019182</v>
      </c>
      <c r="AK127" s="112">
        <v>746.9002022757262</v>
      </c>
      <c r="AL127" s="112">
        <v>746.9002022757262</v>
      </c>
      <c r="AM127" s="112">
        <v>746.9002022757262</v>
      </c>
      <c r="AN127" s="112">
        <v>746.9002022757262</v>
      </c>
      <c r="AO127" s="112">
        <v>746.9002022757262</v>
      </c>
      <c r="AP127" s="112">
        <v>746.9002022757262</v>
      </c>
      <c r="AQ127" s="112">
        <v>746.9002022757262</v>
      </c>
      <c r="AR127" s="112">
        <v>746.9002022757262</v>
      </c>
      <c r="AS127" s="112">
        <v>840.26272756019182</v>
      </c>
      <c r="AT127" s="112">
        <v>840.26272756019182</v>
      </c>
      <c r="AU127" s="112">
        <v>840.26272756019182</v>
      </c>
      <c r="AV127" s="112">
        <v>840.26272756019182</v>
      </c>
      <c r="AW127" s="112">
        <v>746.9002022757262</v>
      </c>
      <c r="AX127" s="112">
        <v>746.9002022757262</v>
      </c>
      <c r="AY127" s="112">
        <v>746.9002022757262</v>
      </c>
    </row>
    <row r="128" spans="1:52" x14ac:dyDescent="0.2">
      <c r="A128" s="115"/>
      <c r="B128" s="125">
        <v>7</v>
      </c>
      <c r="C128" s="112">
        <v>541.20129123361198</v>
      </c>
      <c r="D128" s="112">
        <v>541.20129123361198</v>
      </c>
      <c r="E128" s="112">
        <v>541.20129123361198</v>
      </c>
      <c r="F128" s="112">
        <v>541.20129123361198</v>
      </c>
      <c r="G128" s="112">
        <v>541.20129123361198</v>
      </c>
      <c r="H128" s="112">
        <v>485.55028943925396</v>
      </c>
      <c r="I128" s="112">
        <v>409.02934376688745</v>
      </c>
      <c r="J128" s="112">
        <v>506.23269383254569</v>
      </c>
      <c r="K128" s="112">
        <v>590.6659035270676</v>
      </c>
      <c r="L128" s="112">
        <v>530.84591388245997</v>
      </c>
      <c r="M128" s="112">
        <v>608.85145263781328</v>
      </c>
      <c r="N128" s="112">
        <v>541.20129123361198</v>
      </c>
      <c r="O128" s="112">
        <v>541.20129123361198</v>
      </c>
      <c r="P128" s="112">
        <v>541.20129123361198</v>
      </c>
      <c r="Q128" s="112">
        <v>541.20129123361198</v>
      </c>
      <c r="R128" s="112">
        <v>541.20129123361198</v>
      </c>
      <c r="S128" s="112">
        <v>541.20129123361198</v>
      </c>
      <c r="T128" s="112">
        <v>541.20129123361198</v>
      </c>
      <c r="U128" s="112">
        <v>541.20129123361198</v>
      </c>
      <c r="V128" s="112">
        <v>540.16288267171899</v>
      </c>
      <c r="W128" s="112">
        <v>424.25160045901453</v>
      </c>
      <c r="X128" s="112">
        <v>480.26268813722982</v>
      </c>
      <c r="Y128" s="112">
        <v>27.848127641045494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350.75521112645572</v>
      </c>
      <c r="AK128" s="112">
        <v>608.85145263781328</v>
      </c>
      <c r="AL128" s="112">
        <v>541.20129123361198</v>
      </c>
      <c r="AM128" s="112">
        <v>541.20129123361198</v>
      </c>
      <c r="AN128" s="112">
        <v>541.20129123361198</v>
      </c>
      <c r="AO128" s="112">
        <v>541.20129123361198</v>
      </c>
      <c r="AP128" s="112">
        <v>541.20129123361198</v>
      </c>
      <c r="AQ128" s="112">
        <v>541.20129123361198</v>
      </c>
      <c r="AR128" s="112">
        <v>541.20129123361198</v>
      </c>
      <c r="AS128" s="112">
        <v>311.20625720391229</v>
      </c>
      <c r="AT128" s="112">
        <v>349.35042522553374</v>
      </c>
      <c r="AU128" s="112">
        <v>155.98955683031079</v>
      </c>
      <c r="AV128" s="112">
        <v>96.880943483175088</v>
      </c>
      <c r="AW128" s="112">
        <v>445.05104764296908</v>
      </c>
      <c r="AX128" s="112">
        <v>541.20129123361198</v>
      </c>
      <c r="AY128" s="112">
        <v>541.20129123361198</v>
      </c>
    </row>
    <row r="129" spans="1:51" x14ac:dyDescent="0.2">
      <c r="A129" s="115"/>
      <c r="B129" s="125">
        <v>8</v>
      </c>
      <c r="C129" s="112">
        <v>88.686052413504171</v>
      </c>
      <c r="D129" s="112">
        <v>191.41418046862941</v>
      </c>
      <c r="E129" s="112">
        <v>129.85062509677203</v>
      </c>
      <c r="F129" s="112">
        <v>40.241886795906794</v>
      </c>
      <c r="G129" s="112">
        <v>11.311706396330294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133.6491046111891</v>
      </c>
      <c r="N129" s="112">
        <v>279.013323735173</v>
      </c>
      <c r="O129" s="112">
        <v>321.32465991743754</v>
      </c>
      <c r="P129" s="112">
        <v>363.98330709130403</v>
      </c>
      <c r="Q129" s="112">
        <v>266.89361460284601</v>
      </c>
      <c r="R129" s="112">
        <v>230.54276079382507</v>
      </c>
      <c r="S129" s="112">
        <v>228.2030584360744</v>
      </c>
      <c r="T129" s="112">
        <v>187.50771823766658</v>
      </c>
      <c r="U129" s="112">
        <v>14.020016138425603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23.156007174943227</v>
      </c>
      <c r="AL129" s="112">
        <v>221.95040927525417</v>
      </c>
      <c r="AM129" s="112">
        <v>341.97707038249644</v>
      </c>
      <c r="AN129" s="112">
        <v>374.94797195110857</v>
      </c>
      <c r="AO129" s="112">
        <v>252.83857266014672</v>
      </c>
      <c r="AP129" s="112">
        <v>93.358526240728281</v>
      </c>
      <c r="AQ129" s="112">
        <v>23.799838767882932</v>
      </c>
      <c r="AR129" s="112">
        <v>27.397855528196999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14.482442654808324</v>
      </c>
      <c r="AY129" s="112">
        <v>58.646502680832953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0.27540347480877819</v>
      </c>
      <c r="D172" s="140">
        <v>0.27540347480877819</v>
      </c>
      <c r="E172" s="140">
        <v>0.27540347480877819</v>
      </c>
      <c r="F172" s="140">
        <v>0.27540347480877819</v>
      </c>
      <c r="G172" s="140">
        <v>0.27540347480877819</v>
      </c>
      <c r="H172" s="140">
        <v>0.27540347480877819</v>
      </c>
      <c r="I172" s="140">
        <v>0.27540347480877819</v>
      </c>
      <c r="J172" s="140">
        <v>0.27540347480877819</v>
      </c>
      <c r="K172" s="140">
        <v>0.27540347480877819</v>
      </c>
      <c r="L172" s="140">
        <v>0.27540347480877819</v>
      </c>
      <c r="M172" s="140">
        <v>0.27540347480877819</v>
      </c>
      <c r="N172" s="140">
        <v>0.27540347480877819</v>
      </c>
      <c r="O172" s="140">
        <v>0.27540347480877819</v>
      </c>
      <c r="P172" s="140">
        <v>0.27540347480877819</v>
      </c>
      <c r="Q172" s="140">
        <v>0.27540347480877819</v>
      </c>
      <c r="R172" s="140">
        <v>0.27540347480877819</v>
      </c>
      <c r="S172" s="140">
        <v>0.27540347480877819</v>
      </c>
      <c r="T172" s="140">
        <v>0.27540347480877819</v>
      </c>
      <c r="U172" s="140">
        <v>0.27540347480877819</v>
      </c>
      <c r="V172" s="140">
        <v>0.27540347480877819</v>
      </c>
      <c r="W172" s="140">
        <v>0.27540347480877819</v>
      </c>
      <c r="X172" s="140">
        <v>0.27540347480877819</v>
      </c>
      <c r="Y172" s="140">
        <v>0.27540347480877819</v>
      </c>
      <c r="Z172" s="140">
        <v>0.27540347480877819</v>
      </c>
      <c r="AA172" s="140">
        <v>0.27540347480877819</v>
      </c>
      <c r="AB172" s="140">
        <v>0.27540347480877819</v>
      </c>
      <c r="AC172" s="140">
        <v>0.27540347480877819</v>
      </c>
      <c r="AD172" s="140">
        <v>0.27540347480877819</v>
      </c>
      <c r="AE172" s="140">
        <v>0.27540347480877819</v>
      </c>
      <c r="AF172" s="140">
        <v>0.27540347480877819</v>
      </c>
      <c r="AG172" s="140">
        <v>0.27540347480877819</v>
      </c>
      <c r="AH172" s="140">
        <v>0.27540347480877819</v>
      </c>
      <c r="AI172" s="140">
        <v>0.27540347480877819</v>
      </c>
      <c r="AJ172" s="140">
        <v>0.27540347480877819</v>
      </c>
      <c r="AK172" s="140">
        <v>0.27540347480877819</v>
      </c>
      <c r="AL172" s="140">
        <v>0.27540347480877819</v>
      </c>
      <c r="AM172" s="140">
        <v>0.27540347480877819</v>
      </c>
      <c r="AN172" s="140">
        <v>0.27540347480877819</v>
      </c>
      <c r="AO172" s="140">
        <v>0.27540347480877819</v>
      </c>
      <c r="AP172" s="140">
        <v>0.27540347480877819</v>
      </c>
      <c r="AQ172" s="140">
        <v>0.27540347480877819</v>
      </c>
      <c r="AR172" s="140">
        <v>0.27540347480877819</v>
      </c>
      <c r="AS172" s="140">
        <v>0.27540347480877819</v>
      </c>
      <c r="AT172" s="140">
        <v>0.27540347480877819</v>
      </c>
      <c r="AU172" s="140">
        <v>0.27540347480877819</v>
      </c>
      <c r="AV172" s="140">
        <v>0.27540347480877819</v>
      </c>
      <c r="AW172" s="140">
        <v>0.27540347480877819</v>
      </c>
      <c r="AX172" s="140">
        <v>0.27540347480877819</v>
      </c>
      <c r="AY172" s="140">
        <v>0.27540347480877819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0</v>
      </c>
      <c r="E175" s="130">
        <f t="shared" si="1"/>
        <v>0</v>
      </c>
      <c r="F175" s="130">
        <f t="shared" si="1"/>
        <v>0</v>
      </c>
      <c r="G175" s="130">
        <f t="shared" si="1"/>
        <v>0</v>
      </c>
      <c r="H175" s="130">
        <f t="shared" si="1"/>
        <v>0</v>
      </c>
      <c r="I175" s="130">
        <f t="shared" si="1"/>
        <v>0</v>
      </c>
      <c r="J175" s="130">
        <f t="shared" si="1"/>
        <v>0</v>
      </c>
      <c r="K175" s="130">
        <f t="shared" si="1"/>
        <v>0</v>
      </c>
      <c r="L175" s="130">
        <f t="shared" si="1"/>
        <v>0</v>
      </c>
      <c r="M175" s="130">
        <f t="shared" si="1"/>
        <v>0</v>
      </c>
      <c r="N175" s="130">
        <f t="shared" si="1"/>
        <v>0</v>
      </c>
      <c r="O175" s="130">
        <f t="shared" si="1"/>
        <v>0</v>
      </c>
      <c r="P175" s="130">
        <f t="shared" si="1"/>
        <v>0</v>
      </c>
      <c r="Q175" s="130">
        <f t="shared" si="1"/>
        <v>0</v>
      </c>
      <c r="R175" s="130">
        <f t="shared" si="1"/>
        <v>0</v>
      </c>
      <c r="S175" s="130">
        <f t="shared" si="1"/>
        <v>0</v>
      </c>
      <c r="T175" s="130">
        <f t="shared" si="1"/>
        <v>0</v>
      </c>
      <c r="U175" s="130">
        <f t="shared" si="1"/>
        <v>0</v>
      </c>
      <c r="V175" s="130">
        <f t="shared" si="1"/>
        <v>0</v>
      </c>
      <c r="W175" s="130">
        <f t="shared" si="1"/>
        <v>0</v>
      </c>
      <c r="X175" s="130">
        <f t="shared" si="1"/>
        <v>0</v>
      </c>
      <c r="Y175" s="130">
        <f t="shared" si="1"/>
        <v>0</v>
      </c>
      <c r="Z175" s="130">
        <f t="shared" si="1"/>
        <v>0</v>
      </c>
      <c r="AA175" s="130">
        <f t="shared" si="1"/>
        <v>495.47603635228552</v>
      </c>
      <c r="AB175" s="130">
        <f t="shared" si="1"/>
        <v>0</v>
      </c>
      <c r="AC175" s="130">
        <f t="shared" si="1"/>
        <v>1224.8803286285292</v>
      </c>
      <c r="AD175" s="130">
        <f t="shared" si="1"/>
        <v>0</v>
      </c>
      <c r="AE175" s="130">
        <f t="shared" si="1"/>
        <v>0</v>
      </c>
      <c r="AF175" s="130">
        <f t="shared" si="1"/>
        <v>2377.3917474535765</v>
      </c>
      <c r="AG175" s="130">
        <f t="shared" si="1"/>
        <v>0</v>
      </c>
      <c r="AH175" s="130">
        <f t="shared" si="1"/>
        <v>2024.7750328447319</v>
      </c>
      <c r="AI175" s="130">
        <f t="shared" si="1"/>
        <v>1702.9211517323411</v>
      </c>
      <c r="AJ175" s="130">
        <f t="shared" si="1"/>
        <v>1432.2614480753136</v>
      </c>
      <c r="AK175" s="130">
        <f t="shared" si="1"/>
        <v>1222.2959726040517</v>
      </c>
      <c r="AL175" s="130">
        <f t="shared" si="1"/>
        <v>999.88026727329907</v>
      </c>
      <c r="AM175" s="130">
        <f t="shared" si="1"/>
        <v>1495.4296369772455</v>
      </c>
      <c r="AN175" s="130">
        <f t="shared" si="1"/>
        <v>211.27271161346289</v>
      </c>
      <c r="AO175" s="130">
        <f t="shared" si="1"/>
        <v>0</v>
      </c>
      <c r="AP175" s="130">
        <f t="shared" si="1"/>
        <v>0</v>
      </c>
      <c r="AQ175" s="130">
        <f t="shared" si="1"/>
        <v>0</v>
      </c>
      <c r="AR175" s="130">
        <f t="shared" si="1"/>
        <v>0</v>
      </c>
      <c r="AS175" s="130">
        <f t="shared" si="1"/>
        <v>0</v>
      </c>
      <c r="AT175" s="130">
        <f t="shared" si="1"/>
        <v>0</v>
      </c>
      <c r="AU175" s="130">
        <f t="shared" si="1"/>
        <v>0</v>
      </c>
      <c r="AV175" s="130">
        <f t="shared" si="1"/>
        <v>0</v>
      </c>
      <c r="AW175" s="130">
        <f t="shared" si="1"/>
        <v>0</v>
      </c>
      <c r="AX175" s="130">
        <f t="shared" si="1"/>
        <v>0</v>
      </c>
      <c r="AY175" s="130">
        <f t="shared" si="1"/>
        <v>0</v>
      </c>
    </row>
    <row r="176" spans="1:52" x14ac:dyDescent="0.2">
      <c r="A176" s="131"/>
      <c r="B176" s="142" t="s">
        <v>299</v>
      </c>
      <c r="C176" s="131" t="s">
        <v>293</v>
      </c>
      <c r="D176" s="131">
        <v>0</v>
      </c>
      <c r="E176" s="131">
        <v>0</v>
      </c>
      <c r="F176" s="131">
        <v>0</v>
      </c>
      <c r="G176" s="131">
        <v>0</v>
      </c>
      <c r="H176" s="131">
        <v>0</v>
      </c>
      <c r="I176" s="131">
        <v>0</v>
      </c>
      <c r="J176" s="131">
        <v>0</v>
      </c>
      <c r="K176" s="131">
        <v>0</v>
      </c>
      <c r="L176" s="131">
        <v>0</v>
      </c>
      <c r="M176" s="131">
        <v>0</v>
      </c>
      <c r="N176" s="131">
        <v>0</v>
      </c>
      <c r="O176" s="131">
        <v>0</v>
      </c>
      <c r="P176" s="131">
        <v>0</v>
      </c>
      <c r="Q176" s="131">
        <v>0</v>
      </c>
      <c r="R176" s="131">
        <v>0</v>
      </c>
      <c r="S176" s="131">
        <v>0</v>
      </c>
      <c r="T176" s="131">
        <v>0</v>
      </c>
      <c r="U176" s="131">
        <v>0</v>
      </c>
      <c r="V176" s="131">
        <v>0</v>
      </c>
      <c r="W176" s="131">
        <v>0</v>
      </c>
      <c r="X176" s="131">
        <v>0</v>
      </c>
      <c r="Y176" s="131">
        <v>0</v>
      </c>
      <c r="Z176" s="131">
        <v>0</v>
      </c>
      <c r="AA176" s="131">
        <v>495.47603635228552</v>
      </c>
      <c r="AB176" s="131">
        <v>0</v>
      </c>
      <c r="AC176" s="131">
        <v>158</v>
      </c>
      <c r="AD176" s="131">
        <v>0</v>
      </c>
      <c r="AE176" s="131">
        <v>0</v>
      </c>
      <c r="AF176" s="131">
        <v>244</v>
      </c>
      <c r="AG176" s="131">
        <v>0</v>
      </c>
      <c r="AH176" s="131">
        <v>180</v>
      </c>
      <c r="AI176" s="131">
        <v>212</v>
      </c>
      <c r="AJ176" s="131">
        <v>270</v>
      </c>
      <c r="AK176" s="131">
        <v>276</v>
      </c>
      <c r="AL176" s="131">
        <v>306</v>
      </c>
      <c r="AM176" s="131">
        <v>210</v>
      </c>
      <c r="AN176" s="131">
        <v>211.27271161346289</v>
      </c>
      <c r="AO176" s="131">
        <v>0</v>
      </c>
      <c r="AP176" s="131">
        <v>0</v>
      </c>
      <c r="AQ176" s="131">
        <v>0</v>
      </c>
      <c r="AR176" s="131">
        <v>0</v>
      </c>
      <c r="AS176" s="131">
        <v>0</v>
      </c>
      <c r="AT176" s="131">
        <v>0</v>
      </c>
      <c r="AU176" s="131">
        <v>0</v>
      </c>
      <c r="AV176" s="131">
        <v>0</v>
      </c>
      <c r="AW176" s="131">
        <v>0</v>
      </c>
      <c r="AX176" s="131">
        <v>0</v>
      </c>
      <c r="AY176" s="131">
        <v>0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12345.009718729325</v>
      </c>
      <c r="E177" s="130">
        <f t="shared" si="2"/>
        <v>12190.287504666383</v>
      </c>
      <c r="F177" s="130">
        <f t="shared" si="2"/>
        <v>12064.119305879431</v>
      </c>
      <c r="G177" s="130">
        <f t="shared" si="2"/>
        <v>11872.5988221068</v>
      </c>
      <c r="H177" s="130">
        <f t="shared" si="2"/>
        <v>11896.055567552747</v>
      </c>
      <c r="I177" s="130">
        <f t="shared" si="2"/>
        <v>11912.024569172936</v>
      </c>
      <c r="J177" s="130">
        <f t="shared" si="2"/>
        <v>10058.093684240657</v>
      </c>
      <c r="K177" s="130">
        <f t="shared" si="2"/>
        <v>11851.88778828815</v>
      </c>
      <c r="L177" s="130">
        <f t="shared" si="2"/>
        <v>11898.761347821166</v>
      </c>
      <c r="M177" s="130">
        <f t="shared" si="2"/>
        <v>9813.6506323365211</v>
      </c>
      <c r="N177" s="130">
        <f t="shared" si="2"/>
        <v>12032.264523477254</v>
      </c>
      <c r="O177" s="130">
        <f t="shared" si="2"/>
        <v>12043.037738851868</v>
      </c>
      <c r="P177" s="130">
        <f t="shared" si="2"/>
        <v>10034.434485694646</v>
      </c>
      <c r="Q177" s="130">
        <f t="shared" si="2"/>
        <v>11815.210237864439</v>
      </c>
      <c r="R177" s="130">
        <f t="shared" si="2"/>
        <v>11675.740646231525</v>
      </c>
      <c r="S177" s="130">
        <f t="shared" si="2"/>
        <v>11522.258639151194</v>
      </c>
      <c r="T177" s="130">
        <f t="shared" si="2"/>
        <v>11580.249277932642</v>
      </c>
      <c r="U177" s="130">
        <f t="shared" si="2"/>
        <v>9576.0525730709342</v>
      </c>
      <c r="V177" s="130">
        <f t="shared" si="2"/>
        <v>11687.251108235501</v>
      </c>
      <c r="W177" s="130">
        <f t="shared" si="2"/>
        <v>11712.120050287514</v>
      </c>
      <c r="X177" s="130">
        <f t="shared" si="2"/>
        <v>11799.709578028127</v>
      </c>
      <c r="Y177" s="130">
        <f t="shared" si="2"/>
        <v>12020.047413176984</v>
      </c>
      <c r="Z177" s="130">
        <f t="shared" si="2"/>
        <v>12343.784117118754</v>
      </c>
      <c r="AA177" s="130">
        <f t="shared" si="2"/>
        <v>10898.80981520272</v>
      </c>
      <c r="AB177" s="130">
        <f t="shared" si="2"/>
        <v>13278.262441952767</v>
      </c>
      <c r="AC177" s="130">
        <f t="shared" si="2"/>
        <v>11123.56695234934</v>
      </c>
      <c r="AD177" s="130">
        <f t="shared" si="2"/>
        <v>13942.921574103093</v>
      </c>
      <c r="AE177" s="130">
        <f t="shared" si="2"/>
        <v>14324.768777427234</v>
      </c>
      <c r="AF177" s="130">
        <f t="shared" si="2"/>
        <v>11814.471438354878</v>
      </c>
      <c r="AG177" s="130">
        <f t="shared" si="2"/>
        <v>14817.599128986467</v>
      </c>
      <c r="AH177" s="130">
        <f t="shared" si="2"/>
        <v>11818.064174830579</v>
      </c>
      <c r="AI177" s="130">
        <f t="shared" si="2"/>
        <v>11693.766705287457</v>
      </c>
      <c r="AJ177" s="130">
        <f t="shared" si="2"/>
        <v>11613.620621131997</v>
      </c>
      <c r="AK177" s="130">
        <f t="shared" si="2"/>
        <v>11497.21240895377</v>
      </c>
      <c r="AL177" s="130">
        <f t="shared" si="2"/>
        <v>11374.380529502345</v>
      </c>
      <c r="AM177" s="130">
        <f t="shared" si="2"/>
        <v>10256.380529502345</v>
      </c>
      <c r="AN177" s="130">
        <f t="shared" si="2"/>
        <v>10939.163728308731</v>
      </c>
      <c r="AO177" s="130">
        <f t="shared" si="2"/>
        <v>12189.439257116755</v>
      </c>
      <c r="AP177" s="130">
        <f t="shared" si="2"/>
        <v>10147.028052293801</v>
      </c>
      <c r="AQ177" s="130">
        <f t="shared" si="2"/>
        <v>11691.37588441242</v>
      </c>
      <c r="AR177" s="130">
        <f t="shared" si="2"/>
        <v>11697.031567864447</v>
      </c>
      <c r="AS177" s="130">
        <f t="shared" si="2"/>
        <v>10090.319978119347</v>
      </c>
      <c r="AT177" s="130">
        <f t="shared" si="2"/>
        <v>10166.808658793712</v>
      </c>
      <c r="AU177" s="130">
        <f t="shared" si="2"/>
        <v>10306.387268166405</v>
      </c>
      <c r="AV177" s="130">
        <f t="shared" si="2"/>
        <v>10427.265938335093</v>
      </c>
      <c r="AW177" s="130">
        <f t="shared" si="2"/>
        <v>10414.870630810812</v>
      </c>
      <c r="AX177" s="130">
        <f t="shared" si="2"/>
        <v>10584.219547117933</v>
      </c>
      <c r="AY177" s="130">
        <f t="shared" si="2"/>
        <v>10718.502767384147</v>
      </c>
    </row>
    <row r="178" spans="1:51" x14ac:dyDescent="0.2">
      <c r="A178" s="131"/>
      <c r="B178" s="142" t="s">
        <v>299</v>
      </c>
      <c r="C178" s="131" t="s">
        <v>293</v>
      </c>
      <c r="D178" s="131">
        <v>1135</v>
      </c>
      <c r="E178" s="131">
        <v>1033</v>
      </c>
      <c r="F178" s="131">
        <v>828</v>
      </c>
      <c r="G178" s="131">
        <v>1023</v>
      </c>
      <c r="H178" s="131">
        <v>1163</v>
      </c>
      <c r="I178" s="131">
        <v>1012</v>
      </c>
      <c r="J178" s="131">
        <v>1244</v>
      </c>
      <c r="K178" s="131">
        <v>1014</v>
      </c>
      <c r="L178" s="131">
        <v>1754</v>
      </c>
      <c r="M178" s="131">
        <v>1462</v>
      </c>
      <c r="N178" s="131">
        <v>1640</v>
      </c>
      <c r="O178" s="131">
        <v>1466</v>
      </c>
      <c r="P178" s="131">
        <v>642</v>
      </c>
      <c r="Q178" s="131">
        <v>606</v>
      </c>
      <c r="R178" s="131">
        <v>600</v>
      </c>
      <c r="S178" s="131">
        <v>546</v>
      </c>
      <c r="T178" s="131">
        <v>1314</v>
      </c>
      <c r="U178" s="131">
        <v>978</v>
      </c>
      <c r="V178" s="131">
        <v>1076</v>
      </c>
      <c r="W178" s="131">
        <v>932</v>
      </c>
      <c r="X178" s="131">
        <v>1862</v>
      </c>
      <c r="Y178" s="131">
        <v>2151</v>
      </c>
      <c r="Z178" s="131">
        <v>1427</v>
      </c>
      <c r="AA178" s="131">
        <v>1614</v>
      </c>
      <c r="AB178" s="131">
        <v>539</v>
      </c>
      <c r="AC178" s="131">
        <v>485</v>
      </c>
      <c r="AD178" s="131">
        <v>732</v>
      </c>
      <c r="AE178" s="131">
        <v>655</v>
      </c>
      <c r="AF178" s="131">
        <v>1274</v>
      </c>
      <c r="AG178" s="131">
        <v>1140</v>
      </c>
      <c r="AH178" s="131">
        <v>1427</v>
      </c>
      <c r="AI178" s="131">
        <v>1396</v>
      </c>
      <c r="AJ178" s="131">
        <v>728</v>
      </c>
      <c r="AK178" s="131">
        <v>948</v>
      </c>
      <c r="AL178" s="131">
        <v>1118</v>
      </c>
      <c r="AM178" s="131">
        <v>1034</v>
      </c>
      <c r="AN178" s="131">
        <v>1084</v>
      </c>
      <c r="AO178" s="131">
        <v>1356</v>
      </c>
      <c r="AP178" s="131">
        <v>1276</v>
      </c>
      <c r="AQ178" s="131">
        <v>1205</v>
      </c>
      <c r="AR178" s="131">
        <v>687</v>
      </c>
      <c r="AS178" s="131">
        <v>563</v>
      </c>
      <c r="AT178" s="131">
        <v>612</v>
      </c>
      <c r="AU178" s="131">
        <v>584</v>
      </c>
      <c r="AV178" s="131">
        <v>848</v>
      </c>
      <c r="AW178" s="131">
        <v>675</v>
      </c>
      <c r="AX178" s="131">
        <v>695</v>
      </c>
      <c r="AY178" s="131">
        <v>622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24842.839980557485</v>
      </c>
      <c r="E179" s="130">
        <f t="shared" si="3"/>
        <v>24720.447270051787</v>
      </c>
      <c r="F179" s="130">
        <f t="shared" si="3"/>
        <v>24690.818957417661</v>
      </c>
      <c r="G179" s="130">
        <f t="shared" si="3"/>
        <v>24733.449830377671</v>
      </c>
      <c r="H179" s="130">
        <f t="shared" si="3"/>
        <v>25115.511038872864</v>
      </c>
      <c r="I179" s="130">
        <f t="shared" si="3"/>
        <v>25421.378937581088</v>
      </c>
      <c r="J179" s="130">
        <f t="shared" si="3"/>
        <v>27423.511722169638</v>
      </c>
      <c r="K179" s="130">
        <f t="shared" si="3"/>
        <v>25723.104199639827</v>
      </c>
      <c r="L179" s="130">
        <f t="shared" si="3"/>
        <v>25864.898232574007</v>
      </c>
      <c r="M179" s="130">
        <f t="shared" si="3"/>
        <v>27831.716829976569</v>
      </c>
      <c r="N179" s="130">
        <f t="shared" si="3"/>
        <v>25535.388881116061</v>
      </c>
      <c r="O179" s="130">
        <f t="shared" si="3"/>
        <v>25482.304329559181</v>
      </c>
      <c r="P179" s="130">
        <f t="shared" si="3"/>
        <v>26980.846086969486</v>
      </c>
      <c r="Q179" s="130">
        <f t="shared" si="3"/>
        <v>24958.481547347645</v>
      </c>
      <c r="R179" s="130">
        <f t="shared" si="3"/>
        <v>24888.896743067649</v>
      </c>
      <c r="S179" s="130">
        <f t="shared" si="3"/>
        <v>24866.898661293533</v>
      </c>
      <c r="T179" s="130">
        <f t="shared" si="3"/>
        <v>25188.158608460952</v>
      </c>
      <c r="U179" s="130">
        <f t="shared" si="3"/>
        <v>27611.158970077933</v>
      </c>
      <c r="V179" s="130">
        <f t="shared" si="3"/>
        <v>25760.424109335621</v>
      </c>
      <c r="W179" s="130">
        <f t="shared" si="3"/>
        <v>26029.286240708512</v>
      </c>
      <c r="X179" s="130">
        <f t="shared" si="3"/>
        <v>26014.533228112276</v>
      </c>
      <c r="Y179" s="130">
        <f t="shared" si="3"/>
        <v>26339.972478744068</v>
      </c>
      <c r="Z179" s="130">
        <f t="shared" si="3"/>
        <v>26370.703954687946</v>
      </c>
      <c r="AA179" s="130">
        <f t="shared" si="3"/>
        <v>27487.0486316877</v>
      </c>
      <c r="AB179" s="130">
        <f t="shared" si="3"/>
        <v>25481.565522684039</v>
      </c>
      <c r="AC179" s="130">
        <f t="shared" si="3"/>
        <v>26424.33748248902</v>
      </c>
      <c r="AD179" s="130">
        <f t="shared" si="3"/>
        <v>25071.251640773684</v>
      </c>
      <c r="AE179" s="130">
        <f t="shared" si="3"/>
        <v>24891.313670562431</v>
      </c>
      <c r="AF179" s="130">
        <f t="shared" si="3"/>
        <v>25533.924839471882</v>
      </c>
      <c r="AG179" s="130">
        <f t="shared" si="3"/>
        <v>24195.519786469267</v>
      </c>
      <c r="AH179" s="130">
        <f t="shared" si="3"/>
        <v>24712.882147190408</v>
      </c>
      <c r="AI179" s="130">
        <f t="shared" si="3"/>
        <v>24803.604814811453</v>
      </c>
      <c r="AJ179" s="130">
        <f t="shared" si="3"/>
        <v>24897.868213943864</v>
      </c>
      <c r="AK179" s="130">
        <f t="shared" si="3"/>
        <v>25036.352178191519</v>
      </c>
      <c r="AL179" s="130">
        <f t="shared" si="3"/>
        <v>25250.455522277585</v>
      </c>
      <c r="AM179" s="130">
        <f t="shared" si="3"/>
        <v>25752.879491466403</v>
      </c>
      <c r="AN179" s="130">
        <f t="shared" si="3"/>
        <v>25853.879467882136</v>
      </c>
      <c r="AO179" s="130">
        <f t="shared" si="3"/>
        <v>24598.307570038032</v>
      </c>
      <c r="AP179" s="130">
        <f t="shared" si="3"/>
        <v>26554.793571558472</v>
      </c>
      <c r="AQ179" s="130">
        <f t="shared" si="3"/>
        <v>24902.184635700502</v>
      </c>
      <c r="AR179" s="130">
        <f t="shared" si="3"/>
        <v>25231.486181238612</v>
      </c>
      <c r="AS179" s="130">
        <f t="shared" si="3"/>
        <v>27340.906615197648</v>
      </c>
      <c r="AT179" s="130">
        <f t="shared" si="3"/>
        <v>27471.679016223596</v>
      </c>
      <c r="AU179" s="130">
        <f t="shared" si="3"/>
        <v>27703.28106645833</v>
      </c>
      <c r="AV179" s="130">
        <f t="shared" si="3"/>
        <v>27770.358612459368</v>
      </c>
      <c r="AW179" s="130">
        <f t="shared" si="3"/>
        <v>27527.946341108316</v>
      </c>
      <c r="AX179" s="130">
        <f t="shared" si="3"/>
        <v>27247.96473855574</v>
      </c>
      <c r="AY179" s="130">
        <f t="shared" si="3"/>
        <v>27069.517458263505</v>
      </c>
    </row>
    <row r="180" spans="1:51" x14ac:dyDescent="0.2">
      <c r="A180" s="131"/>
      <c r="B180" s="142" t="s">
        <v>299</v>
      </c>
      <c r="C180" s="131" t="s">
        <v>293</v>
      </c>
      <c r="D180" s="131">
        <v>283</v>
      </c>
      <c r="E180" s="131">
        <v>350</v>
      </c>
      <c r="F180" s="131">
        <v>256</v>
      </c>
      <c r="G180" s="131">
        <v>289</v>
      </c>
      <c r="H180" s="131">
        <v>465</v>
      </c>
      <c r="I180" s="131">
        <v>458</v>
      </c>
      <c r="J180" s="131">
        <v>382</v>
      </c>
      <c r="K180" s="131">
        <v>373</v>
      </c>
      <c r="L180" s="131">
        <v>836</v>
      </c>
      <c r="M180" s="131">
        <v>972</v>
      </c>
      <c r="N180" s="131">
        <v>874</v>
      </c>
      <c r="O180" s="131">
        <v>864</v>
      </c>
      <c r="P180" s="131">
        <v>804</v>
      </c>
      <c r="Q180" s="131">
        <v>781</v>
      </c>
      <c r="R180" s="131">
        <v>914</v>
      </c>
      <c r="S180" s="131">
        <v>677</v>
      </c>
      <c r="T180" s="131">
        <v>401</v>
      </c>
      <c r="U180" s="131">
        <v>423</v>
      </c>
      <c r="V180" s="131">
        <v>422</v>
      </c>
      <c r="W180" s="131">
        <v>440</v>
      </c>
      <c r="X180" s="131">
        <v>645</v>
      </c>
      <c r="Y180" s="131">
        <v>648</v>
      </c>
      <c r="Z180" s="131">
        <v>901</v>
      </c>
      <c r="AA180" s="131">
        <v>733</v>
      </c>
      <c r="AB180" s="131">
        <v>470</v>
      </c>
      <c r="AC180" s="131">
        <v>516</v>
      </c>
      <c r="AD180" s="131">
        <v>606</v>
      </c>
      <c r="AE180" s="131">
        <v>587</v>
      </c>
      <c r="AF180" s="131">
        <v>854</v>
      </c>
      <c r="AG180" s="131">
        <v>756</v>
      </c>
      <c r="AH180" s="131">
        <v>679</v>
      </c>
      <c r="AI180" s="131">
        <v>716</v>
      </c>
      <c r="AJ180" s="131">
        <v>798</v>
      </c>
      <c r="AK180" s="131">
        <v>693</v>
      </c>
      <c r="AL180" s="131">
        <v>753</v>
      </c>
      <c r="AM180" s="131">
        <v>787</v>
      </c>
      <c r="AN180" s="131">
        <v>632</v>
      </c>
      <c r="AO180" s="131">
        <v>547</v>
      </c>
      <c r="AP180" s="131">
        <v>628</v>
      </c>
      <c r="AQ180" s="131">
        <v>667</v>
      </c>
      <c r="AR180" s="131">
        <v>660</v>
      </c>
      <c r="AS180" s="131">
        <v>590</v>
      </c>
      <c r="AT180" s="131">
        <v>679</v>
      </c>
      <c r="AU180" s="131">
        <v>572</v>
      </c>
      <c r="AV180" s="131">
        <v>831</v>
      </c>
      <c r="AW180" s="131">
        <v>972</v>
      </c>
      <c r="AX180" s="131">
        <v>1474</v>
      </c>
      <c r="AY180" s="131">
        <v>1292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9283.6395881244462</v>
      </c>
      <c r="E181" s="130">
        <f t="shared" si="4"/>
        <v>9484.4360995455154</v>
      </c>
      <c r="F181" s="130">
        <f t="shared" si="4"/>
        <v>9597.3257103581382</v>
      </c>
      <c r="G181" s="130">
        <f t="shared" si="4"/>
        <v>9705.2106049900376</v>
      </c>
      <c r="H181" s="130">
        <f t="shared" si="4"/>
        <v>9411.3737046616297</v>
      </c>
      <c r="I181" s="130">
        <f t="shared" si="4"/>
        <v>9178.1718050053532</v>
      </c>
      <c r="J181" s="130">
        <f t="shared" si="4"/>
        <v>9070.7852234876773</v>
      </c>
      <c r="K181" s="130">
        <f t="shared" si="4"/>
        <v>9003.1176310204792</v>
      </c>
      <c r="L181" s="130">
        <f t="shared" si="4"/>
        <v>8866.4097491025568</v>
      </c>
      <c r="M181" s="130">
        <f t="shared" si="4"/>
        <v>8952.1238068223392</v>
      </c>
      <c r="N181" s="130">
        <f t="shared" si="4"/>
        <v>9008.4351430046045</v>
      </c>
      <c r="O181" s="130">
        <f t="shared" si="4"/>
        <v>9039.093790178471</v>
      </c>
      <c r="P181" s="130">
        <f t="shared" si="4"/>
        <v>9408.6825776305195</v>
      </c>
      <c r="Q181" s="130">
        <f t="shared" si="4"/>
        <v>9583.7369735434349</v>
      </c>
      <c r="R181" s="130">
        <f t="shared" si="4"/>
        <v>9735.2170623978818</v>
      </c>
      <c r="S181" s="130">
        <f t="shared" si="4"/>
        <v>9862.3693250220622</v>
      </c>
      <c r="T181" s="130">
        <f t="shared" si="4"/>
        <v>9587.5656682667814</v>
      </c>
      <c r="U181" s="130">
        <f t="shared" si="4"/>
        <v>9284.1019938445261</v>
      </c>
      <c r="V181" s="130">
        <f t="shared" si="4"/>
        <v>9095.3709204196239</v>
      </c>
      <c r="W181" s="130">
        <f t="shared" si="4"/>
        <v>8882.534405275248</v>
      </c>
      <c r="X181" s="130">
        <f t="shared" si="4"/>
        <v>8829.7573194945981</v>
      </c>
      <c r="Y181" s="130">
        <f t="shared" si="4"/>
        <v>8434.289139608949</v>
      </c>
      <c r="Z181" s="130">
        <f t="shared" si="4"/>
        <v>8177.4427281729504</v>
      </c>
      <c r="AA181" s="130">
        <f t="shared" si="4"/>
        <v>8056.5463982058</v>
      </c>
      <c r="AB181" s="130">
        <f t="shared" si="4"/>
        <v>8144.589599375714</v>
      </c>
      <c r="AC181" s="130">
        <f t="shared" si="4"/>
        <v>8135.2011479658304</v>
      </c>
      <c r="AD181" s="130">
        <f t="shared" si="4"/>
        <v>7960.291914852939</v>
      </c>
      <c r="AE181" s="130">
        <f t="shared" si="4"/>
        <v>7813.9891861353135</v>
      </c>
      <c r="AF181" s="130">
        <f t="shared" si="4"/>
        <v>7444.65829595991</v>
      </c>
      <c r="AG181" s="130">
        <f t="shared" si="4"/>
        <v>7961.0558565499341</v>
      </c>
      <c r="AH181" s="130">
        <f t="shared" si="4"/>
        <v>8292.4845395844059</v>
      </c>
      <c r="AI181" s="130">
        <f t="shared" si="4"/>
        <v>8550.0269282644749</v>
      </c>
      <c r="AJ181" s="130">
        <f t="shared" si="4"/>
        <v>8735.9166516663099</v>
      </c>
      <c r="AK181" s="130">
        <f t="shared" si="4"/>
        <v>8872.0608923624204</v>
      </c>
      <c r="AL181" s="130">
        <f t="shared" si="4"/>
        <v>8967.0875534696625</v>
      </c>
      <c r="AM181" s="130">
        <f t="shared" si="4"/>
        <v>9054.0584550382755</v>
      </c>
      <c r="AN181" s="130">
        <f t="shared" si="4"/>
        <v>9416.6275356878214</v>
      </c>
      <c r="AO181" s="130">
        <f t="shared" si="4"/>
        <v>9573.5527389903364</v>
      </c>
      <c r="AP181" s="130">
        <f t="shared" si="4"/>
        <v>9635.813842729689</v>
      </c>
      <c r="AQ181" s="130">
        <f t="shared" si="4"/>
        <v>9714.2594623125933</v>
      </c>
      <c r="AR181" s="130">
        <f t="shared" si="4"/>
        <v>9471.5506180986558</v>
      </c>
      <c r="AS181" s="130">
        <f t="shared" si="4"/>
        <v>9107.2895363983407</v>
      </c>
      <c r="AT181" s="130">
        <f t="shared" si="4"/>
        <v>8957.1088767909187</v>
      </c>
      <c r="AU181" s="130">
        <f t="shared" si="4"/>
        <v>8688.1526606211937</v>
      </c>
      <c r="AV181" s="130">
        <f t="shared" si="4"/>
        <v>8551.9602394965223</v>
      </c>
      <c r="AW181" s="130">
        <f t="shared" si="4"/>
        <v>8736.5929257419757</v>
      </c>
      <c r="AX181" s="130">
        <f t="shared" si="4"/>
        <v>8816.7569857679991</v>
      </c>
      <c r="AY181" s="130">
        <f t="shared" si="4"/>
        <v>8848.7581102011936</v>
      </c>
    </row>
    <row r="182" spans="1:51" x14ac:dyDescent="0.2">
      <c r="A182" s="131"/>
      <c r="B182" s="142" t="s">
        <v>299</v>
      </c>
      <c r="C182" s="131" t="s">
        <v>293</v>
      </c>
      <c r="D182" s="131">
        <v>401</v>
      </c>
      <c r="E182" s="131">
        <v>446</v>
      </c>
      <c r="F182" s="131">
        <v>410</v>
      </c>
      <c r="G182" s="131">
        <v>456</v>
      </c>
      <c r="H182" s="131">
        <v>484</v>
      </c>
      <c r="I182" s="131">
        <v>399</v>
      </c>
      <c r="J182" s="131">
        <v>385</v>
      </c>
      <c r="K182" s="131">
        <v>506</v>
      </c>
      <c r="L182" s="131">
        <v>251</v>
      </c>
      <c r="M182" s="131">
        <v>259</v>
      </c>
      <c r="N182" s="131">
        <v>273</v>
      </c>
      <c r="O182" s="131">
        <v>261</v>
      </c>
      <c r="P182" s="131">
        <v>389</v>
      </c>
      <c r="Q182" s="131">
        <v>355</v>
      </c>
      <c r="R182" s="131">
        <v>331</v>
      </c>
      <c r="S182" s="131">
        <v>370</v>
      </c>
      <c r="T182" s="131">
        <v>514</v>
      </c>
      <c r="U182" s="131">
        <v>471</v>
      </c>
      <c r="V182" s="131">
        <v>576</v>
      </c>
      <c r="W182" s="131">
        <v>436</v>
      </c>
      <c r="X182" s="131">
        <v>929</v>
      </c>
      <c r="Y182" s="131">
        <v>888</v>
      </c>
      <c r="Z182" s="131">
        <v>798</v>
      </c>
      <c r="AA182" s="131">
        <v>1023</v>
      </c>
      <c r="AB182" s="131">
        <v>1124</v>
      </c>
      <c r="AC182" s="131">
        <v>1356</v>
      </c>
      <c r="AD182" s="131">
        <v>1383</v>
      </c>
      <c r="AE182" s="131">
        <v>1279</v>
      </c>
      <c r="AF182" s="131">
        <v>197</v>
      </c>
      <c r="AG182" s="131">
        <v>256</v>
      </c>
      <c r="AH182" s="131">
        <v>232</v>
      </c>
      <c r="AI182" s="131">
        <v>233</v>
      </c>
      <c r="AJ182" s="131">
        <v>231</v>
      </c>
      <c r="AK182" s="131">
        <v>236</v>
      </c>
      <c r="AL182" s="131">
        <v>211</v>
      </c>
      <c r="AM182" s="131">
        <v>265</v>
      </c>
      <c r="AN182" s="131">
        <v>411</v>
      </c>
      <c r="AO182" s="131">
        <v>482</v>
      </c>
      <c r="AP182" s="131">
        <v>436</v>
      </c>
      <c r="AQ182" s="131">
        <v>382</v>
      </c>
      <c r="AR182" s="131">
        <v>642</v>
      </c>
      <c r="AS182" s="131">
        <v>485</v>
      </c>
      <c r="AT182" s="131">
        <v>706</v>
      </c>
      <c r="AU182" s="131">
        <v>625</v>
      </c>
      <c r="AV182" s="131">
        <v>234</v>
      </c>
      <c r="AW182" s="131">
        <v>308</v>
      </c>
      <c r="AX182" s="131">
        <v>344</v>
      </c>
      <c r="AY182" s="131">
        <v>308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495.47603635228552</v>
      </c>
      <c r="AB185" s="130">
        <v>0</v>
      </c>
      <c r="AC185" s="130">
        <v>158</v>
      </c>
      <c r="AD185" s="130">
        <v>0</v>
      </c>
      <c r="AE185" s="130">
        <v>0</v>
      </c>
      <c r="AF185" s="130">
        <v>244</v>
      </c>
      <c r="AG185" s="130">
        <v>0</v>
      </c>
      <c r="AH185" s="130">
        <v>180</v>
      </c>
      <c r="AI185" s="130">
        <v>212</v>
      </c>
      <c r="AJ185" s="130">
        <v>270</v>
      </c>
      <c r="AK185" s="130">
        <v>276</v>
      </c>
      <c r="AL185" s="130">
        <v>306</v>
      </c>
      <c r="AM185" s="130">
        <v>210</v>
      </c>
      <c r="AN185" s="130">
        <v>211.27271161346289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0</v>
      </c>
      <c r="D189" s="130">
        <v>0</v>
      </c>
      <c r="E189" s="130">
        <v>0</v>
      </c>
      <c r="F189" s="130">
        <v>0</v>
      </c>
      <c r="G189" s="130">
        <v>0</v>
      </c>
      <c r="H189" s="130">
        <v>0</v>
      </c>
      <c r="I189" s="130">
        <v>0</v>
      </c>
      <c r="J189" s="130">
        <v>0</v>
      </c>
      <c r="K189" s="130">
        <v>0</v>
      </c>
      <c r="L189" s="130">
        <v>0</v>
      </c>
      <c r="M189" s="130">
        <v>0</v>
      </c>
      <c r="N189" s="130">
        <v>0</v>
      </c>
      <c r="O189" s="130">
        <v>0</v>
      </c>
      <c r="P189" s="130">
        <v>0</v>
      </c>
      <c r="Q189" s="130">
        <v>0</v>
      </c>
      <c r="R189" s="130">
        <v>0</v>
      </c>
      <c r="S189" s="130">
        <v>0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0</v>
      </c>
      <c r="AI189" s="130">
        <v>0</v>
      </c>
      <c r="AJ189" s="130">
        <v>0</v>
      </c>
      <c r="AK189" s="130">
        <v>0</v>
      </c>
      <c r="AL189" s="130">
        <v>0</v>
      </c>
      <c r="AM189" s="130">
        <v>0</v>
      </c>
      <c r="AN189" s="130">
        <v>0</v>
      </c>
      <c r="AO189" s="130">
        <v>0</v>
      </c>
      <c r="AP189" s="130">
        <v>0</v>
      </c>
      <c r="AQ189" s="130">
        <v>0</v>
      </c>
      <c r="AR189" s="130">
        <v>0</v>
      </c>
      <c r="AS189" s="130">
        <v>0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304.99122944522287</v>
      </c>
      <c r="H191" s="112">
        <v>549.94443244725335</v>
      </c>
      <c r="I191" s="112">
        <v>382.97543082706488</v>
      </c>
      <c r="J191" s="112">
        <v>0</v>
      </c>
      <c r="K191" s="112">
        <v>188.29231481589795</v>
      </c>
      <c r="L191" s="112">
        <v>753.00880683490504</v>
      </c>
      <c r="M191" s="112">
        <v>0</v>
      </c>
      <c r="N191" s="112">
        <v>505.50563117881711</v>
      </c>
      <c r="O191" s="112">
        <v>320.73241580420336</v>
      </c>
      <c r="P191" s="112">
        <v>0</v>
      </c>
      <c r="Q191" s="112">
        <v>0</v>
      </c>
      <c r="R191" s="112">
        <v>0</v>
      </c>
      <c r="S191" s="112">
        <v>178.33141240082932</v>
      </c>
      <c r="T191" s="112">
        <v>1016.7507220673588</v>
      </c>
      <c r="U191" s="112">
        <v>0</v>
      </c>
      <c r="V191" s="112">
        <v>543.33894331652073</v>
      </c>
      <c r="W191" s="112">
        <v>246.06005281653188</v>
      </c>
      <c r="X191" s="112">
        <v>960.06057662794365</v>
      </c>
      <c r="Y191" s="112">
        <v>1028.7227414790866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769.79957360170192</v>
      </c>
      <c r="AM191" s="112">
        <v>0</v>
      </c>
      <c r="AN191" s="112">
        <v>0</v>
      </c>
      <c r="AO191" s="112">
        <v>64.330897539316084</v>
      </c>
      <c r="AP191" s="112">
        <v>0</v>
      </c>
      <c r="AQ191" s="112">
        <v>668.21416713960298</v>
      </c>
      <c r="AR191" s="112">
        <v>272.96843213555348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666</v>
      </c>
      <c r="D192" s="112">
        <v>1135</v>
      </c>
      <c r="E192" s="112">
        <v>1033</v>
      </c>
      <c r="F192" s="112">
        <v>828</v>
      </c>
      <c r="G192" s="112">
        <v>718.00877055477713</v>
      </c>
      <c r="H192" s="112">
        <v>613.05556755274665</v>
      </c>
      <c r="I192" s="112">
        <v>629.02456917293512</v>
      </c>
      <c r="J192" s="112">
        <v>1244</v>
      </c>
      <c r="K192" s="112">
        <v>825.70768518410205</v>
      </c>
      <c r="L192" s="112">
        <v>1000.991193165095</v>
      </c>
      <c r="M192" s="112">
        <v>1462</v>
      </c>
      <c r="N192" s="112">
        <v>1134.4943688211829</v>
      </c>
      <c r="O192" s="112">
        <v>1145.2675841957966</v>
      </c>
      <c r="P192" s="112">
        <v>642</v>
      </c>
      <c r="Q192" s="112">
        <v>606</v>
      </c>
      <c r="R192" s="112">
        <v>600</v>
      </c>
      <c r="S192" s="112">
        <v>367.66858759917068</v>
      </c>
      <c r="T192" s="112">
        <v>297.24927793264123</v>
      </c>
      <c r="U192" s="112">
        <v>978</v>
      </c>
      <c r="V192" s="112">
        <v>532.66105668347927</v>
      </c>
      <c r="W192" s="112">
        <v>685.93994718346812</v>
      </c>
      <c r="X192" s="112">
        <v>901.93942337205635</v>
      </c>
      <c r="Y192" s="112">
        <v>1122.2772585209134</v>
      </c>
      <c r="Z192" s="112">
        <v>1427</v>
      </c>
      <c r="AA192" s="112">
        <v>1612.9603394533517</v>
      </c>
      <c r="AB192" s="112">
        <v>539</v>
      </c>
      <c r="AC192" s="112">
        <v>259.20320230673087</v>
      </c>
      <c r="AD192" s="112">
        <v>732</v>
      </c>
      <c r="AE192" s="112">
        <v>655</v>
      </c>
      <c r="AF192" s="112">
        <v>614.11861319714421</v>
      </c>
      <c r="AG192" s="112">
        <v>1140</v>
      </c>
      <c r="AH192" s="112">
        <v>891.93582516942024</v>
      </c>
      <c r="AI192" s="112">
        <v>856.82334626456532</v>
      </c>
      <c r="AJ192" s="112">
        <v>268.96943042002613</v>
      </c>
      <c r="AK192" s="112">
        <v>476.96769415027666</v>
      </c>
      <c r="AL192" s="112">
        <v>0</v>
      </c>
      <c r="AM192" s="112">
        <v>1034</v>
      </c>
      <c r="AN192" s="112">
        <v>1042.6064263473404</v>
      </c>
      <c r="AO192" s="112">
        <v>1291.6691024606839</v>
      </c>
      <c r="AP192" s="112">
        <v>1276</v>
      </c>
      <c r="AQ192" s="112">
        <v>536.78583286039702</v>
      </c>
      <c r="AR192" s="112">
        <v>414.03156786444652</v>
      </c>
      <c r="AS192" s="112">
        <v>563</v>
      </c>
      <c r="AT192" s="112">
        <v>612</v>
      </c>
      <c r="AU192" s="112">
        <v>584</v>
      </c>
      <c r="AV192" s="112">
        <v>848</v>
      </c>
      <c r="AW192" s="112">
        <v>675</v>
      </c>
      <c r="AX192" s="112">
        <v>695</v>
      </c>
      <c r="AY192" s="112">
        <v>622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1.0396605466481965</v>
      </c>
      <c r="AB193" s="112">
        <v>0</v>
      </c>
      <c r="AC193" s="112">
        <v>225.79679769326913</v>
      </c>
      <c r="AD193" s="112">
        <v>0</v>
      </c>
      <c r="AE193" s="112">
        <v>0</v>
      </c>
      <c r="AF193" s="112">
        <v>659.88138680285579</v>
      </c>
      <c r="AG193" s="112">
        <v>0</v>
      </c>
      <c r="AH193" s="112">
        <v>535.06417483057976</v>
      </c>
      <c r="AI193" s="112">
        <v>539.17665373543468</v>
      </c>
      <c r="AJ193" s="112">
        <v>459.03056957997387</v>
      </c>
      <c r="AK193" s="112">
        <v>471.03230584972334</v>
      </c>
      <c r="AL193" s="112">
        <v>348.20042639829808</v>
      </c>
      <c r="AM193" s="112">
        <v>0</v>
      </c>
      <c r="AN193" s="112">
        <v>41.393573652659597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297.51672411312711</v>
      </c>
      <c r="S203" s="112">
        <v>360.76997313864058</v>
      </c>
      <c r="T203" s="112">
        <v>142.05273000216948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186.79651564386177</v>
      </c>
      <c r="AR203" s="112">
        <v>222.34192249772832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1080</v>
      </c>
      <c r="D204" s="112">
        <v>283</v>
      </c>
      <c r="E204" s="112">
        <v>350</v>
      </c>
      <c r="F204" s="112">
        <v>256</v>
      </c>
      <c r="G204" s="112">
        <v>289</v>
      </c>
      <c r="H204" s="112">
        <v>465</v>
      </c>
      <c r="I204" s="112">
        <v>458</v>
      </c>
      <c r="J204" s="112">
        <v>382</v>
      </c>
      <c r="K204" s="112">
        <v>373</v>
      </c>
      <c r="L204" s="112">
        <v>836</v>
      </c>
      <c r="M204" s="112">
        <v>972</v>
      </c>
      <c r="N204" s="112">
        <v>874</v>
      </c>
      <c r="O204" s="112">
        <v>864</v>
      </c>
      <c r="P204" s="112">
        <v>804</v>
      </c>
      <c r="Q204" s="112">
        <v>781</v>
      </c>
      <c r="R204" s="112">
        <v>616.48327588687289</v>
      </c>
      <c r="S204" s="112">
        <v>316.23002686135942</v>
      </c>
      <c r="T204" s="112">
        <v>258.94726999783052</v>
      </c>
      <c r="U204" s="112">
        <v>423</v>
      </c>
      <c r="V204" s="112">
        <v>422</v>
      </c>
      <c r="W204" s="112">
        <v>440</v>
      </c>
      <c r="X204" s="112">
        <v>645</v>
      </c>
      <c r="Y204" s="112">
        <v>648</v>
      </c>
      <c r="Z204" s="112">
        <v>901</v>
      </c>
      <c r="AA204" s="112">
        <v>669.91085978507317</v>
      </c>
      <c r="AB204" s="112">
        <v>470</v>
      </c>
      <c r="AC204" s="112">
        <v>280.82374364988891</v>
      </c>
      <c r="AD204" s="112">
        <v>606</v>
      </c>
      <c r="AE204" s="112">
        <v>587</v>
      </c>
      <c r="AF204" s="112">
        <v>235.01408263502572</v>
      </c>
      <c r="AG204" s="112">
        <v>756</v>
      </c>
      <c r="AH204" s="112">
        <v>174.74483883557559</v>
      </c>
      <c r="AI204" s="112">
        <v>164.74707674406318</v>
      </c>
      <c r="AJ204" s="112">
        <v>340.04495896442904</v>
      </c>
      <c r="AK204" s="112">
        <v>321.31162391180987</v>
      </c>
      <c r="AL204" s="112">
        <v>447.2727391467065</v>
      </c>
      <c r="AM204" s="112">
        <v>361.51002716471521</v>
      </c>
      <c r="AN204" s="112">
        <v>576.83357188969831</v>
      </c>
      <c r="AO204" s="112">
        <v>547</v>
      </c>
      <c r="AP204" s="112">
        <v>628</v>
      </c>
      <c r="AQ204" s="112">
        <v>480.20348435613823</v>
      </c>
      <c r="AR204" s="112">
        <v>437.65807750227168</v>
      </c>
      <c r="AS204" s="112">
        <v>590</v>
      </c>
      <c r="AT204" s="112">
        <v>679</v>
      </c>
      <c r="AU204" s="112">
        <v>572</v>
      </c>
      <c r="AV204" s="112">
        <v>831</v>
      </c>
      <c r="AW204" s="112">
        <v>972</v>
      </c>
      <c r="AX204" s="112">
        <v>1474</v>
      </c>
      <c r="AY204" s="112">
        <v>1292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63.089140214926829</v>
      </c>
      <c r="AB205" s="112">
        <v>0</v>
      </c>
      <c r="AC205" s="112">
        <v>235.17625635011109</v>
      </c>
      <c r="AD205" s="112">
        <v>0</v>
      </c>
      <c r="AE205" s="112">
        <v>0</v>
      </c>
      <c r="AF205" s="112">
        <v>618.98591736497428</v>
      </c>
      <c r="AG205" s="112">
        <v>0</v>
      </c>
      <c r="AH205" s="112">
        <v>504.25516116442441</v>
      </c>
      <c r="AI205" s="112">
        <v>551.25292325593682</v>
      </c>
      <c r="AJ205" s="112">
        <v>457.95504103557096</v>
      </c>
      <c r="AK205" s="112">
        <v>371.68837608819013</v>
      </c>
      <c r="AL205" s="112">
        <v>305.7272608532935</v>
      </c>
      <c r="AM205" s="112">
        <v>425.48997283528479</v>
      </c>
      <c r="AN205" s="112">
        <v>55.166428110301695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279.83977301882692</v>
      </c>
      <c r="AE211" s="116">
        <v>322.14250173645235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92.462591372027873</v>
      </c>
      <c r="AB212" s="116">
        <v>444.09787014262099</v>
      </c>
      <c r="AC212" s="116">
        <v>930.89157127443946</v>
      </c>
      <c r="AD212" s="116">
        <v>1030.7808225807023</v>
      </c>
      <c r="AE212" s="116">
        <v>956.85749826354765</v>
      </c>
      <c r="AF212" s="116">
        <v>197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326.62005224460484</v>
      </c>
      <c r="Z213" s="116">
        <v>493.46646368060408</v>
      </c>
      <c r="AA213" s="116">
        <v>746.9002022757262</v>
      </c>
      <c r="AB213" s="116">
        <v>679.90212985737901</v>
      </c>
      <c r="AC213" s="116">
        <v>425.1084287255606</v>
      </c>
      <c r="AD213" s="116">
        <v>72.379404400470776</v>
      </c>
      <c r="AE213" s="116">
        <v>0</v>
      </c>
      <c r="AF213" s="116">
        <v>0</v>
      </c>
      <c r="AG213" s="116">
        <v>256</v>
      </c>
      <c r="AH213" s="116">
        <v>34.634780376202656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55.651001794358024</v>
      </c>
      <c r="H214" s="116">
        <v>132.17194746672453</v>
      </c>
      <c r="I214" s="116">
        <v>102.61875880526759</v>
      </c>
      <c r="J214" s="116">
        <v>18.185549110745683</v>
      </c>
      <c r="K214" s="116">
        <v>78.005538755353314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68.688569966094235</v>
      </c>
      <c r="V214" s="116">
        <v>184.59985217879876</v>
      </c>
      <c r="W214" s="116">
        <v>128.58876450058347</v>
      </c>
      <c r="X214" s="116">
        <v>581.00332499676779</v>
      </c>
      <c r="Y214" s="116">
        <v>541.20129123361198</v>
      </c>
      <c r="Z214" s="116">
        <v>304.53353631939592</v>
      </c>
      <c r="AA214" s="116">
        <v>183.63720635224595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197.36521962379734</v>
      </c>
      <c r="AI214" s="116">
        <v>233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229.9950340296997</v>
      </c>
      <c r="AS214" s="116">
        <v>259.50102741227954</v>
      </c>
      <c r="AT214" s="116">
        <v>452.86189580750249</v>
      </c>
      <c r="AU214" s="116">
        <v>511.97050915463819</v>
      </c>
      <c r="AV214" s="116">
        <v>163.8004049948442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200.7383945882483</v>
      </c>
      <c r="D215" s="116">
        <v>262.30194996010567</v>
      </c>
      <c r="E215" s="116">
        <v>351.91068826097091</v>
      </c>
      <c r="F215" s="116">
        <v>380.84086866054741</v>
      </c>
      <c r="G215" s="116">
        <v>392.15257505687771</v>
      </c>
      <c r="H215" s="116">
        <v>351.82805253327547</v>
      </c>
      <c r="I215" s="116">
        <v>296.38124119473241</v>
      </c>
      <c r="J215" s="116">
        <v>366.81445088925432</v>
      </c>
      <c r="K215" s="116">
        <v>427.99446124464669</v>
      </c>
      <c r="L215" s="116">
        <v>251</v>
      </c>
      <c r="M215" s="116">
        <v>162.15832320381426</v>
      </c>
      <c r="N215" s="116">
        <v>70.827915139440165</v>
      </c>
      <c r="O215" s="116">
        <v>28.169267965573681</v>
      </c>
      <c r="P215" s="116">
        <v>125.25896045403169</v>
      </c>
      <c r="Q215" s="116">
        <v>161.60981426305264</v>
      </c>
      <c r="R215" s="116">
        <v>163.94951662080331</v>
      </c>
      <c r="S215" s="116">
        <v>204.64485681921113</v>
      </c>
      <c r="T215" s="116">
        <v>378.1325589184521</v>
      </c>
      <c r="U215" s="116">
        <v>392.15257505687771</v>
      </c>
      <c r="V215" s="116">
        <v>391.40014782120124</v>
      </c>
      <c r="W215" s="116">
        <v>307.41123549941653</v>
      </c>
      <c r="X215" s="116">
        <v>347.99667500323216</v>
      </c>
      <c r="Y215" s="116">
        <v>20.178656521783182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231</v>
      </c>
      <c r="AK215" s="116">
        <v>219.22123766373312</v>
      </c>
      <c r="AL215" s="116">
        <v>50.175504674381273</v>
      </c>
      <c r="AM215" s="116">
        <v>17.204603105769166</v>
      </c>
      <c r="AN215" s="116">
        <v>139.31400239673098</v>
      </c>
      <c r="AO215" s="116">
        <v>298.79404881614943</v>
      </c>
      <c r="AP215" s="116">
        <v>368.35273628899478</v>
      </c>
      <c r="AQ215" s="116">
        <v>364.75471952868071</v>
      </c>
      <c r="AR215" s="116">
        <v>392.15257505687771</v>
      </c>
      <c r="AS215" s="116">
        <v>225.49897258772049</v>
      </c>
      <c r="AT215" s="116">
        <v>253.13810419249754</v>
      </c>
      <c r="AU215" s="116">
        <v>113.02949084536182</v>
      </c>
      <c r="AV215" s="116">
        <v>70.199595005155814</v>
      </c>
      <c r="AW215" s="116">
        <v>308</v>
      </c>
      <c r="AX215" s="116">
        <v>333.50607237604476</v>
      </c>
      <c r="AY215" s="116">
        <v>265.50494794285078</v>
      </c>
    </row>
    <row r="216" spans="1:51" x14ac:dyDescent="0.2">
      <c r="A216" s="115"/>
      <c r="B216" s="125">
        <v>8</v>
      </c>
      <c r="C216" s="112">
        <v>64.261605411751702</v>
      </c>
      <c r="D216" s="116">
        <v>138.69805003989433</v>
      </c>
      <c r="E216" s="116">
        <v>94.089311739029085</v>
      </c>
      <c r="F216" s="116">
        <v>29.159131339452575</v>
      </c>
      <c r="G216" s="116">
        <v>8.19642314876425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96.841676796185737</v>
      </c>
      <c r="N216" s="116">
        <v>202.17208486055983</v>
      </c>
      <c r="O216" s="116">
        <v>232.83073203442632</v>
      </c>
      <c r="P216" s="116">
        <v>263.74103954596831</v>
      </c>
      <c r="Q216" s="116">
        <v>193.39018573694736</v>
      </c>
      <c r="R216" s="116">
        <v>167.05048337919669</v>
      </c>
      <c r="S216" s="116">
        <v>165.35514318078887</v>
      </c>
      <c r="T216" s="116">
        <v>135.8674410815479</v>
      </c>
      <c r="U216" s="116">
        <v>10.158854977028044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16.778762336266865</v>
      </c>
      <c r="AL216" s="116">
        <v>160.82449532561873</v>
      </c>
      <c r="AM216" s="116">
        <v>247.79539689423083</v>
      </c>
      <c r="AN216" s="116">
        <v>271.68599760326902</v>
      </c>
      <c r="AO216" s="116">
        <v>183.20595118385057</v>
      </c>
      <c r="AP216" s="116">
        <v>67.647263711005223</v>
      </c>
      <c r="AQ216" s="116">
        <v>17.245280471319305</v>
      </c>
      <c r="AR216" s="116">
        <v>19.852390913422653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10.493927623955246</v>
      </c>
      <c r="AY216" s="116">
        <v>42.495052057149238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2293531.9631826845</v>
      </c>
      <c r="E259" s="130">
        <f t="shared" ref="E259:AX259" si="5">F$14*$B$259</f>
        <v>2343138.9317286098</v>
      </c>
      <c r="F259" s="130">
        <f t="shared" si="5"/>
        <v>2371028.4171241014</v>
      </c>
      <c r="G259" s="130">
        <f t="shared" si="5"/>
        <v>2397681.4826415712</v>
      </c>
      <c r="H259" s="130">
        <f t="shared" si="5"/>
        <v>2325088.7977932924</v>
      </c>
      <c r="I259" s="130">
        <f t="shared" si="5"/>
        <v>2267476.0473564076</v>
      </c>
      <c r="J259" s="130">
        <f t="shared" si="5"/>
        <v>2240946.0905663176</v>
      </c>
      <c r="K259" s="130">
        <f t="shared" si="5"/>
        <v>2224228.7476835037</v>
      </c>
      <c r="L259" s="130">
        <f t="shared" si="5"/>
        <v>2190454.9358264771</v>
      </c>
      <c r="M259" s="130">
        <f t="shared" si="5"/>
        <v>2211630.6750619691</v>
      </c>
      <c r="N259" s="130">
        <f t="shared" si="5"/>
        <v>2225542.4440613552</v>
      </c>
      <c r="O259" s="130">
        <f t="shared" si="5"/>
        <v>2233116.6919168141</v>
      </c>
      <c r="P259" s="130">
        <f t="shared" si="5"/>
        <v>2324423.952308475</v>
      </c>
      <c r="Q259" s="130">
        <f t="shared" si="5"/>
        <v>2367671.3068089113</v>
      </c>
      <c r="R259" s="130">
        <f t="shared" si="5"/>
        <v>2405094.6063969145</v>
      </c>
      <c r="S259" s="130">
        <f t="shared" si="5"/>
        <v>2436507.6934465887</v>
      </c>
      <c r="T259" s="130">
        <f t="shared" si="5"/>
        <v>2368617.1894707605</v>
      </c>
      <c r="U259" s="130">
        <f t="shared" si="5"/>
        <v>2293646.2009542924</v>
      </c>
      <c r="V259" s="130">
        <f t="shared" si="5"/>
        <v>2247020.0103060147</v>
      </c>
      <c r="W259" s="130">
        <f t="shared" si="5"/>
        <v>2194438.5474236691</v>
      </c>
      <c r="X259" s="130">
        <f t="shared" si="5"/>
        <v>2181399.9183372497</v>
      </c>
      <c r="Y259" s="130">
        <f t="shared" si="5"/>
        <v>2083699.1295055002</v>
      </c>
      <c r="Z259" s="130">
        <f t="shared" si="5"/>
        <v>2020244.9800132269</v>
      </c>
      <c r="AA259" s="130">
        <f t="shared" si="5"/>
        <v>1990377.4270584746</v>
      </c>
      <c r="AB259" s="130">
        <f t="shared" si="5"/>
        <v>2012128.5833918622</v>
      </c>
      <c r="AC259" s="130">
        <f t="shared" si="5"/>
        <v>2009809.1575687292</v>
      </c>
      <c r="AD259" s="130">
        <f t="shared" si="5"/>
        <v>1966597.6656756848</v>
      </c>
      <c r="AE259" s="130">
        <f t="shared" si="5"/>
        <v>1930453.4378187619</v>
      </c>
      <c r="AF259" s="130">
        <f t="shared" si="5"/>
        <v>1839209.89119384</v>
      </c>
      <c r="AG259" s="130">
        <f t="shared" si="5"/>
        <v>1966786.3981963124</v>
      </c>
      <c r="AH259" s="130">
        <f t="shared" si="5"/>
        <v>2048666.1686074205</v>
      </c>
      <c r="AI259" s="130">
        <f t="shared" si="5"/>
        <v>2112292.2599377809</v>
      </c>
      <c r="AJ259" s="130">
        <f t="shared" si="5"/>
        <v>2158216.4923686343</v>
      </c>
      <c r="AK259" s="130">
        <f t="shared" si="5"/>
        <v>2191851.0561273559</v>
      </c>
      <c r="AL259" s="130">
        <f t="shared" si="5"/>
        <v>2215327.48286012</v>
      </c>
      <c r="AM259" s="130">
        <f t="shared" si="5"/>
        <v>2236813.7265602294</v>
      </c>
      <c r="AN259" s="130">
        <f t="shared" si="5"/>
        <v>2326386.7617301024</v>
      </c>
      <c r="AO259" s="130">
        <f t="shared" si="5"/>
        <v>2365155.2820056695</v>
      </c>
      <c r="AP259" s="130">
        <f t="shared" si="5"/>
        <v>2380536.9467217261</v>
      </c>
      <c r="AQ259" s="130">
        <f t="shared" si="5"/>
        <v>2399917.0114234197</v>
      </c>
      <c r="AR259" s="130">
        <f t="shared" si="5"/>
        <v>2339955.5613188869</v>
      </c>
      <c r="AS259" s="130">
        <f t="shared" si="5"/>
        <v>2249964.5156850312</v>
      </c>
      <c r="AT259" s="130">
        <f t="shared" si="5"/>
        <v>2212862.2413246515</v>
      </c>
      <c r="AU259" s="130">
        <f t="shared" si="5"/>
        <v>2146416.353090147</v>
      </c>
      <c r="AV259" s="130">
        <f t="shared" si="5"/>
        <v>2112769.8863108638</v>
      </c>
      <c r="AW259" s="130">
        <f t="shared" si="5"/>
        <v>2158383.5665202844</v>
      </c>
      <c r="AX259" s="130">
        <f t="shared" si="5"/>
        <v>2178188.1735629113</v>
      </c>
      <c r="AY259" s="130">
        <f>AZ$14*$B$259</f>
        <v>2186094.0816982514</v>
      </c>
      <c r="AZ259" s="145">
        <f>SUM($D259:$AY259)</f>
        <v>105981788.88867187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2679149.3572446755</v>
      </c>
      <c r="E260" s="131">
        <f t="shared" ref="E260:AY260" si="6">(E$175-E$176+E$177-E$178+E$179-E$180+E$181-E$182)*$B$260</f>
        <v>2673970.2524558213</v>
      </c>
      <c r="F260" s="131">
        <f t="shared" si="6"/>
        <v>2691495.8384193145</v>
      </c>
      <c r="G260" s="131">
        <f t="shared" si="6"/>
        <v>2672595.5554484706</v>
      </c>
      <c r="H260" s="131">
        <f t="shared" si="6"/>
        <v>2658656.418665234</v>
      </c>
      <c r="I260" s="131">
        <f t="shared" si="6"/>
        <v>2678554.5187055627</v>
      </c>
      <c r="J260" s="131">
        <f t="shared" si="6"/>
        <v>2672483.4377938784</v>
      </c>
      <c r="K260" s="131">
        <f t="shared" si="6"/>
        <v>2681106.5771369073</v>
      </c>
      <c r="L260" s="131">
        <f t="shared" si="6"/>
        <v>2627344.1597698634</v>
      </c>
      <c r="M260" s="131">
        <f t="shared" si="6"/>
        <v>2634269.4761481262</v>
      </c>
      <c r="N260" s="131">
        <f t="shared" si="6"/>
        <v>2627345.3128558751</v>
      </c>
      <c r="O260" s="131">
        <f t="shared" si="6"/>
        <v>2638406.1515153712</v>
      </c>
      <c r="P260" s="131">
        <f t="shared" si="6"/>
        <v>2675337.7890176792</v>
      </c>
      <c r="Q260" s="131">
        <f t="shared" si="6"/>
        <v>2676925.7255253308</v>
      </c>
      <c r="R260" s="131">
        <f t="shared" si="6"/>
        <v>2667291.2671018234</v>
      </c>
      <c r="S260" s="131">
        <f t="shared" si="6"/>
        <v>2679511.5975280073</v>
      </c>
      <c r="T260" s="131">
        <f t="shared" si="6"/>
        <v>2647618.4132796228</v>
      </c>
      <c r="U260" s="131">
        <f t="shared" si="6"/>
        <v>2675958.8122196035</v>
      </c>
      <c r="V260" s="131">
        <f t="shared" si="6"/>
        <v>2668142.7682794449</v>
      </c>
      <c r="W260" s="131">
        <f t="shared" si="6"/>
        <v>2688956.4417762766</v>
      </c>
      <c r="X260" s="131">
        <f t="shared" si="6"/>
        <v>2592480.0075381007</v>
      </c>
      <c r="Y260" s="131">
        <f t="shared" si="6"/>
        <v>2586438.5418917998</v>
      </c>
      <c r="Z260" s="131">
        <f t="shared" si="6"/>
        <v>2625955.8479987793</v>
      </c>
      <c r="AA260" s="131">
        <f t="shared" si="6"/>
        <v>2584344.290705773</v>
      </c>
      <c r="AB260" s="131">
        <f t="shared" si="6"/>
        <v>2686285.0538407508</v>
      </c>
      <c r="AC260" s="131">
        <f t="shared" si="6"/>
        <v>2663579.1546859629</v>
      </c>
      <c r="AD260" s="131">
        <f t="shared" si="6"/>
        <v>2655207.907783783</v>
      </c>
      <c r="AE260" s="131">
        <f t="shared" si="6"/>
        <v>2670544.2980474988</v>
      </c>
      <c r="AF260" s="131">
        <f t="shared" si="6"/>
        <v>2676086.7792744148</v>
      </c>
      <c r="AG260" s="131">
        <f t="shared" si="6"/>
        <v>2689330.4863203405</v>
      </c>
      <c r="AH260" s="131">
        <f t="shared" si="6"/>
        <v>2659812.3536670073</v>
      </c>
      <c r="AI260" s="131">
        <f t="shared" si="6"/>
        <v>2651599.1760057434</v>
      </c>
      <c r="AJ260" s="131">
        <f t="shared" si="6"/>
        <v>2679160.0160890492</v>
      </c>
      <c r="AK260" s="131">
        <f t="shared" si="6"/>
        <v>2668495.287126706</v>
      </c>
      <c r="AL260" s="131">
        <f t="shared" si="6"/>
        <v>2652228.2323513734</v>
      </c>
      <c r="AM260" s="131">
        <f t="shared" si="6"/>
        <v>2655764.8867790564</v>
      </c>
      <c r="AN260" s="131">
        <f t="shared" si="6"/>
        <v>2644960.2439127215</v>
      </c>
      <c r="AO260" s="131">
        <f t="shared" si="6"/>
        <v>2638577.973968707</v>
      </c>
      <c r="AP260" s="131">
        <f t="shared" si="6"/>
        <v>2639858.1279949178</v>
      </c>
      <c r="AQ260" s="131">
        <f t="shared" si="6"/>
        <v>2643229.1989455307</v>
      </c>
      <c r="AR260" s="131">
        <f t="shared" si="6"/>
        <v>2664664.1020321031</v>
      </c>
      <c r="AS260" s="131">
        <f t="shared" si="6"/>
        <v>2694030.9677829202</v>
      </c>
      <c r="AT260" s="131">
        <f t="shared" si="6"/>
        <v>2675915.7931084936</v>
      </c>
      <c r="AU260" s="131">
        <f t="shared" si="6"/>
        <v>2695009.2597147557</v>
      </c>
      <c r="AV260" s="131">
        <f t="shared" si="6"/>
        <v>2690195.0874174591</v>
      </c>
      <c r="AW260" s="131">
        <f t="shared" si="6"/>
        <v>2683464.5938596665</v>
      </c>
      <c r="AX260" s="131">
        <f t="shared" si="6"/>
        <v>2648156.4762865007</v>
      </c>
      <c r="AY260" s="131">
        <f t="shared" si="6"/>
        <v>2664886.7001509303</v>
      </c>
      <c r="AZ260" s="147">
        <f>SUM($D260:$AY260)</f>
        <v>127695380.71616775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284</v>
      </c>
    </row>
    <row r="2" spans="1:53" x14ac:dyDescent="0.2">
      <c r="A2" s="106" t="s">
        <v>285</v>
      </c>
      <c r="B2" s="113" t="s">
        <v>59</v>
      </c>
    </row>
    <row r="3" spans="1:53" x14ac:dyDescent="0.2">
      <c r="A3" s="106" t="s">
        <v>286</v>
      </c>
      <c r="B3" s="114">
        <v>51000</v>
      </c>
      <c r="C3" s="115"/>
    </row>
    <row r="4" spans="1:53" x14ac:dyDescent="0.2">
      <c r="B4" s="116"/>
      <c r="C4" s="116"/>
    </row>
    <row r="5" spans="1:53" x14ac:dyDescent="0.2">
      <c r="C5" s="117" t="s">
        <v>287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3" x14ac:dyDescent="0.2">
      <c r="A8" s="108" t="s">
        <v>292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293</v>
      </c>
      <c r="D9" s="123">
        <v>10085.355918008665</v>
      </c>
      <c r="E9" s="123">
        <v>10085.355918008665</v>
      </c>
      <c r="F9" s="123">
        <v>10085.355918008665</v>
      </c>
      <c r="G9" s="123">
        <v>10085.355918008665</v>
      </c>
      <c r="H9" s="123">
        <v>7905.7811173110649</v>
      </c>
      <c r="I9" s="123">
        <v>9467.4007650658095</v>
      </c>
      <c r="J9" s="123">
        <v>9467.4007650658095</v>
      </c>
      <c r="K9" s="123">
        <v>9467.4007650658095</v>
      </c>
      <c r="L9" s="123">
        <v>9467.4007650658095</v>
      </c>
      <c r="M9" s="123">
        <v>8178.257815096481</v>
      </c>
      <c r="N9" s="123">
        <v>9467.4007650658095</v>
      </c>
      <c r="O9" s="123">
        <v>9467.4007650658095</v>
      </c>
      <c r="P9" s="123">
        <v>10085.355918008665</v>
      </c>
      <c r="Q9" s="123">
        <v>10085.355918008665</v>
      </c>
      <c r="R9" s="123">
        <v>10085.355918008665</v>
      </c>
      <c r="S9" s="123">
        <v>10085.355918008665</v>
      </c>
      <c r="T9" s="123">
        <v>9467.4007650658095</v>
      </c>
      <c r="U9" s="123">
        <v>9467.4007650658095</v>
      </c>
      <c r="V9" s="123">
        <v>9467.4007650658095</v>
      </c>
      <c r="W9" s="123">
        <v>9467.4007650658095</v>
      </c>
      <c r="X9" s="123">
        <v>9467.4007650658095</v>
      </c>
      <c r="Y9" s="123">
        <v>9467.4007650658095</v>
      </c>
      <c r="Z9" s="123">
        <v>9467.4007650658095</v>
      </c>
      <c r="AA9" s="123">
        <v>9467.4007650658095</v>
      </c>
      <c r="AB9" s="123">
        <v>10085.355918008665</v>
      </c>
      <c r="AC9" s="123">
        <v>10085.355918008665</v>
      </c>
      <c r="AD9" s="123">
        <v>10085.355918008665</v>
      </c>
      <c r="AE9" s="123">
        <v>10085.355918008665</v>
      </c>
      <c r="AF9" s="123">
        <v>9467.4007650658095</v>
      </c>
      <c r="AG9" s="123">
        <v>9467.4007650658095</v>
      </c>
      <c r="AH9" s="123">
        <v>9467.4007650658095</v>
      </c>
      <c r="AI9" s="123">
        <v>9467.4007650658095</v>
      </c>
      <c r="AJ9" s="123">
        <v>9467.4007650658095</v>
      </c>
      <c r="AK9" s="123">
        <v>9467.4007650658095</v>
      </c>
      <c r="AL9" s="123">
        <v>9467.4007650658095</v>
      </c>
      <c r="AM9" s="123">
        <v>9467.4007650658095</v>
      </c>
      <c r="AN9" s="123">
        <v>10085.355918008665</v>
      </c>
      <c r="AO9" s="123">
        <v>10085.355918008665</v>
      </c>
      <c r="AP9" s="123">
        <v>10085.355918008665</v>
      </c>
      <c r="AQ9" s="123">
        <v>10085.355918008665</v>
      </c>
      <c r="AR9" s="123">
        <v>9467.4007650658095</v>
      </c>
      <c r="AS9" s="123">
        <v>9467.4007650658095</v>
      </c>
      <c r="AT9" s="123">
        <v>8016.2645038909277</v>
      </c>
      <c r="AU9" s="123">
        <v>9467.4007650658095</v>
      </c>
      <c r="AV9" s="123">
        <v>9467.4007650658095</v>
      </c>
      <c r="AW9" s="123">
        <v>9467.4007650658095</v>
      </c>
      <c r="AX9" s="123">
        <v>9467.4007650658095</v>
      </c>
      <c r="AY9" s="123">
        <v>9467.4007650658095</v>
      </c>
    </row>
    <row r="10" spans="1:53" x14ac:dyDescent="0.2">
      <c r="A10" s="124" t="s">
        <v>133</v>
      </c>
      <c r="B10" s="125">
        <v>1</v>
      </c>
      <c r="C10" s="112" t="s">
        <v>293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</row>
    <row r="11" spans="1:53" x14ac:dyDescent="0.2">
      <c r="B11" s="125">
        <v>2</v>
      </c>
      <c r="C11" s="112" t="s">
        <v>293</v>
      </c>
      <c r="F11" s="106">
        <v>0</v>
      </c>
      <c r="I11" s="106">
        <v>0</v>
      </c>
      <c r="K11" s="106">
        <v>0</v>
      </c>
      <c r="N11" s="106">
        <v>0</v>
      </c>
      <c r="Q11" s="106">
        <v>0</v>
      </c>
      <c r="X11" s="106">
        <v>0</v>
      </c>
      <c r="Y11" s="106">
        <v>0</v>
      </c>
      <c r="AJ11" s="106">
        <v>0</v>
      </c>
      <c r="AL11" s="106">
        <v>0</v>
      </c>
      <c r="AN11" s="106">
        <v>0</v>
      </c>
      <c r="AO11" s="106">
        <v>0</v>
      </c>
      <c r="AU11" s="106">
        <v>0</v>
      </c>
      <c r="AV11" s="106">
        <v>0</v>
      </c>
    </row>
    <row r="12" spans="1:53" x14ac:dyDescent="0.2">
      <c r="B12" s="126">
        <v>3</v>
      </c>
      <c r="C12" s="112" t="s">
        <v>293</v>
      </c>
    </row>
    <row r="13" spans="1:53" x14ac:dyDescent="0.2">
      <c r="B13" s="126">
        <v>4</v>
      </c>
      <c r="C13" s="112" t="s">
        <v>293</v>
      </c>
    </row>
    <row r="14" spans="1:53" x14ac:dyDescent="0.2">
      <c r="A14" s="121" t="s">
        <v>134</v>
      </c>
      <c r="B14" s="127">
        <v>1</v>
      </c>
      <c r="C14" s="123" t="s">
        <v>293</v>
      </c>
      <c r="D14" s="123">
        <v>21962.101628950815</v>
      </c>
      <c r="E14" s="123">
        <f t="shared" ref="E14:AZ14" si="0">D$172*SUM(D$122:D$169)</f>
        <v>21962.101628950819</v>
      </c>
      <c r="F14" s="123">
        <f t="shared" si="0"/>
        <v>21962.101628950819</v>
      </c>
      <c r="G14" s="123">
        <f t="shared" si="0"/>
        <v>21962.101628950819</v>
      </c>
      <c r="H14" s="123">
        <f t="shared" si="0"/>
        <v>21962.101628950822</v>
      </c>
      <c r="I14" s="123">
        <f t="shared" si="0"/>
        <v>21962.101628950826</v>
      </c>
      <c r="J14" s="123">
        <f t="shared" si="0"/>
        <v>21962.101628950822</v>
      </c>
      <c r="K14" s="123">
        <f t="shared" si="0"/>
        <v>21962.101628950826</v>
      </c>
      <c r="L14" s="123">
        <f t="shared" si="0"/>
        <v>21962.101628950822</v>
      </c>
      <c r="M14" s="123">
        <f t="shared" si="0"/>
        <v>21962.101628950826</v>
      </c>
      <c r="N14" s="123">
        <f t="shared" si="0"/>
        <v>21962.101628950822</v>
      </c>
      <c r="O14" s="123">
        <f t="shared" si="0"/>
        <v>21962.101628950826</v>
      </c>
      <c r="P14" s="123">
        <f t="shared" si="0"/>
        <v>21962.101628950822</v>
      </c>
      <c r="Q14" s="123">
        <f t="shared" si="0"/>
        <v>21962.101628950826</v>
      </c>
      <c r="R14" s="123">
        <f t="shared" si="0"/>
        <v>21962.101628950826</v>
      </c>
      <c r="S14" s="123">
        <f t="shared" si="0"/>
        <v>21962.101628950833</v>
      </c>
      <c r="T14" s="123">
        <f t="shared" si="0"/>
        <v>21962.101628950826</v>
      </c>
      <c r="U14" s="123">
        <f t="shared" si="0"/>
        <v>21962.101628950822</v>
      </c>
      <c r="V14" s="123">
        <f t="shared" si="0"/>
        <v>21962.101628950826</v>
      </c>
      <c r="W14" s="123">
        <f t="shared" si="0"/>
        <v>21962.101628950822</v>
      </c>
      <c r="X14" s="123">
        <f t="shared" si="0"/>
        <v>21962.101628950826</v>
      </c>
      <c r="Y14" s="123">
        <f t="shared" si="0"/>
        <v>21962.101628950822</v>
      </c>
      <c r="Z14" s="123">
        <f t="shared" si="0"/>
        <v>21962.101628950826</v>
      </c>
      <c r="AA14" s="123">
        <f t="shared" si="0"/>
        <v>21962.101628950822</v>
      </c>
      <c r="AB14" s="123">
        <f t="shared" si="0"/>
        <v>21962.101628950826</v>
      </c>
      <c r="AC14" s="123">
        <f t="shared" si="0"/>
        <v>21962.101628950833</v>
      </c>
      <c r="AD14" s="123">
        <f t="shared" si="0"/>
        <v>21962.101628950833</v>
      </c>
      <c r="AE14" s="123">
        <f t="shared" si="0"/>
        <v>21962.101628950826</v>
      </c>
      <c r="AF14" s="123">
        <f t="shared" si="0"/>
        <v>21962.101628950833</v>
      </c>
      <c r="AG14" s="123">
        <f t="shared" si="0"/>
        <v>21962.101628950822</v>
      </c>
      <c r="AH14" s="123">
        <f t="shared" si="0"/>
        <v>21962.101628950826</v>
      </c>
      <c r="AI14" s="123">
        <f t="shared" si="0"/>
        <v>21962.101628950822</v>
      </c>
      <c r="AJ14" s="123">
        <f t="shared" si="0"/>
        <v>21962.101628950826</v>
      </c>
      <c r="AK14" s="123">
        <f t="shared" si="0"/>
        <v>21962.101628950822</v>
      </c>
      <c r="AL14" s="123">
        <f t="shared" si="0"/>
        <v>21962.101628950826</v>
      </c>
      <c r="AM14" s="123">
        <f t="shared" si="0"/>
        <v>21962.101628950822</v>
      </c>
      <c r="AN14" s="123">
        <f t="shared" si="0"/>
        <v>21962.101628950826</v>
      </c>
      <c r="AO14" s="123">
        <f t="shared" si="0"/>
        <v>21962.101628950833</v>
      </c>
      <c r="AP14" s="123">
        <f t="shared" si="0"/>
        <v>21962.101628950833</v>
      </c>
      <c r="AQ14" s="123">
        <f t="shared" si="0"/>
        <v>21962.101628950826</v>
      </c>
      <c r="AR14" s="123">
        <f t="shared" si="0"/>
        <v>21962.101628950833</v>
      </c>
      <c r="AS14" s="123">
        <f t="shared" si="0"/>
        <v>21962.101628950822</v>
      </c>
      <c r="AT14" s="123">
        <f t="shared" si="0"/>
        <v>21962.101628950826</v>
      </c>
      <c r="AU14" s="123">
        <f t="shared" si="0"/>
        <v>21962.101628950826</v>
      </c>
      <c r="AV14" s="123">
        <f t="shared" si="0"/>
        <v>21962.101628950822</v>
      </c>
      <c r="AW14" s="123">
        <f t="shared" si="0"/>
        <v>21962.101628950819</v>
      </c>
      <c r="AX14" s="123">
        <f t="shared" si="0"/>
        <v>21962.101628950815</v>
      </c>
      <c r="AY14" s="123">
        <f t="shared" si="0"/>
        <v>21962.101628950819</v>
      </c>
      <c r="AZ14" s="116">
        <f t="shared" si="0"/>
        <v>21962.101628950819</v>
      </c>
      <c r="BA14" s="113">
        <f>SUM($E14:$AZ14)</f>
        <v>1054180.8781896387</v>
      </c>
    </row>
    <row r="15" spans="1:53" x14ac:dyDescent="0.2">
      <c r="A15" s="128" t="s">
        <v>123</v>
      </c>
      <c r="B15" s="129">
        <v>1</v>
      </c>
      <c r="C15" s="130" t="s">
        <v>293</v>
      </c>
      <c r="D15" s="130">
        <v>36293.374362842609</v>
      </c>
      <c r="E15" s="130">
        <v>36293.374362842609</v>
      </c>
      <c r="F15" s="130">
        <v>36293.374362842609</v>
      </c>
      <c r="G15" s="130">
        <v>36293.374362842609</v>
      </c>
      <c r="H15" s="130">
        <v>32260.777211415654</v>
      </c>
      <c r="I15" s="130">
        <v>32260.777211415654</v>
      </c>
      <c r="J15" s="130">
        <v>32260.777211415654</v>
      </c>
      <c r="K15" s="130">
        <v>32260.777211415654</v>
      </c>
      <c r="L15" s="130">
        <v>32260.777211415654</v>
      </c>
      <c r="M15" s="130">
        <v>32260.777211415654</v>
      </c>
      <c r="N15" s="130">
        <v>32260.777211415654</v>
      </c>
      <c r="O15" s="130">
        <v>32260.777211415654</v>
      </c>
      <c r="P15" s="130">
        <v>36293.374362842609</v>
      </c>
      <c r="Q15" s="130">
        <v>36293.374362842609</v>
      </c>
      <c r="R15" s="130">
        <v>36293.374362842609</v>
      </c>
      <c r="S15" s="130">
        <v>36293.374362842609</v>
      </c>
      <c r="T15" s="130">
        <v>32260.777211415654</v>
      </c>
      <c r="U15" s="130">
        <v>32260.777211415654</v>
      </c>
      <c r="V15" s="130">
        <v>32260.777211415654</v>
      </c>
      <c r="W15" s="130">
        <v>32260.777211415654</v>
      </c>
      <c r="X15" s="130">
        <v>32260.777211415654</v>
      </c>
      <c r="Y15" s="130">
        <v>32260.777211415654</v>
      </c>
      <c r="Z15" s="130">
        <v>32260.777211415654</v>
      </c>
      <c r="AA15" s="130">
        <v>32260.777211415654</v>
      </c>
      <c r="AB15" s="130">
        <v>36293.374362842609</v>
      </c>
      <c r="AC15" s="130">
        <v>36293.374362842609</v>
      </c>
      <c r="AD15" s="130">
        <v>36293.374362842609</v>
      </c>
      <c r="AE15" s="130">
        <v>36293.374362842609</v>
      </c>
      <c r="AF15" s="130">
        <v>32260.777211415654</v>
      </c>
      <c r="AG15" s="130">
        <v>32260.777211415654</v>
      </c>
      <c r="AH15" s="130">
        <v>32260.777211415654</v>
      </c>
      <c r="AI15" s="130">
        <v>32260.777211415654</v>
      </c>
      <c r="AJ15" s="130">
        <v>32260.777211415654</v>
      </c>
      <c r="AK15" s="130">
        <v>32260.777211415654</v>
      </c>
      <c r="AL15" s="130">
        <v>32260.777211415654</v>
      </c>
      <c r="AM15" s="130">
        <v>32260.777211415654</v>
      </c>
      <c r="AN15" s="130">
        <v>36293.374362842609</v>
      </c>
      <c r="AO15" s="130">
        <v>36293.374362842609</v>
      </c>
      <c r="AP15" s="130">
        <v>36293.374362842609</v>
      </c>
      <c r="AQ15" s="130">
        <v>36293.374362842609</v>
      </c>
      <c r="AR15" s="130">
        <v>32260.777211415654</v>
      </c>
      <c r="AS15" s="130">
        <v>32260.777211415654</v>
      </c>
      <c r="AT15" s="130">
        <v>32260.777211415654</v>
      </c>
      <c r="AU15" s="130">
        <v>32260.777211415654</v>
      </c>
      <c r="AV15" s="130">
        <v>32260.777211415654</v>
      </c>
      <c r="AW15" s="130">
        <v>32260.777211415654</v>
      </c>
      <c r="AX15" s="130">
        <v>32260.777211415654</v>
      </c>
      <c r="AY15" s="130">
        <v>32260.777211415654</v>
      </c>
      <c r="AZ15" s="106">
        <v>0</v>
      </c>
    </row>
    <row r="16" spans="1:53" x14ac:dyDescent="0.2">
      <c r="A16" s="116"/>
      <c r="B16" s="125">
        <v>2</v>
      </c>
      <c r="C16" s="115" t="s">
        <v>293</v>
      </c>
      <c r="D16" s="112"/>
      <c r="E16" s="116"/>
      <c r="F16" s="116">
        <v>0</v>
      </c>
      <c r="G16" s="116"/>
      <c r="H16" s="116"/>
      <c r="I16" s="116">
        <v>0</v>
      </c>
      <c r="J16" s="116"/>
      <c r="K16" s="116">
        <v>0</v>
      </c>
      <c r="L16" s="116"/>
      <c r="M16" s="116"/>
      <c r="N16" s="116">
        <v>0</v>
      </c>
      <c r="O16" s="116"/>
      <c r="P16" s="116"/>
      <c r="Q16" s="116">
        <v>0</v>
      </c>
      <c r="R16" s="116"/>
      <c r="S16" s="116"/>
      <c r="T16" s="116"/>
      <c r="U16" s="116"/>
      <c r="V16" s="116"/>
      <c r="W16" s="116"/>
      <c r="X16" s="116">
        <v>0</v>
      </c>
      <c r="Y16" s="116">
        <v>0</v>
      </c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>
        <v>0</v>
      </c>
      <c r="AK16" s="116"/>
      <c r="AL16" s="116">
        <v>0</v>
      </c>
      <c r="AM16" s="116"/>
      <c r="AN16" s="116">
        <v>0</v>
      </c>
      <c r="AO16" s="116">
        <v>0</v>
      </c>
      <c r="AP16" s="116"/>
      <c r="AQ16" s="116"/>
      <c r="AR16" s="116"/>
      <c r="AS16" s="116"/>
      <c r="AT16" s="116"/>
      <c r="AU16" s="116">
        <v>0</v>
      </c>
      <c r="AV16" s="116">
        <v>0</v>
      </c>
      <c r="AW16" s="116"/>
      <c r="AX16" s="116"/>
      <c r="AY16" s="116"/>
    </row>
    <row r="17" spans="1:51" x14ac:dyDescent="0.2">
      <c r="A17" s="116"/>
      <c r="B17" s="125">
        <v>3</v>
      </c>
      <c r="C17" s="115" t="s">
        <v>293</v>
      </c>
      <c r="D17" s="112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/>
      <c r="AX17" s="116"/>
      <c r="AY17" s="116"/>
    </row>
    <row r="18" spans="1:51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1" x14ac:dyDescent="0.2">
      <c r="A20" s="108" t="s">
        <v>294</v>
      </c>
    </row>
    <row r="21" spans="1:51" x14ac:dyDescent="0.2">
      <c r="A21" s="132" t="s">
        <v>125</v>
      </c>
      <c r="B21" s="129">
        <v>1</v>
      </c>
      <c r="C21" s="130" t="s">
        <v>293</v>
      </c>
      <c r="D21" s="130">
        <v>10085.355918008665</v>
      </c>
      <c r="E21" s="130">
        <v>10085.355918008665</v>
      </c>
      <c r="F21" s="130">
        <v>10085.355918008665</v>
      </c>
      <c r="G21" s="130">
        <v>10085.355918008665</v>
      </c>
      <c r="H21" s="130">
        <v>7905.7811173110649</v>
      </c>
      <c r="I21" s="130">
        <v>9467.4007650658095</v>
      </c>
      <c r="J21" s="130">
        <v>9467.4007650658095</v>
      </c>
      <c r="K21" s="130">
        <v>9467.4007650658095</v>
      </c>
      <c r="L21" s="130">
        <v>9467.4007650658095</v>
      </c>
      <c r="M21" s="130">
        <v>8178.257815096481</v>
      </c>
      <c r="N21" s="130">
        <v>9467.4007650658095</v>
      </c>
      <c r="O21" s="130">
        <v>9467.4007650658095</v>
      </c>
      <c r="P21" s="130">
        <v>10085.355918008665</v>
      </c>
      <c r="Q21" s="130">
        <v>10085.355918008665</v>
      </c>
      <c r="R21" s="130">
        <v>10085.355918008665</v>
      </c>
      <c r="S21" s="130">
        <v>10085.355918008665</v>
      </c>
      <c r="T21" s="130">
        <v>9467.4007650658095</v>
      </c>
      <c r="U21" s="130">
        <v>9467.4007650658095</v>
      </c>
      <c r="V21" s="130">
        <v>9467.4007650658095</v>
      </c>
      <c r="W21" s="130">
        <v>9467.4007650658095</v>
      </c>
      <c r="X21" s="130">
        <v>9467.4007650658095</v>
      </c>
      <c r="Y21" s="130">
        <v>9467.4007650658095</v>
      </c>
      <c r="Z21" s="130">
        <v>9467.4007650658095</v>
      </c>
      <c r="AA21" s="130">
        <v>9467.4007650658095</v>
      </c>
      <c r="AB21" s="130">
        <v>10085.355918008665</v>
      </c>
      <c r="AC21" s="130">
        <v>10085.355918008665</v>
      </c>
      <c r="AD21" s="130">
        <v>10085.355918008665</v>
      </c>
      <c r="AE21" s="130">
        <v>10085.355918008665</v>
      </c>
      <c r="AF21" s="130">
        <v>9467.4007650658095</v>
      </c>
      <c r="AG21" s="130">
        <v>9467.4007650658095</v>
      </c>
      <c r="AH21" s="130">
        <v>9467.4007650658095</v>
      </c>
      <c r="AI21" s="130">
        <v>9467.4007650658095</v>
      </c>
      <c r="AJ21" s="130">
        <v>9467.4007650658095</v>
      </c>
      <c r="AK21" s="130">
        <v>9467.4007650658095</v>
      </c>
      <c r="AL21" s="130">
        <v>9467.4007650658095</v>
      </c>
      <c r="AM21" s="130">
        <v>9467.4007650658095</v>
      </c>
      <c r="AN21" s="130">
        <v>10085.355918008665</v>
      </c>
      <c r="AO21" s="130">
        <v>10085.355918008665</v>
      </c>
      <c r="AP21" s="130">
        <v>10085.355918008665</v>
      </c>
      <c r="AQ21" s="130">
        <v>10085.355918008665</v>
      </c>
      <c r="AR21" s="130">
        <v>9467.4007650658095</v>
      </c>
      <c r="AS21" s="130">
        <v>9467.4007650658095</v>
      </c>
      <c r="AT21" s="130">
        <v>8016.2645038909277</v>
      </c>
      <c r="AU21" s="130">
        <v>9467.4007650658095</v>
      </c>
      <c r="AV21" s="130">
        <v>9467.4007650658095</v>
      </c>
      <c r="AW21" s="130">
        <v>9467.4007650658095</v>
      </c>
      <c r="AX21" s="130">
        <v>9467.4007650658095</v>
      </c>
      <c r="AY21" s="130">
        <v>9467.4007650658095</v>
      </c>
    </row>
    <row r="22" spans="1:51" x14ac:dyDescent="0.2">
      <c r="A22" s="115"/>
      <c r="B22" s="126">
        <v>2</v>
      </c>
      <c r="C22" s="116" t="s">
        <v>293</v>
      </c>
      <c r="D22" s="116">
        <v>0</v>
      </c>
      <c r="E22" s="116">
        <v>0</v>
      </c>
      <c r="F22" s="116">
        <v>0</v>
      </c>
      <c r="G22" s="116">
        <v>0</v>
      </c>
      <c r="H22" s="116">
        <v>0</v>
      </c>
      <c r="I22" s="116">
        <v>0</v>
      </c>
      <c r="J22" s="116">
        <v>0</v>
      </c>
      <c r="K22" s="116">
        <v>0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  <c r="AO22" s="116">
        <v>0</v>
      </c>
      <c r="AP22" s="116">
        <v>0</v>
      </c>
      <c r="AQ22" s="116">
        <v>0</v>
      </c>
      <c r="AR22" s="116">
        <v>0</v>
      </c>
      <c r="AS22" s="116">
        <v>0</v>
      </c>
      <c r="AT22" s="116">
        <v>0</v>
      </c>
      <c r="AU22" s="116">
        <v>0</v>
      </c>
      <c r="AV22" s="116">
        <v>0</v>
      </c>
      <c r="AW22" s="116">
        <v>0</v>
      </c>
      <c r="AX22" s="116">
        <v>0</v>
      </c>
      <c r="AY22" s="116">
        <v>0</v>
      </c>
    </row>
    <row r="23" spans="1:51" x14ac:dyDescent="0.2">
      <c r="A23" s="115"/>
      <c r="B23" s="133">
        <v>3</v>
      </c>
      <c r="C23" s="116" t="s">
        <v>293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1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1" x14ac:dyDescent="0.2">
      <c r="A25" s="132" t="s">
        <v>133</v>
      </c>
      <c r="B25" s="129">
        <v>1</v>
      </c>
      <c r="C25" s="115" t="s">
        <v>293</v>
      </c>
      <c r="D25" s="116">
        <v>0</v>
      </c>
      <c r="E25" s="116">
        <v>0</v>
      </c>
      <c r="F25" s="116">
        <v>0</v>
      </c>
      <c r="G25" s="116">
        <v>0</v>
      </c>
      <c r="H25" s="116">
        <v>0</v>
      </c>
      <c r="I25" s="116">
        <v>0</v>
      </c>
      <c r="J25" s="116">
        <v>0</v>
      </c>
      <c r="K25" s="116">
        <v>0</v>
      </c>
      <c r="L25" s="116">
        <v>0</v>
      </c>
      <c r="M25" s="116">
        <v>0</v>
      </c>
      <c r="N25" s="116">
        <v>0</v>
      </c>
      <c r="O25" s="116">
        <v>0</v>
      </c>
      <c r="P25" s="116">
        <v>0</v>
      </c>
      <c r="Q25" s="116">
        <v>0</v>
      </c>
      <c r="R25" s="116">
        <v>0</v>
      </c>
      <c r="S25" s="116">
        <v>0</v>
      </c>
      <c r="T25" s="116">
        <v>0</v>
      </c>
      <c r="U25" s="116">
        <v>0</v>
      </c>
      <c r="V25" s="116">
        <v>0</v>
      </c>
      <c r="W25" s="116">
        <v>0</v>
      </c>
      <c r="X25" s="116">
        <v>0</v>
      </c>
      <c r="Y25" s="116">
        <v>0</v>
      </c>
      <c r="Z25" s="116">
        <v>0</v>
      </c>
      <c r="AA25" s="116">
        <v>0</v>
      </c>
      <c r="AB25" s="116">
        <v>0</v>
      </c>
      <c r="AC25" s="116">
        <v>0</v>
      </c>
      <c r="AD25" s="116">
        <v>0</v>
      </c>
      <c r="AE25" s="116">
        <v>0</v>
      </c>
      <c r="AF25" s="116">
        <v>0</v>
      </c>
      <c r="AG25" s="116">
        <v>0</v>
      </c>
      <c r="AH25" s="116">
        <v>0</v>
      </c>
      <c r="AI25" s="116">
        <v>0</v>
      </c>
      <c r="AJ25" s="116">
        <v>0</v>
      </c>
      <c r="AK25" s="116">
        <v>0</v>
      </c>
      <c r="AL25" s="116">
        <v>0</v>
      </c>
      <c r="AM25" s="116">
        <v>0</v>
      </c>
      <c r="AN25" s="116">
        <v>0</v>
      </c>
      <c r="AO25" s="116">
        <v>0</v>
      </c>
      <c r="AP25" s="116">
        <v>0</v>
      </c>
      <c r="AQ25" s="116">
        <v>0</v>
      </c>
      <c r="AR25" s="116">
        <v>0</v>
      </c>
      <c r="AS25" s="116">
        <v>0</v>
      </c>
      <c r="AT25" s="116">
        <v>0</v>
      </c>
      <c r="AU25" s="116">
        <v>0</v>
      </c>
      <c r="AV25" s="116">
        <v>0</v>
      </c>
      <c r="AW25" s="116">
        <v>0</v>
      </c>
      <c r="AX25" s="116">
        <v>0</v>
      </c>
      <c r="AY25" s="116">
        <v>0</v>
      </c>
    </row>
    <row r="26" spans="1:51" x14ac:dyDescent="0.2">
      <c r="A26" s="115"/>
      <c r="B26" s="125">
        <v>2</v>
      </c>
      <c r="C26" s="115" t="s">
        <v>293</v>
      </c>
      <c r="D26" s="116">
        <v>0</v>
      </c>
      <c r="E26" s="116">
        <v>0</v>
      </c>
      <c r="F26" s="116">
        <v>0</v>
      </c>
      <c r="G26" s="116">
        <v>0</v>
      </c>
      <c r="H26" s="116">
        <v>0</v>
      </c>
      <c r="I26" s="116">
        <v>0</v>
      </c>
      <c r="J26" s="116">
        <v>0</v>
      </c>
      <c r="K26" s="116">
        <v>0</v>
      </c>
      <c r="L26" s="116">
        <v>0</v>
      </c>
      <c r="M26" s="116">
        <v>0</v>
      </c>
      <c r="N26" s="116">
        <v>0</v>
      </c>
      <c r="O26" s="116">
        <v>0</v>
      </c>
      <c r="P26" s="116">
        <v>0</v>
      </c>
      <c r="Q26" s="116">
        <v>0</v>
      </c>
      <c r="R26" s="116">
        <v>0</v>
      </c>
      <c r="S26" s="116">
        <v>0</v>
      </c>
      <c r="T26" s="116">
        <v>0</v>
      </c>
      <c r="U26" s="116">
        <v>0</v>
      </c>
      <c r="V26" s="116">
        <v>0</v>
      </c>
      <c r="W26" s="116">
        <v>0</v>
      </c>
      <c r="X26" s="116">
        <v>0</v>
      </c>
      <c r="Y26" s="116">
        <v>0</v>
      </c>
      <c r="Z26" s="116">
        <v>0</v>
      </c>
      <c r="AA26" s="116">
        <v>0</v>
      </c>
      <c r="AB26" s="116">
        <v>0</v>
      </c>
      <c r="AC26" s="116">
        <v>0</v>
      </c>
      <c r="AD26" s="116">
        <v>0</v>
      </c>
      <c r="AE26" s="116">
        <v>0</v>
      </c>
      <c r="AF26" s="116">
        <v>0</v>
      </c>
      <c r="AG26" s="116">
        <v>0</v>
      </c>
      <c r="AH26" s="116">
        <v>0</v>
      </c>
      <c r="AI26" s="116">
        <v>0</v>
      </c>
      <c r="AJ26" s="116">
        <v>0</v>
      </c>
      <c r="AK26" s="116">
        <v>0</v>
      </c>
      <c r="AL26" s="116">
        <v>0</v>
      </c>
      <c r="AM26" s="116">
        <v>0</v>
      </c>
      <c r="AN26" s="116">
        <v>0</v>
      </c>
      <c r="AO26" s="116">
        <v>0</v>
      </c>
      <c r="AP26" s="116">
        <v>0</v>
      </c>
      <c r="AQ26" s="116">
        <v>0</v>
      </c>
      <c r="AR26" s="116">
        <v>0</v>
      </c>
      <c r="AS26" s="116">
        <v>0</v>
      </c>
      <c r="AT26" s="116">
        <v>0</v>
      </c>
      <c r="AU26" s="116">
        <v>0</v>
      </c>
      <c r="AV26" s="116">
        <v>0</v>
      </c>
      <c r="AW26" s="116">
        <v>0</v>
      </c>
      <c r="AX26" s="116">
        <v>0</v>
      </c>
      <c r="AY26" s="116">
        <v>0</v>
      </c>
    </row>
    <row r="27" spans="1:51" x14ac:dyDescent="0.2">
      <c r="A27" s="115"/>
      <c r="B27" s="126">
        <v>3</v>
      </c>
      <c r="C27" s="115" t="s">
        <v>293</v>
      </c>
      <c r="D27" s="116">
        <v>0</v>
      </c>
      <c r="E27" s="116">
        <v>0</v>
      </c>
      <c r="F27" s="116">
        <v>0</v>
      </c>
      <c r="G27" s="116">
        <v>0</v>
      </c>
      <c r="H27" s="116">
        <v>0</v>
      </c>
      <c r="I27" s="116">
        <v>0</v>
      </c>
      <c r="J27" s="116">
        <v>0</v>
      </c>
      <c r="K27" s="116">
        <v>0</v>
      </c>
      <c r="L27" s="116">
        <v>0</v>
      </c>
      <c r="M27" s="116">
        <v>0</v>
      </c>
      <c r="N27" s="116">
        <v>0</v>
      </c>
      <c r="O27" s="116">
        <v>0</v>
      </c>
      <c r="P27" s="116">
        <v>0</v>
      </c>
      <c r="Q27" s="116">
        <v>0</v>
      </c>
      <c r="R27" s="116">
        <v>0</v>
      </c>
      <c r="S27" s="116">
        <v>0</v>
      </c>
      <c r="T27" s="116">
        <v>0</v>
      </c>
      <c r="U27" s="116">
        <v>0</v>
      </c>
      <c r="V27" s="116">
        <v>0</v>
      </c>
      <c r="W27" s="116">
        <v>0</v>
      </c>
      <c r="X27" s="116">
        <v>0</v>
      </c>
      <c r="Y27" s="116">
        <v>0</v>
      </c>
      <c r="Z27" s="116">
        <v>0</v>
      </c>
      <c r="AA27" s="116">
        <v>0</v>
      </c>
      <c r="AB27" s="116">
        <v>0</v>
      </c>
      <c r="AC27" s="116">
        <v>0</v>
      </c>
      <c r="AD27" s="116">
        <v>0</v>
      </c>
      <c r="AE27" s="116">
        <v>0</v>
      </c>
      <c r="AF27" s="116">
        <v>0</v>
      </c>
      <c r="AG27" s="116">
        <v>0</v>
      </c>
      <c r="AH27" s="116">
        <v>0</v>
      </c>
      <c r="AI27" s="116">
        <v>0</v>
      </c>
      <c r="AJ27" s="116">
        <v>0</v>
      </c>
      <c r="AK27" s="116">
        <v>0</v>
      </c>
      <c r="AL27" s="116">
        <v>0</v>
      </c>
      <c r="AM27" s="116">
        <v>0</v>
      </c>
      <c r="AN27" s="116">
        <v>0</v>
      </c>
      <c r="AO27" s="116">
        <v>0</v>
      </c>
      <c r="AP27" s="116">
        <v>0</v>
      </c>
      <c r="AQ27" s="116">
        <v>0</v>
      </c>
      <c r="AR27" s="116">
        <v>0</v>
      </c>
      <c r="AS27" s="116">
        <v>0</v>
      </c>
      <c r="AT27" s="116">
        <v>0</v>
      </c>
      <c r="AU27" s="116">
        <v>0</v>
      </c>
      <c r="AV27" s="116">
        <v>0</v>
      </c>
      <c r="AW27" s="116">
        <v>0</v>
      </c>
      <c r="AX27" s="116">
        <v>0</v>
      </c>
      <c r="AY27" s="116">
        <v>0</v>
      </c>
    </row>
    <row r="28" spans="1:51" x14ac:dyDescent="0.2">
      <c r="A28" s="115"/>
      <c r="B28" s="126">
        <v>4</v>
      </c>
      <c r="C28" s="115" t="s">
        <v>293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16">
        <v>0</v>
      </c>
    </row>
    <row r="29" spans="1:51" x14ac:dyDescent="0.2">
      <c r="A29" s="115"/>
      <c r="B29" s="133">
        <v>5</v>
      </c>
      <c r="C29" s="115" t="s">
        <v>293</v>
      </c>
      <c r="D29" s="116">
        <v>0</v>
      </c>
      <c r="E29" s="116">
        <v>0</v>
      </c>
      <c r="F29" s="116">
        <v>0</v>
      </c>
      <c r="G29" s="116">
        <v>0</v>
      </c>
      <c r="H29" s="116">
        <v>0</v>
      </c>
      <c r="I29" s="116">
        <v>0</v>
      </c>
      <c r="J29" s="116">
        <v>0</v>
      </c>
      <c r="K29" s="116">
        <v>0</v>
      </c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>
        <v>0</v>
      </c>
      <c r="AD29" s="116">
        <v>0</v>
      </c>
      <c r="AE29" s="116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</row>
    <row r="30" spans="1:51" x14ac:dyDescent="0.2">
      <c r="A30" s="115"/>
      <c r="B30" s="133">
        <v>6</v>
      </c>
      <c r="C30" s="115" t="s">
        <v>293</v>
      </c>
      <c r="D30" s="116">
        <v>0</v>
      </c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</row>
    <row r="31" spans="1:51" x14ac:dyDescent="0.2">
      <c r="A31" s="115"/>
      <c r="B31" s="136">
        <v>7</v>
      </c>
      <c r="C31" s="115" t="s">
        <v>293</v>
      </c>
      <c r="D31" s="116">
        <v>0</v>
      </c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1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>
        <v>21962.101628950815</v>
      </c>
      <c r="E33" s="112">
        <v>21962.101628950819</v>
      </c>
      <c r="F33" s="112">
        <v>21962.101628950819</v>
      </c>
      <c r="G33" s="112">
        <v>21962.101628950819</v>
      </c>
      <c r="H33" s="112">
        <v>21962.101628950822</v>
      </c>
      <c r="I33" s="112">
        <v>21962.101628950826</v>
      </c>
      <c r="J33" s="112">
        <v>21962.101628950822</v>
      </c>
      <c r="K33" s="112">
        <v>21962.101628950826</v>
      </c>
      <c r="L33" s="112">
        <v>21962.101628950822</v>
      </c>
      <c r="M33" s="112">
        <v>21962.101628950826</v>
      </c>
      <c r="N33" s="112">
        <v>21962.101628950822</v>
      </c>
      <c r="O33" s="112">
        <v>21962.101628950826</v>
      </c>
      <c r="P33" s="112">
        <v>21962.101628950822</v>
      </c>
      <c r="Q33" s="112">
        <v>21962.101628950826</v>
      </c>
      <c r="R33" s="112">
        <v>21962.101628950826</v>
      </c>
      <c r="S33" s="112">
        <v>21962.101628950833</v>
      </c>
      <c r="T33" s="112">
        <v>21962.101628950826</v>
      </c>
      <c r="U33" s="112">
        <v>21962.101628950822</v>
      </c>
      <c r="V33" s="112">
        <v>21962.101628950826</v>
      </c>
      <c r="W33" s="112">
        <v>21962.101628950822</v>
      </c>
      <c r="X33" s="112">
        <v>21962.101628950826</v>
      </c>
      <c r="Y33" s="112">
        <v>21962.101628950822</v>
      </c>
      <c r="Z33" s="112">
        <v>21962.101628950826</v>
      </c>
      <c r="AA33" s="112">
        <v>21962.101628950822</v>
      </c>
      <c r="AB33" s="112">
        <v>21962.101628950826</v>
      </c>
      <c r="AC33" s="112">
        <v>21962.101628950833</v>
      </c>
      <c r="AD33" s="112">
        <v>21962.101628950833</v>
      </c>
      <c r="AE33" s="112">
        <v>21962.101628950826</v>
      </c>
      <c r="AF33" s="112">
        <v>21962.101628950833</v>
      </c>
      <c r="AG33" s="112">
        <v>21962.101628950822</v>
      </c>
      <c r="AH33" s="112">
        <v>21962.101628950826</v>
      </c>
      <c r="AI33" s="112">
        <v>21962.101628950822</v>
      </c>
      <c r="AJ33" s="112">
        <v>21962.101628950826</v>
      </c>
      <c r="AK33" s="112">
        <v>21962.101628950822</v>
      </c>
      <c r="AL33" s="112">
        <v>21962.101628950826</v>
      </c>
      <c r="AM33" s="112">
        <v>21962.101628950822</v>
      </c>
      <c r="AN33" s="112">
        <v>21962.101628950826</v>
      </c>
      <c r="AO33" s="112">
        <v>21962.101628950833</v>
      </c>
      <c r="AP33" s="112">
        <v>21962.101628950833</v>
      </c>
      <c r="AQ33" s="112">
        <v>21962.101628950826</v>
      </c>
      <c r="AR33" s="112">
        <v>21962.101628950833</v>
      </c>
      <c r="AS33" s="112">
        <v>21962.101628950822</v>
      </c>
      <c r="AT33" s="112">
        <v>21962.101628950826</v>
      </c>
      <c r="AU33" s="112">
        <v>21962.101628950826</v>
      </c>
      <c r="AV33" s="112">
        <v>21962.101628950822</v>
      </c>
      <c r="AW33" s="112">
        <v>21962.101628950819</v>
      </c>
      <c r="AX33" s="112">
        <v>21962.101628950815</v>
      </c>
      <c r="AY33" s="112">
        <v>21962.101628950819</v>
      </c>
    </row>
    <row r="34" spans="1:51" x14ac:dyDescent="0.2">
      <c r="A34" s="115"/>
      <c r="B34" s="125">
        <v>2</v>
      </c>
      <c r="C34" s="115" t="s">
        <v>293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0</v>
      </c>
      <c r="AC34" s="112">
        <v>0</v>
      </c>
      <c r="AD34" s="112">
        <v>0</v>
      </c>
      <c r="AE34" s="112">
        <v>0</v>
      </c>
      <c r="AF34" s="112">
        <v>0</v>
      </c>
      <c r="AG34" s="112">
        <v>0</v>
      </c>
      <c r="AH34" s="112">
        <v>0</v>
      </c>
      <c r="AI34" s="112">
        <v>0</v>
      </c>
      <c r="AJ34" s="112">
        <v>0</v>
      </c>
      <c r="AK34" s="112">
        <v>0</v>
      </c>
      <c r="AL34" s="112">
        <v>0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</row>
    <row r="35" spans="1:51" x14ac:dyDescent="0.2">
      <c r="A35" s="115"/>
      <c r="B35" s="125">
        <v>3</v>
      </c>
      <c r="C35" s="115" t="s">
        <v>293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</row>
    <row r="36" spans="1:51" x14ac:dyDescent="0.2">
      <c r="A36" s="115"/>
      <c r="B36" s="126">
        <v>4</v>
      </c>
      <c r="C36" s="115" t="s">
        <v>293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</row>
    <row r="37" spans="1:51" x14ac:dyDescent="0.2">
      <c r="A37" s="115"/>
      <c r="B37" s="126">
        <v>5</v>
      </c>
      <c r="C37" s="115" t="s">
        <v>293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</row>
    <row r="38" spans="1:51" x14ac:dyDescent="0.2">
      <c r="A38" s="115"/>
      <c r="B38" s="126">
        <v>6</v>
      </c>
      <c r="C38" s="115" t="s">
        <v>293</v>
      </c>
      <c r="D38" s="112">
        <v>0</v>
      </c>
      <c r="E38" s="112">
        <v>0</v>
      </c>
      <c r="F38" s="112">
        <v>0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</v>
      </c>
      <c r="AG38" s="112">
        <v>0</v>
      </c>
      <c r="AH38" s="112">
        <v>0</v>
      </c>
      <c r="AI38" s="112">
        <v>0</v>
      </c>
      <c r="AJ38" s="112">
        <v>0</v>
      </c>
      <c r="AK38" s="112">
        <v>0</v>
      </c>
      <c r="AL38" s="112">
        <v>0</v>
      </c>
      <c r="AM38" s="112">
        <v>0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</row>
    <row r="39" spans="1:51" x14ac:dyDescent="0.2">
      <c r="A39" s="115"/>
      <c r="B39" s="133">
        <v>7</v>
      </c>
      <c r="C39" s="115" t="s">
        <v>293</v>
      </c>
      <c r="D39" s="112">
        <v>0</v>
      </c>
      <c r="E39" s="112">
        <v>0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</v>
      </c>
      <c r="AG39" s="112">
        <v>0</v>
      </c>
      <c r="AH39" s="112">
        <v>0</v>
      </c>
      <c r="AI39" s="112">
        <v>0</v>
      </c>
      <c r="AJ39" s="112">
        <v>0</v>
      </c>
      <c r="AK39" s="112">
        <v>0</v>
      </c>
      <c r="AL39" s="112">
        <v>0</v>
      </c>
      <c r="AM39" s="112">
        <v>0</v>
      </c>
      <c r="AN39" s="112">
        <v>0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</row>
    <row r="40" spans="1:51" x14ac:dyDescent="0.2">
      <c r="A40" s="115"/>
      <c r="B40" s="133">
        <v>8</v>
      </c>
      <c r="C40" s="115" t="s">
        <v>293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</row>
    <row r="41" spans="1:51" x14ac:dyDescent="0.2">
      <c r="A41" s="115"/>
      <c r="B41" s="133">
        <v>9</v>
      </c>
      <c r="C41" s="115" t="s">
        <v>293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</row>
    <row r="42" spans="1:51" x14ac:dyDescent="0.2">
      <c r="A42" s="115"/>
      <c r="B42" s="136">
        <v>10</v>
      </c>
      <c r="C42" s="115" t="s">
        <v>293</v>
      </c>
      <c r="D42" s="112">
        <v>0</v>
      </c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0</v>
      </c>
      <c r="Z42" s="112">
        <v>0</v>
      </c>
      <c r="AA42" s="112">
        <v>0</v>
      </c>
      <c r="AB42" s="112">
        <v>0</v>
      </c>
      <c r="AC42" s="112">
        <v>0</v>
      </c>
      <c r="AD42" s="112">
        <v>0</v>
      </c>
      <c r="AE42" s="112">
        <v>0</v>
      </c>
      <c r="AF42" s="112">
        <v>0</v>
      </c>
      <c r="AG42" s="112">
        <v>0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</row>
    <row r="43" spans="1:51" x14ac:dyDescent="0.2">
      <c r="A43" s="115"/>
      <c r="B43" s="136">
        <v>11</v>
      </c>
      <c r="C43" s="115" t="s">
        <v>293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>
        <v>3661.7110302180408</v>
      </c>
      <c r="E46" s="116">
        <v>5957.7531136399721</v>
      </c>
      <c r="F46" s="116">
        <v>5957.7531136399739</v>
      </c>
      <c r="G46" s="116">
        <v>5957.7531136399612</v>
      </c>
      <c r="H46" s="116">
        <v>1925.1559622130135</v>
      </c>
      <c r="I46" s="116"/>
      <c r="J46" s="116"/>
      <c r="K46" s="116"/>
      <c r="L46" s="116"/>
      <c r="M46" s="116"/>
      <c r="N46" s="116"/>
      <c r="O46" s="116"/>
      <c r="P46" s="116">
        <v>3661.7110302180336</v>
      </c>
      <c r="Q46" s="116">
        <v>5957.7531136399648</v>
      </c>
      <c r="R46" s="116">
        <v>5957.7531136399521</v>
      </c>
      <c r="S46" s="116">
        <v>5957.7531136399666</v>
      </c>
      <c r="T46" s="116">
        <v>1925.1559622130189</v>
      </c>
      <c r="U46" s="116"/>
      <c r="V46" s="116"/>
      <c r="W46" s="116"/>
      <c r="X46" s="116"/>
      <c r="Y46" s="116"/>
      <c r="Z46" s="116"/>
      <c r="AA46" s="116"/>
      <c r="AB46" s="116">
        <v>3661.7110302180263</v>
      </c>
      <c r="AC46" s="116">
        <v>5957.7531136399539</v>
      </c>
      <c r="AD46" s="116">
        <v>5957.7531136399666</v>
      </c>
      <c r="AE46" s="116">
        <v>5957.7531136399521</v>
      </c>
      <c r="AF46" s="116">
        <v>1925.1559622130189</v>
      </c>
      <c r="AG46" s="116"/>
      <c r="AH46" s="116"/>
      <c r="AI46" s="116"/>
      <c r="AJ46" s="116"/>
      <c r="AK46" s="116"/>
      <c r="AL46" s="116"/>
      <c r="AM46" s="116"/>
      <c r="AN46" s="116">
        <v>3661.7110302180263</v>
      </c>
      <c r="AO46" s="116">
        <v>5957.7531136399539</v>
      </c>
      <c r="AP46" s="116">
        <v>5957.7531136399666</v>
      </c>
      <c r="AQ46" s="116">
        <v>5957.7531136399521</v>
      </c>
      <c r="AR46" s="116">
        <v>1925.1559622130189</v>
      </c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>
        <v>10056.561703673739</v>
      </c>
      <c r="E47" s="116">
        <v>8007.5196202518182</v>
      </c>
      <c r="F47" s="116">
        <v>7993.5196202518164</v>
      </c>
      <c r="G47" s="116">
        <v>8018.5196202518146</v>
      </c>
      <c r="H47" s="116">
        <v>8002.5196202518218</v>
      </c>
      <c r="I47" s="116">
        <v>8300.6755824648353</v>
      </c>
      <c r="J47" s="116">
        <v>8189.6755824648244</v>
      </c>
      <c r="K47" s="116">
        <v>8826.6755824648353</v>
      </c>
      <c r="L47" s="116">
        <v>8317.6755824648244</v>
      </c>
      <c r="M47" s="116">
        <v>10016.675582464832</v>
      </c>
      <c r="N47" s="116">
        <v>10024.675582464824</v>
      </c>
      <c r="O47" s="116">
        <v>10037.675582464835</v>
      </c>
      <c r="P47" s="116">
        <v>10446.561703673739</v>
      </c>
      <c r="Q47" s="116">
        <v>6899.5196202518182</v>
      </c>
      <c r="R47" s="116">
        <v>6896.5196202518164</v>
      </c>
      <c r="S47" s="116">
        <v>6985.5196202518237</v>
      </c>
      <c r="T47" s="116">
        <v>7183.5196202518164</v>
      </c>
      <c r="U47" s="116">
        <v>9374.6755824648244</v>
      </c>
      <c r="V47" s="116">
        <v>9344.6755824648353</v>
      </c>
      <c r="W47" s="116">
        <v>9357.6755824648244</v>
      </c>
      <c r="X47" s="116">
        <v>9297.6755824648353</v>
      </c>
      <c r="Y47" s="116">
        <v>9305.6755824648244</v>
      </c>
      <c r="Z47" s="116">
        <v>9465.6755824648353</v>
      </c>
      <c r="AA47" s="116">
        <v>9272.6755824648244</v>
      </c>
      <c r="AB47" s="116">
        <v>9723.5617036737422</v>
      </c>
      <c r="AC47" s="116">
        <v>8065.5196202518218</v>
      </c>
      <c r="AD47" s="116">
        <v>8023.5196202518237</v>
      </c>
      <c r="AE47" s="116">
        <v>8047.5196202518164</v>
      </c>
      <c r="AF47" s="116">
        <v>8040.5196202518237</v>
      </c>
      <c r="AG47" s="116">
        <v>9475.6755824648244</v>
      </c>
      <c r="AH47" s="116">
        <v>8984.6755824648353</v>
      </c>
      <c r="AI47" s="116">
        <v>9010.6755824648244</v>
      </c>
      <c r="AJ47" s="116">
        <v>9197.6755824648353</v>
      </c>
      <c r="AK47" s="116">
        <v>9432.6755824648244</v>
      </c>
      <c r="AL47" s="116">
        <v>9097.6755824648353</v>
      </c>
      <c r="AM47" s="116">
        <v>9195.6755824648244</v>
      </c>
      <c r="AN47" s="116">
        <v>9828.5617036737422</v>
      </c>
      <c r="AO47" s="116">
        <v>6929.5196202518218</v>
      </c>
      <c r="AP47" s="116">
        <v>6517.5196202518237</v>
      </c>
      <c r="AQ47" s="116">
        <v>6813.5196202518164</v>
      </c>
      <c r="AR47" s="116">
        <v>6743.5196202518237</v>
      </c>
      <c r="AS47" s="116">
        <v>8974.6755824648244</v>
      </c>
      <c r="AT47" s="116">
        <v>9154.6755824648244</v>
      </c>
      <c r="AU47" s="116">
        <v>8918.6755824648353</v>
      </c>
      <c r="AV47" s="116">
        <v>9024.6755824648244</v>
      </c>
      <c r="AW47" s="116">
        <v>9501.6755824648426</v>
      </c>
      <c r="AX47" s="116">
        <v>9727.6755824648317</v>
      </c>
      <c r="AY47" s="116">
        <v>9590.675582464828</v>
      </c>
    </row>
    <row r="48" spans="1:51" x14ac:dyDescent="0.2">
      <c r="A48" s="115"/>
      <c r="B48" s="125">
        <v>4</v>
      </c>
      <c r="C48" s="115" t="s">
        <v>293</v>
      </c>
      <c r="D48" s="116">
        <v>0</v>
      </c>
      <c r="E48" s="116">
        <v>0</v>
      </c>
      <c r="F48" s="116">
        <v>0</v>
      </c>
      <c r="G48" s="116">
        <v>0</v>
      </c>
      <c r="H48" s="116">
        <v>0</v>
      </c>
      <c r="I48" s="116">
        <v>0</v>
      </c>
      <c r="J48" s="116">
        <v>0</v>
      </c>
      <c r="K48" s="116">
        <v>0</v>
      </c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>
        <v>0</v>
      </c>
      <c r="R48" s="116">
        <v>0</v>
      </c>
      <c r="S48" s="116">
        <v>0</v>
      </c>
      <c r="T48" s="116">
        <v>0</v>
      </c>
      <c r="U48" s="116">
        <v>0</v>
      </c>
      <c r="V48" s="116">
        <v>0</v>
      </c>
      <c r="W48" s="116">
        <v>0</v>
      </c>
      <c r="X48" s="116">
        <v>0</v>
      </c>
      <c r="Y48" s="116">
        <v>0</v>
      </c>
      <c r="Z48" s="116">
        <v>0</v>
      </c>
      <c r="AA48" s="116">
        <v>0</v>
      </c>
      <c r="AB48" s="116">
        <v>0</v>
      </c>
      <c r="AC48" s="116">
        <v>0</v>
      </c>
      <c r="AD48" s="116">
        <v>0</v>
      </c>
      <c r="AE48" s="116">
        <v>0</v>
      </c>
      <c r="AF48" s="116">
        <v>0</v>
      </c>
      <c r="AG48" s="116">
        <v>0</v>
      </c>
      <c r="AH48" s="116">
        <v>0</v>
      </c>
      <c r="AI48" s="116">
        <v>0</v>
      </c>
      <c r="AJ48" s="116">
        <v>0</v>
      </c>
      <c r="AK48" s="116">
        <v>0</v>
      </c>
      <c r="AL48" s="116">
        <v>0</v>
      </c>
      <c r="AM48" s="116">
        <v>0</v>
      </c>
      <c r="AN48" s="116">
        <v>0</v>
      </c>
      <c r="AO48" s="116">
        <v>0</v>
      </c>
      <c r="AP48" s="116">
        <v>0</v>
      </c>
      <c r="AQ48" s="116">
        <v>0</v>
      </c>
      <c r="AR48" s="116">
        <v>0</v>
      </c>
      <c r="AS48" s="116">
        <v>0</v>
      </c>
      <c r="AT48" s="116">
        <v>0</v>
      </c>
      <c r="AU48" s="116">
        <v>0</v>
      </c>
      <c r="AV48" s="116">
        <v>0</v>
      </c>
      <c r="AW48" s="116">
        <v>0</v>
      </c>
      <c r="AX48" s="116">
        <v>0</v>
      </c>
      <c r="AY48" s="116">
        <v>0</v>
      </c>
    </row>
    <row r="49" spans="1:51" x14ac:dyDescent="0.2">
      <c r="A49" s="115"/>
      <c r="B49" s="125">
        <v>5</v>
      </c>
      <c r="C49" s="115" t="s">
        <v>293</v>
      </c>
      <c r="D49" s="116">
        <v>0</v>
      </c>
      <c r="E49" s="116">
        <v>0</v>
      </c>
      <c r="F49" s="116">
        <v>0</v>
      </c>
      <c r="G49" s="116">
        <v>0</v>
      </c>
      <c r="H49" s="116">
        <v>0</v>
      </c>
      <c r="I49" s="116">
        <v>0</v>
      </c>
      <c r="J49" s="116">
        <v>0</v>
      </c>
      <c r="K49" s="116">
        <v>0</v>
      </c>
      <c r="L49" s="116">
        <v>0</v>
      </c>
      <c r="M49" s="116">
        <v>0</v>
      </c>
      <c r="N49" s="116">
        <v>0</v>
      </c>
      <c r="O49" s="116">
        <v>0</v>
      </c>
      <c r="P49" s="116">
        <v>0</v>
      </c>
      <c r="Q49" s="116">
        <v>0</v>
      </c>
      <c r="R49" s="116">
        <v>0</v>
      </c>
      <c r="S49" s="116">
        <v>0</v>
      </c>
      <c r="T49" s="116">
        <v>0</v>
      </c>
      <c r="U49" s="116">
        <v>0</v>
      </c>
      <c r="V49" s="116">
        <v>0</v>
      </c>
      <c r="W49" s="116">
        <v>0</v>
      </c>
      <c r="X49" s="116">
        <v>0</v>
      </c>
      <c r="Y49" s="116">
        <v>0</v>
      </c>
      <c r="Z49" s="116">
        <v>0</v>
      </c>
      <c r="AA49" s="116">
        <v>0</v>
      </c>
      <c r="AB49" s="116">
        <v>0</v>
      </c>
      <c r="AC49" s="116">
        <v>0</v>
      </c>
      <c r="AD49" s="116">
        <v>0</v>
      </c>
      <c r="AE49" s="116">
        <v>0</v>
      </c>
      <c r="AF49" s="116">
        <v>0</v>
      </c>
      <c r="AG49" s="116">
        <v>0</v>
      </c>
      <c r="AH49" s="116">
        <v>0</v>
      </c>
      <c r="AI49" s="116">
        <v>0</v>
      </c>
      <c r="AJ49" s="116">
        <v>0</v>
      </c>
      <c r="AK49" s="116">
        <v>0</v>
      </c>
      <c r="AL49" s="116">
        <v>0</v>
      </c>
      <c r="AM49" s="116">
        <v>0</v>
      </c>
      <c r="AN49" s="116">
        <v>0</v>
      </c>
      <c r="AO49" s="116">
        <v>0</v>
      </c>
      <c r="AP49" s="116">
        <v>0</v>
      </c>
      <c r="AQ49" s="116">
        <v>0</v>
      </c>
      <c r="AR49" s="116">
        <v>0</v>
      </c>
      <c r="AS49" s="116">
        <v>0</v>
      </c>
      <c r="AT49" s="116">
        <v>0</v>
      </c>
      <c r="AU49" s="116">
        <v>0</v>
      </c>
      <c r="AV49" s="116">
        <v>0</v>
      </c>
      <c r="AW49" s="116">
        <v>0</v>
      </c>
      <c r="AX49" s="116">
        <v>0</v>
      </c>
      <c r="AY49" s="116">
        <v>0</v>
      </c>
    </row>
    <row r="50" spans="1:51" x14ac:dyDescent="0.2">
      <c r="A50" s="115"/>
      <c r="B50" s="125">
        <v>6</v>
      </c>
      <c r="C50" s="115" t="s">
        <v>293</v>
      </c>
      <c r="D50" s="116">
        <v>0</v>
      </c>
      <c r="E50" s="116">
        <v>0</v>
      </c>
      <c r="F50" s="116">
        <v>0</v>
      </c>
      <c r="G50" s="116">
        <v>0</v>
      </c>
      <c r="H50" s="116">
        <v>0</v>
      </c>
      <c r="I50" s="116">
        <v>0</v>
      </c>
      <c r="J50" s="116">
        <v>0</v>
      </c>
      <c r="K50" s="116">
        <v>0</v>
      </c>
      <c r="L50" s="116">
        <v>0</v>
      </c>
      <c r="M50" s="116">
        <v>0</v>
      </c>
      <c r="N50" s="116">
        <v>0</v>
      </c>
      <c r="O50" s="116">
        <v>0</v>
      </c>
      <c r="P50" s="116">
        <v>0</v>
      </c>
      <c r="Q50" s="116">
        <v>0</v>
      </c>
      <c r="R50" s="116">
        <v>0</v>
      </c>
      <c r="S50" s="116">
        <v>0</v>
      </c>
      <c r="T50" s="116">
        <v>0</v>
      </c>
      <c r="U50" s="116">
        <v>0</v>
      </c>
      <c r="V50" s="116">
        <v>0</v>
      </c>
      <c r="W50" s="116">
        <v>0</v>
      </c>
      <c r="X50" s="116">
        <v>0</v>
      </c>
      <c r="Y50" s="116">
        <v>0</v>
      </c>
      <c r="Z50" s="116">
        <v>0</v>
      </c>
      <c r="AA50" s="116">
        <v>0</v>
      </c>
      <c r="AB50" s="116">
        <v>0</v>
      </c>
      <c r="AC50" s="116">
        <v>0</v>
      </c>
      <c r="AD50" s="116">
        <v>0</v>
      </c>
      <c r="AE50" s="116">
        <v>0</v>
      </c>
      <c r="AF50" s="116">
        <v>0</v>
      </c>
      <c r="AG50" s="116">
        <v>0</v>
      </c>
      <c r="AH50" s="116">
        <v>0</v>
      </c>
      <c r="AI50" s="116">
        <v>0</v>
      </c>
      <c r="AJ50" s="116">
        <v>0</v>
      </c>
      <c r="AK50" s="116">
        <v>0</v>
      </c>
      <c r="AL50" s="116">
        <v>0</v>
      </c>
      <c r="AM50" s="116">
        <v>0</v>
      </c>
      <c r="AN50" s="116">
        <v>0</v>
      </c>
      <c r="AO50" s="116">
        <v>0</v>
      </c>
      <c r="AP50" s="116">
        <v>0</v>
      </c>
      <c r="AQ50" s="116">
        <v>0</v>
      </c>
      <c r="AR50" s="116">
        <v>0</v>
      </c>
      <c r="AS50" s="116">
        <v>0</v>
      </c>
      <c r="AT50" s="116">
        <v>0</v>
      </c>
      <c r="AU50" s="116">
        <v>0</v>
      </c>
      <c r="AV50" s="116">
        <v>0</v>
      </c>
      <c r="AW50" s="116">
        <v>0</v>
      </c>
      <c r="AX50" s="116">
        <v>0</v>
      </c>
      <c r="AY50" s="116">
        <v>0</v>
      </c>
    </row>
    <row r="51" spans="1:51" x14ac:dyDescent="0.2">
      <c r="A51" s="115"/>
      <c r="B51" s="125">
        <v>7</v>
      </c>
      <c r="C51" s="115" t="s">
        <v>293</v>
      </c>
      <c r="D51" s="116">
        <v>0</v>
      </c>
      <c r="E51" s="116">
        <v>0</v>
      </c>
      <c r="F51" s="116">
        <v>0</v>
      </c>
      <c r="G51" s="116">
        <v>0</v>
      </c>
      <c r="H51" s="116">
        <v>0</v>
      </c>
      <c r="I51" s="116">
        <v>0</v>
      </c>
      <c r="J51" s="116">
        <v>0</v>
      </c>
      <c r="K51" s="116">
        <v>0</v>
      </c>
      <c r="L51" s="116">
        <v>0</v>
      </c>
      <c r="M51" s="116">
        <v>0</v>
      </c>
      <c r="N51" s="116">
        <v>0</v>
      </c>
      <c r="O51" s="116">
        <v>0</v>
      </c>
      <c r="P51" s="116">
        <v>0</v>
      </c>
      <c r="Q51" s="116">
        <v>0</v>
      </c>
      <c r="R51" s="116">
        <v>0</v>
      </c>
      <c r="S51" s="116">
        <v>0</v>
      </c>
      <c r="T51" s="116">
        <v>0</v>
      </c>
      <c r="U51" s="116">
        <v>0</v>
      </c>
      <c r="V51" s="116">
        <v>0</v>
      </c>
      <c r="W51" s="116">
        <v>0</v>
      </c>
      <c r="X51" s="116">
        <v>0</v>
      </c>
      <c r="Y51" s="116">
        <v>0</v>
      </c>
      <c r="Z51" s="116">
        <v>0</v>
      </c>
      <c r="AA51" s="116">
        <v>0</v>
      </c>
      <c r="AB51" s="116">
        <v>0</v>
      </c>
      <c r="AC51" s="116">
        <v>0</v>
      </c>
      <c r="AD51" s="116">
        <v>0</v>
      </c>
      <c r="AE51" s="116">
        <v>0</v>
      </c>
      <c r="AF51" s="116">
        <v>0</v>
      </c>
      <c r="AG51" s="116">
        <v>0</v>
      </c>
      <c r="AH51" s="116">
        <v>0</v>
      </c>
      <c r="AI51" s="116">
        <v>0</v>
      </c>
      <c r="AJ51" s="116">
        <v>0</v>
      </c>
      <c r="AK51" s="116">
        <v>0</v>
      </c>
      <c r="AL51" s="116">
        <v>0</v>
      </c>
      <c r="AM51" s="116">
        <v>0</v>
      </c>
      <c r="AN51" s="116">
        <v>0</v>
      </c>
      <c r="AO51" s="116">
        <v>0</v>
      </c>
      <c r="AP51" s="116">
        <v>0</v>
      </c>
      <c r="AQ51" s="116">
        <v>0</v>
      </c>
      <c r="AR51" s="116">
        <v>0</v>
      </c>
      <c r="AS51" s="116">
        <v>0</v>
      </c>
      <c r="AT51" s="116">
        <v>0</v>
      </c>
      <c r="AU51" s="116">
        <v>0</v>
      </c>
      <c r="AV51" s="116">
        <v>0</v>
      </c>
      <c r="AW51" s="116">
        <v>0</v>
      </c>
      <c r="AX51" s="116">
        <v>0</v>
      </c>
      <c r="AY51" s="116">
        <v>0</v>
      </c>
    </row>
    <row r="52" spans="1:51" x14ac:dyDescent="0.2">
      <c r="A52" s="115"/>
      <c r="B52" s="125">
        <v>8</v>
      </c>
      <c r="C52" s="115" t="s">
        <v>293</v>
      </c>
      <c r="D52" s="116">
        <v>0</v>
      </c>
      <c r="E52" s="116">
        <v>0</v>
      </c>
      <c r="F52" s="116">
        <v>0</v>
      </c>
      <c r="G52" s="116">
        <v>0</v>
      </c>
      <c r="H52" s="116">
        <v>0</v>
      </c>
      <c r="I52" s="116">
        <v>0</v>
      </c>
      <c r="J52" s="116">
        <v>0</v>
      </c>
      <c r="K52" s="116">
        <v>0</v>
      </c>
      <c r="L52" s="116">
        <v>0</v>
      </c>
      <c r="M52" s="116">
        <v>0</v>
      </c>
      <c r="N52" s="116">
        <v>0</v>
      </c>
      <c r="O52" s="116">
        <v>0</v>
      </c>
      <c r="P52" s="116">
        <v>0</v>
      </c>
      <c r="Q52" s="116">
        <v>0</v>
      </c>
      <c r="R52" s="116">
        <v>0</v>
      </c>
      <c r="S52" s="116">
        <v>0</v>
      </c>
      <c r="T52" s="116">
        <v>0</v>
      </c>
      <c r="U52" s="116">
        <v>0</v>
      </c>
      <c r="V52" s="116">
        <v>0</v>
      </c>
      <c r="W52" s="116">
        <v>0</v>
      </c>
      <c r="X52" s="116">
        <v>0</v>
      </c>
      <c r="Y52" s="116">
        <v>0</v>
      </c>
      <c r="Z52" s="116">
        <v>0</v>
      </c>
      <c r="AA52" s="116">
        <v>0</v>
      </c>
      <c r="AB52" s="116">
        <v>0</v>
      </c>
      <c r="AC52" s="116">
        <v>0</v>
      </c>
      <c r="AD52" s="116">
        <v>0</v>
      </c>
      <c r="AE52" s="116">
        <v>0</v>
      </c>
      <c r="AF52" s="116">
        <v>0</v>
      </c>
      <c r="AG52" s="116">
        <v>0</v>
      </c>
      <c r="AH52" s="116">
        <v>0</v>
      </c>
      <c r="AI52" s="116">
        <v>0</v>
      </c>
      <c r="AJ52" s="116">
        <v>0</v>
      </c>
      <c r="AK52" s="116">
        <v>0</v>
      </c>
      <c r="AL52" s="116">
        <v>0</v>
      </c>
      <c r="AM52" s="116">
        <v>0</v>
      </c>
      <c r="AN52" s="116">
        <v>0</v>
      </c>
      <c r="AO52" s="116">
        <v>0</v>
      </c>
      <c r="AP52" s="116">
        <v>0</v>
      </c>
      <c r="AQ52" s="116">
        <v>0</v>
      </c>
      <c r="AR52" s="116">
        <v>0</v>
      </c>
      <c r="AS52" s="116">
        <v>0</v>
      </c>
      <c r="AT52" s="116">
        <v>0</v>
      </c>
      <c r="AU52" s="116">
        <v>0</v>
      </c>
      <c r="AV52" s="116">
        <v>0</v>
      </c>
      <c r="AW52" s="116">
        <v>0</v>
      </c>
      <c r="AX52" s="116">
        <v>0</v>
      </c>
      <c r="AY52" s="116">
        <v>0</v>
      </c>
    </row>
    <row r="53" spans="1:51" x14ac:dyDescent="0.2">
      <c r="A53" s="115"/>
      <c r="B53" s="125">
        <v>9</v>
      </c>
      <c r="C53" s="115" t="s">
        <v>293</v>
      </c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</row>
    <row r="54" spans="1:51" x14ac:dyDescent="0.2">
      <c r="A54" s="115"/>
      <c r="B54" s="125">
        <v>10</v>
      </c>
      <c r="C54" s="115" t="s">
        <v>293</v>
      </c>
      <c r="D54" s="116">
        <v>0</v>
      </c>
      <c r="E54" s="116">
        <v>0</v>
      </c>
      <c r="F54" s="116">
        <v>0</v>
      </c>
      <c r="G54" s="116">
        <v>0</v>
      </c>
      <c r="H54" s="116">
        <v>0</v>
      </c>
      <c r="I54" s="116">
        <v>0</v>
      </c>
      <c r="J54" s="116">
        <v>0</v>
      </c>
      <c r="K54" s="116">
        <v>0</v>
      </c>
      <c r="L54" s="116">
        <v>0</v>
      </c>
      <c r="M54" s="116">
        <v>0</v>
      </c>
      <c r="N54" s="116">
        <v>0</v>
      </c>
      <c r="O54" s="116">
        <v>0</v>
      </c>
      <c r="P54" s="116">
        <v>0</v>
      </c>
      <c r="Q54" s="116">
        <v>0</v>
      </c>
      <c r="R54" s="116">
        <v>0</v>
      </c>
      <c r="S54" s="116">
        <v>0</v>
      </c>
      <c r="T54" s="116">
        <v>0</v>
      </c>
      <c r="U54" s="116">
        <v>0</v>
      </c>
      <c r="V54" s="116">
        <v>0</v>
      </c>
      <c r="W54" s="116">
        <v>0</v>
      </c>
      <c r="X54" s="116">
        <v>0</v>
      </c>
      <c r="Y54" s="116">
        <v>0</v>
      </c>
      <c r="Z54" s="116">
        <v>0</v>
      </c>
      <c r="AA54" s="116">
        <v>0</v>
      </c>
      <c r="AB54" s="116">
        <v>0</v>
      </c>
      <c r="AC54" s="116">
        <v>0</v>
      </c>
      <c r="AD54" s="116">
        <v>0</v>
      </c>
      <c r="AE54" s="116">
        <v>0</v>
      </c>
      <c r="AF54" s="116">
        <v>0</v>
      </c>
      <c r="AG54" s="116">
        <v>0</v>
      </c>
      <c r="AH54" s="116">
        <v>0</v>
      </c>
      <c r="AI54" s="116">
        <v>0</v>
      </c>
      <c r="AJ54" s="116">
        <v>0</v>
      </c>
      <c r="AK54" s="116">
        <v>0</v>
      </c>
      <c r="AL54" s="116">
        <v>0</v>
      </c>
      <c r="AM54" s="116">
        <v>0</v>
      </c>
      <c r="AN54" s="116">
        <v>0</v>
      </c>
      <c r="AO54" s="116">
        <v>0</v>
      </c>
      <c r="AP54" s="116">
        <v>0</v>
      </c>
      <c r="AQ54" s="116">
        <v>0</v>
      </c>
      <c r="AR54" s="116">
        <v>0</v>
      </c>
      <c r="AS54" s="116">
        <v>0</v>
      </c>
      <c r="AT54" s="116">
        <v>0</v>
      </c>
      <c r="AU54" s="116">
        <v>0</v>
      </c>
      <c r="AV54" s="116">
        <v>0</v>
      </c>
      <c r="AW54" s="116">
        <v>0</v>
      </c>
      <c r="AX54" s="116">
        <v>0</v>
      </c>
      <c r="AY54" s="116">
        <v>0</v>
      </c>
    </row>
    <row r="55" spans="1:51" x14ac:dyDescent="0.2">
      <c r="A55" s="115"/>
      <c r="B55" s="125">
        <v>11</v>
      </c>
      <c r="C55" s="115" t="s">
        <v>293</v>
      </c>
      <c r="D55" s="116">
        <v>0</v>
      </c>
      <c r="E55" s="116">
        <v>0</v>
      </c>
      <c r="F55" s="116">
        <v>0</v>
      </c>
      <c r="G55" s="116">
        <v>0</v>
      </c>
      <c r="H55" s="116">
        <v>0</v>
      </c>
      <c r="I55" s="116">
        <v>0</v>
      </c>
      <c r="J55" s="116">
        <v>0</v>
      </c>
      <c r="K55" s="116">
        <v>0</v>
      </c>
      <c r="L55" s="116">
        <v>0</v>
      </c>
      <c r="M55" s="116">
        <v>0</v>
      </c>
      <c r="N55" s="116">
        <v>0</v>
      </c>
      <c r="O55" s="116">
        <v>0</v>
      </c>
      <c r="P55" s="116">
        <v>0</v>
      </c>
      <c r="Q55" s="116">
        <v>0</v>
      </c>
      <c r="R55" s="116">
        <v>0</v>
      </c>
      <c r="S55" s="116">
        <v>0</v>
      </c>
      <c r="T55" s="116">
        <v>0</v>
      </c>
      <c r="U55" s="116">
        <v>0</v>
      </c>
      <c r="V55" s="116">
        <v>0</v>
      </c>
      <c r="W55" s="116">
        <v>0</v>
      </c>
      <c r="X55" s="116">
        <v>0</v>
      </c>
      <c r="Y55" s="116">
        <v>0</v>
      </c>
      <c r="Z55" s="116">
        <v>0</v>
      </c>
      <c r="AA55" s="116">
        <v>0</v>
      </c>
      <c r="AB55" s="116">
        <v>0</v>
      </c>
      <c r="AC55" s="116">
        <v>0</v>
      </c>
      <c r="AD55" s="116">
        <v>0</v>
      </c>
      <c r="AE55" s="116">
        <v>0</v>
      </c>
      <c r="AF55" s="116">
        <v>0</v>
      </c>
      <c r="AG55" s="116">
        <v>0</v>
      </c>
      <c r="AH55" s="116">
        <v>0</v>
      </c>
      <c r="AI55" s="116">
        <v>0</v>
      </c>
      <c r="AJ55" s="116">
        <v>0</v>
      </c>
      <c r="AK55" s="116">
        <v>0</v>
      </c>
      <c r="AL55" s="116">
        <v>0</v>
      </c>
      <c r="AM55" s="116">
        <v>0</v>
      </c>
      <c r="AN55" s="116">
        <v>0</v>
      </c>
      <c r="AO55" s="116">
        <v>0</v>
      </c>
      <c r="AP55" s="116">
        <v>0</v>
      </c>
      <c r="AQ55" s="116">
        <v>0</v>
      </c>
      <c r="AR55" s="116">
        <v>0</v>
      </c>
      <c r="AS55" s="116">
        <v>0</v>
      </c>
      <c r="AT55" s="116">
        <v>0</v>
      </c>
      <c r="AU55" s="116">
        <v>0</v>
      </c>
      <c r="AV55" s="116">
        <v>0</v>
      </c>
      <c r="AW55" s="116">
        <v>0</v>
      </c>
      <c r="AX55" s="116">
        <v>0</v>
      </c>
      <c r="AY55" s="116">
        <v>0</v>
      </c>
    </row>
    <row r="56" spans="1:51" x14ac:dyDescent="0.2">
      <c r="A56" s="115"/>
      <c r="B56" s="125">
        <v>12</v>
      </c>
      <c r="C56" s="115" t="s">
        <v>293</v>
      </c>
      <c r="D56" s="116">
        <v>0</v>
      </c>
      <c r="E56" s="116">
        <v>0</v>
      </c>
      <c r="F56" s="116">
        <v>0</v>
      </c>
      <c r="G56" s="116">
        <v>0</v>
      </c>
      <c r="H56" s="116">
        <v>0</v>
      </c>
      <c r="I56" s="116">
        <v>0</v>
      </c>
      <c r="J56" s="116">
        <v>0</v>
      </c>
      <c r="K56" s="116">
        <v>0</v>
      </c>
      <c r="L56" s="116">
        <v>0</v>
      </c>
      <c r="M56" s="116">
        <v>0</v>
      </c>
      <c r="N56" s="116">
        <v>0</v>
      </c>
      <c r="O56" s="116">
        <v>0</v>
      </c>
      <c r="P56" s="116">
        <v>0</v>
      </c>
      <c r="Q56" s="116">
        <v>0</v>
      </c>
      <c r="R56" s="116">
        <v>0</v>
      </c>
      <c r="S56" s="116">
        <v>0</v>
      </c>
      <c r="T56" s="116">
        <v>0</v>
      </c>
      <c r="U56" s="116">
        <v>0</v>
      </c>
      <c r="V56" s="116">
        <v>0</v>
      </c>
      <c r="W56" s="116">
        <v>0</v>
      </c>
      <c r="X56" s="116">
        <v>0</v>
      </c>
      <c r="Y56" s="116">
        <v>0</v>
      </c>
      <c r="Z56" s="116">
        <v>0</v>
      </c>
      <c r="AA56" s="116">
        <v>0</v>
      </c>
      <c r="AB56" s="116">
        <v>0</v>
      </c>
      <c r="AC56" s="116">
        <v>0</v>
      </c>
      <c r="AD56" s="116">
        <v>0</v>
      </c>
      <c r="AE56" s="116">
        <v>0</v>
      </c>
      <c r="AF56" s="116">
        <v>0</v>
      </c>
      <c r="AG56" s="116">
        <v>0</v>
      </c>
      <c r="AH56" s="116">
        <v>0</v>
      </c>
      <c r="AI56" s="116">
        <v>0</v>
      </c>
      <c r="AJ56" s="116">
        <v>0</v>
      </c>
      <c r="AK56" s="116">
        <v>0</v>
      </c>
      <c r="AL56" s="116">
        <v>0</v>
      </c>
      <c r="AM56" s="116">
        <v>0</v>
      </c>
      <c r="AN56" s="116">
        <v>0</v>
      </c>
      <c r="AO56" s="116">
        <v>0</v>
      </c>
      <c r="AP56" s="116">
        <v>0</v>
      </c>
      <c r="AQ56" s="116">
        <v>0</v>
      </c>
      <c r="AR56" s="116">
        <v>0</v>
      </c>
      <c r="AS56" s="116">
        <v>0</v>
      </c>
      <c r="AT56" s="116">
        <v>0</v>
      </c>
      <c r="AU56" s="116">
        <v>0</v>
      </c>
      <c r="AV56" s="116">
        <v>0</v>
      </c>
      <c r="AW56" s="116">
        <v>0</v>
      </c>
      <c r="AX56" s="116">
        <v>0</v>
      </c>
      <c r="AY56" s="116">
        <v>0</v>
      </c>
    </row>
    <row r="57" spans="1:51" x14ac:dyDescent="0.2">
      <c r="A57" s="115"/>
      <c r="B57" s="126">
        <v>13</v>
      </c>
      <c r="C57" s="115" t="s">
        <v>293</v>
      </c>
      <c r="D57" s="116">
        <v>0</v>
      </c>
      <c r="E57" s="116">
        <v>0</v>
      </c>
      <c r="F57" s="116">
        <v>0</v>
      </c>
      <c r="G57" s="116">
        <v>0</v>
      </c>
      <c r="H57" s="116">
        <v>0</v>
      </c>
      <c r="I57" s="116">
        <v>0</v>
      </c>
      <c r="J57" s="116">
        <v>0</v>
      </c>
      <c r="K57" s="116">
        <v>0</v>
      </c>
      <c r="L57" s="116">
        <v>0</v>
      </c>
      <c r="M57" s="116">
        <v>0</v>
      </c>
      <c r="N57" s="116">
        <v>0</v>
      </c>
      <c r="O57" s="116">
        <v>0</v>
      </c>
      <c r="P57" s="116">
        <v>0</v>
      </c>
      <c r="Q57" s="116">
        <v>0</v>
      </c>
      <c r="R57" s="116">
        <v>0</v>
      </c>
      <c r="S57" s="116">
        <v>0</v>
      </c>
      <c r="T57" s="116">
        <v>0</v>
      </c>
      <c r="U57" s="116">
        <v>0</v>
      </c>
      <c r="V57" s="116">
        <v>0</v>
      </c>
      <c r="W57" s="116">
        <v>0</v>
      </c>
      <c r="X57" s="116">
        <v>0</v>
      </c>
      <c r="Y57" s="116">
        <v>0</v>
      </c>
      <c r="Z57" s="116">
        <v>0</v>
      </c>
      <c r="AA57" s="116">
        <v>0</v>
      </c>
      <c r="AB57" s="116">
        <v>0</v>
      </c>
      <c r="AC57" s="116">
        <v>0</v>
      </c>
      <c r="AD57" s="116">
        <v>0</v>
      </c>
      <c r="AE57" s="116">
        <v>0</v>
      </c>
      <c r="AF57" s="116">
        <v>0</v>
      </c>
      <c r="AG57" s="116">
        <v>0</v>
      </c>
      <c r="AH57" s="116">
        <v>0</v>
      </c>
      <c r="AI57" s="116">
        <v>0</v>
      </c>
      <c r="AJ57" s="116">
        <v>0</v>
      </c>
      <c r="AK57" s="116">
        <v>0</v>
      </c>
      <c r="AL57" s="116">
        <v>0</v>
      </c>
      <c r="AM57" s="116">
        <v>0</v>
      </c>
      <c r="AN57" s="116">
        <v>0</v>
      </c>
      <c r="AO57" s="116">
        <v>0</v>
      </c>
      <c r="AP57" s="116">
        <v>0</v>
      </c>
      <c r="AQ57" s="116">
        <v>0</v>
      </c>
      <c r="AR57" s="116">
        <v>0</v>
      </c>
      <c r="AS57" s="116">
        <v>0</v>
      </c>
      <c r="AT57" s="116">
        <v>0</v>
      </c>
      <c r="AU57" s="116">
        <v>0</v>
      </c>
      <c r="AV57" s="116">
        <v>0</v>
      </c>
      <c r="AW57" s="116">
        <v>0</v>
      </c>
      <c r="AX57" s="116">
        <v>0</v>
      </c>
      <c r="AY57" s="116">
        <v>0</v>
      </c>
    </row>
    <row r="58" spans="1:51" x14ac:dyDescent="0.2">
      <c r="A58" s="115"/>
      <c r="B58" s="126">
        <v>14</v>
      </c>
      <c r="C58" s="115" t="s">
        <v>293</v>
      </c>
      <c r="D58" s="116">
        <v>0</v>
      </c>
      <c r="E58" s="116">
        <v>0</v>
      </c>
      <c r="F58" s="116">
        <v>0</v>
      </c>
      <c r="G58" s="116">
        <v>0</v>
      </c>
      <c r="H58" s="116">
        <v>0</v>
      </c>
      <c r="I58" s="116">
        <v>0</v>
      </c>
      <c r="J58" s="116">
        <v>0</v>
      </c>
      <c r="K58" s="116">
        <v>0</v>
      </c>
      <c r="L58" s="116">
        <v>0</v>
      </c>
      <c r="M58" s="116">
        <v>0</v>
      </c>
      <c r="N58" s="116">
        <v>0</v>
      </c>
      <c r="O58" s="116">
        <v>0</v>
      </c>
      <c r="P58" s="116">
        <v>0</v>
      </c>
      <c r="Q58" s="116">
        <v>0</v>
      </c>
      <c r="R58" s="116">
        <v>0</v>
      </c>
      <c r="S58" s="116">
        <v>0</v>
      </c>
      <c r="T58" s="116">
        <v>0</v>
      </c>
      <c r="U58" s="116">
        <v>0</v>
      </c>
      <c r="V58" s="116">
        <v>0</v>
      </c>
      <c r="W58" s="116">
        <v>0</v>
      </c>
      <c r="X58" s="116">
        <v>0</v>
      </c>
      <c r="Y58" s="116">
        <v>0</v>
      </c>
      <c r="Z58" s="116">
        <v>0</v>
      </c>
      <c r="AA58" s="116">
        <v>0</v>
      </c>
      <c r="AB58" s="116">
        <v>0</v>
      </c>
      <c r="AC58" s="116">
        <v>0</v>
      </c>
      <c r="AD58" s="116">
        <v>0</v>
      </c>
      <c r="AE58" s="116">
        <v>0</v>
      </c>
      <c r="AF58" s="116">
        <v>0</v>
      </c>
      <c r="AG58" s="116">
        <v>0</v>
      </c>
      <c r="AH58" s="116">
        <v>0</v>
      </c>
      <c r="AI58" s="116">
        <v>0</v>
      </c>
      <c r="AJ58" s="116">
        <v>0</v>
      </c>
      <c r="AK58" s="116">
        <v>0</v>
      </c>
      <c r="AL58" s="116">
        <v>0</v>
      </c>
      <c r="AM58" s="116">
        <v>0</v>
      </c>
      <c r="AN58" s="116">
        <v>0</v>
      </c>
      <c r="AO58" s="116">
        <v>0</v>
      </c>
      <c r="AP58" s="116">
        <v>0</v>
      </c>
      <c r="AQ58" s="116">
        <v>0</v>
      </c>
      <c r="AR58" s="116">
        <v>0</v>
      </c>
      <c r="AS58" s="116">
        <v>0</v>
      </c>
      <c r="AT58" s="116">
        <v>0</v>
      </c>
      <c r="AU58" s="116">
        <v>0</v>
      </c>
      <c r="AV58" s="116">
        <v>0</v>
      </c>
      <c r="AW58" s="116">
        <v>0</v>
      </c>
      <c r="AX58" s="116">
        <v>0</v>
      </c>
      <c r="AY58" s="116">
        <v>0</v>
      </c>
    </row>
    <row r="59" spans="1:51" x14ac:dyDescent="0.2">
      <c r="A59" s="115"/>
      <c r="B59" s="126">
        <v>15</v>
      </c>
      <c r="C59" s="115" t="s">
        <v>293</v>
      </c>
      <c r="D59" s="116">
        <v>0</v>
      </c>
      <c r="E59" s="116">
        <v>0</v>
      </c>
      <c r="F59" s="116">
        <v>0</v>
      </c>
      <c r="G59" s="116">
        <v>0</v>
      </c>
      <c r="H59" s="116">
        <v>0</v>
      </c>
      <c r="I59" s="116">
        <v>0</v>
      </c>
      <c r="J59" s="116">
        <v>0</v>
      </c>
      <c r="K59" s="116">
        <v>0</v>
      </c>
      <c r="L59" s="116">
        <v>0</v>
      </c>
      <c r="M59" s="116">
        <v>0</v>
      </c>
      <c r="N59" s="116">
        <v>0</v>
      </c>
      <c r="O59" s="116">
        <v>0</v>
      </c>
      <c r="P59" s="116">
        <v>0</v>
      </c>
      <c r="Q59" s="116">
        <v>0</v>
      </c>
      <c r="R59" s="116">
        <v>0</v>
      </c>
      <c r="S59" s="116">
        <v>0</v>
      </c>
      <c r="T59" s="116">
        <v>0</v>
      </c>
      <c r="U59" s="116">
        <v>0</v>
      </c>
      <c r="V59" s="116">
        <v>0</v>
      </c>
      <c r="W59" s="116">
        <v>0</v>
      </c>
      <c r="X59" s="116">
        <v>0</v>
      </c>
      <c r="Y59" s="116">
        <v>0</v>
      </c>
      <c r="Z59" s="116">
        <v>0</v>
      </c>
      <c r="AA59" s="116">
        <v>0</v>
      </c>
      <c r="AB59" s="116">
        <v>0</v>
      </c>
      <c r="AC59" s="116">
        <v>0</v>
      </c>
      <c r="AD59" s="116">
        <v>0</v>
      </c>
      <c r="AE59" s="116">
        <v>0</v>
      </c>
      <c r="AF59" s="116">
        <v>0</v>
      </c>
      <c r="AG59" s="116">
        <v>0</v>
      </c>
      <c r="AH59" s="116">
        <v>0</v>
      </c>
      <c r="AI59" s="116">
        <v>0</v>
      </c>
      <c r="AJ59" s="116">
        <v>0</v>
      </c>
      <c r="AK59" s="116">
        <v>0</v>
      </c>
      <c r="AL59" s="116">
        <v>0</v>
      </c>
      <c r="AM59" s="116">
        <v>0</v>
      </c>
      <c r="AN59" s="116">
        <v>0</v>
      </c>
      <c r="AO59" s="116">
        <v>0</v>
      </c>
      <c r="AP59" s="116">
        <v>0</v>
      </c>
      <c r="AQ59" s="116">
        <v>0</v>
      </c>
      <c r="AR59" s="116">
        <v>0</v>
      </c>
      <c r="AS59" s="116">
        <v>0</v>
      </c>
      <c r="AT59" s="116">
        <v>0</v>
      </c>
      <c r="AU59" s="116">
        <v>0</v>
      </c>
      <c r="AV59" s="116">
        <v>0</v>
      </c>
      <c r="AW59" s="116">
        <v>0</v>
      </c>
      <c r="AX59" s="116">
        <v>0</v>
      </c>
      <c r="AY59" s="116">
        <v>0</v>
      </c>
    </row>
    <row r="60" spans="1:51" x14ac:dyDescent="0.2">
      <c r="A60" s="115"/>
      <c r="B60" s="126">
        <v>16</v>
      </c>
      <c r="C60" s="115" t="s">
        <v>293</v>
      </c>
      <c r="D60" s="116">
        <v>0</v>
      </c>
      <c r="E60" s="116">
        <v>0</v>
      </c>
      <c r="F60" s="116">
        <v>0</v>
      </c>
      <c r="G60" s="116">
        <v>0</v>
      </c>
      <c r="H60" s="116">
        <v>0</v>
      </c>
      <c r="I60" s="116">
        <v>0</v>
      </c>
      <c r="J60" s="116">
        <v>0</v>
      </c>
      <c r="K60" s="116">
        <v>0</v>
      </c>
      <c r="L60" s="116">
        <v>0</v>
      </c>
      <c r="M60" s="116">
        <v>0</v>
      </c>
      <c r="N60" s="116">
        <v>0</v>
      </c>
      <c r="O60" s="116">
        <v>0</v>
      </c>
      <c r="P60" s="116">
        <v>0</v>
      </c>
      <c r="Q60" s="116">
        <v>0</v>
      </c>
      <c r="R60" s="116">
        <v>0</v>
      </c>
      <c r="S60" s="116">
        <v>0</v>
      </c>
      <c r="T60" s="116">
        <v>0</v>
      </c>
      <c r="U60" s="116">
        <v>0</v>
      </c>
      <c r="V60" s="116">
        <v>0</v>
      </c>
      <c r="W60" s="116">
        <v>0</v>
      </c>
      <c r="X60" s="116">
        <v>0</v>
      </c>
      <c r="Y60" s="116">
        <v>0</v>
      </c>
      <c r="Z60" s="116">
        <v>0</v>
      </c>
      <c r="AA60" s="116">
        <v>0</v>
      </c>
      <c r="AB60" s="116">
        <v>0</v>
      </c>
      <c r="AC60" s="116">
        <v>0</v>
      </c>
      <c r="AD60" s="116">
        <v>0</v>
      </c>
      <c r="AE60" s="116">
        <v>0</v>
      </c>
      <c r="AF60" s="116">
        <v>0</v>
      </c>
      <c r="AG60" s="116">
        <v>0</v>
      </c>
      <c r="AH60" s="116">
        <v>0</v>
      </c>
      <c r="AI60" s="116">
        <v>0</v>
      </c>
      <c r="AJ60" s="116">
        <v>0</v>
      </c>
      <c r="AK60" s="116">
        <v>0</v>
      </c>
      <c r="AL60" s="116">
        <v>0</v>
      </c>
      <c r="AM60" s="116">
        <v>0</v>
      </c>
      <c r="AN60" s="116">
        <v>0</v>
      </c>
      <c r="AO60" s="116">
        <v>0</v>
      </c>
      <c r="AP60" s="116">
        <v>0</v>
      </c>
      <c r="AQ60" s="116">
        <v>0</v>
      </c>
      <c r="AR60" s="116">
        <v>0</v>
      </c>
      <c r="AS60" s="116">
        <v>0</v>
      </c>
      <c r="AT60" s="116">
        <v>0</v>
      </c>
      <c r="AU60" s="116">
        <v>0</v>
      </c>
      <c r="AV60" s="116">
        <v>0</v>
      </c>
      <c r="AW60" s="116">
        <v>0</v>
      </c>
      <c r="AX60" s="116">
        <v>0</v>
      </c>
      <c r="AY60" s="116">
        <v>0</v>
      </c>
    </row>
    <row r="61" spans="1:51" x14ac:dyDescent="0.2">
      <c r="A61" s="115"/>
      <c r="B61" s="126">
        <v>17</v>
      </c>
      <c r="C61" s="115" t="s">
        <v>293</v>
      </c>
      <c r="D61" s="116">
        <v>0</v>
      </c>
      <c r="E61" s="116">
        <v>0</v>
      </c>
      <c r="F61" s="116">
        <v>0</v>
      </c>
      <c r="G61" s="116">
        <v>0</v>
      </c>
      <c r="H61" s="116">
        <v>0</v>
      </c>
      <c r="I61" s="116">
        <v>0</v>
      </c>
      <c r="J61" s="116">
        <v>0</v>
      </c>
      <c r="K61" s="116">
        <v>0</v>
      </c>
      <c r="L61" s="116">
        <v>0</v>
      </c>
      <c r="M61" s="116">
        <v>0</v>
      </c>
      <c r="N61" s="116">
        <v>0</v>
      </c>
      <c r="O61" s="116">
        <v>0</v>
      </c>
      <c r="P61" s="116">
        <v>0</v>
      </c>
      <c r="Q61" s="116">
        <v>0</v>
      </c>
      <c r="R61" s="116">
        <v>0</v>
      </c>
      <c r="S61" s="116">
        <v>0</v>
      </c>
      <c r="T61" s="116">
        <v>0</v>
      </c>
      <c r="U61" s="116">
        <v>0</v>
      </c>
      <c r="V61" s="116">
        <v>0</v>
      </c>
      <c r="W61" s="116">
        <v>0</v>
      </c>
      <c r="X61" s="116">
        <v>0</v>
      </c>
      <c r="Y61" s="116">
        <v>0</v>
      </c>
      <c r="Z61" s="116">
        <v>0</v>
      </c>
      <c r="AA61" s="116">
        <v>0</v>
      </c>
      <c r="AB61" s="116">
        <v>0</v>
      </c>
      <c r="AC61" s="116">
        <v>0</v>
      </c>
      <c r="AD61" s="116">
        <v>0</v>
      </c>
      <c r="AE61" s="116">
        <v>0</v>
      </c>
      <c r="AF61" s="116">
        <v>0</v>
      </c>
      <c r="AG61" s="116">
        <v>0</v>
      </c>
      <c r="AH61" s="116">
        <v>0</v>
      </c>
      <c r="AI61" s="116">
        <v>0</v>
      </c>
      <c r="AJ61" s="116">
        <v>0</v>
      </c>
      <c r="AK61" s="116">
        <v>0</v>
      </c>
      <c r="AL61" s="116">
        <v>0</v>
      </c>
      <c r="AM61" s="116">
        <v>0</v>
      </c>
      <c r="AN61" s="116">
        <v>0</v>
      </c>
      <c r="AO61" s="116">
        <v>0</v>
      </c>
      <c r="AP61" s="116">
        <v>0</v>
      </c>
      <c r="AQ61" s="116">
        <v>0</v>
      </c>
      <c r="AR61" s="116">
        <v>0</v>
      </c>
      <c r="AS61" s="116">
        <v>0</v>
      </c>
      <c r="AT61" s="116">
        <v>0</v>
      </c>
      <c r="AU61" s="116">
        <v>0</v>
      </c>
      <c r="AV61" s="116">
        <v>0</v>
      </c>
      <c r="AW61" s="116">
        <v>0</v>
      </c>
      <c r="AX61" s="116">
        <v>0</v>
      </c>
      <c r="AY61" s="116">
        <v>0</v>
      </c>
    </row>
    <row r="62" spans="1:51" x14ac:dyDescent="0.2">
      <c r="A62" s="115"/>
      <c r="B62" s="126">
        <v>18</v>
      </c>
      <c r="C62" s="115" t="s">
        <v>293</v>
      </c>
      <c r="D62" s="116">
        <v>0</v>
      </c>
      <c r="E62" s="116">
        <v>0</v>
      </c>
      <c r="F62" s="116">
        <v>0</v>
      </c>
      <c r="G62" s="116">
        <v>0</v>
      </c>
      <c r="H62" s="116">
        <v>0</v>
      </c>
      <c r="I62" s="116">
        <v>0</v>
      </c>
      <c r="J62" s="116">
        <v>0</v>
      </c>
      <c r="K62" s="116">
        <v>0</v>
      </c>
      <c r="L62" s="116">
        <v>0</v>
      </c>
      <c r="M62" s="116">
        <v>0</v>
      </c>
      <c r="N62" s="116">
        <v>0</v>
      </c>
      <c r="O62" s="116">
        <v>0</v>
      </c>
      <c r="P62" s="116">
        <v>0</v>
      </c>
      <c r="Q62" s="116">
        <v>0</v>
      </c>
      <c r="R62" s="116">
        <v>0</v>
      </c>
      <c r="S62" s="116">
        <v>0</v>
      </c>
      <c r="T62" s="116">
        <v>0</v>
      </c>
      <c r="U62" s="116">
        <v>0</v>
      </c>
      <c r="V62" s="116">
        <v>0</v>
      </c>
      <c r="W62" s="116">
        <v>0</v>
      </c>
      <c r="X62" s="116">
        <v>0</v>
      </c>
      <c r="Y62" s="116">
        <v>0</v>
      </c>
      <c r="Z62" s="116">
        <v>0</v>
      </c>
      <c r="AA62" s="116">
        <v>0</v>
      </c>
      <c r="AB62" s="116">
        <v>0</v>
      </c>
      <c r="AC62" s="116">
        <v>0</v>
      </c>
      <c r="AD62" s="116">
        <v>0</v>
      </c>
      <c r="AE62" s="116">
        <v>0</v>
      </c>
      <c r="AF62" s="116">
        <v>0</v>
      </c>
      <c r="AG62" s="116">
        <v>0</v>
      </c>
      <c r="AH62" s="116">
        <v>0</v>
      </c>
      <c r="AI62" s="116">
        <v>0</v>
      </c>
      <c r="AJ62" s="116">
        <v>0</v>
      </c>
      <c r="AK62" s="116">
        <v>0</v>
      </c>
      <c r="AL62" s="116">
        <v>0</v>
      </c>
      <c r="AM62" s="116">
        <v>0</v>
      </c>
      <c r="AN62" s="116">
        <v>0</v>
      </c>
      <c r="AO62" s="116">
        <v>0</v>
      </c>
      <c r="AP62" s="116">
        <v>0</v>
      </c>
      <c r="AQ62" s="116">
        <v>0</v>
      </c>
      <c r="AR62" s="116">
        <v>0</v>
      </c>
      <c r="AS62" s="116">
        <v>0</v>
      </c>
      <c r="AT62" s="116">
        <v>0</v>
      </c>
      <c r="AU62" s="116">
        <v>0</v>
      </c>
      <c r="AV62" s="116">
        <v>0</v>
      </c>
      <c r="AW62" s="116">
        <v>0</v>
      </c>
      <c r="AX62" s="116">
        <v>0</v>
      </c>
      <c r="AY62" s="116">
        <v>0</v>
      </c>
    </row>
    <row r="63" spans="1:51" x14ac:dyDescent="0.2">
      <c r="A63" s="115"/>
      <c r="B63" s="126">
        <v>19</v>
      </c>
      <c r="C63" s="115" t="s">
        <v>293</v>
      </c>
      <c r="D63" s="116">
        <v>0</v>
      </c>
      <c r="E63" s="116">
        <v>0</v>
      </c>
      <c r="F63" s="116">
        <v>0</v>
      </c>
      <c r="G63" s="116">
        <v>0</v>
      </c>
      <c r="H63" s="116">
        <v>0</v>
      </c>
      <c r="I63" s="116">
        <v>0</v>
      </c>
      <c r="J63" s="116">
        <v>0</v>
      </c>
      <c r="K63" s="116">
        <v>0</v>
      </c>
      <c r="L63" s="116">
        <v>0</v>
      </c>
      <c r="M63" s="116">
        <v>0</v>
      </c>
      <c r="N63" s="116">
        <v>0</v>
      </c>
      <c r="O63" s="116">
        <v>0</v>
      </c>
      <c r="P63" s="116">
        <v>0</v>
      </c>
      <c r="Q63" s="116">
        <v>0</v>
      </c>
      <c r="R63" s="116">
        <v>0</v>
      </c>
      <c r="S63" s="116">
        <v>0</v>
      </c>
      <c r="T63" s="116">
        <v>0</v>
      </c>
      <c r="U63" s="116">
        <v>0</v>
      </c>
      <c r="V63" s="116">
        <v>0</v>
      </c>
      <c r="W63" s="116">
        <v>0</v>
      </c>
      <c r="X63" s="116">
        <v>0</v>
      </c>
      <c r="Y63" s="116">
        <v>0</v>
      </c>
      <c r="Z63" s="116">
        <v>0</v>
      </c>
      <c r="AA63" s="116">
        <v>0</v>
      </c>
      <c r="AB63" s="116">
        <v>0</v>
      </c>
      <c r="AC63" s="116">
        <v>0</v>
      </c>
      <c r="AD63" s="116">
        <v>0</v>
      </c>
      <c r="AE63" s="116">
        <v>0</v>
      </c>
      <c r="AF63" s="116">
        <v>0</v>
      </c>
      <c r="AG63" s="116">
        <v>0</v>
      </c>
      <c r="AH63" s="116">
        <v>0</v>
      </c>
      <c r="AI63" s="116">
        <v>0</v>
      </c>
      <c r="AJ63" s="116">
        <v>0</v>
      </c>
      <c r="AK63" s="116">
        <v>0</v>
      </c>
      <c r="AL63" s="116">
        <v>0</v>
      </c>
      <c r="AM63" s="116">
        <v>0</v>
      </c>
      <c r="AN63" s="116">
        <v>0</v>
      </c>
      <c r="AO63" s="116">
        <v>0</v>
      </c>
      <c r="AP63" s="116">
        <v>0</v>
      </c>
      <c r="AQ63" s="116">
        <v>0</v>
      </c>
      <c r="AR63" s="116">
        <v>0</v>
      </c>
      <c r="AS63" s="116">
        <v>0</v>
      </c>
      <c r="AT63" s="116">
        <v>0</v>
      </c>
      <c r="AU63" s="116">
        <v>0</v>
      </c>
      <c r="AV63" s="116">
        <v>0</v>
      </c>
      <c r="AW63" s="116">
        <v>0</v>
      </c>
      <c r="AX63" s="116">
        <v>0</v>
      </c>
      <c r="AY63" s="116">
        <v>0</v>
      </c>
    </row>
    <row r="64" spans="1:51" x14ac:dyDescent="0.2">
      <c r="A64" s="115"/>
      <c r="B64" s="126">
        <v>20</v>
      </c>
      <c r="C64" s="115" t="s">
        <v>293</v>
      </c>
      <c r="D64" s="116">
        <v>0</v>
      </c>
      <c r="E64" s="116">
        <v>0</v>
      </c>
      <c r="F64" s="116">
        <v>0</v>
      </c>
      <c r="G64" s="116">
        <v>0</v>
      </c>
      <c r="H64" s="116">
        <v>0</v>
      </c>
      <c r="I64" s="116">
        <v>0</v>
      </c>
      <c r="J64" s="116">
        <v>0</v>
      </c>
      <c r="K64" s="116">
        <v>0</v>
      </c>
      <c r="L64" s="116">
        <v>0</v>
      </c>
      <c r="M64" s="116">
        <v>0</v>
      </c>
      <c r="N64" s="116">
        <v>0</v>
      </c>
      <c r="O64" s="116">
        <v>0</v>
      </c>
      <c r="P64" s="116">
        <v>0</v>
      </c>
      <c r="Q64" s="116">
        <v>0</v>
      </c>
      <c r="R64" s="116">
        <v>0</v>
      </c>
      <c r="S64" s="116">
        <v>0</v>
      </c>
      <c r="T64" s="116">
        <v>0</v>
      </c>
      <c r="U64" s="116">
        <v>0</v>
      </c>
      <c r="V64" s="116">
        <v>0</v>
      </c>
      <c r="W64" s="116">
        <v>0</v>
      </c>
      <c r="X64" s="116">
        <v>0</v>
      </c>
      <c r="Y64" s="116">
        <v>0</v>
      </c>
      <c r="Z64" s="116">
        <v>0</v>
      </c>
      <c r="AA64" s="116">
        <v>0</v>
      </c>
      <c r="AB64" s="116">
        <v>0</v>
      </c>
      <c r="AC64" s="116">
        <v>0</v>
      </c>
      <c r="AD64" s="116">
        <v>0</v>
      </c>
      <c r="AE64" s="116">
        <v>0</v>
      </c>
      <c r="AF64" s="116">
        <v>0</v>
      </c>
      <c r="AG64" s="116">
        <v>0</v>
      </c>
      <c r="AH64" s="116">
        <v>0</v>
      </c>
      <c r="AI64" s="116">
        <v>0</v>
      </c>
      <c r="AJ64" s="116">
        <v>0</v>
      </c>
      <c r="AK64" s="116">
        <v>0</v>
      </c>
      <c r="AL64" s="116">
        <v>0</v>
      </c>
      <c r="AM64" s="116">
        <v>0</v>
      </c>
      <c r="AN64" s="116">
        <v>0</v>
      </c>
      <c r="AO64" s="116">
        <v>0</v>
      </c>
      <c r="AP64" s="116">
        <v>0</v>
      </c>
      <c r="AQ64" s="116">
        <v>0</v>
      </c>
      <c r="AR64" s="116">
        <v>0</v>
      </c>
      <c r="AS64" s="116">
        <v>0</v>
      </c>
      <c r="AT64" s="116">
        <v>0</v>
      </c>
      <c r="AU64" s="116">
        <v>0</v>
      </c>
      <c r="AV64" s="116">
        <v>0</v>
      </c>
      <c r="AW64" s="116">
        <v>0</v>
      </c>
      <c r="AX64" s="116">
        <v>0</v>
      </c>
      <c r="AY64" s="116">
        <v>0</v>
      </c>
    </row>
    <row r="65" spans="1:51" x14ac:dyDescent="0.2">
      <c r="A65" s="115"/>
      <c r="B65" s="126">
        <v>21</v>
      </c>
      <c r="C65" s="115" t="s">
        <v>293</v>
      </c>
      <c r="D65" s="116">
        <v>0</v>
      </c>
      <c r="E65" s="116">
        <v>0</v>
      </c>
      <c r="F65" s="116">
        <v>0</v>
      </c>
      <c r="G65" s="116">
        <v>0</v>
      </c>
      <c r="H65" s="116">
        <v>0</v>
      </c>
      <c r="I65" s="116">
        <v>0</v>
      </c>
      <c r="J65" s="116">
        <v>0</v>
      </c>
      <c r="K65" s="116">
        <v>0</v>
      </c>
      <c r="L65" s="116">
        <v>0</v>
      </c>
      <c r="M65" s="116">
        <v>0</v>
      </c>
      <c r="N65" s="116">
        <v>0</v>
      </c>
      <c r="O65" s="116">
        <v>0</v>
      </c>
      <c r="P65" s="116">
        <v>0</v>
      </c>
      <c r="Q65" s="116">
        <v>0</v>
      </c>
      <c r="R65" s="116">
        <v>0</v>
      </c>
      <c r="S65" s="116">
        <v>0</v>
      </c>
      <c r="T65" s="116">
        <v>0</v>
      </c>
      <c r="U65" s="116">
        <v>0</v>
      </c>
      <c r="V65" s="116">
        <v>0</v>
      </c>
      <c r="W65" s="116">
        <v>0</v>
      </c>
      <c r="X65" s="116">
        <v>0</v>
      </c>
      <c r="Y65" s="116">
        <v>0</v>
      </c>
      <c r="Z65" s="116">
        <v>0</v>
      </c>
      <c r="AA65" s="116">
        <v>0</v>
      </c>
      <c r="AB65" s="116">
        <v>0</v>
      </c>
      <c r="AC65" s="116">
        <v>0</v>
      </c>
      <c r="AD65" s="116">
        <v>0</v>
      </c>
      <c r="AE65" s="116">
        <v>0</v>
      </c>
      <c r="AF65" s="116">
        <v>0</v>
      </c>
      <c r="AG65" s="116">
        <v>0</v>
      </c>
      <c r="AH65" s="116">
        <v>0</v>
      </c>
      <c r="AI65" s="116">
        <v>0</v>
      </c>
      <c r="AJ65" s="116">
        <v>0</v>
      </c>
      <c r="AK65" s="116">
        <v>0</v>
      </c>
      <c r="AL65" s="116">
        <v>0</v>
      </c>
      <c r="AM65" s="116">
        <v>0</v>
      </c>
      <c r="AN65" s="116">
        <v>0</v>
      </c>
      <c r="AO65" s="116">
        <v>0</v>
      </c>
      <c r="AP65" s="116">
        <v>0</v>
      </c>
      <c r="AQ65" s="116">
        <v>0</v>
      </c>
      <c r="AR65" s="116">
        <v>0</v>
      </c>
      <c r="AS65" s="116">
        <v>0</v>
      </c>
      <c r="AT65" s="116">
        <v>0</v>
      </c>
      <c r="AU65" s="116">
        <v>0</v>
      </c>
      <c r="AV65" s="116">
        <v>0</v>
      </c>
      <c r="AW65" s="116">
        <v>0</v>
      </c>
      <c r="AX65" s="116">
        <v>0</v>
      </c>
      <c r="AY65" s="116">
        <v>0</v>
      </c>
    </row>
    <row r="66" spans="1:51" x14ac:dyDescent="0.2">
      <c r="A66" s="115"/>
      <c r="B66" s="126">
        <v>22</v>
      </c>
      <c r="C66" s="115" t="s">
        <v>293</v>
      </c>
      <c r="D66" s="116">
        <v>0</v>
      </c>
      <c r="E66" s="116">
        <v>0</v>
      </c>
      <c r="F66" s="116">
        <v>0</v>
      </c>
      <c r="G66" s="116">
        <v>0</v>
      </c>
      <c r="H66" s="116">
        <v>0</v>
      </c>
      <c r="I66" s="116">
        <v>0</v>
      </c>
      <c r="J66" s="116">
        <v>0</v>
      </c>
      <c r="K66" s="116">
        <v>0</v>
      </c>
      <c r="L66" s="116">
        <v>0</v>
      </c>
      <c r="M66" s="116">
        <v>0</v>
      </c>
      <c r="N66" s="116">
        <v>0</v>
      </c>
      <c r="O66" s="116">
        <v>0</v>
      </c>
      <c r="P66" s="116">
        <v>0</v>
      </c>
      <c r="Q66" s="116">
        <v>0</v>
      </c>
      <c r="R66" s="116">
        <v>0</v>
      </c>
      <c r="S66" s="116">
        <v>0</v>
      </c>
      <c r="T66" s="116">
        <v>0</v>
      </c>
      <c r="U66" s="116">
        <v>0</v>
      </c>
      <c r="V66" s="116">
        <v>0</v>
      </c>
      <c r="W66" s="116">
        <v>0</v>
      </c>
      <c r="X66" s="116">
        <v>0</v>
      </c>
      <c r="Y66" s="116">
        <v>0</v>
      </c>
      <c r="Z66" s="116">
        <v>0</v>
      </c>
      <c r="AA66" s="116">
        <v>0</v>
      </c>
      <c r="AB66" s="116">
        <v>0</v>
      </c>
      <c r="AC66" s="116">
        <v>0</v>
      </c>
      <c r="AD66" s="116">
        <v>0</v>
      </c>
      <c r="AE66" s="116">
        <v>0</v>
      </c>
      <c r="AF66" s="116">
        <v>0</v>
      </c>
      <c r="AG66" s="116">
        <v>0</v>
      </c>
      <c r="AH66" s="116">
        <v>0</v>
      </c>
      <c r="AI66" s="116">
        <v>0</v>
      </c>
      <c r="AJ66" s="116">
        <v>0</v>
      </c>
      <c r="AK66" s="116">
        <v>0</v>
      </c>
      <c r="AL66" s="116">
        <v>0</v>
      </c>
      <c r="AM66" s="116">
        <v>0</v>
      </c>
      <c r="AN66" s="116">
        <v>0</v>
      </c>
      <c r="AO66" s="116">
        <v>0</v>
      </c>
      <c r="AP66" s="116">
        <v>0</v>
      </c>
      <c r="AQ66" s="116">
        <v>0</v>
      </c>
      <c r="AR66" s="116">
        <v>0</v>
      </c>
      <c r="AS66" s="116">
        <v>0</v>
      </c>
      <c r="AT66" s="116">
        <v>0</v>
      </c>
      <c r="AU66" s="116">
        <v>0</v>
      </c>
      <c r="AV66" s="116">
        <v>0</v>
      </c>
      <c r="AW66" s="116">
        <v>0</v>
      </c>
      <c r="AX66" s="116">
        <v>0</v>
      </c>
      <c r="AY66" s="116">
        <v>0</v>
      </c>
    </row>
    <row r="67" spans="1:51" x14ac:dyDescent="0.2">
      <c r="A67" s="115"/>
      <c r="B67" s="126">
        <v>23</v>
      </c>
      <c r="C67" s="115" t="s">
        <v>293</v>
      </c>
      <c r="D67" s="116">
        <v>0</v>
      </c>
      <c r="E67" s="116">
        <v>0</v>
      </c>
      <c r="F67" s="116">
        <v>0</v>
      </c>
      <c r="G67" s="116">
        <v>0</v>
      </c>
      <c r="H67" s="116">
        <v>0</v>
      </c>
      <c r="I67" s="116">
        <v>0</v>
      </c>
      <c r="J67" s="116">
        <v>0</v>
      </c>
      <c r="K67" s="116">
        <v>0</v>
      </c>
      <c r="L67" s="116">
        <v>0</v>
      </c>
      <c r="M67" s="116">
        <v>0</v>
      </c>
      <c r="N67" s="116">
        <v>0</v>
      </c>
      <c r="O67" s="116">
        <v>0</v>
      </c>
      <c r="P67" s="116">
        <v>0</v>
      </c>
      <c r="Q67" s="116">
        <v>0</v>
      </c>
      <c r="R67" s="116">
        <v>0</v>
      </c>
      <c r="S67" s="116">
        <v>0</v>
      </c>
      <c r="T67" s="116">
        <v>0</v>
      </c>
      <c r="U67" s="116">
        <v>0</v>
      </c>
      <c r="V67" s="116">
        <v>0</v>
      </c>
      <c r="W67" s="116">
        <v>0</v>
      </c>
      <c r="X67" s="116">
        <v>0</v>
      </c>
      <c r="Y67" s="116">
        <v>0</v>
      </c>
      <c r="Z67" s="116">
        <v>0</v>
      </c>
      <c r="AA67" s="116">
        <v>0</v>
      </c>
      <c r="AB67" s="116">
        <v>0</v>
      </c>
      <c r="AC67" s="116">
        <v>0</v>
      </c>
      <c r="AD67" s="116">
        <v>0</v>
      </c>
      <c r="AE67" s="116">
        <v>0</v>
      </c>
      <c r="AF67" s="116">
        <v>0</v>
      </c>
      <c r="AG67" s="116">
        <v>0</v>
      </c>
      <c r="AH67" s="116">
        <v>0</v>
      </c>
      <c r="AI67" s="116">
        <v>0</v>
      </c>
      <c r="AJ67" s="116">
        <v>0</v>
      </c>
      <c r="AK67" s="116">
        <v>0</v>
      </c>
      <c r="AL67" s="116">
        <v>0</v>
      </c>
      <c r="AM67" s="116">
        <v>0</v>
      </c>
      <c r="AN67" s="116">
        <v>0</v>
      </c>
      <c r="AO67" s="116">
        <v>0</v>
      </c>
      <c r="AP67" s="116">
        <v>0</v>
      </c>
      <c r="AQ67" s="116">
        <v>0</v>
      </c>
      <c r="AR67" s="116">
        <v>0</v>
      </c>
      <c r="AS67" s="116">
        <v>0</v>
      </c>
      <c r="AT67" s="116">
        <v>0</v>
      </c>
      <c r="AU67" s="116">
        <v>0</v>
      </c>
      <c r="AV67" s="116">
        <v>0</v>
      </c>
      <c r="AW67" s="116">
        <v>0</v>
      </c>
      <c r="AX67" s="116">
        <v>0</v>
      </c>
      <c r="AY67" s="116">
        <v>0</v>
      </c>
    </row>
    <row r="68" spans="1:51" x14ac:dyDescent="0.2">
      <c r="A68" s="115"/>
      <c r="B68" s="126">
        <v>24</v>
      </c>
      <c r="C68" s="115" t="s">
        <v>293</v>
      </c>
      <c r="D68" s="116">
        <v>0</v>
      </c>
      <c r="E68" s="116">
        <v>0</v>
      </c>
      <c r="F68" s="116">
        <v>0</v>
      </c>
      <c r="G68" s="116">
        <v>0</v>
      </c>
      <c r="H68" s="116">
        <v>0</v>
      </c>
      <c r="I68" s="116">
        <v>0</v>
      </c>
      <c r="J68" s="116">
        <v>0</v>
      </c>
      <c r="K68" s="116">
        <v>0</v>
      </c>
      <c r="L68" s="116">
        <v>0</v>
      </c>
      <c r="M68" s="116">
        <v>0</v>
      </c>
      <c r="N68" s="116">
        <v>0</v>
      </c>
      <c r="O68" s="116">
        <v>0</v>
      </c>
      <c r="P68" s="116">
        <v>0</v>
      </c>
      <c r="Q68" s="116">
        <v>0</v>
      </c>
      <c r="R68" s="116">
        <v>0</v>
      </c>
      <c r="S68" s="116">
        <v>0</v>
      </c>
      <c r="T68" s="116">
        <v>0</v>
      </c>
      <c r="U68" s="116">
        <v>0</v>
      </c>
      <c r="V68" s="116">
        <v>0</v>
      </c>
      <c r="W68" s="116">
        <v>0</v>
      </c>
      <c r="X68" s="116">
        <v>0</v>
      </c>
      <c r="Y68" s="116">
        <v>0</v>
      </c>
      <c r="Z68" s="116">
        <v>0</v>
      </c>
      <c r="AA68" s="116">
        <v>0</v>
      </c>
      <c r="AB68" s="116">
        <v>0</v>
      </c>
      <c r="AC68" s="116">
        <v>0</v>
      </c>
      <c r="AD68" s="116">
        <v>0</v>
      </c>
      <c r="AE68" s="116">
        <v>0</v>
      </c>
      <c r="AF68" s="116">
        <v>0</v>
      </c>
      <c r="AG68" s="116">
        <v>0</v>
      </c>
      <c r="AH68" s="116">
        <v>0</v>
      </c>
      <c r="AI68" s="116">
        <v>0</v>
      </c>
      <c r="AJ68" s="116">
        <v>0</v>
      </c>
      <c r="AK68" s="116">
        <v>0</v>
      </c>
      <c r="AL68" s="116">
        <v>0</v>
      </c>
      <c r="AM68" s="116">
        <v>0</v>
      </c>
      <c r="AN68" s="116">
        <v>0</v>
      </c>
      <c r="AO68" s="116">
        <v>0</v>
      </c>
      <c r="AP68" s="116">
        <v>0</v>
      </c>
      <c r="AQ68" s="116">
        <v>0</v>
      </c>
      <c r="AR68" s="116">
        <v>0</v>
      </c>
      <c r="AS68" s="116">
        <v>0</v>
      </c>
      <c r="AT68" s="116">
        <v>0</v>
      </c>
      <c r="AU68" s="116">
        <v>0</v>
      </c>
      <c r="AV68" s="116">
        <v>0</v>
      </c>
      <c r="AW68" s="116">
        <v>0</v>
      </c>
      <c r="AX68" s="116">
        <v>0</v>
      </c>
      <c r="AY68" s="116">
        <v>0</v>
      </c>
    </row>
    <row r="69" spans="1:51" x14ac:dyDescent="0.2">
      <c r="A69" s="115"/>
      <c r="B69" s="133">
        <v>25</v>
      </c>
      <c r="C69" s="115" t="s">
        <v>293</v>
      </c>
      <c r="D69" s="116">
        <v>0</v>
      </c>
      <c r="E69" s="116">
        <v>0</v>
      </c>
      <c r="F69" s="116">
        <v>0</v>
      </c>
      <c r="G69" s="116">
        <v>0</v>
      </c>
      <c r="H69" s="116">
        <v>0</v>
      </c>
      <c r="I69" s="116">
        <v>0</v>
      </c>
      <c r="J69" s="116">
        <v>0</v>
      </c>
      <c r="K69" s="116">
        <v>0</v>
      </c>
      <c r="L69" s="116">
        <v>0</v>
      </c>
      <c r="M69" s="116">
        <v>0</v>
      </c>
      <c r="N69" s="116">
        <v>0</v>
      </c>
      <c r="O69" s="116">
        <v>0</v>
      </c>
      <c r="P69" s="116">
        <v>0</v>
      </c>
      <c r="Q69" s="116">
        <v>0</v>
      </c>
      <c r="R69" s="116">
        <v>0</v>
      </c>
      <c r="S69" s="116">
        <v>0</v>
      </c>
      <c r="T69" s="116">
        <v>0</v>
      </c>
      <c r="U69" s="116">
        <v>0</v>
      </c>
      <c r="V69" s="116">
        <v>0</v>
      </c>
      <c r="W69" s="116">
        <v>0</v>
      </c>
      <c r="X69" s="116">
        <v>0</v>
      </c>
      <c r="Y69" s="116">
        <v>0</v>
      </c>
      <c r="Z69" s="116">
        <v>0</v>
      </c>
      <c r="AA69" s="116">
        <v>0</v>
      </c>
      <c r="AB69" s="116">
        <v>0</v>
      </c>
      <c r="AC69" s="116">
        <v>0</v>
      </c>
      <c r="AD69" s="116">
        <v>0</v>
      </c>
      <c r="AE69" s="116">
        <v>0</v>
      </c>
      <c r="AF69" s="116">
        <v>0</v>
      </c>
      <c r="AG69" s="116">
        <v>0</v>
      </c>
      <c r="AH69" s="116">
        <v>0</v>
      </c>
      <c r="AI69" s="116">
        <v>0</v>
      </c>
      <c r="AJ69" s="116">
        <v>0</v>
      </c>
      <c r="AK69" s="116">
        <v>0</v>
      </c>
      <c r="AL69" s="116">
        <v>0</v>
      </c>
      <c r="AM69" s="116">
        <v>0</v>
      </c>
      <c r="AN69" s="116">
        <v>0</v>
      </c>
      <c r="AO69" s="116">
        <v>0</v>
      </c>
      <c r="AP69" s="116">
        <v>0</v>
      </c>
      <c r="AQ69" s="116">
        <v>0</v>
      </c>
      <c r="AR69" s="116">
        <v>0</v>
      </c>
      <c r="AS69" s="116">
        <v>0</v>
      </c>
      <c r="AT69" s="116">
        <v>0</v>
      </c>
      <c r="AU69" s="116">
        <v>0</v>
      </c>
      <c r="AV69" s="116">
        <v>0</v>
      </c>
      <c r="AW69" s="116">
        <v>0</v>
      </c>
      <c r="AX69" s="116">
        <v>0</v>
      </c>
      <c r="AY69" s="116">
        <v>0</v>
      </c>
    </row>
    <row r="70" spans="1:51" x14ac:dyDescent="0.2">
      <c r="A70" s="115"/>
      <c r="B70" s="133">
        <v>26</v>
      </c>
      <c r="C70" s="115" t="s">
        <v>293</v>
      </c>
      <c r="D70" s="116">
        <v>0</v>
      </c>
      <c r="E70" s="116">
        <v>0</v>
      </c>
      <c r="F70" s="116">
        <v>0</v>
      </c>
      <c r="G70" s="116">
        <v>0</v>
      </c>
      <c r="H70" s="116">
        <v>0</v>
      </c>
      <c r="I70" s="116">
        <v>0</v>
      </c>
      <c r="J70" s="116">
        <v>0</v>
      </c>
      <c r="K70" s="116">
        <v>0</v>
      </c>
      <c r="L70" s="116">
        <v>0</v>
      </c>
      <c r="M70" s="116">
        <v>0</v>
      </c>
      <c r="N70" s="116">
        <v>0</v>
      </c>
      <c r="O70" s="116">
        <v>0</v>
      </c>
      <c r="P70" s="116">
        <v>0</v>
      </c>
      <c r="Q70" s="116">
        <v>0</v>
      </c>
      <c r="R70" s="116">
        <v>0</v>
      </c>
      <c r="S70" s="116">
        <v>0</v>
      </c>
      <c r="T70" s="116">
        <v>0</v>
      </c>
      <c r="U70" s="116">
        <v>0</v>
      </c>
      <c r="V70" s="116">
        <v>0</v>
      </c>
      <c r="W70" s="116">
        <v>0</v>
      </c>
      <c r="X70" s="116">
        <v>0</v>
      </c>
      <c r="Y70" s="116">
        <v>0</v>
      </c>
      <c r="Z70" s="116">
        <v>0</v>
      </c>
      <c r="AA70" s="116">
        <v>0</v>
      </c>
      <c r="AB70" s="116">
        <v>0</v>
      </c>
      <c r="AC70" s="116">
        <v>0</v>
      </c>
      <c r="AD70" s="116">
        <v>0</v>
      </c>
      <c r="AE70" s="116">
        <v>0</v>
      </c>
      <c r="AF70" s="116">
        <v>0</v>
      </c>
      <c r="AG70" s="116">
        <v>0</v>
      </c>
      <c r="AH70" s="116">
        <v>0</v>
      </c>
      <c r="AI70" s="116">
        <v>0</v>
      </c>
      <c r="AJ70" s="116">
        <v>0</v>
      </c>
      <c r="AK70" s="116">
        <v>0</v>
      </c>
      <c r="AL70" s="116">
        <v>0</v>
      </c>
      <c r="AM70" s="116">
        <v>0</v>
      </c>
      <c r="AN70" s="116">
        <v>0</v>
      </c>
      <c r="AO70" s="116">
        <v>0</v>
      </c>
      <c r="AP70" s="116">
        <v>0</v>
      </c>
      <c r="AQ70" s="116">
        <v>0</v>
      </c>
      <c r="AR70" s="116">
        <v>0</v>
      </c>
      <c r="AS70" s="116">
        <v>0</v>
      </c>
      <c r="AT70" s="116">
        <v>0</v>
      </c>
      <c r="AU70" s="116">
        <v>0</v>
      </c>
      <c r="AV70" s="116">
        <v>0</v>
      </c>
      <c r="AW70" s="116">
        <v>0</v>
      </c>
      <c r="AX70" s="116">
        <v>0</v>
      </c>
      <c r="AY70" s="116">
        <v>0</v>
      </c>
    </row>
    <row r="71" spans="1:51" x14ac:dyDescent="0.2">
      <c r="A71" s="115"/>
      <c r="B71" s="133">
        <v>27</v>
      </c>
      <c r="C71" s="115" t="s">
        <v>293</v>
      </c>
      <c r="D71" s="116">
        <v>0</v>
      </c>
      <c r="E71" s="116">
        <v>0</v>
      </c>
      <c r="F71" s="116">
        <v>0</v>
      </c>
      <c r="G71" s="116">
        <v>0</v>
      </c>
      <c r="H71" s="116">
        <v>0</v>
      </c>
      <c r="I71" s="116">
        <v>0</v>
      </c>
      <c r="J71" s="116">
        <v>0</v>
      </c>
      <c r="K71" s="116">
        <v>0</v>
      </c>
      <c r="L71" s="116">
        <v>0</v>
      </c>
      <c r="M71" s="116">
        <v>0</v>
      </c>
      <c r="N71" s="116">
        <v>0</v>
      </c>
      <c r="O71" s="116">
        <v>0</v>
      </c>
      <c r="P71" s="116">
        <v>0</v>
      </c>
      <c r="Q71" s="116">
        <v>0</v>
      </c>
      <c r="R71" s="116">
        <v>0</v>
      </c>
      <c r="S71" s="116">
        <v>0</v>
      </c>
      <c r="T71" s="116">
        <v>0</v>
      </c>
      <c r="U71" s="116">
        <v>0</v>
      </c>
      <c r="V71" s="116">
        <v>0</v>
      </c>
      <c r="W71" s="116">
        <v>0</v>
      </c>
      <c r="X71" s="116">
        <v>0</v>
      </c>
      <c r="Y71" s="116">
        <v>0</v>
      </c>
      <c r="Z71" s="116">
        <v>0</v>
      </c>
      <c r="AA71" s="116">
        <v>0</v>
      </c>
      <c r="AB71" s="116">
        <v>0</v>
      </c>
      <c r="AC71" s="116">
        <v>0</v>
      </c>
      <c r="AD71" s="116">
        <v>0</v>
      </c>
      <c r="AE71" s="116">
        <v>0</v>
      </c>
      <c r="AF71" s="116">
        <v>0</v>
      </c>
      <c r="AG71" s="116">
        <v>0</v>
      </c>
      <c r="AH71" s="116">
        <v>0</v>
      </c>
      <c r="AI71" s="116">
        <v>0</v>
      </c>
      <c r="AJ71" s="116">
        <v>0</v>
      </c>
      <c r="AK71" s="116">
        <v>0</v>
      </c>
      <c r="AL71" s="116">
        <v>0</v>
      </c>
      <c r="AM71" s="116">
        <v>0</v>
      </c>
      <c r="AN71" s="116">
        <v>0</v>
      </c>
      <c r="AO71" s="116">
        <v>0</v>
      </c>
      <c r="AP71" s="116">
        <v>0</v>
      </c>
      <c r="AQ71" s="116">
        <v>0</v>
      </c>
      <c r="AR71" s="116">
        <v>0</v>
      </c>
      <c r="AS71" s="116">
        <v>0</v>
      </c>
      <c r="AT71" s="116">
        <v>0</v>
      </c>
      <c r="AU71" s="116">
        <v>0</v>
      </c>
      <c r="AV71" s="116">
        <v>0</v>
      </c>
      <c r="AW71" s="116">
        <v>0</v>
      </c>
      <c r="AX71" s="116">
        <v>0</v>
      </c>
      <c r="AY71" s="116">
        <v>0</v>
      </c>
    </row>
    <row r="72" spans="1:51" x14ac:dyDescent="0.2">
      <c r="A72" s="115"/>
      <c r="B72" s="133">
        <v>28</v>
      </c>
      <c r="C72" s="115" t="s">
        <v>293</v>
      </c>
      <c r="D72" s="116">
        <v>0</v>
      </c>
      <c r="E72" s="116">
        <v>0</v>
      </c>
      <c r="F72" s="116">
        <v>0</v>
      </c>
      <c r="G72" s="116">
        <v>0</v>
      </c>
      <c r="H72" s="116">
        <v>0</v>
      </c>
      <c r="I72" s="116">
        <v>0</v>
      </c>
      <c r="J72" s="116">
        <v>0</v>
      </c>
      <c r="K72" s="116">
        <v>0</v>
      </c>
      <c r="L72" s="116">
        <v>0</v>
      </c>
      <c r="M72" s="116">
        <v>0</v>
      </c>
      <c r="N72" s="116">
        <v>0</v>
      </c>
      <c r="O72" s="116">
        <v>0</v>
      </c>
      <c r="P72" s="116">
        <v>0</v>
      </c>
      <c r="Q72" s="116">
        <v>0</v>
      </c>
      <c r="R72" s="116">
        <v>0</v>
      </c>
      <c r="S72" s="116">
        <v>0</v>
      </c>
      <c r="T72" s="116">
        <v>0</v>
      </c>
      <c r="U72" s="116">
        <v>0</v>
      </c>
      <c r="V72" s="116">
        <v>0</v>
      </c>
      <c r="W72" s="116">
        <v>0</v>
      </c>
      <c r="X72" s="116">
        <v>0</v>
      </c>
      <c r="Y72" s="116">
        <v>0</v>
      </c>
      <c r="Z72" s="116">
        <v>0</v>
      </c>
      <c r="AA72" s="116">
        <v>0</v>
      </c>
      <c r="AB72" s="116">
        <v>0</v>
      </c>
      <c r="AC72" s="116">
        <v>0</v>
      </c>
      <c r="AD72" s="116">
        <v>0</v>
      </c>
      <c r="AE72" s="116">
        <v>0</v>
      </c>
      <c r="AF72" s="116">
        <v>0</v>
      </c>
      <c r="AG72" s="116">
        <v>0</v>
      </c>
      <c r="AH72" s="116">
        <v>0</v>
      </c>
      <c r="AI72" s="116">
        <v>0</v>
      </c>
      <c r="AJ72" s="116">
        <v>0</v>
      </c>
      <c r="AK72" s="116">
        <v>0</v>
      </c>
      <c r="AL72" s="116">
        <v>0</v>
      </c>
      <c r="AM72" s="116">
        <v>0</v>
      </c>
      <c r="AN72" s="116">
        <v>0</v>
      </c>
      <c r="AO72" s="116">
        <v>0</v>
      </c>
      <c r="AP72" s="116">
        <v>0</v>
      </c>
      <c r="AQ72" s="116">
        <v>0</v>
      </c>
      <c r="AR72" s="116">
        <v>0</v>
      </c>
      <c r="AS72" s="116">
        <v>0</v>
      </c>
      <c r="AT72" s="116">
        <v>0</v>
      </c>
      <c r="AU72" s="116">
        <v>0</v>
      </c>
      <c r="AV72" s="116">
        <v>0</v>
      </c>
      <c r="AW72" s="116">
        <v>0</v>
      </c>
      <c r="AX72" s="116">
        <v>0</v>
      </c>
      <c r="AY72" s="116">
        <v>0</v>
      </c>
    </row>
    <row r="73" spans="1:51" x14ac:dyDescent="0.2">
      <c r="A73" s="115"/>
      <c r="B73" s="133">
        <v>29</v>
      </c>
      <c r="C73" s="115" t="s">
        <v>293</v>
      </c>
      <c r="D73" s="116">
        <v>0</v>
      </c>
      <c r="E73" s="116">
        <v>0</v>
      </c>
      <c r="F73" s="116">
        <v>0</v>
      </c>
      <c r="G73" s="116">
        <v>0</v>
      </c>
      <c r="H73" s="116">
        <v>0</v>
      </c>
      <c r="I73" s="116">
        <v>0</v>
      </c>
      <c r="J73" s="116">
        <v>0</v>
      </c>
      <c r="K73" s="116">
        <v>0</v>
      </c>
      <c r="L73" s="116">
        <v>0</v>
      </c>
      <c r="M73" s="116">
        <v>0</v>
      </c>
      <c r="N73" s="116">
        <v>0</v>
      </c>
      <c r="O73" s="116">
        <v>0</v>
      </c>
      <c r="P73" s="116">
        <v>0</v>
      </c>
      <c r="Q73" s="116">
        <v>0</v>
      </c>
      <c r="R73" s="116">
        <v>0</v>
      </c>
      <c r="S73" s="116">
        <v>0</v>
      </c>
      <c r="T73" s="116">
        <v>0</v>
      </c>
      <c r="U73" s="116">
        <v>0</v>
      </c>
      <c r="V73" s="116">
        <v>0</v>
      </c>
      <c r="W73" s="116">
        <v>0</v>
      </c>
      <c r="X73" s="116">
        <v>0</v>
      </c>
      <c r="Y73" s="116">
        <v>0</v>
      </c>
      <c r="Z73" s="116">
        <v>0</v>
      </c>
      <c r="AA73" s="116">
        <v>0</v>
      </c>
      <c r="AB73" s="116">
        <v>0</v>
      </c>
      <c r="AC73" s="116">
        <v>0</v>
      </c>
      <c r="AD73" s="116">
        <v>0</v>
      </c>
      <c r="AE73" s="116">
        <v>0</v>
      </c>
      <c r="AF73" s="116">
        <v>0</v>
      </c>
      <c r="AG73" s="116">
        <v>0</v>
      </c>
      <c r="AH73" s="116">
        <v>0</v>
      </c>
      <c r="AI73" s="116">
        <v>0</v>
      </c>
      <c r="AJ73" s="116">
        <v>0</v>
      </c>
      <c r="AK73" s="116">
        <v>0</v>
      </c>
      <c r="AL73" s="116">
        <v>0</v>
      </c>
      <c r="AM73" s="116">
        <v>0</v>
      </c>
      <c r="AN73" s="116">
        <v>0</v>
      </c>
      <c r="AO73" s="116">
        <v>0</v>
      </c>
      <c r="AP73" s="116">
        <v>0</v>
      </c>
      <c r="AQ73" s="116">
        <v>0</v>
      </c>
      <c r="AR73" s="116">
        <v>0</v>
      </c>
      <c r="AS73" s="116">
        <v>0</v>
      </c>
      <c r="AT73" s="116">
        <v>0</v>
      </c>
      <c r="AU73" s="116">
        <v>0</v>
      </c>
      <c r="AV73" s="116">
        <v>0</v>
      </c>
      <c r="AW73" s="116">
        <v>0</v>
      </c>
      <c r="AX73" s="116">
        <v>0</v>
      </c>
      <c r="AY73" s="116">
        <v>0</v>
      </c>
    </row>
    <row r="74" spans="1:51" x14ac:dyDescent="0.2">
      <c r="A74" s="115"/>
      <c r="B74" s="133">
        <v>30</v>
      </c>
      <c r="C74" s="115" t="s">
        <v>293</v>
      </c>
      <c r="D74" s="116">
        <v>0</v>
      </c>
      <c r="E74" s="116">
        <v>0</v>
      </c>
      <c r="F74" s="116">
        <v>0</v>
      </c>
      <c r="G74" s="116">
        <v>0</v>
      </c>
      <c r="H74" s="116">
        <v>0</v>
      </c>
      <c r="I74" s="116">
        <v>0</v>
      </c>
      <c r="J74" s="116">
        <v>0</v>
      </c>
      <c r="K74" s="116">
        <v>0</v>
      </c>
      <c r="L74" s="116">
        <v>0</v>
      </c>
      <c r="M74" s="116">
        <v>0</v>
      </c>
      <c r="N74" s="116">
        <v>0</v>
      </c>
      <c r="O74" s="116">
        <v>0</v>
      </c>
      <c r="P74" s="116">
        <v>0</v>
      </c>
      <c r="Q74" s="116">
        <v>0</v>
      </c>
      <c r="R74" s="116">
        <v>0</v>
      </c>
      <c r="S74" s="116">
        <v>0</v>
      </c>
      <c r="T74" s="116">
        <v>0</v>
      </c>
      <c r="U74" s="116">
        <v>0</v>
      </c>
      <c r="V74" s="116">
        <v>0</v>
      </c>
      <c r="W74" s="116">
        <v>0</v>
      </c>
      <c r="X74" s="116">
        <v>0</v>
      </c>
      <c r="Y74" s="116">
        <v>0</v>
      </c>
      <c r="Z74" s="116">
        <v>0</v>
      </c>
      <c r="AA74" s="116">
        <v>0</v>
      </c>
      <c r="AB74" s="116">
        <v>0</v>
      </c>
      <c r="AC74" s="116">
        <v>0</v>
      </c>
      <c r="AD74" s="116">
        <v>0</v>
      </c>
      <c r="AE74" s="116">
        <v>0</v>
      </c>
      <c r="AF74" s="116">
        <v>0</v>
      </c>
      <c r="AG74" s="116">
        <v>0</v>
      </c>
      <c r="AH74" s="116">
        <v>0</v>
      </c>
      <c r="AI74" s="116">
        <v>0</v>
      </c>
      <c r="AJ74" s="116">
        <v>0</v>
      </c>
      <c r="AK74" s="116">
        <v>0</v>
      </c>
      <c r="AL74" s="116">
        <v>0</v>
      </c>
      <c r="AM74" s="116">
        <v>0</v>
      </c>
      <c r="AN74" s="116">
        <v>0</v>
      </c>
      <c r="AO74" s="116">
        <v>0</v>
      </c>
      <c r="AP74" s="116">
        <v>0</v>
      </c>
      <c r="AQ74" s="116">
        <v>0</v>
      </c>
      <c r="AR74" s="116">
        <v>0</v>
      </c>
      <c r="AS74" s="116">
        <v>0</v>
      </c>
      <c r="AT74" s="116">
        <v>0</v>
      </c>
      <c r="AU74" s="116">
        <v>0</v>
      </c>
      <c r="AV74" s="116">
        <v>0</v>
      </c>
      <c r="AW74" s="116">
        <v>0</v>
      </c>
      <c r="AX74" s="116">
        <v>0</v>
      </c>
      <c r="AY74" s="116">
        <v>0</v>
      </c>
    </row>
    <row r="75" spans="1:51" x14ac:dyDescent="0.2">
      <c r="A75" s="115"/>
      <c r="B75" s="133">
        <v>31</v>
      </c>
      <c r="C75" s="115" t="s">
        <v>293</v>
      </c>
      <c r="D75" s="116">
        <v>0</v>
      </c>
      <c r="E75" s="116">
        <v>0</v>
      </c>
      <c r="F75" s="116">
        <v>0</v>
      </c>
      <c r="G75" s="116">
        <v>0</v>
      </c>
      <c r="H75" s="116">
        <v>0</v>
      </c>
      <c r="I75" s="116">
        <v>0</v>
      </c>
      <c r="J75" s="116">
        <v>0</v>
      </c>
      <c r="K75" s="116">
        <v>0</v>
      </c>
      <c r="L75" s="116">
        <v>0</v>
      </c>
      <c r="M75" s="116">
        <v>0</v>
      </c>
      <c r="N75" s="116">
        <v>0</v>
      </c>
      <c r="O75" s="116">
        <v>0</v>
      </c>
      <c r="P75" s="116">
        <v>0</v>
      </c>
      <c r="Q75" s="116">
        <v>0</v>
      </c>
      <c r="R75" s="116">
        <v>0</v>
      </c>
      <c r="S75" s="116">
        <v>0</v>
      </c>
      <c r="T75" s="116">
        <v>0</v>
      </c>
      <c r="U75" s="116">
        <v>0</v>
      </c>
      <c r="V75" s="116">
        <v>0</v>
      </c>
      <c r="W75" s="116">
        <v>0</v>
      </c>
      <c r="X75" s="116">
        <v>0</v>
      </c>
      <c r="Y75" s="116">
        <v>0</v>
      </c>
      <c r="Z75" s="116">
        <v>0</v>
      </c>
      <c r="AA75" s="116">
        <v>0</v>
      </c>
      <c r="AB75" s="116">
        <v>0</v>
      </c>
      <c r="AC75" s="116">
        <v>0</v>
      </c>
      <c r="AD75" s="116">
        <v>0</v>
      </c>
      <c r="AE75" s="116">
        <v>0</v>
      </c>
      <c r="AF75" s="116">
        <v>0</v>
      </c>
      <c r="AG75" s="116">
        <v>0</v>
      </c>
      <c r="AH75" s="116">
        <v>0</v>
      </c>
      <c r="AI75" s="116">
        <v>0</v>
      </c>
      <c r="AJ75" s="116">
        <v>0</v>
      </c>
      <c r="AK75" s="116">
        <v>0</v>
      </c>
      <c r="AL75" s="116">
        <v>0</v>
      </c>
      <c r="AM75" s="116">
        <v>0</v>
      </c>
      <c r="AN75" s="116">
        <v>0</v>
      </c>
      <c r="AO75" s="116">
        <v>0</v>
      </c>
      <c r="AP75" s="116">
        <v>0</v>
      </c>
      <c r="AQ75" s="116">
        <v>0</v>
      </c>
      <c r="AR75" s="116">
        <v>0</v>
      </c>
      <c r="AS75" s="116">
        <v>0</v>
      </c>
      <c r="AT75" s="116">
        <v>0</v>
      </c>
      <c r="AU75" s="116">
        <v>0</v>
      </c>
      <c r="AV75" s="116">
        <v>0</v>
      </c>
      <c r="AW75" s="116">
        <v>0</v>
      </c>
      <c r="AX75" s="116">
        <v>0</v>
      </c>
      <c r="AY75" s="116">
        <v>0</v>
      </c>
    </row>
    <row r="76" spans="1:51" x14ac:dyDescent="0.2">
      <c r="A76" s="115"/>
      <c r="B76" s="133">
        <v>32</v>
      </c>
      <c r="C76" s="115" t="s">
        <v>293</v>
      </c>
      <c r="D76" s="116">
        <v>0</v>
      </c>
      <c r="E76" s="116">
        <v>0</v>
      </c>
      <c r="F76" s="116">
        <v>0</v>
      </c>
      <c r="G76" s="116">
        <v>0</v>
      </c>
      <c r="H76" s="116">
        <v>0</v>
      </c>
      <c r="I76" s="116">
        <v>0</v>
      </c>
      <c r="J76" s="116">
        <v>0</v>
      </c>
      <c r="K76" s="116">
        <v>0</v>
      </c>
      <c r="L76" s="116">
        <v>0</v>
      </c>
      <c r="M76" s="116">
        <v>0</v>
      </c>
      <c r="N76" s="116">
        <v>0</v>
      </c>
      <c r="O76" s="116">
        <v>0</v>
      </c>
      <c r="P76" s="116">
        <v>0</v>
      </c>
      <c r="Q76" s="116">
        <v>0</v>
      </c>
      <c r="R76" s="116">
        <v>0</v>
      </c>
      <c r="S76" s="116">
        <v>0</v>
      </c>
      <c r="T76" s="116">
        <v>0</v>
      </c>
      <c r="U76" s="116">
        <v>0</v>
      </c>
      <c r="V76" s="116">
        <v>0</v>
      </c>
      <c r="W76" s="116">
        <v>0</v>
      </c>
      <c r="X76" s="116">
        <v>0</v>
      </c>
      <c r="Y76" s="116">
        <v>0</v>
      </c>
      <c r="Z76" s="116">
        <v>0</v>
      </c>
      <c r="AA76" s="116">
        <v>0</v>
      </c>
      <c r="AB76" s="116">
        <v>0</v>
      </c>
      <c r="AC76" s="116">
        <v>0</v>
      </c>
      <c r="AD76" s="116">
        <v>0</v>
      </c>
      <c r="AE76" s="116">
        <v>0</v>
      </c>
      <c r="AF76" s="116">
        <v>0</v>
      </c>
      <c r="AG76" s="116">
        <v>0</v>
      </c>
      <c r="AH76" s="116">
        <v>0</v>
      </c>
      <c r="AI76" s="116">
        <v>0</v>
      </c>
      <c r="AJ76" s="116">
        <v>0</v>
      </c>
      <c r="AK76" s="116">
        <v>0</v>
      </c>
      <c r="AL76" s="116">
        <v>0</v>
      </c>
      <c r="AM76" s="116">
        <v>0</v>
      </c>
      <c r="AN76" s="116">
        <v>0</v>
      </c>
      <c r="AO76" s="116">
        <v>0</v>
      </c>
      <c r="AP76" s="116">
        <v>0</v>
      </c>
      <c r="AQ76" s="116">
        <v>0</v>
      </c>
      <c r="AR76" s="116">
        <v>0</v>
      </c>
      <c r="AS76" s="116">
        <v>0</v>
      </c>
      <c r="AT76" s="116">
        <v>0</v>
      </c>
      <c r="AU76" s="116">
        <v>0</v>
      </c>
      <c r="AV76" s="116">
        <v>0</v>
      </c>
      <c r="AW76" s="116">
        <v>0</v>
      </c>
      <c r="AX76" s="116">
        <v>0</v>
      </c>
      <c r="AY76" s="116">
        <v>0</v>
      </c>
    </row>
    <row r="77" spans="1:51" x14ac:dyDescent="0.2">
      <c r="A77" s="115"/>
      <c r="B77" s="133">
        <v>33</v>
      </c>
      <c r="C77" s="115" t="s">
        <v>293</v>
      </c>
      <c r="D77" s="116">
        <v>0</v>
      </c>
      <c r="E77" s="116">
        <v>0</v>
      </c>
      <c r="F77" s="116">
        <v>0</v>
      </c>
      <c r="G77" s="116">
        <v>0</v>
      </c>
      <c r="H77" s="116">
        <v>0</v>
      </c>
      <c r="I77" s="116">
        <v>0</v>
      </c>
      <c r="J77" s="116">
        <v>0</v>
      </c>
      <c r="K77" s="116">
        <v>0</v>
      </c>
      <c r="L77" s="116">
        <v>0</v>
      </c>
      <c r="M77" s="116">
        <v>0</v>
      </c>
      <c r="N77" s="116">
        <v>0</v>
      </c>
      <c r="O77" s="116">
        <v>0</v>
      </c>
      <c r="P77" s="116">
        <v>0</v>
      </c>
      <c r="Q77" s="116">
        <v>0</v>
      </c>
      <c r="R77" s="116">
        <v>0</v>
      </c>
      <c r="S77" s="116">
        <v>0</v>
      </c>
      <c r="T77" s="116">
        <v>0</v>
      </c>
      <c r="U77" s="116">
        <v>0</v>
      </c>
      <c r="V77" s="116">
        <v>0</v>
      </c>
      <c r="W77" s="116">
        <v>0</v>
      </c>
      <c r="X77" s="116">
        <v>0</v>
      </c>
      <c r="Y77" s="116">
        <v>0</v>
      </c>
      <c r="Z77" s="116">
        <v>0</v>
      </c>
      <c r="AA77" s="116">
        <v>0</v>
      </c>
      <c r="AB77" s="116">
        <v>0</v>
      </c>
      <c r="AC77" s="116">
        <v>0</v>
      </c>
      <c r="AD77" s="116">
        <v>0</v>
      </c>
      <c r="AE77" s="116">
        <v>0</v>
      </c>
      <c r="AF77" s="116">
        <v>0</v>
      </c>
      <c r="AG77" s="116">
        <v>0</v>
      </c>
      <c r="AH77" s="116">
        <v>0</v>
      </c>
      <c r="AI77" s="116">
        <v>0</v>
      </c>
      <c r="AJ77" s="116">
        <v>0</v>
      </c>
      <c r="AK77" s="116">
        <v>0</v>
      </c>
      <c r="AL77" s="116">
        <v>0</v>
      </c>
      <c r="AM77" s="116">
        <v>0</v>
      </c>
      <c r="AN77" s="116">
        <v>0</v>
      </c>
      <c r="AO77" s="116">
        <v>0</v>
      </c>
      <c r="AP77" s="116">
        <v>0</v>
      </c>
      <c r="AQ77" s="116">
        <v>0</v>
      </c>
      <c r="AR77" s="116">
        <v>0</v>
      </c>
      <c r="AS77" s="116">
        <v>0</v>
      </c>
      <c r="AT77" s="116">
        <v>0</v>
      </c>
      <c r="AU77" s="116">
        <v>0</v>
      </c>
      <c r="AV77" s="116">
        <v>0</v>
      </c>
      <c r="AW77" s="116">
        <v>0</v>
      </c>
      <c r="AX77" s="116">
        <v>0</v>
      </c>
      <c r="AY77" s="116">
        <v>0</v>
      </c>
    </row>
    <row r="78" spans="1:51" x14ac:dyDescent="0.2">
      <c r="A78" s="115"/>
      <c r="B78" s="133">
        <v>34</v>
      </c>
      <c r="C78" s="115" t="s">
        <v>293</v>
      </c>
      <c r="D78" s="116">
        <v>0</v>
      </c>
      <c r="E78" s="116">
        <v>0</v>
      </c>
      <c r="F78" s="116">
        <v>0</v>
      </c>
      <c r="G78" s="116">
        <v>0</v>
      </c>
      <c r="H78" s="116">
        <v>0</v>
      </c>
      <c r="I78" s="116">
        <v>0</v>
      </c>
      <c r="J78" s="116">
        <v>0</v>
      </c>
      <c r="K78" s="116">
        <v>0</v>
      </c>
      <c r="L78" s="116">
        <v>0</v>
      </c>
      <c r="M78" s="116">
        <v>0</v>
      </c>
      <c r="N78" s="116">
        <v>0</v>
      </c>
      <c r="O78" s="116">
        <v>0</v>
      </c>
      <c r="P78" s="116">
        <v>0</v>
      </c>
      <c r="Q78" s="116">
        <v>0</v>
      </c>
      <c r="R78" s="116">
        <v>0</v>
      </c>
      <c r="S78" s="116">
        <v>0</v>
      </c>
      <c r="T78" s="116">
        <v>0</v>
      </c>
      <c r="U78" s="116">
        <v>0</v>
      </c>
      <c r="V78" s="116">
        <v>0</v>
      </c>
      <c r="W78" s="116">
        <v>0</v>
      </c>
      <c r="X78" s="116">
        <v>0</v>
      </c>
      <c r="Y78" s="116">
        <v>0</v>
      </c>
      <c r="Z78" s="116">
        <v>0</v>
      </c>
      <c r="AA78" s="116">
        <v>0</v>
      </c>
      <c r="AB78" s="116">
        <v>0</v>
      </c>
      <c r="AC78" s="116">
        <v>0</v>
      </c>
      <c r="AD78" s="116">
        <v>0</v>
      </c>
      <c r="AE78" s="116">
        <v>0</v>
      </c>
      <c r="AF78" s="116">
        <v>0</v>
      </c>
      <c r="AG78" s="116">
        <v>0</v>
      </c>
      <c r="AH78" s="116">
        <v>0</v>
      </c>
      <c r="AI78" s="116">
        <v>0</v>
      </c>
      <c r="AJ78" s="116">
        <v>0</v>
      </c>
      <c r="AK78" s="116">
        <v>0</v>
      </c>
      <c r="AL78" s="116">
        <v>0</v>
      </c>
      <c r="AM78" s="116">
        <v>0</v>
      </c>
      <c r="AN78" s="116">
        <v>0</v>
      </c>
      <c r="AO78" s="116">
        <v>0</v>
      </c>
      <c r="AP78" s="116">
        <v>0</v>
      </c>
      <c r="AQ78" s="116">
        <v>0</v>
      </c>
      <c r="AR78" s="116">
        <v>0</v>
      </c>
      <c r="AS78" s="116">
        <v>0</v>
      </c>
      <c r="AT78" s="116">
        <v>0</v>
      </c>
      <c r="AU78" s="116">
        <v>0</v>
      </c>
      <c r="AV78" s="116">
        <v>0</v>
      </c>
      <c r="AW78" s="116">
        <v>0</v>
      </c>
      <c r="AX78" s="116">
        <v>0</v>
      </c>
      <c r="AY78" s="116">
        <v>0</v>
      </c>
    </row>
    <row r="79" spans="1:51" x14ac:dyDescent="0.2">
      <c r="A79" s="115"/>
      <c r="B79" s="133">
        <v>35</v>
      </c>
      <c r="C79" s="115" t="s">
        <v>293</v>
      </c>
      <c r="D79" s="116">
        <v>0</v>
      </c>
      <c r="E79" s="116">
        <v>0</v>
      </c>
      <c r="F79" s="116">
        <v>0</v>
      </c>
      <c r="G79" s="116">
        <v>0</v>
      </c>
      <c r="H79" s="116">
        <v>0</v>
      </c>
      <c r="I79" s="116">
        <v>0</v>
      </c>
      <c r="J79" s="116">
        <v>0</v>
      </c>
      <c r="K79" s="116">
        <v>0</v>
      </c>
      <c r="L79" s="116">
        <v>0</v>
      </c>
      <c r="M79" s="116">
        <v>0</v>
      </c>
      <c r="N79" s="116">
        <v>0</v>
      </c>
      <c r="O79" s="116">
        <v>0</v>
      </c>
      <c r="P79" s="116">
        <v>0</v>
      </c>
      <c r="Q79" s="116">
        <v>0</v>
      </c>
      <c r="R79" s="116">
        <v>0</v>
      </c>
      <c r="S79" s="116">
        <v>0</v>
      </c>
      <c r="T79" s="116">
        <v>0</v>
      </c>
      <c r="U79" s="116">
        <v>0</v>
      </c>
      <c r="V79" s="116">
        <v>0</v>
      </c>
      <c r="W79" s="116">
        <v>0</v>
      </c>
      <c r="X79" s="116">
        <v>0</v>
      </c>
      <c r="Y79" s="116">
        <v>0</v>
      </c>
      <c r="Z79" s="116">
        <v>0</v>
      </c>
      <c r="AA79" s="116">
        <v>0</v>
      </c>
      <c r="AB79" s="116">
        <v>0</v>
      </c>
      <c r="AC79" s="116">
        <v>0</v>
      </c>
      <c r="AD79" s="116">
        <v>0</v>
      </c>
      <c r="AE79" s="116">
        <v>0</v>
      </c>
      <c r="AF79" s="116">
        <v>0</v>
      </c>
      <c r="AG79" s="116">
        <v>0</v>
      </c>
      <c r="AH79" s="116">
        <v>0</v>
      </c>
      <c r="AI79" s="116">
        <v>0</v>
      </c>
      <c r="AJ79" s="116">
        <v>0</v>
      </c>
      <c r="AK79" s="116">
        <v>0</v>
      </c>
      <c r="AL79" s="116">
        <v>0</v>
      </c>
      <c r="AM79" s="116">
        <v>0</v>
      </c>
      <c r="AN79" s="116">
        <v>0</v>
      </c>
      <c r="AO79" s="116">
        <v>0</v>
      </c>
      <c r="AP79" s="116">
        <v>0</v>
      </c>
      <c r="AQ79" s="116">
        <v>0</v>
      </c>
      <c r="AR79" s="116">
        <v>0</v>
      </c>
      <c r="AS79" s="116">
        <v>0</v>
      </c>
      <c r="AT79" s="116">
        <v>0</v>
      </c>
      <c r="AU79" s="116">
        <v>0</v>
      </c>
      <c r="AV79" s="116">
        <v>0</v>
      </c>
      <c r="AW79" s="116">
        <v>0</v>
      </c>
      <c r="AX79" s="116">
        <v>0</v>
      </c>
      <c r="AY79" s="116">
        <v>0</v>
      </c>
    </row>
    <row r="80" spans="1:51" x14ac:dyDescent="0.2">
      <c r="A80" s="115"/>
      <c r="B80" s="133">
        <v>36</v>
      </c>
      <c r="C80" s="115" t="s">
        <v>293</v>
      </c>
      <c r="D80" s="116">
        <v>0</v>
      </c>
      <c r="E80" s="116">
        <v>0</v>
      </c>
      <c r="F80" s="116">
        <v>0</v>
      </c>
      <c r="G80" s="116">
        <v>0</v>
      </c>
      <c r="H80" s="116">
        <v>0</v>
      </c>
      <c r="I80" s="116">
        <v>0</v>
      </c>
      <c r="J80" s="116">
        <v>0</v>
      </c>
      <c r="K80" s="116">
        <v>0</v>
      </c>
      <c r="L80" s="116">
        <v>0</v>
      </c>
      <c r="M80" s="116">
        <v>0</v>
      </c>
      <c r="N80" s="116">
        <v>0</v>
      </c>
      <c r="O80" s="116">
        <v>0</v>
      </c>
      <c r="P80" s="116">
        <v>0</v>
      </c>
      <c r="Q80" s="116">
        <v>0</v>
      </c>
      <c r="R80" s="116">
        <v>0</v>
      </c>
      <c r="S80" s="116">
        <v>0</v>
      </c>
      <c r="T80" s="116">
        <v>0</v>
      </c>
      <c r="U80" s="116">
        <v>0</v>
      </c>
      <c r="V80" s="116">
        <v>0</v>
      </c>
      <c r="W80" s="116">
        <v>0</v>
      </c>
      <c r="X80" s="116">
        <v>0</v>
      </c>
      <c r="Y80" s="116">
        <v>0</v>
      </c>
      <c r="Z80" s="116">
        <v>0</v>
      </c>
      <c r="AA80" s="116">
        <v>0</v>
      </c>
      <c r="AB80" s="116">
        <v>0</v>
      </c>
      <c r="AC80" s="116">
        <v>0</v>
      </c>
      <c r="AD80" s="116">
        <v>0</v>
      </c>
      <c r="AE80" s="116">
        <v>0</v>
      </c>
      <c r="AF80" s="116">
        <v>0</v>
      </c>
      <c r="AG80" s="116">
        <v>0</v>
      </c>
      <c r="AH80" s="116">
        <v>0</v>
      </c>
      <c r="AI80" s="116">
        <v>0</v>
      </c>
      <c r="AJ80" s="116">
        <v>0</v>
      </c>
      <c r="AK80" s="116">
        <v>0</v>
      </c>
      <c r="AL80" s="116">
        <v>0</v>
      </c>
      <c r="AM80" s="116">
        <v>0</v>
      </c>
      <c r="AN80" s="116">
        <v>0</v>
      </c>
      <c r="AO80" s="116">
        <v>0</v>
      </c>
      <c r="AP80" s="116">
        <v>0</v>
      </c>
      <c r="AQ80" s="116">
        <v>0</v>
      </c>
      <c r="AR80" s="116">
        <v>0</v>
      </c>
      <c r="AS80" s="116">
        <v>0</v>
      </c>
      <c r="AT80" s="116">
        <v>0</v>
      </c>
      <c r="AU80" s="116">
        <v>0</v>
      </c>
      <c r="AV80" s="116">
        <v>0</v>
      </c>
      <c r="AW80" s="116">
        <v>0</v>
      </c>
      <c r="AX80" s="116">
        <v>0</v>
      </c>
      <c r="AY80" s="116">
        <v>0</v>
      </c>
    </row>
    <row r="81" spans="1:52" x14ac:dyDescent="0.2">
      <c r="A81" s="115"/>
      <c r="B81" s="136">
        <v>37</v>
      </c>
      <c r="C81" s="115" t="s">
        <v>293</v>
      </c>
      <c r="D81" s="116">
        <v>0</v>
      </c>
      <c r="E81" s="116">
        <v>0</v>
      </c>
      <c r="F81" s="116">
        <v>0</v>
      </c>
      <c r="G81" s="116">
        <v>0</v>
      </c>
      <c r="H81" s="116">
        <v>0</v>
      </c>
      <c r="I81" s="116">
        <v>0</v>
      </c>
      <c r="J81" s="116">
        <v>0</v>
      </c>
      <c r="K81" s="116">
        <v>0</v>
      </c>
      <c r="L81" s="116">
        <v>0</v>
      </c>
      <c r="M81" s="116">
        <v>0</v>
      </c>
      <c r="N81" s="116">
        <v>0</v>
      </c>
      <c r="O81" s="116">
        <v>0</v>
      </c>
      <c r="P81" s="116">
        <v>0</v>
      </c>
      <c r="Q81" s="116">
        <v>0</v>
      </c>
      <c r="R81" s="116">
        <v>0</v>
      </c>
      <c r="S81" s="116">
        <v>0</v>
      </c>
      <c r="T81" s="116">
        <v>0</v>
      </c>
      <c r="U81" s="116">
        <v>0</v>
      </c>
      <c r="V81" s="116">
        <v>0</v>
      </c>
      <c r="W81" s="116">
        <v>0</v>
      </c>
      <c r="X81" s="116">
        <v>0</v>
      </c>
      <c r="Y81" s="116">
        <v>0</v>
      </c>
      <c r="Z81" s="116">
        <v>0</v>
      </c>
      <c r="AA81" s="116">
        <v>0</v>
      </c>
      <c r="AB81" s="116">
        <v>0</v>
      </c>
      <c r="AC81" s="116">
        <v>0</v>
      </c>
      <c r="AD81" s="116">
        <v>0</v>
      </c>
      <c r="AE81" s="116">
        <v>0</v>
      </c>
      <c r="AF81" s="116">
        <v>0</v>
      </c>
      <c r="AG81" s="116">
        <v>0</v>
      </c>
      <c r="AH81" s="116">
        <v>0</v>
      </c>
      <c r="AI81" s="116">
        <v>0</v>
      </c>
      <c r="AJ81" s="116">
        <v>0</v>
      </c>
      <c r="AK81" s="116">
        <v>0</v>
      </c>
      <c r="AL81" s="116">
        <v>0</v>
      </c>
      <c r="AM81" s="116">
        <v>0</v>
      </c>
      <c r="AN81" s="116">
        <v>0</v>
      </c>
      <c r="AO81" s="116">
        <v>0</v>
      </c>
      <c r="AP81" s="116">
        <v>0</v>
      </c>
      <c r="AQ81" s="116">
        <v>0</v>
      </c>
      <c r="AR81" s="116">
        <v>0</v>
      </c>
      <c r="AS81" s="116">
        <v>0</v>
      </c>
      <c r="AT81" s="116">
        <v>0</v>
      </c>
      <c r="AU81" s="116">
        <v>0</v>
      </c>
      <c r="AV81" s="116">
        <v>0</v>
      </c>
      <c r="AW81" s="116">
        <v>0</v>
      </c>
      <c r="AX81" s="116">
        <v>0</v>
      </c>
      <c r="AY81" s="116">
        <v>0</v>
      </c>
    </row>
    <row r="82" spans="1:52" x14ac:dyDescent="0.2">
      <c r="A82" s="115"/>
      <c r="B82" s="136">
        <v>38</v>
      </c>
      <c r="C82" s="115" t="s">
        <v>293</v>
      </c>
      <c r="D82" s="116">
        <v>0</v>
      </c>
      <c r="E82" s="116">
        <v>0</v>
      </c>
      <c r="F82" s="116">
        <v>0</v>
      </c>
      <c r="G82" s="116">
        <v>0</v>
      </c>
      <c r="H82" s="116">
        <v>0</v>
      </c>
      <c r="I82" s="116">
        <v>0</v>
      </c>
      <c r="J82" s="116">
        <v>0</v>
      </c>
      <c r="K82" s="116">
        <v>0</v>
      </c>
      <c r="L82" s="116">
        <v>0</v>
      </c>
      <c r="M82" s="116">
        <v>0</v>
      </c>
      <c r="N82" s="116">
        <v>0</v>
      </c>
      <c r="O82" s="116">
        <v>0</v>
      </c>
      <c r="P82" s="116">
        <v>0</v>
      </c>
      <c r="Q82" s="116">
        <v>0</v>
      </c>
      <c r="R82" s="116">
        <v>0</v>
      </c>
      <c r="S82" s="116">
        <v>0</v>
      </c>
      <c r="T82" s="116">
        <v>0</v>
      </c>
      <c r="U82" s="116">
        <v>0</v>
      </c>
      <c r="V82" s="116">
        <v>0</v>
      </c>
      <c r="W82" s="116">
        <v>0</v>
      </c>
      <c r="X82" s="116">
        <v>0</v>
      </c>
      <c r="Y82" s="116">
        <v>0</v>
      </c>
      <c r="Z82" s="116">
        <v>0</v>
      </c>
      <c r="AA82" s="116">
        <v>0</v>
      </c>
      <c r="AB82" s="116">
        <v>0</v>
      </c>
      <c r="AC82" s="116">
        <v>0</v>
      </c>
      <c r="AD82" s="116">
        <v>0</v>
      </c>
      <c r="AE82" s="116">
        <v>0</v>
      </c>
      <c r="AF82" s="116">
        <v>0</v>
      </c>
      <c r="AG82" s="116">
        <v>0</v>
      </c>
      <c r="AH82" s="116">
        <v>0</v>
      </c>
      <c r="AI82" s="116">
        <v>0</v>
      </c>
      <c r="AJ82" s="116">
        <v>0</v>
      </c>
      <c r="AK82" s="116">
        <v>0</v>
      </c>
      <c r="AL82" s="116">
        <v>0</v>
      </c>
      <c r="AM82" s="116">
        <v>0</v>
      </c>
      <c r="AN82" s="116">
        <v>0</v>
      </c>
      <c r="AO82" s="116">
        <v>0</v>
      </c>
      <c r="AP82" s="116">
        <v>0</v>
      </c>
      <c r="AQ82" s="116">
        <v>0</v>
      </c>
      <c r="AR82" s="116">
        <v>0</v>
      </c>
      <c r="AS82" s="116">
        <v>0</v>
      </c>
      <c r="AT82" s="116">
        <v>0</v>
      </c>
      <c r="AU82" s="116">
        <v>0</v>
      </c>
      <c r="AV82" s="116">
        <v>0</v>
      </c>
      <c r="AW82" s="116">
        <v>0</v>
      </c>
      <c r="AX82" s="116">
        <v>0</v>
      </c>
      <c r="AY82" s="116">
        <v>0</v>
      </c>
    </row>
    <row r="83" spans="1:52" x14ac:dyDescent="0.2">
      <c r="A83" s="115"/>
      <c r="B83" s="136">
        <v>39</v>
      </c>
      <c r="C83" s="115" t="s">
        <v>293</v>
      </c>
      <c r="D83" s="116">
        <v>0</v>
      </c>
      <c r="E83" s="116">
        <v>0</v>
      </c>
      <c r="F83" s="116">
        <v>0</v>
      </c>
      <c r="G83" s="116">
        <v>0</v>
      </c>
      <c r="H83" s="116">
        <v>0</v>
      </c>
      <c r="I83" s="116">
        <v>0</v>
      </c>
      <c r="J83" s="116">
        <v>0</v>
      </c>
      <c r="K83" s="116">
        <v>0</v>
      </c>
      <c r="L83" s="116">
        <v>0</v>
      </c>
      <c r="M83" s="116">
        <v>0</v>
      </c>
      <c r="N83" s="116">
        <v>0</v>
      </c>
      <c r="O83" s="116">
        <v>0</v>
      </c>
      <c r="P83" s="116">
        <v>0</v>
      </c>
      <c r="Q83" s="116">
        <v>0</v>
      </c>
      <c r="R83" s="116">
        <v>0</v>
      </c>
      <c r="S83" s="116">
        <v>0</v>
      </c>
      <c r="T83" s="116">
        <v>0</v>
      </c>
      <c r="U83" s="116">
        <v>0</v>
      </c>
      <c r="V83" s="116">
        <v>0</v>
      </c>
      <c r="W83" s="116">
        <v>0</v>
      </c>
      <c r="X83" s="116">
        <v>0</v>
      </c>
      <c r="Y83" s="116">
        <v>0</v>
      </c>
      <c r="Z83" s="116">
        <v>0</v>
      </c>
      <c r="AA83" s="116">
        <v>0</v>
      </c>
      <c r="AB83" s="116">
        <v>0</v>
      </c>
      <c r="AC83" s="116">
        <v>0</v>
      </c>
      <c r="AD83" s="116">
        <v>0</v>
      </c>
      <c r="AE83" s="116">
        <v>0</v>
      </c>
      <c r="AF83" s="116">
        <v>0</v>
      </c>
      <c r="AG83" s="116">
        <v>0</v>
      </c>
      <c r="AH83" s="116">
        <v>0</v>
      </c>
      <c r="AI83" s="116">
        <v>0</v>
      </c>
      <c r="AJ83" s="116">
        <v>0</v>
      </c>
      <c r="AK83" s="116">
        <v>0</v>
      </c>
      <c r="AL83" s="116">
        <v>0</v>
      </c>
      <c r="AM83" s="116">
        <v>0</v>
      </c>
      <c r="AN83" s="116">
        <v>0</v>
      </c>
      <c r="AO83" s="116">
        <v>0</v>
      </c>
      <c r="AP83" s="116">
        <v>0</v>
      </c>
      <c r="AQ83" s="116">
        <v>0</v>
      </c>
      <c r="AR83" s="116">
        <v>0</v>
      </c>
      <c r="AS83" s="116">
        <v>0</v>
      </c>
      <c r="AT83" s="116">
        <v>0</v>
      </c>
      <c r="AU83" s="116">
        <v>0</v>
      </c>
      <c r="AV83" s="116">
        <v>0</v>
      </c>
      <c r="AW83" s="116">
        <v>0</v>
      </c>
      <c r="AX83" s="116">
        <v>0</v>
      </c>
      <c r="AY83" s="116">
        <v>0</v>
      </c>
    </row>
    <row r="84" spans="1:52" x14ac:dyDescent="0.2">
      <c r="A84" s="115"/>
      <c r="B84" s="136">
        <v>40</v>
      </c>
      <c r="C84" s="115" t="s">
        <v>293</v>
      </c>
      <c r="D84" s="116">
        <v>0</v>
      </c>
      <c r="E84" s="116">
        <v>0</v>
      </c>
      <c r="F84" s="116">
        <v>0</v>
      </c>
      <c r="G84" s="116">
        <v>0</v>
      </c>
      <c r="H84" s="116">
        <v>0</v>
      </c>
      <c r="I84" s="116">
        <v>0</v>
      </c>
      <c r="J84" s="116">
        <v>0</v>
      </c>
      <c r="K84" s="116">
        <v>0</v>
      </c>
      <c r="L84" s="116">
        <v>0</v>
      </c>
      <c r="M84" s="116">
        <v>0</v>
      </c>
      <c r="N84" s="116">
        <v>0</v>
      </c>
      <c r="O84" s="116">
        <v>0</v>
      </c>
      <c r="P84" s="116">
        <v>0</v>
      </c>
      <c r="Q84" s="116">
        <v>0</v>
      </c>
      <c r="R84" s="116">
        <v>0</v>
      </c>
      <c r="S84" s="116">
        <v>0</v>
      </c>
      <c r="T84" s="116">
        <v>0</v>
      </c>
      <c r="U84" s="116">
        <v>0</v>
      </c>
      <c r="V84" s="116">
        <v>0</v>
      </c>
      <c r="W84" s="116">
        <v>0</v>
      </c>
      <c r="X84" s="116">
        <v>0</v>
      </c>
      <c r="Y84" s="116">
        <v>0</v>
      </c>
      <c r="Z84" s="116">
        <v>0</v>
      </c>
      <c r="AA84" s="116">
        <v>0</v>
      </c>
      <c r="AB84" s="116">
        <v>0</v>
      </c>
      <c r="AC84" s="116">
        <v>0</v>
      </c>
      <c r="AD84" s="116">
        <v>0</v>
      </c>
      <c r="AE84" s="116">
        <v>0</v>
      </c>
      <c r="AF84" s="116">
        <v>0</v>
      </c>
      <c r="AG84" s="116">
        <v>0</v>
      </c>
      <c r="AH84" s="116">
        <v>0</v>
      </c>
      <c r="AI84" s="116">
        <v>0</v>
      </c>
      <c r="AJ84" s="116">
        <v>0</v>
      </c>
      <c r="AK84" s="116">
        <v>0</v>
      </c>
      <c r="AL84" s="116">
        <v>0</v>
      </c>
      <c r="AM84" s="116">
        <v>0</v>
      </c>
      <c r="AN84" s="116">
        <v>0</v>
      </c>
      <c r="AO84" s="116">
        <v>0</v>
      </c>
      <c r="AP84" s="116">
        <v>0</v>
      </c>
      <c r="AQ84" s="116">
        <v>0</v>
      </c>
      <c r="AR84" s="116">
        <v>0</v>
      </c>
      <c r="AS84" s="116">
        <v>0</v>
      </c>
      <c r="AT84" s="116">
        <v>0</v>
      </c>
      <c r="AU84" s="116">
        <v>0</v>
      </c>
      <c r="AV84" s="116">
        <v>0</v>
      </c>
      <c r="AW84" s="116">
        <v>0</v>
      </c>
      <c r="AX84" s="116">
        <v>0</v>
      </c>
      <c r="AY84" s="116">
        <v>0</v>
      </c>
    </row>
    <row r="85" spans="1:52" x14ac:dyDescent="0.2">
      <c r="A85" s="115"/>
      <c r="B85" s="136">
        <v>41</v>
      </c>
      <c r="C85" s="115" t="s">
        <v>293</v>
      </c>
      <c r="D85" s="116">
        <v>0</v>
      </c>
      <c r="E85" s="116">
        <v>0</v>
      </c>
      <c r="F85" s="116">
        <v>0</v>
      </c>
      <c r="G85" s="116">
        <v>0</v>
      </c>
      <c r="H85" s="116">
        <v>0</v>
      </c>
      <c r="I85" s="116">
        <v>0</v>
      </c>
      <c r="J85" s="116">
        <v>0</v>
      </c>
      <c r="K85" s="116">
        <v>0</v>
      </c>
      <c r="L85" s="116">
        <v>0</v>
      </c>
      <c r="M85" s="116">
        <v>0</v>
      </c>
      <c r="N85" s="116">
        <v>0</v>
      </c>
      <c r="O85" s="116">
        <v>0</v>
      </c>
      <c r="P85" s="116">
        <v>0</v>
      </c>
      <c r="Q85" s="116">
        <v>0</v>
      </c>
      <c r="R85" s="116">
        <v>0</v>
      </c>
      <c r="S85" s="116">
        <v>0</v>
      </c>
      <c r="T85" s="116">
        <v>0</v>
      </c>
      <c r="U85" s="116">
        <v>0</v>
      </c>
      <c r="V85" s="116">
        <v>0</v>
      </c>
      <c r="W85" s="116">
        <v>0</v>
      </c>
      <c r="X85" s="116">
        <v>0</v>
      </c>
      <c r="Y85" s="116">
        <v>0</v>
      </c>
      <c r="Z85" s="116">
        <v>0</v>
      </c>
      <c r="AA85" s="116">
        <v>0</v>
      </c>
      <c r="AB85" s="116">
        <v>0</v>
      </c>
      <c r="AC85" s="116">
        <v>0</v>
      </c>
      <c r="AD85" s="116">
        <v>0</v>
      </c>
      <c r="AE85" s="116">
        <v>0</v>
      </c>
      <c r="AF85" s="116">
        <v>0</v>
      </c>
      <c r="AG85" s="116">
        <v>0</v>
      </c>
      <c r="AH85" s="116">
        <v>0</v>
      </c>
      <c r="AI85" s="116">
        <v>0</v>
      </c>
      <c r="AJ85" s="116">
        <v>0</v>
      </c>
      <c r="AK85" s="116">
        <v>0</v>
      </c>
      <c r="AL85" s="116">
        <v>0</v>
      </c>
      <c r="AM85" s="116">
        <v>0</v>
      </c>
      <c r="AN85" s="116">
        <v>0</v>
      </c>
      <c r="AO85" s="116">
        <v>0</v>
      </c>
      <c r="AP85" s="116">
        <v>0</v>
      </c>
      <c r="AQ85" s="116">
        <v>0</v>
      </c>
      <c r="AR85" s="116">
        <v>0</v>
      </c>
      <c r="AS85" s="116">
        <v>0</v>
      </c>
      <c r="AT85" s="116">
        <v>0</v>
      </c>
      <c r="AU85" s="116">
        <v>0</v>
      </c>
      <c r="AV85" s="116">
        <v>0</v>
      </c>
      <c r="AW85" s="116">
        <v>0</v>
      </c>
      <c r="AX85" s="116">
        <v>0</v>
      </c>
      <c r="AY85" s="116">
        <v>0</v>
      </c>
    </row>
    <row r="86" spans="1:52" x14ac:dyDescent="0.2">
      <c r="A86" s="115"/>
      <c r="B86" s="136">
        <v>42</v>
      </c>
      <c r="C86" s="115" t="s">
        <v>293</v>
      </c>
      <c r="D86" s="116">
        <v>0</v>
      </c>
      <c r="E86" s="116">
        <v>0</v>
      </c>
      <c r="F86" s="116">
        <v>0</v>
      </c>
      <c r="G86" s="116">
        <v>0</v>
      </c>
      <c r="H86" s="116">
        <v>0</v>
      </c>
      <c r="I86" s="116">
        <v>0</v>
      </c>
      <c r="J86" s="116">
        <v>0</v>
      </c>
      <c r="K86" s="116">
        <v>0</v>
      </c>
      <c r="L86" s="116">
        <v>0</v>
      </c>
      <c r="M86" s="116">
        <v>0</v>
      </c>
      <c r="N86" s="116">
        <v>0</v>
      </c>
      <c r="O86" s="116">
        <v>0</v>
      </c>
      <c r="P86" s="116">
        <v>0</v>
      </c>
      <c r="Q86" s="116">
        <v>0</v>
      </c>
      <c r="R86" s="116">
        <v>0</v>
      </c>
      <c r="S86" s="116">
        <v>0</v>
      </c>
      <c r="T86" s="116">
        <v>0</v>
      </c>
      <c r="U86" s="116">
        <v>0</v>
      </c>
      <c r="V86" s="116">
        <v>0</v>
      </c>
      <c r="W86" s="116">
        <v>0</v>
      </c>
      <c r="X86" s="116">
        <v>0</v>
      </c>
      <c r="Y86" s="116">
        <v>0</v>
      </c>
      <c r="Z86" s="116">
        <v>0</v>
      </c>
      <c r="AA86" s="116">
        <v>0</v>
      </c>
      <c r="AB86" s="116">
        <v>0</v>
      </c>
      <c r="AC86" s="116">
        <v>0</v>
      </c>
      <c r="AD86" s="116">
        <v>0</v>
      </c>
      <c r="AE86" s="116">
        <v>0</v>
      </c>
      <c r="AF86" s="116">
        <v>0</v>
      </c>
      <c r="AG86" s="116">
        <v>0</v>
      </c>
      <c r="AH86" s="116">
        <v>0</v>
      </c>
      <c r="AI86" s="116">
        <v>0</v>
      </c>
      <c r="AJ86" s="116">
        <v>0</v>
      </c>
      <c r="AK86" s="116">
        <v>0</v>
      </c>
      <c r="AL86" s="116">
        <v>0</v>
      </c>
      <c r="AM86" s="116">
        <v>0</v>
      </c>
      <c r="AN86" s="116">
        <v>0</v>
      </c>
      <c r="AO86" s="116">
        <v>0</v>
      </c>
      <c r="AP86" s="116">
        <v>0</v>
      </c>
      <c r="AQ86" s="116">
        <v>0</v>
      </c>
      <c r="AR86" s="116">
        <v>0</v>
      </c>
      <c r="AS86" s="116">
        <v>0</v>
      </c>
      <c r="AT86" s="116">
        <v>0</v>
      </c>
      <c r="AU86" s="116">
        <v>0</v>
      </c>
      <c r="AV86" s="116">
        <v>0</v>
      </c>
      <c r="AW86" s="116">
        <v>0</v>
      </c>
      <c r="AX86" s="116">
        <v>0</v>
      </c>
      <c r="AY86" s="116">
        <v>0</v>
      </c>
    </row>
    <row r="87" spans="1:52" x14ac:dyDescent="0.2">
      <c r="A87" s="115"/>
      <c r="B87" s="136">
        <v>43</v>
      </c>
      <c r="C87" s="115" t="s">
        <v>293</v>
      </c>
      <c r="D87" s="116">
        <v>0</v>
      </c>
      <c r="E87" s="116">
        <v>0</v>
      </c>
      <c r="F87" s="116">
        <v>0</v>
      </c>
      <c r="G87" s="116">
        <v>0</v>
      </c>
      <c r="H87" s="116">
        <v>0</v>
      </c>
      <c r="I87" s="116">
        <v>0</v>
      </c>
      <c r="J87" s="116">
        <v>0</v>
      </c>
      <c r="K87" s="116">
        <v>0</v>
      </c>
      <c r="L87" s="116">
        <v>0</v>
      </c>
      <c r="M87" s="116">
        <v>0</v>
      </c>
      <c r="N87" s="116">
        <v>0</v>
      </c>
      <c r="O87" s="116">
        <v>0</v>
      </c>
      <c r="P87" s="116">
        <v>0</v>
      </c>
      <c r="Q87" s="116">
        <v>0</v>
      </c>
      <c r="R87" s="116">
        <v>0</v>
      </c>
      <c r="S87" s="116">
        <v>0</v>
      </c>
      <c r="T87" s="116">
        <v>0</v>
      </c>
      <c r="U87" s="116">
        <v>0</v>
      </c>
      <c r="V87" s="116">
        <v>0</v>
      </c>
      <c r="W87" s="116">
        <v>0</v>
      </c>
      <c r="X87" s="116">
        <v>0</v>
      </c>
      <c r="Y87" s="116">
        <v>0</v>
      </c>
      <c r="Z87" s="116">
        <v>0</v>
      </c>
      <c r="AA87" s="116">
        <v>0</v>
      </c>
      <c r="AB87" s="116">
        <v>0</v>
      </c>
      <c r="AC87" s="116">
        <v>0</v>
      </c>
      <c r="AD87" s="116">
        <v>0</v>
      </c>
      <c r="AE87" s="116">
        <v>0</v>
      </c>
      <c r="AF87" s="116">
        <v>0</v>
      </c>
      <c r="AG87" s="116">
        <v>0</v>
      </c>
      <c r="AH87" s="116">
        <v>0</v>
      </c>
      <c r="AI87" s="116">
        <v>0</v>
      </c>
      <c r="AJ87" s="116">
        <v>0</v>
      </c>
      <c r="AK87" s="116">
        <v>0</v>
      </c>
      <c r="AL87" s="116">
        <v>0</v>
      </c>
      <c r="AM87" s="116">
        <v>0</v>
      </c>
      <c r="AN87" s="116">
        <v>0</v>
      </c>
      <c r="AO87" s="116">
        <v>0</v>
      </c>
      <c r="AP87" s="116">
        <v>0</v>
      </c>
      <c r="AQ87" s="116">
        <v>0</v>
      </c>
      <c r="AR87" s="116">
        <v>0</v>
      </c>
      <c r="AS87" s="116">
        <v>0</v>
      </c>
      <c r="AT87" s="116">
        <v>0</v>
      </c>
      <c r="AU87" s="116">
        <v>0</v>
      </c>
      <c r="AV87" s="116">
        <v>0</v>
      </c>
      <c r="AW87" s="116">
        <v>0</v>
      </c>
      <c r="AX87" s="116">
        <v>0</v>
      </c>
      <c r="AY87" s="116">
        <v>0</v>
      </c>
    </row>
    <row r="88" spans="1:52" x14ac:dyDescent="0.2">
      <c r="A88" s="115"/>
      <c r="B88" s="136">
        <v>44</v>
      </c>
      <c r="C88" s="115" t="s">
        <v>293</v>
      </c>
      <c r="D88" s="116">
        <v>0</v>
      </c>
      <c r="E88" s="116">
        <v>0</v>
      </c>
      <c r="F88" s="116">
        <v>0</v>
      </c>
      <c r="G88" s="116">
        <v>0</v>
      </c>
      <c r="H88" s="116">
        <v>0</v>
      </c>
      <c r="I88" s="116">
        <v>0</v>
      </c>
      <c r="J88" s="116">
        <v>0</v>
      </c>
      <c r="K88" s="116">
        <v>0</v>
      </c>
      <c r="L88" s="116">
        <v>0</v>
      </c>
      <c r="M88" s="116">
        <v>0</v>
      </c>
      <c r="N88" s="116">
        <v>0</v>
      </c>
      <c r="O88" s="116">
        <v>0</v>
      </c>
      <c r="P88" s="116">
        <v>0</v>
      </c>
      <c r="Q88" s="116">
        <v>0</v>
      </c>
      <c r="R88" s="116">
        <v>0</v>
      </c>
      <c r="S88" s="116">
        <v>0</v>
      </c>
      <c r="T88" s="116">
        <v>0</v>
      </c>
      <c r="U88" s="116">
        <v>0</v>
      </c>
      <c r="V88" s="116">
        <v>0</v>
      </c>
      <c r="W88" s="116">
        <v>0</v>
      </c>
      <c r="X88" s="116">
        <v>0</v>
      </c>
      <c r="Y88" s="116">
        <v>0</v>
      </c>
      <c r="Z88" s="116">
        <v>0</v>
      </c>
      <c r="AA88" s="116">
        <v>0</v>
      </c>
      <c r="AB88" s="116">
        <v>0</v>
      </c>
      <c r="AC88" s="116">
        <v>0</v>
      </c>
      <c r="AD88" s="116">
        <v>0</v>
      </c>
      <c r="AE88" s="116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0</v>
      </c>
      <c r="AM88" s="116">
        <v>0</v>
      </c>
      <c r="AN88" s="116">
        <v>0</v>
      </c>
      <c r="AO88" s="116">
        <v>0</v>
      </c>
      <c r="AP88" s="116">
        <v>0</v>
      </c>
      <c r="AQ88" s="116">
        <v>0</v>
      </c>
      <c r="AR88" s="116">
        <v>0</v>
      </c>
      <c r="AS88" s="116">
        <v>0</v>
      </c>
      <c r="AT88" s="116">
        <v>0</v>
      </c>
      <c r="AU88" s="116">
        <v>0</v>
      </c>
      <c r="AV88" s="116">
        <v>0</v>
      </c>
      <c r="AW88" s="116">
        <v>0</v>
      </c>
      <c r="AX88" s="116">
        <v>0</v>
      </c>
      <c r="AY88" s="116">
        <v>0</v>
      </c>
    </row>
    <row r="89" spans="1:52" x14ac:dyDescent="0.2">
      <c r="A89" s="115"/>
      <c r="B89" s="136">
        <v>45</v>
      </c>
      <c r="C89" s="115" t="s">
        <v>293</v>
      </c>
      <c r="D89" s="116">
        <v>0</v>
      </c>
      <c r="E89" s="116">
        <v>0</v>
      </c>
      <c r="F89" s="116">
        <v>0</v>
      </c>
      <c r="G89" s="116">
        <v>0</v>
      </c>
      <c r="H89" s="116">
        <v>0</v>
      </c>
      <c r="I89" s="116">
        <v>0</v>
      </c>
      <c r="J89" s="116">
        <v>0</v>
      </c>
      <c r="K89" s="116">
        <v>0</v>
      </c>
      <c r="L89" s="116">
        <v>0</v>
      </c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>
        <v>0</v>
      </c>
      <c r="AB89" s="116">
        <v>0</v>
      </c>
      <c r="AC89" s="116">
        <v>0</v>
      </c>
      <c r="AD89" s="116">
        <v>0</v>
      </c>
      <c r="AE89" s="116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293</v>
      </c>
      <c r="D90" s="116">
        <v>0</v>
      </c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293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2025685.4808821264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0</v>
      </c>
      <c r="D95" s="116">
        <v>0</v>
      </c>
      <c r="E95" s="116">
        <v>0</v>
      </c>
      <c r="F95" s="116">
        <v>0</v>
      </c>
      <c r="G95" s="116">
        <v>0</v>
      </c>
      <c r="H95" s="116">
        <v>0</v>
      </c>
      <c r="I95" s="116">
        <v>0</v>
      </c>
      <c r="J95" s="116">
        <v>0</v>
      </c>
      <c r="K95" s="116">
        <v>0</v>
      </c>
      <c r="L95" s="116">
        <v>0</v>
      </c>
      <c r="M95" s="116">
        <v>0</v>
      </c>
      <c r="N95" s="116">
        <v>0</v>
      </c>
      <c r="O95" s="116">
        <v>0</v>
      </c>
      <c r="P95" s="116">
        <v>0</v>
      </c>
      <c r="Q95" s="116">
        <v>0</v>
      </c>
      <c r="R95" s="116">
        <v>0</v>
      </c>
      <c r="S95" s="116">
        <v>0</v>
      </c>
      <c r="T95" s="116">
        <v>0</v>
      </c>
      <c r="U95" s="116">
        <v>0</v>
      </c>
      <c r="V95" s="116">
        <v>0</v>
      </c>
      <c r="W95" s="116">
        <v>0</v>
      </c>
      <c r="X95" s="116">
        <v>0</v>
      </c>
      <c r="Y95" s="116">
        <v>0</v>
      </c>
      <c r="Z95" s="116">
        <v>0</v>
      </c>
      <c r="AA95" s="116">
        <v>0</v>
      </c>
      <c r="AB95" s="116">
        <v>0</v>
      </c>
      <c r="AC95" s="116">
        <v>0</v>
      </c>
      <c r="AD95" s="116">
        <v>0</v>
      </c>
      <c r="AE95" s="116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116">
        <v>0</v>
      </c>
      <c r="AO95" s="116">
        <v>0</v>
      </c>
      <c r="AP95" s="116">
        <v>0</v>
      </c>
      <c r="AQ95" s="116">
        <v>0</v>
      </c>
      <c r="AR95" s="116">
        <v>0</v>
      </c>
      <c r="AS95" s="116">
        <v>0</v>
      </c>
      <c r="AT95" s="116">
        <v>0</v>
      </c>
      <c r="AU95" s="116">
        <v>0</v>
      </c>
      <c r="AV95" s="116">
        <v>0</v>
      </c>
      <c r="AW95" s="116">
        <v>0</v>
      </c>
      <c r="AX95" s="116">
        <v>0</v>
      </c>
      <c r="AY95" s="116">
        <v>0</v>
      </c>
    </row>
    <row r="96" spans="1:52" x14ac:dyDescent="0.2">
      <c r="A96" s="115"/>
      <c r="B96" s="126">
        <v>2</v>
      </c>
      <c r="C96" s="116">
        <v>0</v>
      </c>
      <c r="D96" s="116">
        <v>0</v>
      </c>
      <c r="E96" s="116">
        <v>0</v>
      </c>
      <c r="F96" s="116">
        <v>0</v>
      </c>
      <c r="G96" s="116">
        <v>0</v>
      </c>
      <c r="H96" s="116">
        <v>0</v>
      </c>
      <c r="I96" s="116">
        <v>0</v>
      </c>
      <c r="J96" s="116">
        <v>0</v>
      </c>
      <c r="K96" s="116">
        <v>0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0</v>
      </c>
      <c r="AD96" s="116">
        <v>0</v>
      </c>
      <c r="AE96" s="116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>
        <v>0</v>
      </c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296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>
        <v>0</v>
      </c>
      <c r="D100" s="112">
        <v>0</v>
      </c>
      <c r="E100" s="112">
        <v>0</v>
      </c>
      <c r="F100" s="112">
        <v>0</v>
      </c>
      <c r="G100" s="112">
        <v>0</v>
      </c>
      <c r="H100" s="112">
        <v>0</v>
      </c>
      <c r="I100" s="112">
        <v>0</v>
      </c>
      <c r="J100" s="112">
        <v>0</v>
      </c>
      <c r="K100" s="112">
        <v>0</v>
      </c>
      <c r="L100" s="112">
        <v>0</v>
      </c>
      <c r="M100" s="112">
        <v>0</v>
      </c>
      <c r="N100" s="112">
        <v>0</v>
      </c>
      <c r="O100" s="112">
        <v>0</v>
      </c>
      <c r="P100" s="112">
        <v>0</v>
      </c>
      <c r="Q100" s="112">
        <v>0</v>
      </c>
      <c r="R100" s="112">
        <v>0</v>
      </c>
      <c r="S100" s="112">
        <v>0</v>
      </c>
      <c r="T100" s="112">
        <v>0</v>
      </c>
      <c r="U100" s="112">
        <v>0</v>
      </c>
      <c r="V100" s="112">
        <v>0</v>
      </c>
      <c r="W100" s="112">
        <v>0</v>
      </c>
      <c r="X100" s="112">
        <v>0</v>
      </c>
      <c r="Y100" s="112">
        <v>0</v>
      </c>
      <c r="Z100" s="112">
        <v>0</v>
      </c>
      <c r="AA100" s="112">
        <v>0</v>
      </c>
      <c r="AB100" s="112">
        <v>0</v>
      </c>
      <c r="AC100" s="112">
        <v>0</v>
      </c>
      <c r="AD100" s="112">
        <v>0</v>
      </c>
      <c r="AE100" s="112">
        <v>0</v>
      </c>
      <c r="AF100" s="112">
        <v>0</v>
      </c>
      <c r="AG100" s="112">
        <v>0</v>
      </c>
      <c r="AH100" s="112">
        <v>0</v>
      </c>
      <c r="AI100" s="112">
        <v>0</v>
      </c>
      <c r="AJ100" s="112">
        <v>0</v>
      </c>
      <c r="AK100" s="112">
        <v>0</v>
      </c>
      <c r="AL100" s="112">
        <v>0</v>
      </c>
      <c r="AM100" s="112">
        <v>0</v>
      </c>
      <c r="AN100" s="112">
        <v>0</v>
      </c>
      <c r="AO100" s="112">
        <v>0</v>
      </c>
      <c r="AP100" s="112">
        <v>0</v>
      </c>
      <c r="AQ100" s="112">
        <v>0</v>
      </c>
      <c r="AR100" s="112">
        <v>0</v>
      </c>
      <c r="AS100" s="112">
        <v>0</v>
      </c>
      <c r="AT100" s="112">
        <v>0</v>
      </c>
      <c r="AU100" s="112">
        <v>0</v>
      </c>
      <c r="AV100" s="112">
        <v>0</v>
      </c>
      <c r="AW100" s="112">
        <v>0</v>
      </c>
      <c r="AX100" s="112">
        <v>0</v>
      </c>
      <c r="AY100" s="112">
        <v>0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0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0</v>
      </c>
      <c r="AN101" s="112">
        <v>0</v>
      </c>
      <c r="AO101" s="112">
        <v>0</v>
      </c>
      <c r="AP101" s="112">
        <v>0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0</v>
      </c>
      <c r="D109" s="112">
        <v>0</v>
      </c>
      <c r="E109" s="112">
        <v>0</v>
      </c>
      <c r="F109" s="112">
        <v>0</v>
      </c>
      <c r="G109" s="112">
        <v>0</v>
      </c>
      <c r="H109" s="112">
        <v>0</v>
      </c>
      <c r="I109" s="112">
        <v>0</v>
      </c>
      <c r="J109" s="112">
        <v>0</v>
      </c>
      <c r="K109" s="112">
        <v>0</v>
      </c>
      <c r="L109" s="112">
        <v>0</v>
      </c>
      <c r="M109" s="112">
        <v>0</v>
      </c>
      <c r="N109" s="112">
        <v>0</v>
      </c>
      <c r="O109" s="112">
        <v>0</v>
      </c>
      <c r="P109" s="112">
        <v>0</v>
      </c>
      <c r="Q109" s="112">
        <v>0</v>
      </c>
      <c r="R109" s="112">
        <v>0</v>
      </c>
      <c r="S109" s="112">
        <v>0</v>
      </c>
      <c r="T109" s="112">
        <v>0</v>
      </c>
      <c r="U109" s="112">
        <v>0</v>
      </c>
      <c r="V109" s="112">
        <v>0</v>
      </c>
      <c r="W109" s="112">
        <v>0</v>
      </c>
      <c r="X109" s="112">
        <v>0</v>
      </c>
      <c r="Y109" s="112">
        <v>0</v>
      </c>
      <c r="Z109" s="112">
        <v>0</v>
      </c>
      <c r="AA109" s="112">
        <v>0</v>
      </c>
      <c r="AB109" s="112">
        <v>0</v>
      </c>
      <c r="AC109" s="112">
        <v>0</v>
      </c>
      <c r="AD109" s="112">
        <v>0</v>
      </c>
      <c r="AE109" s="112">
        <v>0</v>
      </c>
      <c r="AF109" s="112">
        <v>0</v>
      </c>
      <c r="AG109" s="112">
        <v>0</v>
      </c>
      <c r="AH109" s="112">
        <v>0</v>
      </c>
      <c r="AI109" s="112">
        <v>0</v>
      </c>
      <c r="AJ109" s="112">
        <v>0</v>
      </c>
      <c r="AK109" s="112">
        <v>0</v>
      </c>
      <c r="AL109" s="112">
        <v>0</v>
      </c>
      <c r="AM109" s="112">
        <v>0</v>
      </c>
      <c r="AN109" s="112">
        <v>0</v>
      </c>
      <c r="AO109" s="112">
        <v>0</v>
      </c>
      <c r="AP109" s="112">
        <v>0</v>
      </c>
      <c r="AQ109" s="112">
        <v>0</v>
      </c>
      <c r="AR109" s="112">
        <v>0</v>
      </c>
      <c r="AS109" s="112">
        <v>0</v>
      </c>
      <c r="AT109" s="112">
        <v>0</v>
      </c>
      <c r="AU109" s="112">
        <v>0</v>
      </c>
      <c r="AV109" s="112">
        <v>0</v>
      </c>
      <c r="AW109" s="112">
        <v>0</v>
      </c>
      <c r="AX109" s="112">
        <v>0</v>
      </c>
      <c r="AY109" s="112">
        <v>0</v>
      </c>
    </row>
    <row r="110" spans="1:52" x14ac:dyDescent="0.2">
      <c r="A110" s="115"/>
      <c r="B110" s="125">
        <v>2</v>
      </c>
      <c r="C110" s="112">
        <v>0</v>
      </c>
      <c r="D110" s="112">
        <v>0</v>
      </c>
      <c r="E110" s="112">
        <v>0</v>
      </c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</v>
      </c>
      <c r="M110" s="112">
        <v>0</v>
      </c>
      <c r="N110" s="112">
        <v>0</v>
      </c>
      <c r="O110" s="112">
        <v>0</v>
      </c>
      <c r="P110" s="112">
        <v>0</v>
      </c>
      <c r="Q110" s="112">
        <v>0</v>
      </c>
      <c r="R110" s="112">
        <v>0</v>
      </c>
      <c r="S110" s="112">
        <v>0</v>
      </c>
      <c r="T110" s="112">
        <v>0</v>
      </c>
      <c r="U110" s="112">
        <v>0</v>
      </c>
      <c r="V110" s="112">
        <v>0</v>
      </c>
      <c r="W110" s="112">
        <v>0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>
        <v>0</v>
      </c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0</v>
      </c>
      <c r="N111" s="112">
        <v>0</v>
      </c>
      <c r="O111" s="112">
        <v>0</v>
      </c>
      <c r="P111" s="112">
        <v>0</v>
      </c>
      <c r="Q111" s="112">
        <v>0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>
        <v>0</v>
      </c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>
        <v>0</v>
      </c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>
        <v>0</v>
      </c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>
        <v>0</v>
      </c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32260.777211415654</v>
      </c>
      <c r="D122" s="112">
        <v>36293.374362842609</v>
      </c>
      <c r="E122" s="112">
        <v>36293.374362842609</v>
      </c>
      <c r="F122" s="112">
        <v>36293.374362842609</v>
      </c>
      <c r="G122" s="112">
        <v>36293.374362842609</v>
      </c>
      <c r="H122" s="112">
        <v>32260.777211415654</v>
      </c>
      <c r="I122" s="112">
        <v>32260.777211415654</v>
      </c>
      <c r="J122" s="112">
        <v>32260.777211415654</v>
      </c>
      <c r="K122" s="112">
        <v>32260.777211415654</v>
      </c>
      <c r="L122" s="112">
        <v>32260.777211415654</v>
      </c>
      <c r="M122" s="112">
        <v>32260.777211415654</v>
      </c>
      <c r="N122" s="112">
        <v>32260.777211415654</v>
      </c>
      <c r="O122" s="112">
        <v>32260.777211415654</v>
      </c>
      <c r="P122" s="112">
        <v>36293.374362842609</v>
      </c>
      <c r="Q122" s="112">
        <v>36293.374362842609</v>
      </c>
      <c r="R122" s="112">
        <v>36293.374362842609</v>
      </c>
      <c r="S122" s="112">
        <v>36293.374362842609</v>
      </c>
      <c r="T122" s="112">
        <v>32260.777211415654</v>
      </c>
      <c r="U122" s="112">
        <v>32260.777211415654</v>
      </c>
      <c r="V122" s="112">
        <v>32260.777211415654</v>
      </c>
      <c r="W122" s="112">
        <v>32260.777211415654</v>
      </c>
      <c r="X122" s="112">
        <v>32260.777211415654</v>
      </c>
      <c r="Y122" s="112">
        <v>32260.777211415654</v>
      </c>
      <c r="Z122" s="112">
        <v>32260.777211415654</v>
      </c>
      <c r="AA122" s="112">
        <v>32260.777211415654</v>
      </c>
      <c r="AB122" s="112">
        <v>36293.374362842609</v>
      </c>
      <c r="AC122" s="112">
        <v>36293.374362842609</v>
      </c>
      <c r="AD122" s="112">
        <v>36293.374362842609</v>
      </c>
      <c r="AE122" s="112">
        <v>36293.374362842609</v>
      </c>
      <c r="AF122" s="112">
        <v>32260.777211415654</v>
      </c>
      <c r="AG122" s="112">
        <v>32260.777211415654</v>
      </c>
      <c r="AH122" s="112">
        <v>32260.777211415654</v>
      </c>
      <c r="AI122" s="112">
        <v>32260.777211415654</v>
      </c>
      <c r="AJ122" s="112">
        <v>32260.777211415654</v>
      </c>
      <c r="AK122" s="112">
        <v>32260.777211415654</v>
      </c>
      <c r="AL122" s="112">
        <v>32260.777211415654</v>
      </c>
      <c r="AM122" s="112">
        <v>32260.777211415654</v>
      </c>
      <c r="AN122" s="112">
        <v>36293.374362842609</v>
      </c>
      <c r="AO122" s="112">
        <v>36293.374362842609</v>
      </c>
      <c r="AP122" s="112">
        <v>36293.374362842609</v>
      </c>
      <c r="AQ122" s="112">
        <v>36293.374362842609</v>
      </c>
      <c r="AR122" s="112">
        <v>32260.777211415654</v>
      </c>
      <c r="AS122" s="112">
        <v>32260.777211415654</v>
      </c>
      <c r="AT122" s="112">
        <v>32260.777211415654</v>
      </c>
      <c r="AU122" s="112">
        <v>32260.777211415654</v>
      </c>
      <c r="AV122" s="112">
        <v>32260.777211415654</v>
      </c>
      <c r="AW122" s="112">
        <v>32260.777211415654</v>
      </c>
      <c r="AX122" s="112">
        <v>32260.777211415654</v>
      </c>
      <c r="AY122" s="112">
        <v>32260.777211415654</v>
      </c>
    </row>
    <row r="123" spans="1:52" x14ac:dyDescent="0.2">
      <c r="A123" s="115"/>
      <c r="B123" s="125">
        <v>2</v>
      </c>
      <c r="C123" s="112">
        <v>18368.336667375432</v>
      </c>
      <c r="D123" s="112">
        <v>14706.625637157391</v>
      </c>
      <c r="E123" s="112">
        <v>14706.625637157389</v>
      </c>
      <c r="F123" s="112">
        <v>14706.625637157387</v>
      </c>
      <c r="G123" s="112">
        <v>14706.6256371574</v>
      </c>
      <c r="H123" s="112">
        <v>18739.222788584346</v>
      </c>
      <c r="I123" s="112">
        <v>18368.336667375428</v>
      </c>
      <c r="J123" s="112">
        <v>18368.336667375428</v>
      </c>
      <c r="K123" s="112">
        <v>18368.336667375428</v>
      </c>
      <c r="L123" s="112">
        <v>18368.336667375428</v>
      </c>
      <c r="M123" s="112">
        <v>18368.336667375428</v>
      </c>
      <c r="N123" s="112">
        <v>18368.336667375428</v>
      </c>
      <c r="O123" s="112">
        <v>18368.336667375428</v>
      </c>
      <c r="P123" s="112">
        <v>14706.625637157395</v>
      </c>
      <c r="Q123" s="112">
        <v>14706.625637157393</v>
      </c>
      <c r="R123" s="112">
        <v>14706.625637157405</v>
      </c>
      <c r="S123" s="112">
        <v>14706.625637157391</v>
      </c>
      <c r="T123" s="112">
        <v>18739.222788584339</v>
      </c>
      <c r="U123" s="112">
        <v>18368.336667375428</v>
      </c>
      <c r="V123" s="112">
        <v>18368.336667375428</v>
      </c>
      <c r="W123" s="112">
        <v>18368.336667375428</v>
      </c>
      <c r="X123" s="112">
        <v>18368.336667375428</v>
      </c>
      <c r="Y123" s="112">
        <v>18368.336667375428</v>
      </c>
      <c r="Z123" s="112">
        <v>18368.336667375428</v>
      </c>
      <c r="AA123" s="112">
        <v>18368.336667375428</v>
      </c>
      <c r="AB123" s="112">
        <v>14706.625637157402</v>
      </c>
      <c r="AC123" s="112">
        <v>14706.625637157404</v>
      </c>
      <c r="AD123" s="112">
        <v>14706.625637157391</v>
      </c>
      <c r="AE123" s="112">
        <v>14706.625637157405</v>
      </c>
      <c r="AF123" s="112">
        <v>18739.222788584339</v>
      </c>
      <c r="AG123" s="112">
        <v>18368.336667375428</v>
      </c>
      <c r="AH123" s="112">
        <v>18368.336667375428</v>
      </c>
      <c r="AI123" s="112">
        <v>18368.336667375428</v>
      </c>
      <c r="AJ123" s="112">
        <v>18368.336667375428</v>
      </c>
      <c r="AK123" s="112">
        <v>18368.336667375428</v>
      </c>
      <c r="AL123" s="112">
        <v>18368.336667375428</v>
      </c>
      <c r="AM123" s="112">
        <v>18368.336667375428</v>
      </c>
      <c r="AN123" s="112">
        <v>14706.625637157402</v>
      </c>
      <c r="AO123" s="112">
        <v>14706.625637157404</v>
      </c>
      <c r="AP123" s="112">
        <v>14706.625637157391</v>
      </c>
      <c r="AQ123" s="112">
        <v>14706.625637157405</v>
      </c>
      <c r="AR123" s="112">
        <v>18739.222788584339</v>
      </c>
      <c r="AS123" s="112">
        <v>18368.336667375428</v>
      </c>
      <c r="AT123" s="112">
        <v>18368.336667375428</v>
      </c>
      <c r="AU123" s="112">
        <v>18368.336667375428</v>
      </c>
      <c r="AV123" s="112">
        <v>18368.336667375428</v>
      </c>
      <c r="AW123" s="112">
        <v>18368.336667375432</v>
      </c>
      <c r="AX123" s="112">
        <v>18368.336667375432</v>
      </c>
      <c r="AY123" s="112">
        <v>18368.336667375432</v>
      </c>
    </row>
    <row r="124" spans="1:52" x14ac:dyDescent="0.2">
      <c r="A124" s="115"/>
      <c r="B124" s="125">
        <v>3</v>
      </c>
      <c r="C124" s="112">
        <v>370.88612120890139</v>
      </c>
      <c r="D124" s="112">
        <v>0</v>
      </c>
      <c r="E124" s="112">
        <v>0</v>
      </c>
      <c r="F124" s="112">
        <v>0</v>
      </c>
      <c r="G124" s="112">
        <v>0</v>
      </c>
      <c r="H124" s="112">
        <v>0</v>
      </c>
      <c r="I124" s="112">
        <v>370.88612120890866</v>
      </c>
      <c r="J124" s="112">
        <v>370.88612120891412</v>
      </c>
      <c r="K124" s="112">
        <v>370.88612120890684</v>
      </c>
      <c r="L124" s="112">
        <v>370.88612120891412</v>
      </c>
      <c r="M124" s="112">
        <v>370.88612120891048</v>
      </c>
      <c r="N124" s="112">
        <v>370.88612120891594</v>
      </c>
      <c r="O124" s="112">
        <v>370.88612120890866</v>
      </c>
      <c r="P124" s="112">
        <v>0</v>
      </c>
      <c r="Q124" s="112">
        <v>0</v>
      </c>
      <c r="R124" s="112">
        <v>0</v>
      </c>
      <c r="S124" s="112">
        <v>0</v>
      </c>
      <c r="T124" s="112">
        <v>0</v>
      </c>
      <c r="U124" s="112">
        <v>370.88612120891412</v>
      </c>
      <c r="V124" s="112">
        <v>370.88612120890684</v>
      </c>
      <c r="W124" s="112">
        <v>370.88612120891412</v>
      </c>
      <c r="X124" s="112">
        <v>370.88612120890684</v>
      </c>
      <c r="Y124" s="112">
        <v>370.88612120891412</v>
      </c>
      <c r="Z124" s="112">
        <v>370.88612120890684</v>
      </c>
      <c r="AA124" s="112">
        <v>370.88612120891412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370.88612120891412</v>
      </c>
      <c r="AH124" s="112">
        <v>370.88612120890684</v>
      </c>
      <c r="AI124" s="112">
        <v>370.88612120891412</v>
      </c>
      <c r="AJ124" s="112">
        <v>370.88612120890684</v>
      </c>
      <c r="AK124" s="112">
        <v>370.88612120891412</v>
      </c>
      <c r="AL124" s="112">
        <v>370.88612120890684</v>
      </c>
      <c r="AM124" s="112">
        <v>370.88612120891412</v>
      </c>
      <c r="AN124" s="112">
        <v>0</v>
      </c>
      <c r="AO124" s="112">
        <v>0</v>
      </c>
      <c r="AP124" s="112">
        <v>0</v>
      </c>
      <c r="AQ124" s="112">
        <v>0</v>
      </c>
      <c r="AR124" s="112">
        <v>0</v>
      </c>
      <c r="AS124" s="112">
        <v>370.88612120891412</v>
      </c>
      <c r="AT124" s="112">
        <v>370.88612120891776</v>
      </c>
      <c r="AU124" s="112">
        <v>370.88612120890866</v>
      </c>
      <c r="AV124" s="112">
        <v>370.88612120891412</v>
      </c>
      <c r="AW124" s="112">
        <v>370.88612120890139</v>
      </c>
      <c r="AX124" s="112">
        <v>370.88612120890684</v>
      </c>
      <c r="AY124" s="112">
        <v>370.88612120891412</v>
      </c>
    </row>
    <row r="125" spans="1:52" x14ac:dyDescent="0.2">
      <c r="A125" s="115"/>
      <c r="B125" s="125">
        <v>4</v>
      </c>
      <c r="C125" s="112">
        <v>0</v>
      </c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>
        <v>0</v>
      </c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0</v>
      </c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0.43062944370491801</v>
      </c>
      <c r="D172" s="140">
        <v>0.43062944370491801</v>
      </c>
      <c r="E172" s="140">
        <v>0.43062944370491801</v>
      </c>
      <c r="F172" s="140">
        <v>0.43062944370491801</v>
      </c>
      <c r="G172" s="140">
        <v>0.43062944370491801</v>
      </c>
      <c r="H172" s="140">
        <v>0.43062944370491818</v>
      </c>
      <c r="I172" s="140">
        <v>0.43062944370491818</v>
      </c>
      <c r="J172" s="140">
        <v>0.43062944370491818</v>
      </c>
      <c r="K172" s="140">
        <v>0.43062944370491818</v>
      </c>
      <c r="L172" s="140">
        <v>0.43062944370491818</v>
      </c>
      <c r="M172" s="140">
        <v>0.43062944370491818</v>
      </c>
      <c r="N172" s="140">
        <v>0.43062944370491818</v>
      </c>
      <c r="O172" s="140">
        <v>0.43062944370491818</v>
      </c>
      <c r="P172" s="140">
        <v>0.43062944370491818</v>
      </c>
      <c r="Q172" s="140">
        <v>0.43062944370491818</v>
      </c>
      <c r="R172" s="140">
        <v>0.43062944370491818</v>
      </c>
      <c r="S172" s="140">
        <v>0.43062944370491818</v>
      </c>
      <c r="T172" s="140">
        <v>0.43062944370491818</v>
      </c>
      <c r="U172" s="140">
        <v>0.43062944370491818</v>
      </c>
      <c r="V172" s="140">
        <v>0.43062944370491818</v>
      </c>
      <c r="W172" s="140">
        <v>0.43062944370491818</v>
      </c>
      <c r="X172" s="140">
        <v>0.43062944370491818</v>
      </c>
      <c r="Y172" s="140">
        <v>0.43062944370491818</v>
      </c>
      <c r="Z172" s="140">
        <v>0.43062944370491818</v>
      </c>
      <c r="AA172" s="140">
        <v>0.43062944370491818</v>
      </c>
      <c r="AB172" s="140">
        <v>0.43062944370491818</v>
      </c>
      <c r="AC172" s="140">
        <v>0.43062944370491818</v>
      </c>
      <c r="AD172" s="140">
        <v>0.43062944370491818</v>
      </c>
      <c r="AE172" s="140">
        <v>0.43062944370491818</v>
      </c>
      <c r="AF172" s="140">
        <v>0.43062944370491818</v>
      </c>
      <c r="AG172" s="140">
        <v>0.43062944370491818</v>
      </c>
      <c r="AH172" s="140">
        <v>0.43062944370491818</v>
      </c>
      <c r="AI172" s="140">
        <v>0.43062944370491818</v>
      </c>
      <c r="AJ172" s="140">
        <v>0.43062944370491818</v>
      </c>
      <c r="AK172" s="140">
        <v>0.43062944370491818</v>
      </c>
      <c r="AL172" s="140">
        <v>0.43062944370491818</v>
      </c>
      <c r="AM172" s="140">
        <v>0.43062944370491818</v>
      </c>
      <c r="AN172" s="140">
        <v>0.43062944370491818</v>
      </c>
      <c r="AO172" s="140">
        <v>0.43062944370491818</v>
      </c>
      <c r="AP172" s="140">
        <v>0.43062944370491818</v>
      </c>
      <c r="AQ172" s="140">
        <v>0.43062944370491818</v>
      </c>
      <c r="AR172" s="140">
        <v>0.43062944370491818</v>
      </c>
      <c r="AS172" s="140">
        <v>0.43062944370491818</v>
      </c>
      <c r="AT172" s="140">
        <v>0.43062944370491818</v>
      </c>
      <c r="AU172" s="140">
        <v>0.43062944370491818</v>
      </c>
      <c r="AV172" s="140">
        <v>0.43062944370491801</v>
      </c>
      <c r="AW172" s="140">
        <v>0.43062944370491801</v>
      </c>
      <c r="AX172" s="140">
        <v>0.43062944370491801</v>
      </c>
      <c r="AY172" s="140">
        <v>0.43062944370491801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0</v>
      </c>
      <c r="E175" s="130">
        <f t="shared" si="1"/>
        <v>0</v>
      </c>
      <c r="F175" s="130">
        <f t="shared" si="1"/>
        <v>0</v>
      </c>
      <c r="G175" s="130">
        <f t="shared" si="1"/>
        <v>0</v>
      </c>
      <c r="H175" s="130">
        <f t="shared" si="1"/>
        <v>0</v>
      </c>
      <c r="I175" s="130">
        <f t="shared" si="1"/>
        <v>0</v>
      </c>
      <c r="J175" s="130">
        <f t="shared" si="1"/>
        <v>0</v>
      </c>
      <c r="K175" s="130">
        <f t="shared" si="1"/>
        <v>0</v>
      </c>
      <c r="L175" s="130">
        <f t="shared" si="1"/>
        <v>0</v>
      </c>
      <c r="M175" s="130">
        <f t="shared" si="1"/>
        <v>0</v>
      </c>
      <c r="N175" s="130">
        <f t="shared" si="1"/>
        <v>0</v>
      </c>
      <c r="O175" s="130">
        <f t="shared" si="1"/>
        <v>0</v>
      </c>
      <c r="P175" s="130">
        <f t="shared" si="1"/>
        <v>0</v>
      </c>
      <c r="Q175" s="130">
        <f t="shared" si="1"/>
        <v>0</v>
      </c>
      <c r="R175" s="130">
        <f t="shared" si="1"/>
        <v>0</v>
      </c>
      <c r="S175" s="130">
        <f t="shared" si="1"/>
        <v>0</v>
      </c>
      <c r="T175" s="130">
        <f t="shared" si="1"/>
        <v>0</v>
      </c>
      <c r="U175" s="130">
        <f t="shared" si="1"/>
        <v>0</v>
      </c>
      <c r="V175" s="130">
        <f t="shared" si="1"/>
        <v>0</v>
      </c>
      <c r="W175" s="130">
        <f t="shared" si="1"/>
        <v>0</v>
      </c>
      <c r="X175" s="130">
        <f t="shared" si="1"/>
        <v>0</v>
      </c>
      <c r="Y175" s="130">
        <f t="shared" si="1"/>
        <v>0</v>
      </c>
      <c r="Z175" s="130">
        <f t="shared" si="1"/>
        <v>0</v>
      </c>
      <c r="AA175" s="130">
        <f t="shared" si="1"/>
        <v>0</v>
      </c>
      <c r="AB175" s="130">
        <f t="shared" si="1"/>
        <v>0</v>
      </c>
      <c r="AC175" s="130">
        <f t="shared" si="1"/>
        <v>0</v>
      </c>
      <c r="AD175" s="130">
        <f t="shared" si="1"/>
        <v>0</v>
      </c>
      <c r="AE175" s="130">
        <f t="shared" si="1"/>
        <v>0</v>
      </c>
      <c r="AF175" s="130">
        <f t="shared" si="1"/>
        <v>0</v>
      </c>
      <c r="AG175" s="130">
        <f t="shared" si="1"/>
        <v>0</v>
      </c>
      <c r="AH175" s="130">
        <f t="shared" si="1"/>
        <v>0</v>
      </c>
      <c r="AI175" s="130">
        <f t="shared" si="1"/>
        <v>0</v>
      </c>
      <c r="AJ175" s="130">
        <f t="shared" si="1"/>
        <v>0</v>
      </c>
      <c r="AK175" s="130">
        <f t="shared" si="1"/>
        <v>0</v>
      </c>
      <c r="AL175" s="130">
        <f t="shared" si="1"/>
        <v>0</v>
      </c>
      <c r="AM175" s="130">
        <f t="shared" si="1"/>
        <v>0</v>
      </c>
      <c r="AN175" s="130">
        <f t="shared" si="1"/>
        <v>0</v>
      </c>
      <c r="AO175" s="130">
        <f t="shared" si="1"/>
        <v>0</v>
      </c>
      <c r="AP175" s="130">
        <f t="shared" si="1"/>
        <v>0</v>
      </c>
      <c r="AQ175" s="130">
        <f t="shared" si="1"/>
        <v>0</v>
      </c>
      <c r="AR175" s="130">
        <f t="shared" si="1"/>
        <v>0</v>
      </c>
      <c r="AS175" s="130">
        <f t="shared" si="1"/>
        <v>0</v>
      </c>
      <c r="AT175" s="130">
        <f t="shared" si="1"/>
        <v>0</v>
      </c>
      <c r="AU175" s="130">
        <f t="shared" si="1"/>
        <v>0</v>
      </c>
      <c r="AV175" s="130">
        <f t="shared" si="1"/>
        <v>0</v>
      </c>
      <c r="AW175" s="130">
        <f t="shared" si="1"/>
        <v>0</v>
      </c>
      <c r="AX175" s="130">
        <f t="shared" si="1"/>
        <v>0</v>
      </c>
      <c r="AY175" s="130">
        <f t="shared" si="1"/>
        <v>0</v>
      </c>
    </row>
    <row r="176" spans="1:52" x14ac:dyDescent="0.2">
      <c r="A176" s="131"/>
      <c r="B176" s="142" t="s">
        <v>299</v>
      </c>
      <c r="C176" s="131" t="s">
        <v>293</v>
      </c>
      <c r="D176" s="131">
        <v>0</v>
      </c>
      <c r="E176" s="131">
        <v>0</v>
      </c>
      <c r="F176" s="131">
        <v>0</v>
      </c>
      <c r="G176" s="131">
        <v>0</v>
      </c>
      <c r="H176" s="131">
        <v>0</v>
      </c>
      <c r="I176" s="131">
        <v>0</v>
      </c>
      <c r="J176" s="131">
        <v>0</v>
      </c>
      <c r="K176" s="131">
        <v>0</v>
      </c>
      <c r="L176" s="131">
        <v>0</v>
      </c>
      <c r="M176" s="131">
        <v>0</v>
      </c>
      <c r="N176" s="131">
        <v>0</v>
      </c>
      <c r="O176" s="131">
        <v>0</v>
      </c>
      <c r="P176" s="131">
        <v>0</v>
      </c>
      <c r="Q176" s="131">
        <v>0</v>
      </c>
      <c r="R176" s="131">
        <v>0</v>
      </c>
      <c r="S176" s="131">
        <v>0</v>
      </c>
      <c r="T176" s="131">
        <v>0</v>
      </c>
      <c r="U176" s="131">
        <v>0</v>
      </c>
      <c r="V176" s="131">
        <v>0</v>
      </c>
      <c r="W176" s="131">
        <v>0</v>
      </c>
      <c r="X176" s="131">
        <v>0</v>
      </c>
      <c r="Y176" s="131">
        <v>0</v>
      </c>
      <c r="Z176" s="131">
        <v>0</v>
      </c>
      <c r="AA176" s="131">
        <v>0</v>
      </c>
      <c r="AB176" s="131">
        <v>0</v>
      </c>
      <c r="AC176" s="131">
        <v>0</v>
      </c>
      <c r="AD176" s="131">
        <v>0</v>
      </c>
      <c r="AE176" s="131">
        <v>0</v>
      </c>
      <c r="AF176" s="131">
        <v>0</v>
      </c>
      <c r="AG176" s="131">
        <v>0</v>
      </c>
      <c r="AH176" s="131">
        <v>0</v>
      </c>
      <c r="AI176" s="131">
        <v>0</v>
      </c>
      <c r="AJ176" s="131">
        <v>0</v>
      </c>
      <c r="AK176" s="131">
        <v>0</v>
      </c>
      <c r="AL176" s="131">
        <v>0</v>
      </c>
      <c r="AM176" s="131">
        <v>0</v>
      </c>
      <c r="AN176" s="131">
        <v>0</v>
      </c>
      <c r="AO176" s="131">
        <v>0</v>
      </c>
      <c r="AP176" s="131">
        <v>0</v>
      </c>
      <c r="AQ176" s="131">
        <v>0</v>
      </c>
      <c r="AR176" s="131">
        <v>0</v>
      </c>
      <c r="AS176" s="131">
        <v>0</v>
      </c>
      <c r="AT176" s="131">
        <v>0</v>
      </c>
      <c r="AU176" s="131">
        <v>0</v>
      </c>
      <c r="AV176" s="131">
        <v>0</v>
      </c>
      <c r="AW176" s="131">
        <v>0</v>
      </c>
      <c r="AX176" s="131">
        <v>0</v>
      </c>
      <c r="AY176" s="131">
        <v>0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0</v>
      </c>
      <c r="G177" s="130">
        <f t="shared" si="2"/>
        <v>0</v>
      </c>
      <c r="H177" s="130">
        <f t="shared" si="2"/>
        <v>0</v>
      </c>
      <c r="I177" s="130">
        <f t="shared" si="2"/>
        <v>0</v>
      </c>
      <c r="J177" s="130">
        <f t="shared" si="2"/>
        <v>0</v>
      </c>
      <c r="K177" s="130">
        <f t="shared" si="2"/>
        <v>0</v>
      </c>
      <c r="L177" s="130">
        <f t="shared" si="2"/>
        <v>0</v>
      </c>
      <c r="M177" s="130">
        <f t="shared" si="2"/>
        <v>0</v>
      </c>
      <c r="N177" s="130">
        <f t="shared" si="2"/>
        <v>0</v>
      </c>
      <c r="O177" s="130">
        <f t="shared" si="2"/>
        <v>0</v>
      </c>
      <c r="P177" s="130">
        <f t="shared" si="2"/>
        <v>0</v>
      </c>
      <c r="Q177" s="130">
        <f t="shared" si="2"/>
        <v>0</v>
      </c>
      <c r="R177" s="130">
        <f t="shared" si="2"/>
        <v>0</v>
      </c>
      <c r="S177" s="130">
        <f t="shared" si="2"/>
        <v>0</v>
      </c>
      <c r="T177" s="130">
        <f t="shared" si="2"/>
        <v>0</v>
      </c>
      <c r="U177" s="130">
        <f t="shared" si="2"/>
        <v>0</v>
      </c>
      <c r="V177" s="130">
        <f t="shared" si="2"/>
        <v>0</v>
      </c>
      <c r="W177" s="130">
        <f t="shared" si="2"/>
        <v>0</v>
      </c>
      <c r="X177" s="130">
        <f t="shared" si="2"/>
        <v>0</v>
      </c>
      <c r="Y177" s="130">
        <f t="shared" si="2"/>
        <v>0</v>
      </c>
      <c r="Z177" s="130">
        <f t="shared" si="2"/>
        <v>0</v>
      </c>
      <c r="AA177" s="130">
        <f t="shared" si="2"/>
        <v>0</v>
      </c>
      <c r="AB177" s="130">
        <f t="shared" si="2"/>
        <v>0</v>
      </c>
      <c r="AC177" s="130">
        <f t="shared" si="2"/>
        <v>0</v>
      </c>
      <c r="AD177" s="130">
        <f t="shared" si="2"/>
        <v>0</v>
      </c>
      <c r="AE177" s="130">
        <f t="shared" si="2"/>
        <v>0</v>
      </c>
      <c r="AF177" s="130">
        <f t="shared" si="2"/>
        <v>0</v>
      </c>
      <c r="AG177" s="130">
        <f t="shared" si="2"/>
        <v>0</v>
      </c>
      <c r="AH177" s="130">
        <f t="shared" si="2"/>
        <v>0</v>
      </c>
      <c r="AI177" s="130">
        <f t="shared" si="2"/>
        <v>0</v>
      </c>
      <c r="AJ177" s="130">
        <f t="shared" si="2"/>
        <v>0</v>
      </c>
      <c r="AK177" s="130">
        <f t="shared" si="2"/>
        <v>0</v>
      </c>
      <c r="AL177" s="130">
        <f t="shared" si="2"/>
        <v>0</v>
      </c>
      <c r="AM177" s="130">
        <f t="shared" si="2"/>
        <v>0</v>
      </c>
      <c r="AN177" s="130">
        <f t="shared" si="2"/>
        <v>0</v>
      </c>
      <c r="AO177" s="130">
        <f t="shared" si="2"/>
        <v>0</v>
      </c>
      <c r="AP177" s="130">
        <f t="shared" si="2"/>
        <v>0</v>
      </c>
      <c r="AQ177" s="130">
        <f t="shared" si="2"/>
        <v>0</v>
      </c>
      <c r="AR177" s="130">
        <f t="shared" si="2"/>
        <v>0</v>
      </c>
      <c r="AS177" s="130">
        <f t="shared" si="2"/>
        <v>0</v>
      </c>
      <c r="AT177" s="130">
        <f t="shared" si="2"/>
        <v>0</v>
      </c>
      <c r="AU177" s="130">
        <f t="shared" si="2"/>
        <v>0</v>
      </c>
      <c r="AV177" s="130">
        <f t="shared" si="2"/>
        <v>0</v>
      </c>
      <c r="AW177" s="130">
        <f t="shared" si="2"/>
        <v>0</v>
      </c>
      <c r="AX177" s="130">
        <f t="shared" si="2"/>
        <v>0</v>
      </c>
      <c r="AY177" s="130">
        <f t="shared" si="2"/>
        <v>0</v>
      </c>
    </row>
    <row r="178" spans="1:51" x14ac:dyDescent="0.2">
      <c r="A178" s="131"/>
      <c r="B178" s="142" t="s">
        <v>299</v>
      </c>
      <c r="C178" s="131" t="s">
        <v>293</v>
      </c>
      <c r="D178" s="131">
        <v>0</v>
      </c>
      <c r="E178" s="131">
        <v>0</v>
      </c>
      <c r="F178" s="131">
        <v>0</v>
      </c>
      <c r="G178" s="131">
        <v>0</v>
      </c>
      <c r="H178" s="131">
        <v>0</v>
      </c>
      <c r="I178" s="131">
        <v>0</v>
      </c>
      <c r="J178" s="131">
        <v>0</v>
      </c>
      <c r="K178" s="131">
        <v>0</v>
      </c>
      <c r="L178" s="131">
        <v>0</v>
      </c>
      <c r="M178" s="131">
        <v>0</v>
      </c>
      <c r="N178" s="131">
        <v>0</v>
      </c>
      <c r="O178" s="131">
        <v>0</v>
      </c>
      <c r="P178" s="131">
        <v>0</v>
      </c>
      <c r="Q178" s="131">
        <v>0</v>
      </c>
      <c r="R178" s="131">
        <v>0</v>
      </c>
      <c r="S178" s="131">
        <v>0</v>
      </c>
      <c r="T178" s="131">
        <v>0</v>
      </c>
      <c r="U178" s="131">
        <v>0</v>
      </c>
      <c r="V178" s="131">
        <v>0</v>
      </c>
      <c r="W178" s="131">
        <v>0</v>
      </c>
      <c r="X178" s="131">
        <v>0</v>
      </c>
      <c r="Y178" s="131">
        <v>0</v>
      </c>
      <c r="Z178" s="131">
        <v>0</v>
      </c>
      <c r="AA178" s="131">
        <v>0</v>
      </c>
      <c r="AB178" s="131">
        <v>0</v>
      </c>
      <c r="AC178" s="131">
        <v>0</v>
      </c>
      <c r="AD178" s="131">
        <v>0</v>
      </c>
      <c r="AE178" s="131">
        <v>0</v>
      </c>
      <c r="AF178" s="131">
        <v>0</v>
      </c>
      <c r="AG178" s="131">
        <v>0</v>
      </c>
      <c r="AH178" s="131">
        <v>0</v>
      </c>
      <c r="AI178" s="131">
        <v>0</v>
      </c>
      <c r="AJ178" s="131">
        <v>0</v>
      </c>
      <c r="AK178" s="131">
        <v>0</v>
      </c>
      <c r="AL178" s="131">
        <v>0</v>
      </c>
      <c r="AM178" s="131">
        <v>0</v>
      </c>
      <c r="AN178" s="131">
        <v>0</v>
      </c>
      <c r="AO178" s="131">
        <v>0</v>
      </c>
      <c r="AP178" s="131">
        <v>0</v>
      </c>
      <c r="AQ178" s="131">
        <v>0</v>
      </c>
      <c r="AR178" s="131">
        <v>0</v>
      </c>
      <c r="AS178" s="131">
        <v>0</v>
      </c>
      <c r="AT178" s="131">
        <v>0</v>
      </c>
      <c r="AU178" s="131">
        <v>0</v>
      </c>
      <c r="AV178" s="131">
        <v>0</v>
      </c>
      <c r="AW178" s="131">
        <v>0</v>
      </c>
      <c r="AX178" s="131">
        <v>0</v>
      </c>
      <c r="AY178" s="131">
        <v>0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0</v>
      </c>
      <c r="E179" s="130">
        <f t="shared" si="3"/>
        <v>0</v>
      </c>
      <c r="F179" s="130">
        <f t="shared" si="3"/>
        <v>0</v>
      </c>
      <c r="G179" s="130">
        <f t="shared" si="3"/>
        <v>0</v>
      </c>
      <c r="H179" s="130">
        <f t="shared" si="3"/>
        <v>0</v>
      </c>
      <c r="I179" s="130">
        <f t="shared" si="3"/>
        <v>0</v>
      </c>
      <c r="J179" s="130">
        <f t="shared" si="3"/>
        <v>0</v>
      </c>
      <c r="K179" s="130">
        <f t="shared" si="3"/>
        <v>0</v>
      </c>
      <c r="L179" s="130">
        <f t="shared" si="3"/>
        <v>0</v>
      </c>
      <c r="M179" s="130">
        <f t="shared" si="3"/>
        <v>0</v>
      </c>
      <c r="N179" s="130">
        <f t="shared" si="3"/>
        <v>0</v>
      </c>
      <c r="O179" s="130">
        <f t="shared" si="3"/>
        <v>0</v>
      </c>
      <c r="P179" s="130">
        <f t="shared" si="3"/>
        <v>0</v>
      </c>
      <c r="Q179" s="130">
        <f t="shared" si="3"/>
        <v>0</v>
      </c>
      <c r="R179" s="130">
        <f t="shared" si="3"/>
        <v>0</v>
      </c>
      <c r="S179" s="130">
        <f t="shared" si="3"/>
        <v>0</v>
      </c>
      <c r="T179" s="130">
        <f t="shared" si="3"/>
        <v>0</v>
      </c>
      <c r="U179" s="130">
        <f t="shared" si="3"/>
        <v>0</v>
      </c>
      <c r="V179" s="130">
        <f t="shared" si="3"/>
        <v>0</v>
      </c>
      <c r="W179" s="130">
        <f t="shared" si="3"/>
        <v>0</v>
      </c>
      <c r="X179" s="130">
        <f t="shared" si="3"/>
        <v>0</v>
      </c>
      <c r="Y179" s="130">
        <f t="shared" si="3"/>
        <v>0</v>
      </c>
      <c r="Z179" s="130">
        <f t="shared" si="3"/>
        <v>0</v>
      </c>
      <c r="AA179" s="130">
        <f t="shared" si="3"/>
        <v>0</v>
      </c>
      <c r="AB179" s="130">
        <f t="shared" si="3"/>
        <v>0</v>
      </c>
      <c r="AC179" s="130">
        <f t="shared" si="3"/>
        <v>0</v>
      </c>
      <c r="AD179" s="130">
        <f t="shared" si="3"/>
        <v>0</v>
      </c>
      <c r="AE179" s="130">
        <f t="shared" si="3"/>
        <v>0</v>
      </c>
      <c r="AF179" s="130">
        <f t="shared" si="3"/>
        <v>0</v>
      </c>
      <c r="AG179" s="130">
        <f t="shared" si="3"/>
        <v>0</v>
      </c>
      <c r="AH179" s="130">
        <f t="shared" si="3"/>
        <v>0</v>
      </c>
      <c r="AI179" s="130">
        <f t="shared" si="3"/>
        <v>0</v>
      </c>
      <c r="AJ179" s="130">
        <f t="shared" si="3"/>
        <v>0</v>
      </c>
      <c r="AK179" s="130">
        <f t="shared" si="3"/>
        <v>0</v>
      </c>
      <c r="AL179" s="130">
        <f t="shared" si="3"/>
        <v>0</v>
      </c>
      <c r="AM179" s="130">
        <f t="shared" si="3"/>
        <v>0</v>
      </c>
      <c r="AN179" s="130">
        <f t="shared" si="3"/>
        <v>0</v>
      </c>
      <c r="AO179" s="130">
        <f t="shared" si="3"/>
        <v>0</v>
      </c>
      <c r="AP179" s="130">
        <f t="shared" si="3"/>
        <v>0</v>
      </c>
      <c r="AQ179" s="130">
        <f t="shared" si="3"/>
        <v>0</v>
      </c>
      <c r="AR179" s="130">
        <f t="shared" si="3"/>
        <v>0</v>
      </c>
      <c r="AS179" s="130">
        <f t="shared" si="3"/>
        <v>0</v>
      </c>
      <c r="AT179" s="130">
        <f t="shared" si="3"/>
        <v>0</v>
      </c>
      <c r="AU179" s="130">
        <f t="shared" si="3"/>
        <v>0</v>
      </c>
      <c r="AV179" s="130">
        <f t="shared" si="3"/>
        <v>0</v>
      </c>
      <c r="AW179" s="130">
        <f t="shared" si="3"/>
        <v>0</v>
      </c>
      <c r="AX179" s="130">
        <f t="shared" si="3"/>
        <v>0</v>
      </c>
      <c r="AY179" s="130">
        <f t="shared" si="3"/>
        <v>0</v>
      </c>
    </row>
    <row r="180" spans="1:51" x14ac:dyDescent="0.2">
      <c r="A180" s="131"/>
      <c r="B180" s="142" t="s">
        <v>299</v>
      </c>
      <c r="C180" s="131" t="s">
        <v>293</v>
      </c>
      <c r="D180" s="131">
        <v>0</v>
      </c>
      <c r="E180" s="131">
        <v>0</v>
      </c>
      <c r="F180" s="131">
        <v>0</v>
      </c>
      <c r="G180" s="131">
        <v>0</v>
      </c>
      <c r="H180" s="131">
        <v>0</v>
      </c>
      <c r="I180" s="131">
        <v>0</v>
      </c>
      <c r="J180" s="131">
        <v>0</v>
      </c>
      <c r="K180" s="131">
        <v>0</v>
      </c>
      <c r="L180" s="131">
        <v>0</v>
      </c>
      <c r="M180" s="131">
        <v>0</v>
      </c>
      <c r="N180" s="131">
        <v>0</v>
      </c>
      <c r="O180" s="131">
        <v>0</v>
      </c>
      <c r="P180" s="131">
        <v>0</v>
      </c>
      <c r="Q180" s="131">
        <v>0</v>
      </c>
      <c r="R180" s="131">
        <v>0</v>
      </c>
      <c r="S180" s="131">
        <v>0</v>
      </c>
      <c r="T180" s="131">
        <v>0</v>
      </c>
      <c r="U180" s="131">
        <v>0</v>
      </c>
      <c r="V180" s="131">
        <v>0</v>
      </c>
      <c r="W180" s="131">
        <v>0</v>
      </c>
      <c r="X180" s="131">
        <v>0</v>
      </c>
      <c r="Y180" s="131">
        <v>0</v>
      </c>
      <c r="Z180" s="131">
        <v>0</v>
      </c>
      <c r="AA180" s="131">
        <v>0</v>
      </c>
      <c r="AB180" s="131">
        <v>0</v>
      </c>
      <c r="AC180" s="131">
        <v>0</v>
      </c>
      <c r="AD180" s="131">
        <v>0</v>
      </c>
      <c r="AE180" s="131">
        <v>0</v>
      </c>
      <c r="AF180" s="131">
        <v>0</v>
      </c>
      <c r="AG180" s="131">
        <v>0</v>
      </c>
      <c r="AH180" s="131">
        <v>0</v>
      </c>
      <c r="AI180" s="131">
        <v>0</v>
      </c>
      <c r="AJ180" s="131">
        <v>0</v>
      </c>
      <c r="AK180" s="131">
        <v>0</v>
      </c>
      <c r="AL180" s="131">
        <v>0</v>
      </c>
      <c r="AM180" s="131">
        <v>0</v>
      </c>
      <c r="AN180" s="131">
        <v>0</v>
      </c>
      <c r="AO180" s="131">
        <v>0</v>
      </c>
      <c r="AP180" s="131">
        <v>0</v>
      </c>
      <c r="AQ180" s="131">
        <v>0</v>
      </c>
      <c r="AR180" s="131">
        <v>0</v>
      </c>
      <c r="AS180" s="131">
        <v>0</v>
      </c>
      <c r="AT180" s="131">
        <v>0</v>
      </c>
      <c r="AU180" s="131">
        <v>0</v>
      </c>
      <c r="AV180" s="131">
        <v>0</v>
      </c>
      <c r="AW180" s="131">
        <v>0</v>
      </c>
      <c r="AX180" s="131">
        <v>0</v>
      </c>
      <c r="AY180" s="131">
        <v>0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29037.898371049178</v>
      </c>
      <c r="E181" s="130">
        <f t="shared" si="4"/>
        <v>29037.898371049178</v>
      </c>
      <c r="F181" s="130">
        <f t="shared" si="4"/>
        <v>29037.898371049178</v>
      </c>
      <c r="G181" s="130">
        <f t="shared" si="4"/>
        <v>29037.898371049181</v>
      </c>
      <c r="H181" s="130">
        <f t="shared" si="4"/>
        <v>29037.898371049174</v>
      </c>
      <c r="I181" s="130">
        <f t="shared" si="4"/>
        <v>29037.89837104917</v>
      </c>
      <c r="J181" s="130">
        <f t="shared" si="4"/>
        <v>29037.898371049174</v>
      </c>
      <c r="K181" s="130">
        <f t="shared" si="4"/>
        <v>29037.898371049163</v>
      </c>
      <c r="L181" s="130">
        <f t="shared" si="4"/>
        <v>29037.898371049174</v>
      </c>
      <c r="M181" s="130">
        <f t="shared" si="4"/>
        <v>29037.89837104917</v>
      </c>
      <c r="N181" s="130">
        <f t="shared" si="4"/>
        <v>29037.898371049174</v>
      </c>
      <c r="O181" s="130">
        <f t="shared" si="4"/>
        <v>29037.89837104917</v>
      </c>
      <c r="P181" s="130">
        <f t="shared" si="4"/>
        <v>29037.898371049174</v>
      </c>
      <c r="Q181" s="130">
        <f t="shared" si="4"/>
        <v>29037.898371049174</v>
      </c>
      <c r="R181" s="130">
        <f t="shared" si="4"/>
        <v>29037.898371049181</v>
      </c>
      <c r="S181" s="130">
        <f t="shared" si="4"/>
        <v>29037.898371049174</v>
      </c>
      <c r="T181" s="130">
        <f t="shared" si="4"/>
        <v>29037.89837104917</v>
      </c>
      <c r="U181" s="130">
        <f t="shared" si="4"/>
        <v>29037.898371049174</v>
      </c>
      <c r="V181" s="130">
        <f t="shared" si="4"/>
        <v>29037.898371049163</v>
      </c>
      <c r="W181" s="130">
        <f t="shared" si="4"/>
        <v>29037.898371049174</v>
      </c>
      <c r="X181" s="130">
        <f t="shared" si="4"/>
        <v>29037.898371049163</v>
      </c>
      <c r="Y181" s="130">
        <f t="shared" si="4"/>
        <v>29037.898371049174</v>
      </c>
      <c r="Z181" s="130">
        <f t="shared" si="4"/>
        <v>29037.898371049163</v>
      </c>
      <c r="AA181" s="130">
        <f t="shared" si="4"/>
        <v>29037.898371049174</v>
      </c>
      <c r="AB181" s="130">
        <f t="shared" si="4"/>
        <v>29037.898371049181</v>
      </c>
      <c r="AC181" s="130">
        <f t="shared" si="4"/>
        <v>29037.898371049181</v>
      </c>
      <c r="AD181" s="130">
        <f t="shared" si="4"/>
        <v>29037.898371049174</v>
      </c>
      <c r="AE181" s="130">
        <f t="shared" si="4"/>
        <v>29037.898371049181</v>
      </c>
      <c r="AF181" s="130">
        <f t="shared" si="4"/>
        <v>29037.89837104917</v>
      </c>
      <c r="AG181" s="130">
        <f t="shared" si="4"/>
        <v>29037.898371049174</v>
      </c>
      <c r="AH181" s="130">
        <f t="shared" si="4"/>
        <v>29037.898371049163</v>
      </c>
      <c r="AI181" s="130">
        <f t="shared" si="4"/>
        <v>29037.898371049174</v>
      </c>
      <c r="AJ181" s="130">
        <f t="shared" si="4"/>
        <v>29037.898371049163</v>
      </c>
      <c r="AK181" s="130">
        <f t="shared" si="4"/>
        <v>29037.898371049174</v>
      </c>
      <c r="AL181" s="130">
        <f t="shared" si="4"/>
        <v>29037.898371049163</v>
      </c>
      <c r="AM181" s="130">
        <f t="shared" si="4"/>
        <v>29037.898371049174</v>
      </c>
      <c r="AN181" s="130">
        <f t="shared" si="4"/>
        <v>29037.898371049181</v>
      </c>
      <c r="AO181" s="130">
        <f t="shared" si="4"/>
        <v>29037.898371049181</v>
      </c>
      <c r="AP181" s="130">
        <f t="shared" si="4"/>
        <v>29037.898371049174</v>
      </c>
      <c r="AQ181" s="130">
        <f t="shared" si="4"/>
        <v>29037.898371049181</v>
      </c>
      <c r="AR181" s="130">
        <f t="shared" si="4"/>
        <v>29037.89837104917</v>
      </c>
      <c r="AS181" s="130">
        <f t="shared" si="4"/>
        <v>29037.898371049174</v>
      </c>
      <c r="AT181" s="130">
        <f t="shared" si="4"/>
        <v>29037.898371049174</v>
      </c>
      <c r="AU181" s="130">
        <f t="shared" si="4"/>
        <v>29037.89837104917</v>
      </c>
      <c r="AV181" s="130">
        <f t="shared" si="4"/>
        <v>29037.898371049178</v>
      </c>
      <c r="AW181" s="130">
        <f t="shared" si="4"/>
        <v>29037.898371049174</v>
      </c>
      <c r="AX181" s="130">
        <f t="shared" si="4"/>
        <v>29037.898371049178</v>
      </c>
      <c r="AY181" s="130">
        <f t="shared" si="4"/>
        <v>29037.898371049178</v>
      </c>
    </row>
    <row r="182" spans="1:51" x14ac:dyDescent="0.2">
      <c r="A182" s="131"/>
      <c r="B182" s="142" t="s">
        <v>299</v>
      </c>
      <c r="C182" s="131" t="s">
        <v>293</v>
      </c>
      <c r="D182" s="131">
        <v>366</v>
      </c>
      <c r="E182" s="131">
        <v>380</v>
      </c>
      <c r="F182" s="131">
        <v>355</v>
      </c>
      <c r="G182" s="131">
        <v>371</v>
      </c>
      <c r="H182" s="131">
        <v>1998</v>
      </c>
      <c r="I182" s="131">
        <v>2109</v>
      </c>
      <c r="J182" s="131">
        <v>1472</v>
      </c>
      <c r="K182" s="131">
        <v>1981</v>
      </c>
      <c r="L182" s="131">
        <v>282</v>
      </c>
      <c r="M182" s="131">
        <v>274</v>
      </c>
      <c r="N182" s="131">
        <v>261</v>
      </c>
      <c r="O182" s="131">
        <v>223</v>
      </c>
      <c r="P182" s="131">
        <v>1474</v>
      </c>
      <c r="Q182" s="131">
        <v>1477</v>
      </c>
      <c r="R182" s="131">
        <v>1388</v>
      </c>
      <c r="S182" s="131">
        <v>1190</v>
      </c>
      <c r="T182" s="131">
        <v>924</v>
      </c>
      <c r="U182" s="131">
        <v>954</v>
      </c>
      <c r="V182" s="131">
        <v>941</v>
      </c>
      <c r="W182" s="131">
        <v>1001</v>
      </c>
      <c r="X182" s="131">
        <v>993</v>
      </c>
      <c r="Y182" s="131">
        <v>833</v>
      </c>
      <c r="Z182" s="131">
        <v>1026</v>
      </c>
      <c r="AA182" s="131">
        <v>946</v>
      </c>
      <c r="AB182" s="131">
        <v>308</v>
      </c>
      <c r="AC182" s="131">
        <v>350</v>
      </c>
      <c r="AD182" s="131">
        <v>326</v>
      </c>
      <c r="AE182" s="131">
        <v>333</v>
      </c>
      <c r="AF182" s="131">
        <v>823</v>
      </c>
      <c r="AG182" s="131">
        <v>1314</v>
      </c>
      <c r="AH182" s="131">
        <v>1288</v>
      </c>
      <c r="AI182" s="131">
        <v>1101</v>
      </c>
      <c r="AJ182" s="131">
        <v>866</v>
      </c>
      <c r="AK182" s="131">
        <v>1201</v>
      </c>
      <c r="AL182" s="131">
        <v>1103</v>
      </c>
      <c r="AM182" s="131">
        <v>841</v>
      </c>
      <c r="AN182" s="131">
        <v>1444</v>
      </c>
      <c r="AO182" s="131">
        <v>1856</v>
      </c>
      <c r="AP182" s="131">
        <v>1560</v>
      </c>
      <c r="AQ182" s="131">
        <v>1630</v>
      </c>
      <c r="AR182" s="131">
        <v>1324</v>
      </c>
      <c r="AS182" s="131">
        <v>1144</v>
      </c>
      <c r="AT182" s="131">
        <v>1380</v>
      </c>
      <c r="AU182" s="131">
        <v>1274</v>
      </c>
      <c r="AV182" s="131">
        <v>797</v>
      </c>
      <c r="AW182" s="131">
        <v>571</v>
      </c>
      <c r="AX182" s="131">
        <v>708</v>
      </c>
      <c r="AY182" s="131">
        <v>700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0</v>
      </c>
      <c r="D189" s="130">
        <v>0</v>
      </c>
      <c r="E189" s="130">
        <v>0</v>
      </c>
      <c r="F189" s="130">
        <v>0</v>
      </c>
      <c r="G189" s="130">
        <v>0</v>
      </c>
      <c r="H189" s="130">
        <v>0</v>
      </c>
      <c r="I189" s="130">
        <v>0</v>
      </c>
      <c r="J189" s="130">
        <v>0</v>
      </c>
      <c r="K189" s="130">
        <v>0</v>
      </c>
      <c r="L189" s="130">
        <v>0</v>
      </c>
      <c r="M189" s="130">
        <v>0</v>
      </c>
      <c r="N189" s="130">
        <v>0</v>
      </c>
      <c r="O189" s="130">
        <v>0</v>
      </c>
      <c r="P189" s="130">
        <v>0</v>
      </c>
      <c r="Q189" s="130">
        <v>0</v>
      </c>
      <c r="R189" s="130">
        <v>0</v>
      </c>
      <c r="S189" s="130">
        <v>0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0</v>
      </c>
      <c r="AI189" s="130">
        <v>0</v>
      </c>
      <c r="AJ189" s="130">
        <v>0</v>
      </c>
      <c r="AK189" s="130">
        <v>0</v>
      </c>
      <c r="AL189" s="130">
        <v>0</v>
      </c>
      <c r="AM189" s="130">
        <v>0</v>
      </c>
      <c r="AN189" s="130">
        <v>0</v>
      </c>
      <c r="AO189" s="130">
        <v>0</v>
      </c>
      <c r="AP189" s="130">
        <v>0</v>
      </c>
      <c r="AQ189" s="130">
        <v>0</v>
      </c>
      <c r="AR189" s="130">
        <v>0</v>
      </c>
      <c r="AS189" s="130">
        <v>0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401.82836284516264</v>
      </c>
      <c r="D210" s="116">
        <v>366</v>
      </c>
      <c r="E210" s="116">
        <v>380</v>
      </c>
      <c r="F210" s="116">
        <v>355</v>
      </c>
      <c r="G210" s="116">
        <v>371</v>
      </c>
      <c r="H210" s="116">
        <v>1998</v>
      </c>
      <c r="I210" s="116">
        <v>1897.8283628451586</v>
      </c>
      <c r="J210" s="116">
        <v>1260.8283628451554</v>
      </c>
      <c r="K210" s="116">
        <v>1769.8283628451595</v>
      </c>
      <c r="L210" s="116">
        <v>70.828362845155425</v>
      </c>
      <c r="M210" s="116">
        <v>62.8283628451575</v>
      </c>
      <c r="N210" s="116">
        <v>49.828362845154402</v>
      </c>
      <c r="O210" s="116">
        <v>11.828362845158523</v>
      </c>
      <c r="P210" s="116">
        <v>1474</v>
      </c>
      <c r="Q210" s="116">
        <v>1477</v>
      </c>
      <c r="R210" s="116">
        <v>1388</v>
      </c>
      <c r="S210" s="116">
        <v>1190</v>
      </c>
      <c r="T210" s="116">
        <v>924</v>
      </c>
      <c r="U210" s="116">
        <v>742.82836284515543</v>
      </c>
      <c r="V210" s="116">
        <v>729.82836284515952</v>
      </c>
      <c r="W210" s="116">
        <v>789.82836284515543</v>
      </c>
      <c r="X210" s="116">
        <v>781.82836284515952</v>
      </c>
      <c r="Y210" s="116">
        <v>621.82836284515543</v>
      </c>
      <c r="Z210" s="116">
        <v>814.82836284515952</v>
      </c>
      <c r="AA210" s="116">
        <v>734.82836284515543</v>
      </c>
      <c r="AB210" s="116">
        <v>308</v>
      </c>
      <c r="AC210" s="116">
        <v>350</v>
      </c>
      <c r="AD210" s="116">
        <v>326</v>
      </c>
      <c r="AE210" s="116">
        <v>333</v>
      </c>
      <c r="AF210" s="116">
        <v>823</v>
      </c>
      <c r="AG210" s="116">
        <v>1102.8283628451554</v>
      </c>
      <c r="AH210" s="116">
        <v>1076.8283628451595</v>
      </c>
      <c r="AI210" s="116">
        <v>889.82836284515543</v>
      </c>
      <c r="AJ210" s="116">
        <v>654.82836284515952</v>
      </c>
      <c r="AK210" s="116">
        <v>989.82836284515543</v>
      </c>
      <c r="AL210" s="116">
        <v>891.82836284515952</v>
      </c>
      <c r="AM210" s="116">
        <v>629.82836284515543</v>
      </c>
      <c r="AN210" s="116">
        <v>1444</v>
      </c>
      <c r="AO210" s="116">
        <v>1856</v>
      </c>
      <c r="AP210" s="116">
        <v>1560</v>
      </c>
      <c r="AQ210" s="116">
        <v>1630</v>
      </c>
      <c r="AR210" s="116">
        <v>1324</v>
      </c>
      <c r="AS210" s="116">
        <v>932.82836284515543</v>
      </c>
      <c r="AT210" s="116">
        <v>1168.8283628451534</v>
      </c>
      <c r="AU210" s="116">
        <v>1062.8283628451586</v>
      </c>
      <c r="AV210" s="116">
        <v>585.82836284515543</v>
      </c>
      <c r="AW210" s="116">
        <v>359.82836284516264</v>
      </c>
      <c r="AX210" s="116">
        <v>496.82836284515952</v>
      </c>
      <c r="AY210" s="116">
        <v>488.82836284515543</v>
      </c>
    </row>
    <row r="211" spans="1:51" x14ac:dyDescent="0.2">
      <c r="A211" s="115"/>
      <c r="B211" s="125">
        <v>3</v>
      </c>
      <c r="C211" s="112">
        <v>211.17163715483736</v>
      </c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211.17163715484148</v>
      </c>
      <c r="J211" s="116">
        <v>211.17163715484457</v>
      </c>
      <c r="K211" s="116">
        <v>211.17163715484043</v>
      </c>
      <c r="L211" s="116">
        <v>211.17163715484457</v>
      </c>
      <c r="M211" s="116">
        <v>211.1716371548425</v>
      </c>
      <c r="N211" s="116">
        <v>211.1716371548456</v>
      </c>
      <c r="O211" s="116">
        <v>211.17163715484148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211.17163715484457</v>
      </c>
      <c r="V211" s="116">
        <v>211.17163715484043</v>
      </c>
      <c r="W211" s="116">
        <v>211.17163715484457</v>
      </c>
      <c r="X211" s="116">
        <v>211.17163715484043</v>
      </c>
      <c r="Y211" s="116">
        <v>211.17163715484457</v>
      </c>
      <c r="Z211" s="116">
        <v>211.17163715484043</v>
      </c>
      <c r="AA211" s="116">
        <v>211.17163715484457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211.17163715484457</v>
      </c>
      <c r="AH211" s="116">
        <v>211.17163715484043</v>
      </c>
      <c r="AI211" s="116">
        <v>211.17163715484457</v>
      </c>
      <c r="AJ211" s="116">
        <v>211.17163715484043</v>
      </c>
      <c r="AK211" s="116">
        <v>211.17163715484457</v>
      </c>
      <c r="AL211" s="116">
        <v>211.17163715484043</v>
      </c>
      <c r="AM211" s="116">
        <v>211.17163715484457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211.17163715484457</v>
      </c>
      <c r="AT211" s="116">
        <v>211.17163715484665</v>
      </c>
      <c r="AU211" s="116">
        <v>211.17163715484148</v>
      </c>
      <c r="AV211" s="116">
        <v>211.1716371548446</v>
      </c>
      <c r="AW211" s="116">
        <v>211.17163715483736</v>
      </c>
      <c r="AX211" s="116">
        <v>211.17163715484048</v>
      </c>
      <c r="AY211" s="116">
        <v>211.1716371548446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14275366.058818033</v>
      </c>
      <c r="E259" s="130">
        <f t="shared" ref="E259:AX259" si="5">F$14*$B$259</f>
        <v>14275366.058818033</v>
      </c>
      <c r="F259" s="130">
        <f t="shared" si="5"/>
        <v>14275366.058818033</v>
      </c>
      <c r="G259" s="130">
        <f t="shared" si="5"/>
        <v>14275366.058818035</v>
      </c>
      <c r="H259" s="130">
        <f t="shared" si="5"/>
        <v>14275366.058818037</v>
      </c>
      <c r="I259" s="130">
        <f t="shared" si="5"/>
        <v>14275366.058818035</v>
      </c>
      <c r="J259" s="130">
        <f t="shared" si="5"/>
        <v>14275366.058818037</v>
      </c>
      <c r="K259" s="130">
        <f t="shared" si="5"/>
        <v>14275366.058818035</v>
      </c>
      <c r="L259" s="130">
        <f t="shared" si="5"/>
        <v>14275366.058818037</v>
      </c>
      <c r="M259" s="130">
        <f t="shared" si="5"/>
        <v>14275366.058818035</v>
      </c>
      <c r="N259" s="130">
        <f t="shared" si="5"/>
        <v>14275366.058818037</v>
      </c>
      <c r="O259" s="130">
        <f t="shared" si="5"/>
        <v>14275366.058818035</v>
      </c>
      <c r="P259" s="130">
        <f t="shared" si="5"/>
        <v>14275366.058818037</v>
      </c>
      <c r="Q259" s="130">
        <f t="shared" si="5"/>
        <v>14275366.058818037</v>
      </c>
      <c r="R259" s="130">
        <f t="shared" si="5"/>
        <v>14275366.058818042</v>
      </c>
      <c r="S259" s="130">
        <f t="shared" si="5"/>
        <v>14275366.058818037</v>
      </c>
      <c r="T259" s="130">
        <f t="shared" si="5"/>
        <v>14275366.058818035</v>
      </c>
      <c r="U259" s="130">
        <f t="shared" si="5"/>
        <v>14275366.058818037</v>
      </c>
      <c r="V259" s="130">
        <f t="shared" si="5"/>
        <v>14275366.058818035</v>
      </c>
      <c r="W259" s="130">
        <f t="shared" si="5"/>
        <v>14275366.058818037</v>
      </c>
      <c r="X259" s="130">
        <f t="shared" si="5"/>
        <v>14275366.058818035</v>
      </c>
      <c r="Y259" s="130">
        <f t="shared" si="5"/>
        <v>14275366.058818037</v>
      </c>
      <c r="Z259" s="130">
        <f t="shared" si="5"/>
        <v>14275366.058818035</v>
      </c>
      <c r="AA259" s="130">
        <f t="shared" si="5"/>
        <v>14275366.058818037</v>
      </c>
      <c r="AB259" s="130">
        <f t="shared" si="5"/>
        <v>14275366.058818042</v>
      </c>
      <c r="AC259" s="130">
        <f t="shared" si="5"/>
        <v>14275366.058818042</v>
      </c>
      <c r="AD259" s="130">
        <f t="shared" si="5"/>
        <v>14275366.058818037</v>
      </c>
      <c r="AE259" s="130">
        <f t="shared" si="5"/>
        <v>14275366.058818042</v>
      </c>
      <c r="AF259" s="130">
        <f t="shared" si="5"/>
        <v>14275366.058818035</v>
      </c>
      <c r="AG259" s="130">
        <f t="shared" si="5"/>
        <v>14275366.058818037</v>
      </c>
      <c r="AH259" s="130">
        <f t="shared" si="5"/>
        <v>14275366.058818035</v>
      </c>
      <c r="AI259" s="130">
        <f t="shared" si="5"/>
        <v>14275366.058818037</v>
      </c>
      <c r="AJ259" s="130">
        <f t="shared" si="5"/>
        <v>14275366.058818035</v>
      </c>
      <c r="AK259" s="130">
        <f t="shared" si="5"/>
        <v>14275366.058818037</v>
      </c>
      <c r="AL259" s="130">
        <f t="shared" si="5"/>
        <v>14275366.058818035</v>
      </c>
      <c r="AM259" s="130">
        <f t="shared" si="5"/>
        <v>14275366.058818037</v>
      </c>
      <c r="AN259" s="130">
        <f t="shared" si="5"/>
        <v>14275366.058818042</v>
      </c>
      <c r="AO259" s="130">
        <f t="shared" si="5"/>
        <v>14275366.058818042</v>
      </c>
      <c r="AP259" s="130">
        <f t="shared" si="5"/>
        <v>14275366.058818037</v>
      </c>
      <c r="AQ259" s="130">
        <f t="shared" si="5"/>
        <v>14275366.058818042</v>
      </c>
      <c r="AR259" s="130">
        <f t="shared" si="5"/>
        <v>14275366.058818035</v>
      </c>
      <c r="AS259" s="130">
        <f t="shared" si="5"/>
        <v>14275366.058818037</v>
      </c>
      <c r="AT259" s="130">
        <f t="shared" si="5"/>
        <v>14275366.058818037</v>
      </c>
      <c r="AU259" s="130">
        <f t="shared" si="5"/>
        <v>14275366.058818035</v>
      </c>
      <c r="AV259" s="130">
        <f t="shared" si="5"/>
        <v>14275366.058818033</v>
      </c>
      <c r="AW259" s="130">
        <f t="shared" si="5"/>
        <v>14275366.058818029</v>
      </c>
      <c r="AX259" s="130">
        <f t="shared" si="5"/>
        <v>14275366.058818033</v>
      </c>
      <c r="AY259" s="130">
        <f>AZ$14*$B$259</f>
        <v>14275366.058818033</v>
      </c>
      <c r="AZ259" s="145">
        <f>SUM($D259:$AY259)</f>
        <v>685217570.82326531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1720313.9022629505</v>
      </c>
      <c r="E260" s="131">
        <f t="shared" ref="E260:AY260" si="6">(E$175-E$176+E$177-E$178+E$179-E$180+E$181-E$182)*$B$260</f>
        <v>1719473.9022629505</v>
      </c>
      <c r="F260" s="131">
        <f t="shared" si="6"/>
        <v>1720973.9022629505</v>
      </c>
      <c r="G260" s="131">
        <f t="shared" si="6"/>
        <v>1720013.9022629508</v>
      </c>
      <c r="H260" s="131">
        <f t="shared" si="6"/>
        <v>1622393.9022629503</v>
      </c>
      <c r="I260" s="131">
        <f t="shared" si="6"/>
        <v>1615733.9022629503</v>
      </c>
      <c r="J260" s="131">
        <f t="shared" si="6"/>
        <v>1653953.9022629503</v>
      </c>
      <c r="K260" s="131">
        <f t="shared" si="6"/>
        <v>1623413.9022629499</v>
      </c>
      <c r="L260" s="131">
        <f t="shared" si="6"/>
        <v>1725353.9022629503</v>
      </c>
      <c r="M260" s="131">
        <f t="shared" si="6"/>
        <v>1725833.9022629503</v>
      </c>
      <c r="N260" s="131">
        <f t="shared" si="6"/>
        <v>1726613.9022629503</v>
      </c>
      <c r="O260" s="131">
        <f t="shared" si="6"/>
        <v>1728893.9022629503</v>
      </c>
      <c r="P260" s="131">
        <f t="shared" si="6"/>
        <v>1653833.9022629503</v>
      </c>
      <c r="Q260" s="131">
        <f t="shared" si="6"/>
        <v>1653653.9022629503</v>
      </c>
      <c r="R260" s="131">
        <f t="shared" si="6"/>
        <v>1658993.9022629508</v>
      </c>
      <c r="S260" s="131">
        <f t="shared" si="6"/>
        <v>1670873.9022629503</v>
      </c>
      <c r="T260" s="131">
        <f t="shared" si="6"/>
        <v>1686833.9022629503</v>
      </c>
      <c r="U260" s="131">
        <f t="shared" si="6"/>
        <v>1685033.9022629503</v>
      </c>
      <c r="V260" s="131">
        <f t="shared" si="6"/>
        <v>1685813.9022629499</v>
      </c>
      <c r="W260" s="131">
        <f t="shared" si="6"/>
        <v>1682213.9022629503</v>
      </c>
      <c r="X260" s="131">
        <f t="shared" si="6"/>
        <v>1682693.9022629499</v>
      </c>
      <c r="Y260" s="131">
        <f t="shared" si="6"/>
        <v>1692293.9022629503</v>
      </c>
      <c r="Z260" s="131">
        <f t="shared" si="6"/>
        <v>1680713.9022629499</v>
      </c>
      <c r="AA260" s="131">
        <f t="shared" si="6"/>
        <v>1685513.9022629503</v>
      </c>
      <c r="AB260" s="131">
        <f t="shared" si="6"/>
        <v>1723793.9022629508</v>
      </c>
      <c r="AC260" s="131">
        <f t="shared" si="6"/>
        <v>1721273.9022629508</v>
      </c>
      <c r="AD260" s="131">
        <f t="shared" si="6"/>
        <v>1722713.9022629503</v>
      </c>
      <c r="AE260" s="131">
        <f t="shared" si="6"/>
        <v>1722293.9022629508</v>
      </c>
      <c r="AF260" s="131">
        <f t="shared" si="6"/>
        <v>1692893.9022629503</v>
      </c>
      <c r="AG260" s="131">
        <f t="shared" si="6"/>
        <v>1663433.9022629503</v>
      </c>
      <c r="AH260" s="131">
        <f t="shared" si="6"/>
        <v>1664993.9022629499</v>
      </c>
      <c r="AI260" s="131">
        <f t="shared" si="6"/>
        <v>1676213.9022629503</v>
      </c>
      <c r="AJ260" s="131">
        <f t="shared" si="6"/>
        <v>1690313.9022629499</v>
      </c>
      <c r="AK260" s="131">
        <f t="shared" si="6"/>
        <v>1670213.9022629503</v>
      </c>
      <c r="AL260" s="131">
        <f t="shared" si="6"/>
        <v>1676093.9022629499</v>
      </c>
      <c r="AM260" s="131">
        <f t="shared" si="6"/>
        <v>1691813.9022629503</v>
      </c>
      <c r="AN260" s="131">
        <f t="shared" si="6"/>
        <v>1655633.9022629508</v>
      </c>
      <c r="AO260" s="131">
        <f t="shared" si="6"/>
        <v>1630913.9022629508</v>
      </c>
      <c r="AP260" s="131">
        <f t="shared" si="6"/>
        <v>1648673.9022629503</v>
      </c>
      <c r="AQ260" s="131">
        <f t="shared" si="6"/>
        <v>1644473.9022629508</v>
      </c>
      <c r="AR260" s="131">
        <f t="shared" si="6"/>
        <v>1662833.9022629503</v>
      </c>
      <c r="AS260" s="131">
        <f t="shared" si="6"/>
        <v>1673633.9022629503</v>
      </c>
      <c r="AT260" s="131">
        <f t="shared" si="6"/>
        <v>1659473.9022629503</v>
      </c>
      <c r="AU260" s="131">
        <f t="shared" si="6"/>
        <v>1665833.9022629503</v>
      </c>
      <c r="AV260" s="131">
        <f t="shared" si="6"/>
        <v>1694453.9022629505</v>
      </c>
      <c r="AW260" s="131">
        <f t="shared" si="6"/>
        <v>1708013.9022629503</v>
      </c>
      <c r="AX260" s="131">
        <f t="shared" si="6"/>
        <v>1699793.9022629505</v>
      </c>
      <c r="AY260" s="131">
        <f t="shared" si="6"/>
        <v>1700273.9022629505</v>
      </c>
      <c r="AZ260" s="147">
        <f>SUM($D260:$AY260)</f>
        <v>80781487.308621615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0</v>
      </c>
      <c r="E49" s="106">
        <v>0</v>
      </c>
      <c r="F49" s="106">
        <v>0</v>
      </c>
      <c r="G49" s="106">
        <v>0</v>
      </c>
      <c r="H49" s="106">
        <v>0</v>
      </c>
      <c r="I49" s="106">
        <v>0</v>
      </c>
      <c r="J49" s="106">
        <v>0</v>
      </c>
      <c r="K49" s="106">
        <v>0</v>
      </c>
      <c r="L49" s="106">
        <v>0</v>
      </c>
      <c r="M49" s="106">
        <v>0</v>
      </c>
      <c r="N49" s="106">
        <v>0</v>
      </c>
      <c r="O49" s="106">
        <v>0</v>
      </c>
      <c r="P49" s="106">
        <v>0</v>
      </c>
      <c r="Q49" s="106">
        <v>0</v>
      </c>
      <c r="R49" s="106">
        <v>0</v>
      </c>
      <c r="S49" s="106">
        <v>0</v>
      </c>
      <c r="T49" s="106">
        <v>0</v>
      </c>
      <c r="U49" s="106">
        <v>0</v>
      </c>
      <c r="V49" s="106">
        <v>0</v>
      </c>
      <c r="W49" s="106">
        <v>0</v>
      </c>
      <c r="X49" s="106">
        <v>0</v>
      </c>
      <c r="Y49" s="106">
        <v>0</v>
      </c>
      <c r="Z49" s="106">
        <v>0</v>
      </c>
      <c r="AA49" s="106">
        <v>0</v>
      </c>
      <c r="AB49" s="106">
        <v>0</v>
      </c>
      <c r="AC49" s="106">
        <v>0</v>
      </c>
      <c r="AD49" s="106">
        <v>0</v>
      </c>
      <c r="AE49" s="106">
        <v>0</v>
      </c>
      <c r="AF49" s="106">
        <v>0</v>
      </c>
      <c r="AG49" s="106">
        <v>0</v>
      </c>
      <c r="AH49" s="106">
        <v>0</v>
      </c>
      <c r="AI49" s="106">
        <v>0</v>
      </c>
      <c r="AJ49" s="106">
        <v>0</v>
      </c>
      <c r="AK49" s="106">
        <v>0</v>
      </c>
      <c r="AL49" s="106">
        <v>0</v>
      </c>
      <c r="AM49" s="106">
        <v>0</v>
      </c>
      <c r="AN49" s="106">
        <v>0</v>
      </c>
      <c r="AO49" s="106">
        <v>0</v>
      </c>
      <c r="AP49" s="106">
        <v>0</v>
      </c>
      <c r="AQ49" s="106">
        <v>0</v>
      </c>
      <c r="AR49" s="106">
        <v>0</v>
      </c>
      <c r="AS49" s="106">
        <v>0</v>
      </c>
      <c r="AT49" s="106">
        <v>0</v>
      </c>
      <c r="AU49" s="106">
        <v>0</v>
      </c>
      <c r="AV49" s="106">
        <v>0</v>
      </c>
      <c r="AW49" s="106">
        <v>0</v>
      </c>
      <c r="AX49" s="106">
        <v>3.0509608149771279</v>
      </c>
      <c r="AY49" s="106">
        <v>3005.8065949154661</v>
      </c>
      <c r="AZ49" s="106">
        <v>0</v>
      </c>
      <c r="BA49" s="106">
        <v>0</v>
      </c>
      <c r="BB49" s="106">
        <v>3</v>
      </c>
      <c r="BC49" s="106">
        <v>2955.6</v>
      </c>
      <c r="BD49" s="106">
        <v>0</v>
      </c>
      <c r="BE49" s="106">
        <v>0</v>
      </c>
      <c r="BF49" s="106">
        <v>0</v>
      </c>
      <c r="BG49" s="106">
        <v>0</v>
      </c>
      <c r="BH49" s="106">
        <v>3</v>
      </c>
      <c r="BI49" s="106">
        <v>2955.6</v>
      </c>
      <c r="BJ49" s="106">
        <v>0</v>
      </c>
      <c r="BK49" s="106">
        <v>0</v>
      </c>
      <c r="BL49" s="106">
        <v>4</v>
      </c>
      <c r="BM49" s="106">
        <v>3940.7999999999997</v>
      </c>
      <c r="BN49" s="106">
        <v>5</v>
      </c>
      <c r="BO49" s="106">
        <v>4926</v>
      </c>
      <c r="BP49" s="106">
        <v>10</v>
      </c>
      <c r="BQ49" s="106">
        <v>9852</v>
      </c>
      <c r="BR49" s="106">
        <v>8</v>
      </c>
      <c r="BS49" s="106">
        <v>7881.5999999999995</v>
      </c>
      <c r="BT49" s="106">
        <v>10</v>
      </c>
      <c r="BU49" s="106">
        <v>9852</v>
      </c>
      <c r="BV49" s="106">
        <v>10</v>
      </c>
      <c r="BW49" s="106">
        <v>9852</v>
      </c>
      <c r="BX49" s="106">
        <v>1.5620902891938107</v>
      </c>
      <c r="BY49" s="106">
        <v>1538.9713529137421</v>
      </c>
      <c r="BZ49" s="106">
        <v>0</v>
      </c>
      <c r="CA49" s="106">
        <v>0</v>
      </c>
      <c r="CB49" s="106">
        <v>0</v>
      </c>
      <c r="CC49" s="106">
        <v>0</v>
      </c>
      <c r="CD49" s="106">
        <v>0</v>
      </c>
      <c r="CE49" s="106">
        <v>0</v>
      </c>
      <c r="CF49" s="106">
        <v>0</v>
      </c>
      <c r="CG49" s="106">
        <v>0</v>
      </c>
      <c r="CH49" s="106">
        <v>0</v>
      </c>
      <c r="CI49" s="106">
        <v>0</v>
      </c>
      <c r="CJ49" s="106">
        <v>0</v>
      </c>
      <c r="CK49" s="106">
        <v>0</v>
      </c>
      <c r="CL49" s="106">
        <v>0</v>
      </c>
      <c r="CM49" s="106">
        <v>0</v>
      </c>
      <c r="CN49" s="106">
        <v>0</v>
      </c>
      <c r="CO49" s="106">
        <v>0</v>
      </c>
      <c r="CP49" s="106">
        <v>0</v>
      </c>
      <c r="CQ49" s="106">
        <v>0</v>
      </c>
      <c r="CR49" s="106">
        <v>0</v>
      </c>
      <c r="CS49" s="106">
        <v>0</v>
      </c>
      <c r="CT49" s="106">
        <v>0</v>
      </c>
      <c r="CU49" s="106">
        <v>0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0</v>
      </c>
      <c r="E56" s="106">
        <v>0</v>
      </c>
      <c r="F56" s="106">
        <v>0</v>
      </c>
      <c r="G56" s="106">
        <v>0</v>
      </c>
      <c r="H56" s="106">
        <v>0</v>
      </c>
      <c r="I56" s="106">
        <v>0</v>
      </c>
      <c r="J56" s="106">
        <v>0</v>
      </c>
      <c r="K56" s="106">
        <v>0</v>
      </c>
      <c r="L56" s="106">
        <v>0</v>
      </c>
      <c r="M56" s="106">
        <v>0</v>
      </c>
      <c r="N56" s="106">
        <v>0</v>
      </c>
      <c r="O56" s="106">
        <v>0</v>
      </c>
      <c r="P56" s="106">
        <v>0</v>
      </c>
      <c r="Q56" s="106">
        <v>0</v>
      </c>
      <c r="R56" s="106">
        <v>0</v>
      </c>
      <c r="S56" s="106">
        <v>0</v>
      </c>
      <c r="T56" s="106">
        <v>0</v>
      </c>
      <c r="U56" s="106">
        <v>0</v>
      </c>
      <c r="V56" s="106">
        <v>0</v>
      </c>
      <c r="W56" s="106">
        <v>0</v>
      </c>
      <c r="X56" s="106">
        <v>0</v>
      </c>
      <c r="Y56" s="106">
        <v>0</v>
      </c>
      <c r="Z56" s="106">
        <v>0</v>
      </c>
      <c r="AA56" s="106">
        <v>0</v>
      </c>
      <c r="AB56" s="106">
        <v>0</v>
      </c>
      <c r="AC56" s="106">
        <v>0</v>
      </c>
      <c r="AD56" s="106">
        <v>0</v>
      </c>
      <c r="AE56" s="106">
        <v>0</v>
      </c>
      <c r="AF56" s="106">
        <v>0</v>
      </c>
      <c r="AG56" s="106">
        <v>0</v>
      </c>
      <c r="AH56" s="106">
        <v>0</v>
      </c>
      <c r="AI56" s="106">
        <v>0</v>
      </c>
      <c r="AJ56" s="106">
        <v>0</v>
      </c>
      <c r="AK56" s="106">
        <v>0</v>
      </c>
      <c r="AL56" s="106">
        <v>0</v>
      </c>
      <c r="AM56" s="106">
        <v>0</v>
      </c>
      <c r="AN56" s="106">
        <v>0</v>
      </c>
      <c r="AO56" s="106">
        <v>0</v>
      </c>
      <c r="AP56" s="106">
        <v>0</v>
      </c>
      <c r="AQ56" s="106">
        <v>0</v>
      </c>
      <c r="AR56" s="106">
        <v>0</v>
      </c>
      <c r="AS56" s="106">
        <v>0</v>
      </c>
      <c r="AT56" s="106">
        <v>0</v>
      </c>
      <c r="AU56" s="106">
        <v>0</v>
      </c>
      <c r="AV56" s="106">
        <v>0</v>
      </c>
      <c r="AW56" s="106">
        <v>0</v>
      </c>
      <c r="AX56" s="106">
        <v>2.4407686519817022</v>
      </c>
      <c r="AY56" s="106">
        <v>2808.836564700543</v>
      </c>
      <c r="AZ56" s="106">
        <v>0</v>
      </c>
      <c r="BA56" s="106">
        <v>0</v>
      </c>
      <c r="BB56" s="106">
        <v>3</v>
      </c>
      <c r="BC56" s="106">
        <v>3452.3999999999996</v>
      </c>
      <c r="BD56" s="106">
        <v>0</v>
      </c>
      <c r="BE56" s="106">
        <v>0</v>
      </c>
      <c r="BF56" s="106">
        <v>0</v>
      </c>
      <c r="BG56" s="106">
        <v>0</v>
      </c>
      <c r="BH56" s="106">
        <v>4</v>
      </c>
      <c r="BI56" s="106">
        <v>4603.2</v>
      </c>
      <c r="BJ56" s="106">
        <v>0</v>
      </c>
      <c r="BK56" s="106">
        <v>0</v>
      </c>
      <c r="BL56" s="106">
        <v>4</v>
      </c>
      <c r="BM56" s="106">
        <v>4603.2</v>
      </c>
      <c r="BN56" s="106">
        <v>5</v>
      </c>
      <c r="BO56" s="106">
        <v>5754</v>
      </c>
      <c r="BP56" s="106">
        <v>9</v>
      </c>
      <c r="BQ56" s="106">
        <v>10357.199999999999</v>
      </c>
      <c r="BR56" s="106">
        <v>9</v>
      </c>
      <c r="BS56" s="106">
        <v>10357.199999999999</v>
      </c>
      <c r="BT56" s="106">
        <v>8</v>
      </c>
      <c r="BU56" s="106">
        <v>9206.4</v>
      </c>
      <c r="BV56" s="106">
        <v>9</v>
      </c>
      <c r="BW56" s="106">
        <v>10357.199999999999</v>
      </c>
      <c r="BX56" s="106">
        <v>1.5620902891938107</v>
      </c>
      <c r="BY56" s="106">
        <v>1797.6535048042372</v>
      </c>
      <c r="BZ56" s="106">
        <v>0</v>
      </c>
      <c r="CA56" s="106">
        <v>0</v>
      </c>
      <c r="CB56" s="106">
        <v>0</v>
      </c>
      <c r="CC56" s="106">
        <v>0</v>
      </c>
      <c r="CD56" s="106">
        <v>0</v>
      </c>
      <c r="CE56" s="106">
        <v>0</v>
      </c>
      <c r="CF56" s="106">
        <v>0</v>
      </c>
      <c r="CG56" s="106">
        <v>0</v>
      </c>
      <c r="CH56" s="106">
        <v>0</v>
      </c>
      <c r="CI56" s="106">
        <v>0</v>
      </c>
      <c r="CJ56" s="106">
        <v>0</v>
      </c>
      <c r="CK56" s="106">
        <v>0</v>
      </c>
      <c r="CL56" s="106">
        <v>0</v>
      </c>
      <c r="CM56" s="106">
        <v>0</v>
      </c>
      <c r="CN56" s="106">
        <v>0</v>
      </c>
      <c r="CO56" s="106">
        <v>0</v>
      </c>
      <c r="CP56" s="106">
        <v>0</v>
      </c>
      <c r="CQ56" s="106">
        <v>0</v>
      </c>
      <c r="CR56" s="106">
        <v>0</v>
      </c>
      <c r="CS56" s="106">
        <v>0</v>
      </c>
      <c r="CT56" s="106">
        <v>0</v>
      </c>
      <c r="CU56" s="106">
        <v>0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2.4407686519817022</v>
      </c>
      <c r="AY58" s="106">
        <v>2873.27285711286</v>
      </c>
      <c r="AZ58" s="106">
        <v>0</v>
      </c>
      <c r="BA58" s="106">
        <v>0</v>
      </c>
      <c r="BB58" s="106">
        <v>3</v>
      </c>
      <c r="BC58" s="106">
        <v>3531.6000000000004</v>
      </c>
      <c r="BD58" s="106">
        <v>0</v>
      </c>
      <c r="BE58" s="106">
        <v>0</v>
      </c>
      <c r="BF58" s="106">
        <v>0</v>
      </c>
      <c r="BG58" s="106">
        <v>0</v>
      </c>
      <c r="BH58" s="106">
        <v>3</v>
      </c>
      <c r="BI58" s="106">
        <v>3531.6000000000004</v>
      </c>
      <c r="BJ58" s="106">
        <v>0</v>
      </c>
      <c r="BK58" s="106">
        <v>0</v>
      </c>
      <c r="BL58" s="106">
        <v>4</v>
      </c>
      <c r="BM58" s="106">
        <v>4708.8</v>
      </c>
      <c r="BN58" s="106">
        <v>5</v>
      </c>
      <c r="BO58" s="106">
        <v>5886</v>
      </c>
      <c r="BP58" s="106">
        <v>10</v>
      </c>
      <c r="BQ58" s="106">
        <v>11772</v>
      </c>
      <c r="BR58" s="106">
        <v>9</v>
      </c>
      <c r="BS58" s="106">
        <v>10594.800000000001</v>
      </c>
      <c r="BT58" s="106">
        <v>9</v>
      </c>
      <c r="BU58" s="106">
        <v>10594.800000000001</v>
      </c>
      <c r="BV58" s="106">
        <v>9</v>
      </c>
      <c r="BW58" s="106">
        <v>10594.800000000001</v>
      </c>
      <c r="BX58" s="106">
        <v>1.5620902891938107</v>
      </c>
      <c r="BY58" s="106">
        <v>1838.8926884389539</v>
      </c>
      <c r="BZ58" s="106">
        <v>0</v>
      </c>
      <c r="CA58" s="106">
        <v>0</v>
      </c>
      <c r="CB58" s="106">
        <v>0</v>
      </c>
      <c r="CC58" s="106">
        <v>0</v>
      </c>
      <c r="CD58" s="106">
        <v>0</v>
      </c>
      <c r="CE58" s="106">
        <v>0</v>
      </c>
      <c r="CF58" s="106">
        <v>0</v>
      </c>
      <c r="CG58" s="106">
        <v>0</v>
      </c>
      <c r="CH58" s="106">
        <v>0</v>
      </c>
      <c r="CI58" s="106">
        <v>0</v>
      </c>
      <c r="CJ58" s="106">
        <v>0</v>
      </c>
      <c r="CK58" s="106">
        <v>0</v>
      </c>
      <c r="CL58" s="106">
        <v>0</v>
      </c>
      <c r="CM58" s="106">
        <v>0</v>
      </c>
      <c r="CN58" s="106">
        <v>0</v>
      </c>
      <c r="CO58" s="106">
        <v>0</v>
      </c>
      <c r="CP58" s="106">
        <v>0</v>
      </c>
      <c r="CQ58" s="106">
        <v>0</v>
      </c>
      <c r="CR58" s="106">
        <v>0</v>
      </c>
      <c r="CS58" s="106">
        <v>0</v>
      </c>
      <c r="CT58" s="106">
        <v>0</v>
      </c>
      <c r="CU58" s="106">
        <v>0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0</v>
      </c>
      <c r="E71" s="106">
        <v>0</v>
      </c>
      <c r="F71" s="106">
        <v>0</v>
      </c>
      <c r="G71" s="106">
        <v>0</v>
      </c>
      <c r="H71" s="106">
        <v>0</v>
      </c>
      <c r="I71" s="106">
        <v>0</v>
      </c>
      <c r="J71" s="106">
        <v>0</v>
      </c>
      <c r="K71" s="106">
        <v>0</v>
      </c>
      <c r="L71" s="106">
        <v>0</v>
      </c>
      <c r="M71" s="106">
        <v>0</v>
      </c>
      <c r="N71" s="106">
        <v>0</v>
      </c>
      <c r="O71" s="106">
        <v>0</v>
      </c>
      <c r="P71" s="106">
        <v>0</v>
      </c>
      <c r="Q71" s="106">
        <v>0</v>
      </c>
      <c r="R71" s="106">
        <v>0</v>
      </c>
      <c r="S71" s="106">
        <v>0</v>
      </c>
      <c r="T71" s="106">
        <v>0</v>
      </c>
      <c r="U71" s="106">
        <v>0</v>
      </c>
      <c r="V71" s="106">
        <v>0</v>
      </c>
      <c r="W71" s="106">
        <v>0</v>
      </c>
      <c r="X71" s="106">
        <v>0</v>
      </c>
      <c r="Y71" s="106">
        <v>0</v>
      </c>
      <c r="Z71" s="106">
        <v>0</v>
      </c>
      <c r="AA71" s="106">
        <v>0</v>
      </c>
      <c r="AB71" s="106">
        <v>0</v>
      </c>
      <c r="AC71" s="106">
        <v>0</v>
      </c>
      <c r="AD71" s="106">
        <v>0</v>
      </c>
      <c r="AE71" s="106">
        <v>0</v>
      </c>
      <c r="AF71" s="106">
        <v>0</v>
      </c>
      <c r="AG71" s="106">
        <v>0</v>
      </c>
      <c r="AH71" s="106">
        <v>0</v>
      </c>
      <c r="AI71" s="106">
        <v>0</v>
      </c>
      <c r="AJ71" s="106">
        <v>0</v>
      </c>
      <c r="AK71" s="106">
        <v>0</v>
      </c>
      <c r="AL71" s="106">
        <v>0</v>
      </c>
      <c r="AM71" s="106">
        <v>0</v>
      </c>
      <c r="AN71" s="106">
        <v>0</v>
      </c>
      <c r="AO71" s="106">
        <v>0</v>
      </c>
      <c r="AP71" s="106">
        <v>0</v>
      </c>
      <c r="AQ71" s="106">
        <v>0</v>
      </c>
      <c r="AR71" s="106">
        <v>0</v>
      </c>
      <c r="AS71" s="106">
        <v>0</v>
      </c>
      <c r="AT71" s="106">
        <v>0</v>
      </c>
      <c r="AU71" s="106">
        <v>0</v>
      </c>
      <c r="AV71" s="106">
        <v>0</v>
      </c>
      <c r="AW71" s="106">
        <v>0</v>
      </c>
      <c r="AX71" s="106">
        <v>26.848455171798726</v>
      </c>
      <c r="AY71" s="106">
        <v>15142.528716894481</v>
      </c>
      <c r="AZ71" s="106">
        <v>0</v>
      </c>
      <c r="BA71" s="106">
        <v>0</v>
      </c>
      <c r="BB71" s="106">
        <v>3</v>
      </c>
      <c r="BC71" s="106">
        <v>1692</v>
      </c>
      <c r="BD71" s="106">
        <v>0</v>
      </c>
      <c r="BE71" s="106">
        <v>0</v>
      </c>
      <c r="BF71" s="106">
        <v>0</v>
      </c>
      <c r="BG71" s="106">
        <v>0</v>
      </c>
      <c r="BH71" s="106">
        <v>3</v>
      </c>
      <c r="BI71" s="106">
        <v>1692</v>
      </c>
      <c r="BJ71" s="106">
        <v>0</v>
      </c>
      <c r="BK71" s="106">
        <v>0</v>
      </c>
      <c r="BL71" s="106">
        <v>3</v>
      </c>
      <c r="BM71" s="106">
        <v>1692</v>
      </c>
      <c r="BN71" s="106">
        <v>2</v>
      </c>
      <c r="BO71" s="106">
        <v>1128</v>
      </c>
      <c r="BP71" s="106">
        <v>3</v>
      </c>
      <c r="BQ71" s="106">
        <v>1692</v>
      </c>
      <c r="BR71" s="106">
        <v>3</v>
      </c>
      <c r="BS71" s="106">
        <v>1692</v>
      </c>
      <c r="BT71" s="106">
        <v>4</v>
      </c>
      <c r="BU71" s="106">
        <v>2256</v>
      </c>
      <c r="BV71" s="106">
        <v>3</v>
      </c>
      <c r="BW71" s="106">
        <v>1692</v>
      </c>
      <c r="BX71" s="106">
        <v>9.3725417351628639</v>
      </c>
      <c r="BY71" s="106">
        <v>5286.1135386318556</v>
      </c>
      <c r="BZ71" s="106">
        <v>0</v>
      </c>
      <c r="CA71" s="106">
        <v>0</v>
      </c>
      <c r="CB71" s="106">
        <v>0</v>
      </c>
      <c r="CC71" s="106">
        <v>0</v>
      </c>
      <c r="CD71" s="106">
        <v>0</v>
      </c>
      <c r="CE71" s="106">
        <v>0</v>
      </c>
      <c r="CF71" s="106">
        <v>0</v>
      </c>
      <c r="CG71" s="106">
        <v>0</v>
      </c>
      <c r="CH71" s="106">
        <v>0</v>
      </c>
      <c r="CI71" s="106">
        <v>0</v>
      </c>
      <c r="CJ71" s="106">
        <v>0</v>
      </c>
      <c r="CK71" s="106">
        <v>0</v>
      </c>
      <c r="CL71" s="106">
        <v>0</v>
      </c>
      <c r="CM71" s="106">
        <v>0</v>
      </c>
      <c r="CN71" s="106">
        <v>0</v>
      </c>
      <c r="CO71" s="106">
        <v>0</v>
      </c>
      <c r="CP71" s="106">
        <v>0</v>
      </c>
      <c r="CQ71" s="106">
        <v>0</v>
      </c>
      <c r="CR71" s="106">
        <v>0</v>
      </c>
      <c r="CS71" s="106">
        <v>0</v>
      </c>
      <c r="CT71" s="106">
        <v>0</v>
      </c>
      <c r="CU71" s="106">
        <v>0</v>
      </c>
    </row>
    <row r="72" spans="2:99" x14ac:dyDescent="0.2">
      <c r="C72" s="105" t="s">
        <v>238</v>
      </c>
      <c r="D72" s="106">
        <v>0</v>
      </c>
      <c r="E72" s="106">
        <v>0</v>
      </c>
      <c r="F72" s="106">
        <v>0</v>
      </c>
      <c r="G72" s="106">
        <v>0</v>
      </c>
      <c r="H72" s="106">
        <v>0</v>
      </c>
      <c r="I72" s="106">
        <v>0</v>
      </c>
      <c r="J72" s="106">
        <v>0</v>
      </c>
      <c r="K72" s="106">
        <v>0</v>
      </c>
      <c r="L72" s="106">
        <v>0</v>
      </c>
      <c r="M72" s="106">
        <v>0</v>
      </c>
      <c r="N72" s="106">
        <v>0</v>
      </c>
      <c r="O72" s="106">
        <v>0</v>
      </c>
      <c r="P72" s="106">
        <v>0</v>
      </c>
      <c r="Q72" s="106">
        <v>0</v>
      </c>
      <c r="R72" s="106">
        <v>0</v>
      </c>
      <c r="S72" s="106">
        <v>0</v>
      </c>
      <c r="T72" s="106">
        <v>0</v>
      </c>
      <c r="U72" s="106">
        <v>0</v>
      </c>
      <c r="V72" s="106">
        <v>0</v>
      </c>
      <c r="W72" s="106">
        <v>0</v>
      </c>
      <c r="X72" s="106">
        <v>0</v>
      </c>
      <c r="Y72" s="106">
        <v>0</v>
      </c>
      <c r="Z72" s="106">
        <v>0</v>
      </c>
      <c r="AA72" s="106">
        <v>0</v>
      </c>
      <c r="AB72" s="106">
        <v>0</v>
      </c>
      <c r="AC72" s="106">
        <v>0</v>
      </c>
      <c r="AD72" s="106">
        <v>0</v>
      </c>
      <c r="AE72" s="106">
        <v>0</v>
      </c>
      <c r="AF72" s="106">
        <v>0</v>
      </c>
      <c r="AG72" s="106">
        <v>0</v>
      </c>
      <c r="AH72" s="106">
        <v>0</v>
      </c>
      <c r="AI72" s="106">
        <v>0</v>
      </c>
      <c r="AJ72" s="106">
        <v>0</v>
      </c>
      <c r="AK72" s="106">
        <v>0</v>
      </c>
      <c r="AL72" s="106">
        <v>0</v>
      </c>
      <c r="AM72" s="106">
        <v>0</v>
      </c>
      <c r="AN72" s="106">
        <v>0</v>
      </c>
      <c r="AO72" s="106">
        <v>0</v>
      </c>
      <c r="AP72" s="106">
        <v>0</v>
      </c>
      <c r="AQ72" s="106">
        <v>0</v>
      </c>
      <c r="AR72" s="106">
        <v>0</v>
      </c>
      <c r="AS72" s="106">
        <v>0</v>
      </c>
      <c r="AT72" s="106">
        <v>0</v>
      </c>
      <c r="AU72" s="106">
        <v>0</v>
      </c>
      <c r="AV72" s="106">
        <v>0</v>
      </c>
      <c r="AW72" s="106">
        <v>0</v>
      </c>
      <c r="AX72" s="106">
        <v>28.068839497789575</v>
      </c>
      <c r="AY72" s="106">
        <v>2088.3216586355443</v>
      </c>
      <c r="AZ72" s="106">
        <v>0</v>
      </c>
      <c r="BA72" s="106">
        <v>0</v>
      </c>
      <c r="BB72" s="106">
        <v>3</v>
      </c>
      <c r="BC72" s="106">
        <v>223.2</v>
      </c>
      <c r="BD72" s="106">
        <v>0</v>
      </c>
      <c r="BE72" s="106">
        <v>0</v>
      </c>
      <c r="BF72" s="106">
        <v>0</v>
      </c>
      <c r="BG72" s="106">
        <v>0</v>
      </c>
      <c r="BH72" s="106">
        <v>3</v>
      </c>
      <c r="BI72" s="106">
        <v>223.2</v>
      </c>
      <c r="BJ72" s="106">
        <v>0</v>
      </c>
      <c r="BK72" s="106">
        <v>0</v>
      </c>
      <c r="BL72" s="106">
        <v>3</v>
      </c>
      <c r="BM72" s="106">
        <v>223.2</v>
      </c>
      <c r="BN72" s="106">
        <v>2</v>
      </c>
      <c r="BO72" s="106">
        <v>148.79999999999998</v>
      </c>
      <c r="BP72" s="106">
        <v>3</v>
      </c>
      <c r="BQ72" s="106">
        <v>223.2</v>
      </c>
      <c r="BR72" s="106">
        <v>3</v>
      </c>
      <c r="BS72" s="106">
        <v>223.2</v>
      </c>
      <c r="BT72" s="106">
        <v>4</v>
      </c>
      <c r="BU72" s="106">
        <v>297.59999999999997</v>
      </c>
      <c r="BV72" s="106">
        <v>3</v>
      </c>
      <c r="BW72" s="106">
        <v>223.2</v>
      </c>
      <c r="BX72" s="106">
        <v>11.715677168953579</v>
      </c>
      <c r="BY72" s="106">
        <v>871.64638137014617</v>
      </c>
      <c r="BZ72" s="106">
        <v>0</v>
      </c>
      <c r="CA72" s="106">
        <v>0</v>
      </c>
      <c r="CB72" s="106">
        <v>0</v>
      </c>
      <c r="CC72" s="106">
        <v>0</v>
      </c>
      <c r="CD72" s="106">
        <v>0</v>
      </c>
      <c r="CE72" s="106">
        <v>0</v>
      </c>
      <c r="CF72" s="106">
        <v>0</v>
      </c>
      <c r="CG72" s="106">
        <v>0</v>
      </c>
      <c r="CH72" s="106">
        <v>0</v>
      </c>
      <c r="CI72" s="106">
        <v>0</v>
      </c>
      <c r="CJ72" s="106">
        <v>0</v>
      </c>
      <c r="CK72" s="106">
        <v>0</v>
      </c>
      <c r="CL72" s="106">
        <v>0</v>
      </c>
      <c r="CM72" s="106">
        <v>0</v>
      </c>
      <c r="CN72" s="106">
        <v>0</v>
      </c>
      <c r="CO72" s="106">
        <v>0</v>
      </c>
      <c r="CP72" s="106">
        <v>0</v>
      </c>
      <c r="CQ72" s="106">
        <v>0</v>
      </c>
      <c r="CR72" s="106">
        <v>0</v>
      </c>
      <c r="CS72" s="106">
        <v>0</v>
      </c>
      <c r="CT72" s="106">
        <v>0</v>
      </c>
      <c r="CU72" s="106">
        <v>0</v>
      </c>
    </row>
    <row r="73" spans="2:99" x14ac:dyDescent="0.2">
      <c r="C73" s="105" t="s">
        <v>239</v>
      </c>
      <c r="D73" s="106">
        <v>0</v>
      </c>
      <c r="E73" s="106">
        <v>0</v>
      </c>
      <c r="F73" s="106">
        <v>0</v>
      </c>
      <c r="G73" s="106">
        <v>0</v>
      </c>
      <c r="H73" s="106">
        <v>0</v>
      </c>
      <c r="I73" s="106">
        <v>0</v>
      </c>
      <c r="J73" s="106">
        <v>0</v>
      </c>
      <c r="K73" s="106">
        <v>0</v>
      </c>
      <c r="L73" s="106">
        <v>0</v>
      </c>
      <c r="M73" s="106">
        <v>0</v>
      </c>
      <c r="N73" s="106">
        <v>0</v>
      </c>
      <c r="O73" s="106">
        <v>0</v>
      </c>
      <c r="P73" s="106">
        <v>0</v>
      </c>
      <c r="Q73" s="106">
        <v>0</v>
      </c>
      <c r="R73" s="106">
        <v>0</v>
      </c>
      <c r="S73" s="106">
        <v>0</v>
      </c>
      <c r="T73" s="106">
        <v>0</v>
      </c>
      <c r="U73" s="106">
        <v>0</v>
      </c>
      <c r="V73" s="106">
        <v>0</v>
      </c>
      <c r="W73" s="106">
        <v>0</v>
      </c>
      <c r="X73" s="106">
        <v>0</v>
      </c>
      <c r="Y73" s="106">
        <v>0</v>
      </c>
      <c r="Z73" s="106">
        <v>0</v>
      </c>
      <c r="AA73" s="106">
        <v>0</v>
      </c>
      <c r="AB73" s="106">
        <v>0</v>
      </c>
      <c r="AC73" s="106">
        <v>0</v>
      </c>
      <c r="AD73" s="106">
        <v>0</v>
      </c>
      <c r="AE73" s="106">
        <v>0</v>
      </c>
      <c r="AF73" s="106">
        <v>0</v>
      </c>
      <c r="AG73" s="106">
        <v>0</v>
      </c>
      <c r="AH73" s="106">
        <v>0</v>
      </c>
      <c r="AI73" s="106">
        <v>0</v>
      </c>
      <c r="AJ73" s="106">
        <v>0</v>
      </c>
      <c r="AK73" s="106">
        <v>0</v>
      </c>
      <c r="AL73" s="106">
        <v>0</v>
      </c>
      <c r="AM73" s="106">
        <v>0</v>
      </c>
      <c r="AN73" s="106">
        <v>0</v>
      </c>
      <c r="AO73" s="106">
        <v>0</v>
      </c>
      <c r="AP73" s="106">
        <v>0</v>
      </c>
      <c r="AQ73" s="106">
        <v>0</v>
      </c>
      <c r="AR73" s="106">
        <v>0</v>
      </c>
      <c r="AS73" s="106">
        <v>0</v>
      </c>
      <c r="AT73" s="106">
        <v>0</v>
      </c>
      <c r="AU73" s="106">
        <v>0</v>
      </c>
      <c r="AV73" s="106">
        <v>0</v>
      </c>
      <c r="AW73" s="106">
        <v>0</v>
      </c>
      <c r="AX73" s="106">
        <v>25.628070845807873</v>
      </c>
      <c r="AY73" s="106">
        <v>14331.217216975761</v>
      </c>
      <c r="AZ73" s="106">
        <v>0</v>
      </c>
      <c r="BA73" s="106">
        <v>0</v>
      </c>
      <c r="BB73" s="106">
        <v>3</v>
      </c>
      <c r="BC73" s="106">
        <v>1677.6</v>
      </c>
      <c r="BD73" s="106">
        <v>0</v>
      </c>
      <c r="BE73" s="106">
        <v>0</v>
      </c>
      <c r="BF73" s="106">
        <v>0</v>
      </c>
      <c r="BG73" s="106">
        <v>0</v>
      </c>
      <c r="BH73" s="106">
        <v>3</v>
      </c>
      <c r="BI73" s="106">
        <v>1677.6</v>
      </c>
      <c r="BJ73" s="106">
        <v>0</v>
      </c>
      <c r="BK73" s="106">
        <v>0</v>
      </c>
      <c r="BL73" s="106">
        <v>2</v>
      </c>
      <c r="BM73" s="106">
        <v>1118.3999999999999</v>
      </c>
      <c r="BN73" s="106">
        <v>2</v>
      </c>
      <c r="BO73" s="106">
        <v>1118.3999999999999</v>
      </c>
      <c r="BP73" s="106">
        <v>3</v>
      </c>
      <c r="BQ73" s="106">
        <v>1677.6</v>
      </c>
      <c r="BR73" s="106">
        <v>3</v>
      </c>
      <c r="BS73" s="106">
        <v>1677.6</v>
      </c>
      <c r="BT73" s="106">
        <v>5</v>
      </c>
      <c r="BU73" s="106">
        <v>2795.9999999999995</v>
      </c>
      <c r="BV73" s="106">
        <v>3</v>
      </c>
      <c r="BW73" s="106">
        <v>1677.6</v>
      </c>
      <c r="BX73" s="106">
        <v>9.3725417351628639</v>
      </c>
      <c r="BY73" s="106">
        <v>5241.1253383030726</v>
      </c>
      <c r="BZ73" s="106">
        <v>0</v>
      </c>
      <c r="CA73" s="106">
        <v>0</v>
      </c>
      <c r="CB73" s="106">
        <v>0</v>
      </c>
      <c r="CC73" s="106">
        <v>0</v>
      </c>
      <c r="CD73" s="106">
        <v>0</v>
      </c>
      <c r="CE73" s="106">
        <v>0</v>
      </c>
      <c r="CF73" s="106">
        <v>0</v>
      </c>
      <c r="CG73" s="106">
        <v>0</v>
      </c>
      <c r="CH73" s="106">
        <v>0</v>
      </c>
      <c r="CI73" s="106">
        <v>0</v>
      </c>
      <c r="CJ73" s="106">
        <v>0</v>
      </c>
      <c r="CK73" s="106">
        <v>0</v>
      </c>
      <c r="CL73" s="106">
        <v>0</v>
      </c>
      <c r="CM73" s="106">
        <v>0</v>
      </c>
      <c r="CN73" s="106">
        <v>0</v>
      </c>
      <c r="CO73" s="106">
        <v>0</v>
      </c>
      <c r="CP73" s="106">
        <v>0</v>
      </c>
      <c r="CQ73" s="106">
        <v>0</v>
      </c>
      <c r="CR73" s="106">
        <v>0</v>
      </c>
      <c r="CS73" s="106">
        <v>0</v>
      </c>
      <c r="CT73" s="106">
        <v>0</v>
      </c>
      <c r="CU73" s="106">
        <v>0</v>
      </c>
    </row>
    <row r="74" spans="2:99" x14ac:dyDescent="0.2">
      <c r="C74" s="105" t="s">
        <v>240</v>
      </c>
      <c r="D74" s="106">
        <v>0</v>
      </c>
      <c r="E74" s="106">
        <v>0</v>
      </c>
      <c r="F74" s="106">
        <v>0</v>
      </c>
      <c r="G74" s="106">
        <v>0</v>
      </c>
      <c r="H74" s="106">
        <v>0</v>
      </c>
      <c r="I74" s="106">
        <v>0</v>
      </c>
      <c r="J74" s="106">
        <v>0</v>
      </c>
      <c r="K74" s="106">
        <v>0</v>
      </c>
      <c r="L74" s="106">
        <v>0</v>
      </c>
      <c r="M74" s="106">
        <v>0</v>
      </c>
      <c r="N74" s="106">
        <v>0</v>
      </c>
      <c r="O74" s="106">
        <v>0</v>
      </c>
      <c r="P74" s="106">
        <v>0</v>
      </c>
      <c r="Q74" s="106">
        <v>0</v>
      </c>
      <c r="R74" s="106">
        <v>0</v>
      </c>
      <c r="S74" s="106">
        <v>0</v>
      </c>
      <c r="T74" s="106">
        <v>0</v>
      </c>
      <c r="U74" s="106">
        <v>0</v>
      </c>
      <c r="V74" s="106">
        <v>0</v>
      </c>
      <c r="W74" s="106">
        <v>0</v>
      </c>
      <c r="X74" s="106">
        <v>0</v>
      </c>
      <c r="Y74" s="106">
        <v>0</v>
      </c>
      <c r="Z74" s="106">
        <v>0</v>
      </c>
      <c r="AA74" s="106">
        <v>0</v>
      </c>
      <c r="AB74" s="106">
        <v>0</v>
      </c>
      <c r="AC74" s="106">
        <v>0</v>
      </c>
      <c r="AD74" s="106">
        <v>0</v>
      </c>
      <c r="AE74" s="106">
        <v>0</v>
      </c>
      <c r="AF74" s="106">
        <v>0</v>
      </c>
      <c r="AG74" s="106">
        <v>0</v>
      </c>
      <c r="AH74" s="106">
        <v>0</v>
      </c>
      <c r="AI74" s="106">
        <v>0</v>
      </c>
      <c r="AJ74" s="106">
        <v>0</v>
      </c>
      <c r="AK74" s="106">
        <v>0</v>
      </c>
      <c r="AL74" s="106">
        <v>0</v>
      </c>
      <c r="AM74" s="106">
        <v>0</v>
      </c>
      <c r="AN74" s="106">
        <v>0</v>
      </c>
      <c r="AO74" s="106">
        <v>0</v>
      </c>
      <c r="AP74" s="106">
        <v>0</v>
      </c>
      <c r="AQ74" s="106">
        <v>0</v>
      </c>
      <c r="AR74" s="106">
        <v>0</v>
      </c>
      <c r="AS74" s="106">
        <v>0</v>
      </c>
      <c r="AT74" s="106">
        <v>0</v>
      </c>
      <c r="AU74" s="106">
        <v>0</v>
      </c>
      <c r="AV74" s="106">
        <v>0</v>
      </c>
      <c r="AW74" s="106">
        <v>0</v>
      </c>
      <c r="AX74" s="106">
        <v>23.18730219382617</v>
      </c>
      <c r="AY74" s="106">
        <v>9349.1202445507115</v>
      </c>
      <c r="AZ74" s="106">
        <v>0</v>
      </c>
      <c r="BA74" s="106">
        <v>0</v>
      </c>
      <c r="BB74" s="106">
        <v>3</v>
      </c>
      <c r="BC74" s="106">
        <v>1209.5999999999999</v>
      </c>
      <c r="BD74" s="106">
        <v>0</v>
      </c>
      <c r="BE74" s="106">
        <v>0</v>
      </c>
      <c r="BF74" s="106">
        <v>0</v>
      </c>
      <c r="BG74" s="106">
        <v>0</v>
      </c>
      <c r="BH74" s="106">
        <v>4</v>
      </c>
      <c r="BI74" s="106">
        <v>1612.8</v>
      </c>
      <c r="BJ74" s="106">
        <v>0</v>
      </c>
      <c r="BK74" s="106">
        <v>0</v>
      </c>
      <c r="BL74" s="106">
        <v>2</v>
      </c>
      <c r="BM74" s="106">
        <v>806.4</v>
      </c>
      <c r="BN74" s="106">
        <v>2</v>
      </c>
      <c r="BO74" s="106">
        <v>806.4</v>
      </c>
      <c r="BP74" s="106">
        <v>3</v>
      </c>
      <c r="BQ74" s="106">
        <v>1209.5999999999999</v>
      </c>
      <c r="BR74" s="106">
        <v>3</v>
      </c>
      <c r="BS74" s="106">
        <v>1209.5999999999999</v>
      </c>
      <c r="BT74" s="106">
        <v>4</v>
      </c>
      <c r="BU74" s="106">
        <v>1612.8</v>
      </c>
      <c r="BV74" s="106">
        <v>3</v>
      </c>
      <c r="BW74" s="106">
        <v>1209.5999999999999</v>
      </c>
      <c r="BX74" s="106">
        <v>10.153586879759768</v>
      </c>
      <c r="BY74" s="106">
        <v>4093.9262299191382</v>
      </c>
      <c r="BZ74" s="106">
        <v>0</v>
      </c>
      <c r="CA74" s="106">
        <v>0</v>
      </c>
      <c r="CB74" s="106">
        <v>0</v>
      </c>
      <c r="CC74" s="106">
        <v>0</v>
      </c>
      <c r="CD74" s="106">
        <v>0</v>
      </c>
      <c r="CE74" s="106">
        <v>0</v>
      </c>
      <c r="CF74" s="106">
        <v>0</v>
      </c>
      <c r="CG74" s="106">
        <v>0</v>
      </c>
      <c r="CH74" s="106">
        <v>0</v>
      </c>
      <c r="CI74" s="106">
        <v>0</v>
      </c>
      <c r="CJ74" s="106">
        <v>0</v>
      </c>
      <c r="CK74" s="106">
        <v>0</v>
      </c>
      <c r="CL74" s="106">
        <v>0</v>
      </c>
      <c r="CM74" s="106">
        <v>0</v>
      </c>
      <c r="CN74" s="106">
        <v>0</v>
      </c>
      <c r="CO74" s="106">
        <v>0</v>
      </c>
      <c r="CP74" s="106">
        <v>0</v>
      </c>
      <c r="CQ74" s="106">
        <v>0</v>
      </c>
      <c r="CR74" s="106">
        <v>0</v>
      </c>
      <c r="CS74" s="106">
        <v>0</v>
      </c>
      <c r="CT74" s="106">
        <v>0</v>
      </c>
      <c r="CU74" s="106">
        <v>0</v>
      </c>
    </row>
    <row r="75" spans="2:99" x14ac:dyDescent="0.2">
      <c r="C75" s="105" t="s">
        <v>241</v>
      </c>
      <c r="D75" s="106">
        <v>0</v>
      </c>
      <c r="E75" s="106">
        <v>0</v>
      </c>
      <c r="F75" s="106">
        <v>0</v>
      </c>
      <c r="G75" s="106">
        <v>0</v>
      </c>
      <c r="H75" s="106">
        <v>0</v>
      </c>
      <c r="I75" s="106">
        <v>0</v>
      </c>
      <c r="J75" s="106">
        <v>0</v>
      </c>
      <c r="K75" s="106">
        <v>0</v>
      </c>
      <c r="L75" s="106">
        <v>0</v>
      </c>
      <c r="M75" s="106">
        <v>0</v>
      </c>
      <c r="N75" s="106">
        <v>0</v>
      </c>
      <c r="O75" s="106">
        <v>0</v>
      </c>
      <c r="P75" s="106">
        <v>0</v>
      </c>
      <c r="Q75" s="106">
        <v>0</v>
      </c>
      <c r="R75" s="106">
        <v>0</v>
      </c>
      <c r="S75" s="106">
        <v>0</v>
      </c>
      <c r="T75" s="106">
        <v>0</v>
      </c>
      <c r="U75" s="106">
        <v>0</v>
      </c>
      <c r="V75" s="106">
        <v>0</v>
      </c>
      <c r="W75" s="106">
        <v>0</v>
      </c>
      <c r="X75" s="106">
        <v>0</v>
      </c>
      <c r="Y75" s="106">
        <v>0</v>
      </c>
      <c r="Z75" s="106">
        <v>0</v>
      </c>
      <c r="AA75" s="106">
        <v>0</v>
      </c>
      <c r="AB75" s="106">
        <v>0</v>
      </c>
      <c r="AC75" s="106">
        <v>0</v>
      </c>
      <c r="AD75" s="106">
        <v>0</v>
      </c>
      <c r="AE75" s="106">
        <v>0</v>
      </c>
      <c r="AF75" s="106">
        <v>0</v>
      </c>
      <c r="AG75" s="106">
        <v>0</v>
      </c>
      <c r="AH75" s="106">
        <v>0</v>
      </c>
      <c r="AI75" s="106">
        <v>0</v>
      </c>
      <c r="AJ75" s="106">
        <v>0</v>
      </c>
      <c r="AK75" s="106">
        <v>0</v>
      </c>
      <c r="AL75" s="106">
        <v>0</v>
      </c>
      <c r="AM75" s="106">
        <v>0</v>
      </c>
      <c r="AN75" s="106">
        <v>0</v>
      </c>
      <c r="AO75" s="106">
        <v>0</v>
      </c>
      <c r="AP75" s="106">
        <v>0</v>
      </c>
      <c r="AQ75" s="106">
        <v>0</v>
      </c>
      <c r="AR75" s="106">
        <v>0</v>
      </c>
      <c r="AS75" s="106">
        <v>0</v>
      </c>
      <c r="AT75" s="106">
        <v>0</v>
      </c>
      <c r="AU75" s="106">
        <v>0</v>
      </c>
      <c r="AV75" s="106">
        <v>0</v>
      </c>
      <c r="AW75" s="106">
        <v>0</v>
      </c>
      <c r="AX75" s="106">
        <v>26.848455171798726</v>
      </c>
      <c r="AY75" s="106">
        <v>17268.926366500938</v>
      </c>
      <c r="AZ75" s="106">
        <v>0</v>
      </c>
      <c r="BA75" s="106">
        <v>0</v>
      </c>
      <c r="BB75" s="106">
        <v>3</v>
      </c>
      <c r="BC75" s="106">
        <v>1929.6</v>
      </c>
      <c r="BD75" s="106">
        <v>0</v>
      </c>
      <c r="BE75" s="106">
        <v>0</v>
      </c>
      <c r="BF75" s="106">
        <v>0</v>
      </c>
      <c r="BG75" s="106">
        <v>0</v>
      </c>
      <c r="BH75" s="106">
        <v>3</v>
      </c>
      <c r="BI75" s="106">
        <v>1929.6</v>
      </c>
      <c r="BJ75" s="106">
        <v>0</v>
      </c>
      <c r="BK75" s="106">
        <v>0</v>
      </c>
      <c r="BL75" s="106">
        <v>2</v>
      </c>
      <c r="BM75" s="106">
        <v>1286.3999999999999</v>
      </c>
      <c r="BN75" s="106">
        <v>2</v>
      </c>
      <c r="BO75" s="106">
        <v>1286.3999999999999</v>
      </c>
      <c r="BP75" s="106">
        <v>3</v>
      </c>
      <c r="BQ75" s="106">
        <v>1929.6</v>
      </c>
      <c r="BR75" s="106">
        <v>3</v>
      </c>
      <c r="BS75" s="106">
        <v>1929.6</v>
      </c>
      <c r="BT75" s="106">
        <v>4</v>
      </c>
      <c r="BU75" s="106">
        <v>2572.7999999999997</v>
      </c>
      <c r="BV75" s="106">
        <v>3</v>
      </c>
      <c r="BW75" s="106">
        <v>1929.6</v>
      </c>
      <c r="BX75" s="106">
        <v>10.153586879759768</v>
      </c>
      <c r="BY75" s="106">
        <v>6530.7870810614822</v>
      </c>
      <c r="BZ75" s="106">
        <v>0</v>
      </c>
      <c r="CA75" s="106">
        <v>0</v>
      </c>
      <c r="CB75" s="106">
        <v>0</v>
      </c>
      <c r="CC75" s="106">
        <v>0</v>
      </c>
      <c r="CD75" s="106">
        <v>0</v>
      </c>
      <c r="CE75" s="106">
        <v>0</v>
      </c>
      <c r="CF75" s="106">
        <v>0</v>
      </c>
      <c r="CG75" s="106">
        <v>0</v>
      </c>
      <c r="CH75" s="106">
        <v>0</v>
      </c>
      <c r="CI75" s="106">
        <v>0</v>
      </c>
      <c r="CJ75" s="106">
        <v>0</v>
      </c>
      <c r="CK75" s="106">
        <v>0</v>
      </c>
      <c r="CL75" s="106">
        <v>0</v>
      </c>
      <c r="CM75" s="106">
        <v>0</v>
      </c>
      <c r="CN75" s="106">
        <v>0</v>
      </c>
      <c r="CO75" s="106">
        <v>0</v>
      </c>
      <c r="CP75" s="106">
        <v>0</v>
      </c>
      <c r="CQ75" s="106">
        <v>0</v>
      </c>
      <c r="CR75" s="106">
        <v>0</v>
      </c>
      <c r="CS75" s="106">
        <v>0</v>
      </c>
      <c r="CT75" s="106">
        <v>0</v>
      </c>
      <c r="CU75" s="106">
        <v>0</v>
      </c>
    </row>
    <row r="76" spans="2:99" x14ac:dyDescent="0.2">
      <c r="C76" s="105" t="s">
        <v>242</v>
      </c>
      <c r="D76" s="106">
        <v>0</v>
      </c>
      <c r="E76" s="106">
        <v>0</v>
      </c>
      <c r="F76" s="106">
        <v>0</v>
      </c>
      <c r="G76" s="106">
        <v>0</v>
      </c>
      <c r="H76" s="106">
        <v>0</v>
      </c>
      <c r="I76" s="106">
        <v>0</v>
      </c>
      <c r="J76" s="106">
        <v>0</v>
      </c>
      <c r="K76" s="106">
        <v>0</v>
      </c>
      <c r="L76" s="106">
        <v>0</v>
      </c>
      <c r="M76" s="106">
        <v>0</v>
      </c>
      <c r="N76" s="106">
        <v>0</v>
      </c>
      <c r="O76" s="106">
        <v>0</v>
      </c>
      <c r="P76" s="106">
        <v>0</v>
      </c>
      <c r="Q76" s="106">
        <v>0</v>
      </c>
      <c r="R76" s="106">
        <v>0</v>
      </c>
      <c r="S76" s="106">
        <v>0</v>
      </c>
      <c r="T76" s="106">
        <v>0</v>
      </c>
      <c r="U76" s="106">
        <v>0</v>
      </c>
      <c r="V76" s="106">
        <v>0</v>
      </c>
      <c r="W76" s="106">
        <v>0</v>
      </c>
      <c r="X76" s="106">
        <v>0</v>
      </c>
      <c r="Y76" s="106">
        <v>0</v>
      </c>
      <c r="Z76" s="106">
        <v>0</v>
      </c>
      <c r="AA76" s="106">
        <v>0</v>
      </c>
      <c r="AB76" s="106">
        <v>0</v>
      </c>
      <c r="AC76" s="106">
        <v>0</v>
      </c>
      <c r="AD76" s="106">
        <v>0</v>
      </c>
      <c r="AE76" s="106">
        <v>0</v>
      </c>
      <c r="AF76" s="106">
        <v>0</v>
      </c>
      <c r="AG76" s="106">
        <v>0</v>
      </c>
      <c r="AH76" s="106">
        <v>0</v>
      </c>
      <c r="AI76" s="106">
        <v>0</v>
      </c>
      <c r="AJ76" s="106">
        <v>0</v>
      </c>
      <c r="AK76" s="106">
        <v>0</v>
      </c>
      <c r="AL76" s="106">
        <v>0</v>
      </c>
      <c r="AM76" s="106">
        <v>0</v>
      </c>
      <c r="AN76" s="106">
        <v>0</v>
      </c>
      <c r="AO76" s="106">
        <v>0</v>
      </c>
      <c r="AP76" s="106">
        <v>0</v>
      </c>
      <c r="AQ76" s="106">
        <v>0</v>
      </c>
      <c r="AR76" s="106">
        <v>0</v>
      </c>
      <c r="AS76" s="106">
        <v>0</v>
      </c>
      <c r="AT76" s="106">
        <v>0</v>
      </c>
      <c r="AU76" s="106">
        <v>0</v>
      </c>
      <c r="AV76" s="106">
        <v>0</v>
      </c>
      <c r="AW76" s="106">
        <v>0</v>
      </c>
      <c r="AX76" s="106">
        <v>23.797494356821595</v>
      </c>
      <c r="AY76" s="106">
        <v>18533.488605092658</v>
      </c>
      <c r="AZ76" s="106">
        <v>0</v>
      </c>
      <c r="BA76" s="106">
        <v>0</v>
      </c>
      <c r="BB76" s="106">
        <v>3</v>
      </c>
      <c r="BC76" s="106">
        <v>2336.3999999999996</v>
      </c>
      <c r="BD76" s="106">
        <v>0</v>
      </c>
      <c r="BE76" s="106">
        <v>0</v>
      </c>
      <c r="BF76" s="106">
        <v>0</v>
      </c>
      <c r="BG76" s="106">
        <v>0</v>
      </c>
      <c r="BH76" s="106">
        <v>3</v>
      </c>
      <c r="BI76" s="106">
        <v>2336.3999999999996</v>
      </c>
      <c r="BJ76" s="106">
        <v>0</v>
      </c>
      <c r="BK76" s="106">
        <v>0</v>
      </c>
      <c r="BL76" s="106">
        <v>2</v>
      </c>
      <c r="BM76" s="106">
        <v>1557.6</v>
      </c>
      <c r="BN76" s="106">
        <v>2</v>
      </c>
      <c r="BO76" s="106">
        <v>1557.6</v>
      </c>
      <c r="BP76" s="106">
        <v>2</v>
      </c>
      <c r="BQ76" s="106">
        <v>1557.6</v>
      </c>
      <c r="BR76" s="106">
        <v>3</v>
      </c>
      <c r="BS76" s="106">
        <v>2336.3999999999996</v>
      </c>
      <c r="BT76" s="106">
        <v>4</v>
      </c>
      <c r="BU76" s="106">
        <v>3115.2</v>
      </c>
      <c r="BV76" s="106">
        <v>3</v>
      </c>
      <c r="BW76" s="106">
        <v>2336.3999999999996</v>
      </c>
      <c r="BX76" s="106">
        <v>9.7630643074613168</v>
      </c>
      <c r="BY76" s="106">
        <v>7603.4744826508731</v>
      </c>
      <c r="BZ76" s="106">
        <v>0</v>
      </c>
      <c r="CA76" s="106">
        <v>0</v>
      </c>
      <c r="CB76" s="106">
        <v>0</v>
      </c>
      <c r="CC76" s="106">
        <v>0</v>
      </c>
      <c r="CD76" s="106">
        <v>0</v>
      </c>
      <c r="CE76" s="106">
        <v>0</v>
      </c>
      <c r="CF76" s="106">
        <v>0</v>
      </c>
      <c r="CG76" s="106">
        <v>0</v>
      </c>
      <c r="CH76" s="106">
        <v>0</v>
      </c>
      <c r="CI76" s="106">
        <v>0</v>
      </c>
      <c r="CJ76" s="106">
        <v>0</v>
      </c>
      <c r="CK76" s="106">
        <v>0</v>
      </c>
      <c r="CL76" s="106">
        <v>0</v>
      </c>
      <c r="CM76" s="106">
        <v>0</v>
      </c>
      <c r="CN76" s="106">
        <v>0</v>
      </c>
      <c r="CO76" s="106">
        <v>0</v>
      </c>
      <c r="CP76" s="106">
        <v>0</v>
      </c>
      <c r="CQ76" s="106">
        <v>0</v>
      </c>
      <c r="CR76" s="106">
        <v>0</v>
      </c>
      <c r="CS76" s="106">
        <v>0</v>
      </c>
      <c r="CT76" s="106">
        <v>0</v>
      </c>
      <c r="CU76" s="106">
        <v>0</v>
      </c>
    </row>
    <row r="77" spans="2:99" x14ac:dyDescent="0.2">
      <c r="C77" s="105" t="s">
        <v>243</v>
      </c>
      <c r="D77" s="106">
        <v>0</v>
      </c>
      <c r="E77" s="106">
        <v>0</v>
      </c>
      <c r="F77" s="106">
        <v>0</v>
      </c>
      <c r="G77" s="106">
        <v>0</v>
      </c>
      <c r="H77" s="106">
        <v>0</v>
      </c>
      <c r="I77" s="106">
        <v>0</v>
      </c>
      <c r="J77" s="106">
        <v>0</v>
      </c>
      <c r="K77" s="106">
        <v>0</v>
      </c>
      <c r="L77" s="106">
        <v>0</v>
      </c>
      <c r="M77" s="106">
        <v>0</v>
      </c>
      <c r="N77" s="106">
        <v>0</v>
      </c>
      <c r="O77" s="106">
        <v>0</v>
      </c>
      <c r="P77" s="106">
        <v>0</v>
      </c>
      <c r="Q77" s="106">
        <v>0</v>
      </c>
      <c r="R77" s="106">
        <v>0</v>
      </c>
      <c r="S77" s="106">
        <v>0</v>
      </c>
      <c r="T77" s="106">
        <v>0</v>
      </c>
      <c r="U77" s="106">
        <v>0</v>
      </c>
      <c r="V77" s="106">
        <v>0</v>
      </c>
      <c r="W77" s="106">
        <v>0</v>
      </c>
      <c r="X77" s="106">
        <v>0</v>
      </c>
      <c r="Y77" s="106">
        <v>0</v>
      </c>
      <c r="Z77" s="106">
        <v>0</v>
      </c>
      <c r="AA77" s="106">
        <v>0</v>
      </c>
      <c r="AB77" s="106">
        <v>0</v>
      </c>
      <c r="AC77" s="106">
        <v>0</v>
      </c>
      <c r="AD77" s="106">
        <v>0</v>
      </c>
      <c r="AE77" s="106">
        <v>0</v>
      </c>
      <c r="AF77" s="106">
        <v>0</v>
      </c>
      <c r="AG77" s="106">
        <v>0</v>
      </c>
      <c r="AH77" s="106">
        <v>0</v>
      </c>
      <c r="AI77" s="106">
        <v>0</v>
      </c>
      <c r="AJ77" s="106">
        <v>0</v>
      </c>
      <c r="AK77" s="106">
        <v>0</v>
      </c>
      <c r="AL77" s="106">
        <v>0</v>
      </c>
      <c r="AM77" s="106">
        <v>0</v>
      </c>
      <c r="AN77" s="106">
        <v>0</v>
      </c>
      <c r="AO77" s="106">
        <v>0</v>
      </c>
      <c r="AP77" s="106">
        <v>0</v>
      </c>
      <c r="AQ77" s="106">
        <v>0</v>
      </c>
      <c r="AR77" s="106">
        <v>0</v>
      </c>
      <c r="AS77" s="106">
        <v>0</v>
      </c>
      <c r="AT77" s="106">
        <v>0</v>
      </c>
      <c r="AU77" s="106">
        <v>0</v>
      </c>
      <c r="AV77" s="106">
        <v>0</v>
      </c>
      <c r="AW77" s="106">
        <v>0</v>
      </c>
      <c r="AX77" s="106">
        <v>25.628070845807873</v>
      </c>
      <c r="AY77" s="106">
        <v>7134.8549234729107</v>
      </c>
      <c r="AZ77" s="106">
        <v>0</v>
      </c>
      <c r="BA77" s="106">
        <v>0</v>
      </c>
      <c r="BB77" s="106">
        <v>3</v>
      </c>
      <c r="BC77" s="106">
        <v>835.19999999999993</v>
      </c>
      <c r="BD77" s="106">
        <v>0</v>
      </c>
      <c r="BE77" s="106">
        <v>0</v>
      </c>
      <c r="BF77" s="106">
        <v>0</v>
      </c>
      <c r="BG77" s="106">
        <v>0</v>
      </c>
      <c r="BH77" s="106">
        <v>3</v>
      </c>
      <c r="BI77" s="106">
        <v>835.19999999999993</v>
      </c>
      <c r="BJ77" s="106">
        <v>0</v>
      </c>
      <c r="BK77" s="106">
        <v>0</v>
      </c>
      <c r="BL77" s="106">
        <v>2</v>
      </c>
      <c r="BM77" s="106">
        <v>556.79999999999995</v>
      </c>
      <c r="BN77" s="106">
        <v>2</v>
      </c>
      <c r="BO77" s="106">
        <v>556.79999999999995</v>
      </c>
      <c r="BP77" s="106">
        <v>3</v>
      </c>
      <c r="BQ77" s="106">
        <v>835.19999999999993</v>
      </c>
      <c r="BR77" s="106">
        <v>3</v>
      </c>
      <c r="BS77" s="106">
        <v>835.19999999999993</v>
      </c>
      <c r="BT77" s="106">
        <v>4</v>
      </c>
      <c r="BU77" s="106">
        <v>1113.5999999999999</v>
      </c>
      <c r="BV77" s="106">
        <v>3</v>
      </c>
      <c r="BW77" s="106">
        <v>835.19999999999993</v>
      </c>
      <c r="BX77" s="106">
        <v>10.934632024356675</v>
      </c>
      <c r="BY77" s="106">
        <v>3044.201555580898</v>
      </c>
      <c r="BZ77" s="106">
        <v>0</v>
      </c>
      <c r="CA77" s="106">
        <v>0</v>
      </c>
      <c r="CB77" s="106">
        <v>0</v>
      </c>
      <c r="CC77" s="106">
        <v>0</v>
      </c>
      <c r="CD77" s="106">
        <v>0</v>
      </c>
      <c r="CE77" s="106">
        <v>0</v>
      </c>
      <c r="CF77" s="106">
        <v>0</v>
      </c>
      <c r="CG77" s="106">
        <v>0</v>
      </c>
      <c r="CH77" s="106">
        <v>0</v>
      </c>
      <c r="CI77" s="106">
        <v>0</v>
      </c>
      <c r="CJ77" s="106">
        <v>0</v>
      </c>
      <c r="CK77" s="106">
        <v>0</v>
      </c>
      <c r="CL77" s="106">
        <v>0</v>
      </c>
      <c r="CM77" s="106">
        <v>0</v>
      </c>
      <c r="CN77" s="106">
        <v>0</v>
      </c>
      <c r="CO77" s="106">
        <v>0</v>
      </c>
      <c r="CP77" s="106">
        <v>0</v>
      </c>
      <c r="CQ77" s="106">
        <v>0</v>
      </c>
      <c r="CR77" s="106">
        <v>0</v>
      </c>
      <c r="CS77" s="106">
        <v>0</v>
      </c>
      <c r="CT77" s="106">
        <v>0</v>
      </c>
      <c r="CU77" s="106">
        <v>0</v>
      </c>
    </row>
    <row r="78" spans="2:99" x14ac:dyDescent="0.2">
      <c r="C78" s="105" t="s">
        <v>244</v>
      </c>
      <c r="D78" s="106">
        <v>0</v>
      </c>
      <c r="E78" s="106">
        <v>0</v>
      </c>
      <c r="F78" s="106">
        <v>0</v>
      </c>
      <c r="G78" s="106">
        <v>0</v>
      </c>
      <c r="H78" s="106">
        <v>0</v>
      </c>
      <c r="I78" s="106">
        <v>0</v>
      </c>
      <c r="J78" s="106">
        <v>0</v>
      </c>
      <c r="K78" s="106">
        <v>0</v>
      </c>
      <c r="L78" s="106">
        <v>0</v>
      </c>
      <c r="M78" s="106">
        <v>0</v>
      </c>
      <c r="N78" s="106">
        <v>0</v>
      </c>
      <c r="O78" s="106">
        <v>0</v>
      </c>
      <c r="P78" s="106">
        <v>0</v>
      </c>
      <c r="Q78" s="106">
        <v>0</v>
      </c>
      <c r="R78" s="106">
        <v>0</v>
      </c>
      <c r="S78" s="106">
        <v>0</v>
      </c>
      <c r="T78" s="106">
        <v>0</v>
      </c>
      <c r="U78" s="106">
        <v>0</v>
      </c>
      <c r="V78" s="106">
        <v>0</v>
      </c>
      <c r="W78" s="106">
        <v>0</v>
      </c>
      <c r="X78" s="106">
        <v>0</v>
      </c>
      <c r="Y78" s="106">
        <v>0</v>
      </c>
      <c r="Z78" s="106">
        <v>0</v>
      </c>
      <c r="AA78" s="106">
        <v>0</v>
      </c>
      <c r="AB78" s="106">
        <v>0</v>
      </c>
      <c r="AC78" s="106">
        <v>0</v>
      </c>
      <c r="AD78" s="106">
        <v>0</v>
      </c>
      <c r="AE78" s="106">
        <v>0</v>
      </c>
      <c r="AF78" s="106">
        <v>0</v>
      </c>
      <c r="AG78" s="106">
        <v>0</v>
      </c>
      <c r="AH78" s="106">
        <v>0</v>
      </c>
      <c r="AI78" s="106">
        <v>0</v>
      </c>
      <c r="AJ78" s="106">
        <v>0</v>
      </c>
      <c r="AK78" s="106">
        <v>0</v>
      </c>
      <c r="AL78" s="106">
        <v>0</v>
      </c>
      <c r="AM78" s="106">
        <v>0</v>
      </c>
      <c r="AN78" s="106">
        <v>0</v>
      </c>
      <c r="AO78" s="106">
        <v>0</v>
      </c>
      <c r="AP78" s="106">
        <v>0</v>
      </c>
      <c r="AQ78" s="106">
        <v>0</v>
      </c>
      <c r="AR78" s="106">
        <v>0</v>
      </c>
      <c r="AS78" s="106">
        <v>0</v>
      </c>
      <c r="AT78" s="106">
        <v>0</v>
      </c>
      <c r="AU78" s="106">
        <v>0</v>
      </c>
      <c r="AV78" s="106">
        <v>0</v>
      </c>
      <c r="AW78" s="106">
        <v>0</v>
      </c>
      <c r="AX78" s="106">
        <v>23.797494356821595</v>
      </c>
      <c r="AY78" s="106">
        <v>13136.216884965521</v>
      </c>
      <c r="AZ78" s="106">
        <v>0</v>
      </c>
      <c r="BA78" s="106">
        <v>0</v>
      </c>
      <c r="BB78" s="106">
        <v>3</v>
      </c>
      <c r="BC78" s="106">
        <v>1656</v>
      </c>
      <c r="BD78" s="106">
        <v>0</v>
      </c>
      <c r="BE78" s="106">
        <v>0</v>
      </c>
      <c r="BF78" s="106">
        <v>0</v>
      </c>
      <c r="BG78" s="106">
        <v>0</v>
      </c>
      <c r="BH78" s="106">
        <v>3</v>
      </c>
      <c r="BI78" s="106">
        <v>1656</v>
      </c>
      <c r="BJ78" s="106">
        <v>0</v>
      </c>
      <c r="BK78" s="106">
        <v>0</v>
      </c>
      <c r="BL78" s="106">
        <v>2</v>
      </c>
      <c r="BM78" s="106">
        <v>1104</v>
      </c>
      <c r="BN78" s="106">
        <v>2</v>
      </c>
      <c r="BO78" s="106">
        <v>1104</v>
      </c>
      <c r="BP78" s="106">
        <v>3</v>
      </c>
      <c r="BQ78" s="106">
        <v>1656</v>
      </c>
      <c r="BR78" s="106">
        <v>3</v>
      </c>
      <c r="BS78" s="106">
        <v>1656</v>
      </c>
      <c r="BT78" s="106">
        <v>4</v>
      </c>
      <c r="BU78" s="106">
        <v>2208</v>
      </c>
      <c r="BV78" s="106">
        <v>3</v>
      </c>
      <c r="BW78" s="106">
        <v>1656</v>
      </c>
      <c r="BX78" s="106">
        <v>10.153586879759768</v>
      </c>
      <c r="BY78" s="106">
        <v>5604.7799576273919</v>
      </c>
      <c r="BZ78" s="106">
        <v>0</v>
      </c>
      <c r="CA78" s="106">
        <v>0</v>
      </c>
      <c r="CB78" s="106">
        <v>0</v>
      </c>
      <c r="CC78" s="106">
        <v>0</v>
      </c>
      <c r="CD78" s="106">
        <v>0</v>
      </c>
      <c r="CE78" s="106">
        <v>0</v>
      </c>
      <c r="CF78" s="106">
        <v>0</v>
      </c>
      <c r="CG78" s="106">
        <v>0</v>
      </c>
      <c r="CH78" s="106">
        <v>0</v>
      </c>
      <c r="CI78" s="106">
        <v>0</v>
      </c>
      <c r="CJ78" s="106">
        <v>0</v>
      </c>
      <c r="CK78" s="106">
        <v>0</v>
      </c>
      <c r="CL78" s="106">
        <v>0</v>
      </c>
      <c r="CM78" s="106">
        <v>0</v>
      </c>
      <c r="CN78" s="106">
        <v>0</v>
      </c>
      <c r="CO78" s="106">
        <v>0</v>
      </c>
      <c r="CP78" s="106">
        <v>0</v>
      </c>
      <c r="CQ78" s="106">
        <v>0</v>
      </c>
      <c r="CR78" s="106">
        <v>0</v>
      </c>
      <c r="CS78" s="106">
        <v>0</v>
      </c>
      <c r="CT78" s="106">
        <v>0</v>
      </c>
      <c r="CU78" s="106">
        <v>0</v>
      </c>
    </row>
    <row r="79" spans="2:99" x14ac:dyDescent="0.2">
      <c r="C79" s="105" t="s">
        <v>245</v>
      </c>
      <c r="D79" s="106">
        <v>0</v>
      </c>
      <c r="E79" s="106">
        <v>0</v>
      </c>
      <c r="F79" s="106">
        <v>0</v>
      </c>
      <c r="G79" s="106">
        <v>0</v>
      </c>
      <c r="H79" s="106">
        <v>0</v>
      </c>
      <c r="I79" s="106">
        <v>0</v>
      </c>
      <c r="J79" s="106">
        <v>0</v>
      </c>
      <c r="K79" s="106">
        <v>0</v>
      </c>
      <c r="L79" s="106">
        <v>0</v>
      </c>
      <c r="M79" s="106">
        <v>0</v>
      </c>
      <c r="N79" s="106">
        <v>0</v>
      </c>
      <c r="O79" s="106">
        <v>0</v>
      </c>
      <c r="P79" s="106">
        <v>0</v>
      </c>
      <c r="Q79" s="106">
        <v>0</v>
      </c>
      <c r="R79" s="106">
        <v>0</v>
      </c>
      <c r="S79" s="106">
        <v>0</v>
      </c>
      <c r="T79" s="106">
        <v>0</v>
      </c>
      <c r="U79" s="106">
        <v>0</v>
      </c>
      <c r="V79" s="106">
        <v>0</v>
      </c>
      <c r="W79" s="106">
        <v>0</v>
      </c>
      <c r="X79" s="106">
        <v>0</v>
      </c>
      <c r="Y79" s="106">
        <v>0</v>
      </c>
      <c r="Z79" s="106">
        <v>0</v>
      </c>
      <c r="AA79" s="106">
        <v>0</v>
      </c>
      <c r="AB79" s="106">
        <v>0</v>
      </c>
      <c r="AC79" s="106">
        <v>0</v>
      </c>
      <c r="AD79" s="106">
        <v>0</v>
      </c>
      <c r="AE79" s="106">
        <v>0</v>
      </c>
      <c r="AF79" s="106">
        <v>0</v>
      </c>
      <c r="AG79" s="106">
        <v>0</v>
      </c>
      <c r="AH79" s="106">
        <v>0</v>
      </c>
      <c r="AI79" s="106">
        <v>0</v>
      </c>
      <c r="AJ79" s="106">
        <v>0</v>
      </c>
      <c r="AK79" s="106">
        <v>0</v>
      </c>
      <c r="AL79" s="106">
        <v>0</v>
      </c>
      <c r="AM79" s="106">
        <v>0</v>
      </c>
      <c r="AN79" s="106">
        <v>0</v>
      </c>
      <c r="AO79" s="106">
        <v>0</v>
      </c>
      <c r="AP79" s="106">
        <v>0</v>
      </c>
      <c r="AQ79" s="106">
        <v>0</v>
      </c>
      <c r="AR79" s="106">
        <v>0</v>
      </c>
      <c r="AS79" s="106">
        <v>0</v>
      </c>
      <c r="AT79" s="106">
        <v>0</v>
      </c>
      <c r="AU79" s="106">
        <v>0</v>
      </c>
      <c r="AV79" s="106">
        <v>0</v>
      </c>
      <c r="AW79" s="106">
        <v>0</v>
      </c>
      <c r="AX79" s="106">
        <v>25.628070845807873</v>
      </c>
      <c r="AY79" s="106">
        <v>19405.575244445721</v>
      </c>
      <c r="AZ79" s="106">
        <v>0</v>
      </c>
      <c r="BA79" s="106">
        <v>0</v>
      </c>
      <c r="BB79" s="106">
        <v>3</v>
      </c>
      <c r="BC79" s="106">
        <v>2271.6</v>
      </c>
      <c r="BD79" s="106">
        <v>0</v>
      </c>
      <c r="BE79" s="106">
        <v>0</v>
      </c>
      <c r="BF79" s="106">
        <v>0</v>
      </c>
      <c r="BG79" s="106">
        <v>0</v>
      </c>
      <c r="BH79" s="106">
        <v>3</v>
      </c>
      <c r="BI79" s="106">
        <v>2271.6</v>
      </c>
      <c r="BJ79" s="106">
        <v>0</v>
      </c>
      <c r="BK79" s="106">
        <v>0</v>
      </c>
      <c r="BL79" s="106">
        <v>2</v>
      </c>
      <c r="BM79" s="106">
        <v>1514.3999999999999</v>
      </c>
      <c r="BN79" s="106">
        <v>2</v>
      </c>
      <c r="BO79" s="106">
        <v>1514.3999999999999</v>
      </c>
      <c r="BP79" s="106">
        <v>3</v>
      </c>
      <c r="BQ79" s="106">
        <v>2271.6</v>
      </c>
      <c r="BR79" s="106">
        <v>2</v>
      </c>
      <c r="BS79" s="106">
        <v>1514.3999999999999</v>
      </c>
      <c r="BT79" s="106">
        <v>5</v>
      </c>
      <c r="BU79" s="106">
        <v>3785.9999999999995</v>
      </c>
      <c r="BV79" s="106">
        <v>3</v>
      </c>
      <c r="BW79" s="106">
        <v>2271.6</v>
      </c>
      <c r="BX79" s="106">
        <v>10.153586879759768</v>
      </c>
      <c r="BY79" s="106">
        <v>7688.2959853540951</v>
      </c>
      <c r="BZ79" s="106">
        <v>0</v>
      </c>
      <c r="CA79" s="106">
        <v>0</v>
      </c>
      <c r="CB79" s="106">
        <v>0</v>
      </c>
      <c r="CC79" s="106">
        <v>0</v>
      </c>
      <c r="CD79" s="106">
        <v>0</v>
      </c>
      <c r="CE79" s="106">
        <v>0</v>
      </c>
      <c r="CF79" s="106">
        <v>0</v>
      </c>
      <c r="CG79" s="106">
        <v>0</v>
      </c>
      <c r="CH79" s="106">
        <v>0</v>
      </c>
      <c r="CI79" s="106">
        <v>0</v>
      </c>
      <c r="CJ79" s="106">
        <v>0</v>
      </c>
      <c r="CK79" s="106">
        <v>0</v>
      </c>
      <c r="CL79" s="106">
        <v>0</v>
      </c>
      <c r="CM79" s="106">
        <v>0</v>
      </c>
      <c r="CN79" s="106">
        <v>0</v>
      </c>
      <c r="CO79" s="106">
        <v>0</v>
      </c>
      <c r="CP79" s="106">
        <v>0</v>
      </c>
      <c r="CQ79" s="106">
        <v>0</v>
      </c>
      <c r="CR79" s="106">
        <v>0</v>
      </c>
      <c r="CS79" s="106">
        <v>0</v>
      </c>
      <c r="CT79" s="106">
        <v>0</v>
      </c>
      <c r="CU79" s="106">
        <v>0</v>
      </c>
    </row>
    <row r="80" spans="2:99" x14ac:dyDescent="0.2">
      <c r="C80" s="105" t="s">
        <v>246</v>
      </c>
      <c r="D80" s="106">
        <v>0</v>
      </c>
      <c r="E80" s="106">
        <v>0</v>
      </c>
      <c r="F80" s="106">
        <v>0</v>
      </c>
      <c r="G80" s="106">
        <v>0</v>
      </c>
      <c r="H80" s="106">
        <v>0</v>
      </c>
      <c r="I80" s="106">
        <v>0</v>
      </c>
      <c r="J80" s="106">
        <v>0</v>
      </c>
      <c r="K80" s="106">
        <v>0</v>
      </c>
      <c r="L80" s="106">
        <v>0</v>
      </c>
      <c r="M80" s="106">
        <v>0</v>
      </c>
      <c r="N80" s="106">
        <v>0</v>
      </c>
      <c r="O80" s="106">
        <v>0</v>
      </c>
      <c r="P80" s="106">
        <v>0</v>
      </c>
      <c r="Q80" s="106">
        <v>0</v>
      </c>
      <c r="R80" s="106">
        <v>0</v>
      </c>
      <c r="S80" s="106">
        <v>0</v>
      </c>
      <c r="T80" s="106">
        <v>0</v>
      </c>
      <c r="U80" s="106">
        <v>0</v>
      </c>
      <c r="V80" s="106">
        <v>0</v>
      </c>
      <c r="W80" s="106">
        <v>0</v>
      </c>
      <c r="X80" s="106">
        <v>0</v>
      </c>
      <c r="Y80" s="106">
        <v>0</v>
      </c>
      <c r="Z80" s="106">
        <v>0</v>
      </c>
      <c r="AA80" s="106">
        <v>0</v>
      </c>
      <c r="AB80" s="106">
        <v>0</v>
      </c>
      <c r="AC80" s="106">
        <v>0</v>
      </c>
      <c r="AD80" s="106">
        <v>0</v>
      </c>
      <c r="AE80" s="106">
        <v>0</v>
      </c>
      <c r="AF80" s="106">
        <v>0</v>
      </c>
      <c r="AG80" s="106">
        <v>0</v>
      </c>
      <c r="AH80" s="106">
        <v>0</v>
      </c>
      <c r="AI80" s="106">
        <v>0</v>
      </c>
      <c r="AJ80" s="106">
        <v>0</v>
      </c>
      <c r="AK80" s="106">
        <v>0</v>
      </c>
      <c r="AL80" s="106">
        <v>0</v>
      </c>
      <c r="AM80" s="106">
        <v>0</v>
      </c>
      <c r="AN80" s="106">
        <v>0</v>
      </c>
      <c r="AO80" s="106">
        <v>0</v>
      </c>
      <c r="AP80" s="106">
        <v>0</v>
      </c>
      <c r="AQ80" s="106">
        <v>0</v>
      </c>
      <c r="AR80" s="106">
        <v>0</v>
      </c>
      <c r="AS80" s="106">
        <v>0</v>
      </c>
      <c r="AT80" s="106">
        <v>0</v>
      </c>
      <c r="AU80" s="106">
        <v>0</v>
      </c>
      <c r="AV80" s="106">
        <v>0</v>
      </c>
      <c r="AW80" s="106">
        <v>0</v>
      </c>
      <c r="AX80" s="106">
        <v>21.966917867835321</v>
      </c>
      <c r="AY80" s="106">
        <v>17687.762267180999</v>
      </c>
      <c r="AZ80" s="106">
        <v>0</v>
      </c>
      <c r="BA80" s="106">
        <v>0</v>
      </c>
      <c r="BB80" s="106">
        <v>3</v>
      </c>
      <c r="BC80" s="106">
        <v>2415.6</v>
      </c>
      <c r="BD80" s="106">
        <v>0</v>
      </c>
      <c r="BE80" s="106">
        <v>0</v>
      </c>
      <c r="BF80" s="106">
        <v>0</v>
      </c>
      <c r="BG80" s="106">
        <v>0</v>
      </c>
      <c r="BH80" s="106">
        <v>3</v>
      </c>
      <c r="BI80" s="106">
        <v>2415.6</v>
      </c>
      <c r="BJ80" s="106">
        <v>0</v>
      </c>
      <c r="BK80" s="106">
        <v>0</v>
      </c>
      <c r="BL80" s="106">
        <v>2</v>
      </c>
      <c r="BM80" s="106">
        <v>1610.3999999999999</v>
      </c>
      <c r="BN80" s="106">
        <v>2</v>
      </c>
      <c r="BO80" s="106">
        <v>1610.3999999999999</v>
      </c>
      <c r="BP80" s="106">
        <v>3</v>
      </c>
      <c r="BQ80" s="106">
        <v>2415.6</v>
      </c>
      <c r="BR80" s="106">
        <v>3</v>
      </c>
      <c r="BS80" s="106">
        <v>2415.6</v>
      </c>
      <c r="BT80" s="106">
        <v>4</v>
      </c>
      <c r="BU80" s="106">
        <v>3220.7999999999997</v>
      </c>
      <c r="BV80" s="106">
        <v>3</v>
      </c>
      <c r="BW80" s="106">
        <v>2415.6</v>
      </c>
      <c r="BX80" s="106">
        <v>8.982019162864411</v>
      </c>
      <c r="BY80" s="106">
        <v>7232.3218299384234</v>
      </c>
      <c r="BZ80" s="106">
        <v>0</v>
      </c>
      <c r="CA80" s="106">
        <v>0</v>
      </c>
      <c r="CB80" s="106">
        <v>0</v>
      </c>
      <c r="CC80" s="106">
        <v>0</v>
      </c>
      <c r="CD80" s="106">
        <v>0</v>
      </c>
      <c r="CE80" s="106">
        <v>0</v>
      </c>
      <c r="CF80" s="106">
        <v>0</v>
      </c>
      <c r="CG80" s="106">
        <v>0</v>
      </c>
      <c r="CH80" s="106">
        <v>0</v>
      </c>
      <c r="CI80" s="106">
        <v>0</v>
      </c>
      <c r="CJ80" s="106">
        <v>0</v>
      </c>
      <c r="CK80" s="106">
        <v>0</v>
      </c>
      <c r="CL80" s="106">
        <v>0</v>
      </c>
      <c r="CM80" s="106">
        <v>0</v>
      </c>
      <c r="CN80" s="106">
        <v>0</v>
      </c>
      <c r="CO80" s="106">
        <v>0</v>
      </c>
      <c r="CP80" s="106">
        <v>0</v>
      </c>
      <c r="CQ80" s="106">
        <v>0</v>
      </c>
      <c r="CR80" s="106">
        <v>0</v>
      </c>
      <c r="CS80" s="106">
        <v>0</v>
      </c>
      <c r="CT80" s="106">
        <v>0</v>
      </c>
      <c r="CU80" s="106">
        <v>0</v>
      </c>
    </row>
    <row r="81" spans="2:99" x14ac:dyDescent="0.2">
      <c r="C81" s="105" t="s">
        <v>247</v>
      </c>
      <c r="D81" s="106">
        <v>0</v>
      </c>
      <c r="E81" s="106">
        <v>0</v>
      </c>
      <c r="F81" s="106">
        <v>0</v>
      </c>
      <c r="G81" s="106">
        <v>0</v>
      </c>
      <c r="H81" s="106">
        <v>0</v>
      </c>
      <c r="I81" s="106">
        <v>0</v>
      </c>
      <c r="J81" s="106">
        <v>0</v>
      </c>
      <c r="K81" s="106">
        <v>0</v>
      </c>
      <c r="L81" s="106">
        <v>0</v>
      </c>
      <c r="M81" s="106">
        <v>0</v>
      </c>
      <c r="N81" s="106">
        <v>0</v>
      </c>
      <c r="O81" s="106">
        <v>0</v>
      </c>
      <c r="P81" s="106">
        <v>0</v>
      </c>
      <c r="Q81" s="106">
        <v>0</v>
      </c>
      <c r="R81" s="106">
        <v>0</v>
      </c>
      <c r="S81" s="106">
        <v>0</v>
      </c>
      <c r="T81" s="106">
        <v>0</v>
      </c>
      <c r="U81" s="106">
        <v>0</v>
      </c>
      <c r="V81" s="106">
        <v>0</v>
      </c>
      <c r="W81" s="106">
        <v>0</v>
      </c>
      <c r="X81" s="106">
        <v>0</v>
      </c>
      <c r="Y81" s="106">
        <v>0</v>
      </c>
      <c r="Z81" s="106">
        <v>0</v>
      </c>
      <c r="AA81" s="106">
        <v>0</v>
      </c>
      <c r="AB81" s="106">
        <v>0</v>
      </c>
      <c r="AC81" s="106">
        <v>0</v>
      </c>
      <c r="AD81" s="106">
        <v>0</v>
      </c>
      <c r="AE81" s="106">
        <v>0</v>
      </c>
      <c r="AF81" s="106">
        <v>0</v>
      </c>
      <c r="AG81" s="106">
        <v>0</v>
      </c>
      <c r="AH81" s="106">
        <v>0</v>
      </c>
      <c r="AI81" s="106">
        <v>0</v>
      </c>
      <c r="AJ81" s="106">
        <v>0</v>
      </c>
      <c r="AK81" s="106">
        <v>0</v>
      </c>
      <c r="AL81" s="106">
        <v>0</v>
      </c>
      <c r="AM81" s="106">
        <v>0</v>
      </c>
      <c r="AN81" s="106">
        <v>0</v>
      </c>
      <c r="AO81" s="106">
        <v>0</v>
      </c>
      <c r="AP81" s="106">
        <v>0</v>
      </c>
      <c r="AQ81" s="106">
        <v>0</v>
      </c>
      <c r="AR81" s="106">
        <v>0</v>
      </c>
      <c r="AS81" s="106">
        <v>0</v>
      </c>
      <c r="AT81" s="106">
        <v>0</v>
      </c>
      <c r="AU81" s="106">
        <v>0</v>
      </c>
      <c r="AV81" s="106">
        <v>0</v>
      </c>
      <c r="AW81" s="106">
        <v>0</v>
      </c>
      <c r="AX81" s="106">
        <v>25.017878682812448</v>
      </c>
      <c r="AY81" s="106">
        <v>18853.473375367463</v>
      </c>
      <c r="AZ81" s="106">
        <v>0</v>
      </c>
      <c r="BA81" s="106">
        <v>0</v>
      </c>
      <c r="BB81" s="106">
        <v>3</v>
      </c>
      <c r="BC81" s="106">
        <v>2260.8000000000002</v>
      </c>
      <c r="BD81" s="106">
        <v>0</v>
      </c>
      <c r="BE81" s="106">
        <v>0</v>
      </c>
      <c r="BF81" s="106">
        <v>0</v>
      </c>
      <c r="BG81" s="106">
        <v>0</v>
      </c>
      <c r="BH81" s="106">
        <v>3</v>
      </c>
      <c r="BI81" s="106">
        <v>2260.8000000000002</v>
      </c>
      <c r="BJ81" s="106">
        <v>0</v>
      </c>
      <c r="BK81" s="106">
        <v>0</v>
      </c>
      <c r="BL81" s="106">
        <v>2</v>
      </c>
      <c r="BM81" s="106">
        <v>1507.2</v>
      </c>
      <c r="BN81" s="106">
        <v>2</v>
      </c>
      <c r="BO81" s="106">
        <v>1507.2</v>
      </c>
      <c r="BP81" s="106">
        <v>3</v>
      </c>
      <c r="BQ81" s="106">
        <v>2260.8000000000002</v>
      </c>
      <c r="BR81" s="106">
        <v>3</v>
      </c>
      <c r="BS81" s="106">
        <v>2260.8000000000002</v>
      </c>
      <c r="BT81" s="106">
        <v>5</v>
      </c>
      <c r="BU81" s="106">
        <v>3768</v>
      </c>
      <c r="BV81" s="106">
        <v>3</v>
      </c>
      <c r="BW81" s="106">
        <v>2260.8000000000002</v>
      </c>
      <c r="BX81" s="106">
        <v>10.544109452058223</v>
      </c>
      <c r="BY81" s="106">
        <v>7946.0408830710767</v>
      </c>
      <c r="BZ81" s="106">
        <v>0</v>
      </c>
      <c r="CA81" s="106">
        <v>0</v>
      </c>
      <c r="CB81" s="106">
        <v>0</v>
      </c>
      <c r="CC81" s="106">
        <v>0</v>
      </c>
      <c r="CD81" s="106">
        <v>0</v>
      </c>
      <c r="CE81" s="106">
        <v>0</v>
      </c>
      <c r="CF81" s="106">
        <v>0</v>
      </c>
      <c r="CG81" s="106">
        <v>0</v>
      </c>
      <c r="CH81" s="106">
        <v>0</v>
      </c>
      <c r="CI81" s="106">
        <v>0</v>
      </c>
      <c r="CJ81" s="106">
        <v>0</v>
      </c>
      <c r="CK81" s="106">
        <v>0</v>
      </c>
      <c r="CL81" s="106">
        <v>0</v>
      </c>
      <c r="CM81" s="106">
        <v>0</v>
      </c>
      <c r="CN81" s="106">
        <v>0</v>
      </c>
      <c r="CO81" s="106">
        <v>0</v>
      </c>
      <c r="CP81" s="106">
        <v>0</v>
      </c>
      <c r="CQ81" s="106">
        <v>0</v>
      </c>
      <c r="CR81" s="106">
        <v>0</v>
      </c>
      <c r="CS81" s="106">
        <v>0</v>
      </c>
      <c r="CT81" s="106">
        <v>0</v>
      </c>
      <c r="CU81" s="106">
        <v>0</v>
      </c>
    </row>
    <row r="82" spans="2:99" x14ac:dyDescent="0.2">
      <c r="C82" s="105" t="s">
        <v>248</v>
      </c>
      <c r="D82" s="106">
        <v>0</v>
      </c>
      <c r="E82" s="106">
        <v>0</v>
      </c>
      <c r="F82" s="106">
        <v>0</v>
      </c>
      <c r="G82" s="106">
        <v>0</v>
      </c>
      <c r="H82" s="106">
        <v>0</v>
      </c>
      <c r="I82" s="106">
        <v>0</v>
      </c>
      <c r="J82" s="106">
        <v>0</v>
      </c>
      <c r="K82" s="106">
        <v>0</v>
      </c>
      <c r="L82" s="106">
        <v>0</v>
      </c>
      <c r="M82" s="106">
        <v>0</v>
      </c>
      <c r="N82" s="106">
        <v>0</v>
      </c>
      <c r="O82" s="106">
        <v>0</v>
      </c>
      <c r="P82" s="106">
        <v>0</v>
      </c>
      <c r="Q82" s="106">
        <v>0</v>
      </c>
      <c r="R82" s="106">
        <v>0</v>
      </c>
      <c r="S82" s="106">
        <v>0</v>
      </c>
      <c r="T82" s="106">
        <v>0</v>
      </c>
      <c r="U82" s="106">
        <v>0</v>
      </c>
      <c r="V82" s="106">
        <v>0</v>
      </c>
      <c r="W82" s="106">
        <v>0</v>
      </c>
      <c r="X82" s="106">
        <v>0</v>
      </c>
      <c r="Y82" s="106">
        <v>0</v>
      </c>
      <c r="Z82" s="106">
        <v>0</v>
      </c>
      <c r="AA82" s="106">
        <v>0</v>
      </c>
      <c r="AB82" s="106">
        <v>0</v>
      </c>
      <c r="AC82" s="106">
        <v>0</v>
      </c>
      <c r="AD82" s="106">
        <v>0</v>
      </c>
      <c r="AE82" s="106">
        <v>0</v>
      </c>
      <c r="AF82" s="106">
        <v>0</v>
      </c>
      <c r="AG82" s="106">
        <v>0</v>
      </c>
      <c r="AH82" s="106">
        <v>0</v>
      </c>
      <c r="AI82" s="106">
        <v>0</v>
      </c>
      <c r="AJ82" s="106">
        <v>0</v>
      </c>
      <c r="AK82" s="106">
        <v>0</v>
      </c>
      <c r="AL82" s="106">
        <v>0</v>
      </c>
      <c r="AM82" s="106">
        <v>0</v>
      </c>
      <c r="AN82" s="106">
        <v>0</v>
      </c>
      <c r="AO82" s="106">
        <v>0</v>
      </c>
      <c r="AP82" s="106">
        <v>0</v>
      </c>
      <c r="AQ82" s="106">
        <v>0</v>
      </c>
      <c r="AR82" s="106">
        <v>0</v>
      </c>
      <c r="AS82" s="106">
        <v>0</v>
      </c>
      <c r="AT82" s="106">
        <v>0</v>
      </c>
      <c r="AU82" s="106">
        <v>0</v>
      </c>
      <c r="AV82" s="106">
        <v>0</v>
      </c>
      <c r="AW82" s="106">
        <v>0</v>
      </c>
      <c r="AX82" s="106">
        <v>26.848455171798726</v>
      </c>
      <c r="AY82" s="106">
        <v>13660.493991411189</v>
      </c>
      <c r="AZ82" s="106">
        <v>0</v>
      </c>
      <c r="BA82" s="106">
        <v>0</v>
      </c>
      <c r="BB82" s="106">
        <v>3</v>
      </c>
      <c r="BC82" s="106">
        <v>1526.3999999999996</v>
      </c>
      <c r="BD82" s="106">
        <v>0</v>
      </c>
      <c r="BE82" s="106">
        <v>0</v>
      </c>
      <c r="BF82" s="106">
        <v>0</v>
      </c>
      <c r="BG82" s="106">
        <v>0</v>
      </c>
      <c r="BH82" s="106">
        <v>4</v>
      </c>
      <c r="BI82" s="106">
        <v>2035.1999999999996</v>
      </c>
      <c r="BJ82" s="106">
        <v>0</v>
      </c>
      <c r="BK82" s="106">
        <v>0</v>
      </c>
      <c r="BL82" s="106">
        <v>2</v>
      </c>
      <c r="BM82" s="106">
        <v>1017.5999999999998</v>
      </c>
      <c r="BN82" s="106">
        <v>2</v>
      </c>
      <c r="BO82" s="106">
        <v>1017.5999999999998</v>
      </c>
      <c r="BP82" s="106">
        <v>3</v>
      </c>
      <c r="BQ82" s="106">
        <v>1526.3999999999996</v>
      </c>
      <c r="BR82" s="106">
        <v>3</v>
      </c>
      <c r="BS82" s="106">
        <v>1526.3999999999996</v>
      </c>
      <c r="BT82" s="106">
        <v>5</v>
      </c>
      <c r="BU82" s="106">
        <v>2543.9999999999995</v>
      </c>
      <c r="BV82" s="106">
        <v>3</v>
      </c>
      <c r="BW82" s="106">
        <v>1526.3999999999996</v>
      </c>
      <c r="BX82" s="106">
        <v>9.3725417351628639</v>
      </c>
      <c r="BY82" s="106">
        <v>4768.749234850864</v>
      </c>
      <c r="BZ82" s="106">
        <v>0</v>
      </c>
      <c r="CA82" s="106">
        <v>0</v>
      </c>
      <c r="CB82" s="106">
        <v>0</v>
      </c>
      <c r="CC82" s="106">
        <v>0</v>
      </c>
      <c r="CD82" s="106">
        <v>0</v>
      </c>
      <c r="CE82" s="106">
        <v>0</v>
      </c>
      <c r="CF82" s="106">
        <v>0</v>
      </c>
      <c r="CG82" s="106">
        <v>0</v>
      </c>
      <c r="CH82" s="106">
        <v>0</v>
      </c>
      <c r="CI82" s="106">
        <v>0</v>
      </c>
      <c r="CJ82" s="106">
        <v>0</v>
      </c>
      <c r="CK82" s="106">
        <v>0</v>
      </c>
      <c r="CL82" s="106">
        <v>0</v>
      </c>
      <c r="CM82" s="106">
        <v>0</v>
      </c>
      <c r="CN82" s="106">
        <v>0</v>
      </c>
      <c r="CO82" s="106">
        <v>0</v>
      </c>
      <c r="CP82" s="106">
        <v>0</v>
      </c>
      <c r="CQ82" s="106">
        <v>0</v>
      </c>
      <c r="CR82" s="106">
        <v>0</v>
      </c>
      <c r="CS82" s="106">
        <v>0</v>
      </c>
      <c r="CT82" s="106">
        <v>0</v>
      </c>
      <c r="CU82" s="106">
        <v>0</v>
      </c>
    </row>
    <row r="83" spans="2:99" x14ac:dyDescent="0.2">
      <c r="C83" s="105" t="s">
        <v>249</v>
      </c>
      <c r="D83" s="106">
        <v>0</v>
      </c>
      <c r="E83" s="106">
        <v>0</v>
      </c>
      <c r="F83" s="106">
        <v>0</v>
      </c>
      <c r="G83" s="106">
        <v>0</v>
      </c>
      <c r="H83" s="106">
        <v>0</v>
      </c>
      <c r="I83" s="106">
        <v>0</v>
      </c>
      <c r="J83" s="106">
        <v>0</v>
      </c>
      <c r="K83" s="106">
        <v>0</v>
      </c>
      <c r="L83" s="106">
        <v>0</v>
      </c>
      <c r="M83" s="106">
        <v>0</v>
      </c>
      <c r="N83" s="106">
        <v>0</v>
      </c>
      <c r="O83" s="106">
        <v>0</v>
      </c>
      <c r="P83" s="106">
        <v>0</v>
      </c>
      <c r="Q83" s="106">
        <v>0</v>
      </c>
      <c r="R83" s="106">
        <v>0</v>
      </c>
      <c r="S83" s="106">
        <v>0</v>
      </c>
      <c r="T83" s="106">
        <v>0</v>
      </c>
      <c r="U83" s="106">
        <v>0</v>
      </c>
      <c r="V83" s="106">
        <v>0</v>
      </c>
      <c r="W83" s="106">
        <v>0</v>
      </c>
      <c r="X83" s="106">
        <v>0</v>
      </c>
      <c r="Y83" s="106">
        <v>0</v>
      </c>
      <c r="Z83" s="106">
        <v>0</v>
      </c>
      <c r="AA83" s="106">
        <v>0</v>
      </c>
      <c r="AB83" s="106">
        <v>0</v>
      </c>
      <c r="AC83" s="106">
        <v>0</v>
      </c>
      <c r="AD83" s="106">
        <v>0</v>
      </c>
      <c r="AE83" s="106">
        <v>0</v>
      </c>
      <c r="AF83" s="106">
        <v>0</v>
      </c>
      <c r="AG83" s="106">
        <v>0</v>
      </c>
      <c r="AH83" s="106">
        <v>0</v>
      </c>
      <c r="AI83" s="106">
        <v>0</v>
      </c>
      <c r="AJ83" s="106">
        <v>0</v>
      </c>
      <c r="AK83" s="106">
        <v>0</v>
      </c>
      <c r="AL83" s="106">
        <v>0</v>
      </c>
      <c r="AM83" s="106">
        <v>0</v>
      </c>
      <c r="AN83" s="106">
        <v>0</v>
      </c>
      <c r="AO83" s="106">
        <v>0</v>
      </c>
      <c r="AP83" s="106">
        <v>0</v>
      </c>
      <c r="AQ83" s="106">
        <v>0</v>
      </c>
      <c r="AR83" s="106">
        <v>0</v>
      </c>
      <c r="AS83" s="106">
        <v>0</v>
      </c>
      <c r="AT83" s="106">
        <v>0</v>
      </c>
      <c r="AU83" s="106">
        <v>0</v>
      </c>
      <c r="AV83" s="106">
        <v>0</v>
      </c>
      <c r="AW83" s="106">
        <v>0</v>
      </c>
      <c r="AX83" s="106">
        <v>25.628070845807873</v>
      </c>
      <c r="AY83" s="106">
        <v>22050.392155733094</v>
      </c>
      <c r="AZ83" s="106">
        <v>0</v>
      </c>
      <c r="BA83" s="106">
        <v>0</v>
      </c>
      <c r="BB83" s="106">
        <v>3</v>
      </c>
      <c r="BC83" s="106">
        <v>2581.1999999999998</v>
      </c>
      <c r="BD83" s="106">
        <v>0</v>
      </c>
      <c r="BE83" s="106">
        <v>0</v>
      </c>
      <c r="BF83" s="106">
        <v>0</v>
      </c>
      <c r="BG83" s="106">
        <v>0</v>
      </c>
      <c r="BH83" s="106">
        <v>4</v>
      </c>
      <c r="BI83" s="106">
        <v>3441.6</v>
      </c>
      <c r="BJ83" s="106">
        <v>0</v>
      </c>
      <c r="BK83" s="106">
        <v>0</v>
      </c>
      <c r="BL83" s="106">
        <v>2</v>
      </c>
      <c r="BM83" s="106">
        <v>1720.8</v>
      </c>
      <c r="BN83" s="106">
        <v>2</v>
      </c>
      <c r="BO83" s="106">
        <v>1720.8</v>
      </c>
      <c r="BP83" s="106">
        <v>3</v>
      </c>
      <c r="BQ83" s="106">
        <v>2581.1999999999998</v>
      </c>
      <c r="BR83" s="106">
        <v>3</v>
      </c>
      <c r="BS83" s="106">
        <v>2581.1999999999998</v>
      </c>
      <c r="BT83" s="106">
        <v>4</v>
      </c>
      <c r="BU83" s="106">
        <v>3441.6</v>
      </c>
      <c r="BV83" s="106">
        <v>3</v>
      </c>
      <c r="BW83" s="106">
        <v>2581.1999999999998</v>
      </c>
      <c r="BX83" s="106">
        <v>10.153586879759768</v>
      </c>
      <c r="BY83" s="106">
        <v>8736.1461513453032</v>
      </c>
      <c r="BZ83" s="106">
        <v>0</v>
      </c>
      <c r="CA83" s="106">
        <v>0</v>
      </c>
      <c r="CB83" s="106">
        <v>0</v>
      </c>
      <c r="CC83" s="106">
        <v>0</v>
      </c>
      <c r="CD83" s="106">
        <v>0</v>
      </c>
      <c r="CE83" s="106">
        <v>0</v>
      </c>
      <c r="CF83" s="106">
        <v>0</v>
      </c>
      <c r="CG83" s="106">
        <v>0</v>
      </c>
      <c r="CH83" s="106">
        <v>0</v>
      </c>
      <c r="CI83" s="106">
        <v>0</v>
      </c>
      <c r="CJ83" s="106">
        <v>0</v>
      </c>
      <c r="CK83" s="106">
        <v>0</v>
      </c>
      <c r="CL83" s="106">
        <v>0</v>
      </c>
      <c r="CM83" s="106">
        <v>0</v>
      </c>
      <c r="CN83" s="106">
        <v>0</v>
      </c>
      <c r="CO83" s="106">
        <v>0</v>
      </c>
      <c r="CP83" s="106">
        <v>0</v>
      </c>
      <c r="CQ83" s="106">
        <v>0</v>
      </c>
      <c r="CR83" s="106">
        <v>0</v>
      </c>
      <c r="CS83" s="106">
        <v>0</v>
      </c>
      <c r="CT83" s="106">
        <v>0</v>
      </c>
      <c r="CU83" s="106">
        <v>0</v>
      </c>
    </row>
    <row r="84" spans="2:99" x14ac:dyDescent="0.2">
      <c r="C84" s="105" t="s">
        <v>250</v>
      </c>
      <c r="D84" s="106">
        <v>0</v>
      </c>
      <c r="E84" s="106">
        <v>0</v>
      </c>
      <c r="F84" s="106">
        <v>0</v>
      </c>
      <c r="G84" s="106">
        <v>0</v>
      </c>
      <c r="H84" s="106">
        <v>0</v>
      </c>
      <c r="I84" s="106">
        <v>0</v>
      </c>
      <c r="J84" s="106">
        <v>0</v>
      </c>
      <c r="K84" s="106">
        <v>0</v>
      </c>
      <c r="L84" s="106">
        <v>0</v>
      </c>
      <c r="M84" s="106">
        <v>0</v>
      </c>
      <c r="N84" s="106">
        <v>0</v>
      </c>
      <c r="O84" s="106">
        <v>0</v>
      </c>
      <c r="P84" s="106">
        <v>0</v>
      </c>
      <c r="Q84" s="106">
        <v>0</v>
      </c>
      <c r="R84" s="106">
        <v>0</v>
      </c>
      <c r="S84" s="106">
        <v>0</v>
      </c>
      <c r="T84" s="106">
        <v>0</v>
      </c>
      <c r="U84" s="106">
        <v>0</v>
      </c>
      <c r="V84" s="106">
        <v>0</v>
      </c>
      <c r="W84" s="106">
        <v>0</v>
      </c>
      <c r="X84" s="106">
        <v>0</v>
      </c>
      <c r="Y84" s="106">
        <v>0</v>
      </c>
      <c r="Z84" s="106">
        <v>0</v>
      </c>
      <c r="AA84" s="106">
        <v>0</v>
      </c>
      <c r="AB84" s="106">
        <v>0</v>
      </c>
      <c r="AC84" s="106">
        <v>0</v>
      </c>
      <c r="AD84" s="106">
        <v>0</v>
      </c>
      <c r="AE84" s="106">
        <v>0</v>
      </c>
      <c r="AF84" s="106">
        <v>0</v>
      </c>
      <c r="AG84" s="106">
        <v>0</v>
      </c>
      <c r="AH84" s="106">
        <v>0</v>
      </c>
      <c r="AI84" s="106">
        <v>0</v>
      </c>
      <c r="AJ84" s="106">
        <v>0</v>
      </c>
      <c r="AK84" s="106">
        <v>0</v>
      </c>
      <c r="AL84" s="106">
        <v>0</v>
      </c>
      <c r="AM84" s="106">
        <v>0</v>
      </c>
      <c r="AN84" s="106">
        <v>0</v>
      </c>
      <c r="AO84" s="106">
        <v>0</v>
      </c>
      <c r="AP84" s="106">
        <v>0</v>
      </c>
      <c r="AQ84" s="106">
        <v>0</v>
      </c>
      <c r="AR84" s="106">
        <v>0</v>
      </c>
      <c r="AS84" s="106">
        <v>0</v>
      </c>
      <c r="AT84" s="106">
        <v>0</v>
      </c>
      <c r="AU84" s="106">
        <v>0</v>
      </c>
      <c r="AV84" s="106">
        <v>0</v>
      </c>
      <c r="AW84" s="106">
        <v>0</v>
      </c>
      <c r="AX84" s="106">
        <v>26.238263008803298</v>
      </c>
      <c r="AY84" s="106">
        <v>20497.331062477133</v>
      </c>
      <c r="AZ84" s="106">
        <v>0</v>
      </c>
      <c r="BA84" s="106">
        <v>0</v>
      </c>
      <c r="BB84" s="106">
        <v>3</v>
      </c>
      <c r="BC84" s="106">
        <v>2343.6</v>
      </c>
      <c r="BD84" s="106">
        <v>0</v>
      </c>
      <c r="BE84" s="106">
        <v>0</v>
      </c>
      <c r="BF84" s="106">
        <v>0</v>
      </c>
      <c r="BG84" s="106">
        <v>0</v>
      </c>
      <c r="BH84" s="106">
        <v>3</v>
      </c>
      <c r="BI84" s="106">
        <v>2343.6</v>
      </c>
      <c r="BJ84" s="106">
        <v>0</v>
      </c>
      <c r="BK84" s="106">
        <v>0</v>
      </c>
      <c r="BL84" s="106">
        <v>2</v>
      </c>
      <c r="BM84" s="106">
        <v>1562.3999999999999</v>
      </c>
      <c r="BN84" s="106">
        <v>2</v>
      </c>
      <c r="BO84" s="106">
        <v>1562.3999999999999</v>
      </c>
      <c r="BP84" s="106">
        <v>3</v>
      </c>
      <c r="BQ84" s="106">
        <v>2343.6</v>
      </c>
      <c r="BR84" s="106">
        <v>3</v>
      </c>
      <c r="BS84" s="106">
        <v>2343.6</v>
      </c>
      <c r="BT84" s="106">
        <v>4</v>
      </c>
      <c r="BU84" s="106">
        <v>3124.7999999999997</v>
      </c>
      <c r="BV84" s="106">
        <v>3</v>
      </c>
      <c r="BW84" s="106">
        <v>2343.6</v>
      </c>
      <c r="BX84" s="106">
        <v>10.544109452058223</v>
      </c>
      <c r="BY84" s="106">
        <v>8237.0583039478825</v>
      </c>
      <c r="BZ84" s="106">
        <v>0</v>
      </c>
      <c r="CA84" s="106">
        <v>0</v>
      </c>
      <c r="CB84" s="106">
        <v>0</v>
      </c>
      <c r="CC84" s="106">
        <v>0</v>
      </c>
      <c r="CD84" s="106">
        <v>0</v>
      </c>
      <c r="CE84" s="106">
        <v>0</v>
      </c>
      <c r="CF84" s="106">
        <v>0</v>
      </c>
      <c r="CG84" s="106">
        <v>0</v>
      </c>
      <c r="CH84" s="106">
        <v>0</v>
      </c>
      <c r="CI84" s="106">
        <v>0</v>
      </c>
      <c r="CJ84" s="106">
        <v>0</v>
      </c>
      <c r="CK84" s="106">
        <v>0</v>
      </c>
      <c r="CL84" s="106">
        <v>0</v>
      </c>
      <c r="CM84" s="106">
        <v>0</v>
      </c>
      <c r="CN84" s="106">
        <v>0</v>
      </c>
      <c r="CO84" s="106">
        <v>0</v>
      </c>
      <c r="CP84" s="106">
        <v>0</v>
      </c>
      <c r="CQ84" s="106">
        <v>0</v>
      </c>
      <c r="CR84" s="106">
        <v>0</v>
      </c>
      <c r="CS84" s="106">
        <v>0</v>
      </c>
      <c r="CT84" s="106">
        <v>0</v>
      </c>
      <c r="CU84" s="106">
        <v>0</v>
      </c>
    </row>
    <row r="85" spans="2:99" x14ac:dyDescent="0.2">
      <c r="C85" s="105" t="s">
        <v>251</v>
      </c>
      <c r="D85" s="106">
        <v>0</v>
      </c>
      <c r="E85" s="106">
        <v>0</v>
      </c>
      <c r="F85" s="106">
        <v>0</v>
      </c>
      <c r="G85" s="106">
        <v>0</v>
      </c>
      <c r="H85" s="106">
        <v>0</v>
      </c>
      <c r="I85" s="106">
        <v>0</v>
      </c>
      <c r="J85" s="106">
        <v>0</v>
      </c>
      <c r="K85" s="106">
        <v>0</v>
      </c>
      <c r="L85" s="106">
        <v>0</v>
      </c>
      <c r="M85" s="106">
        <v>0</v>
      </c>
      <c r="N85" s="106">
        <v>0</v>
      </c>
      <c r="O85" s="106">
        <v>0</v>
      </c>
      <c r="P85" s="106">
        <v>0</v>
      </c>
      <c r="Q85" s="106">
        <v>0</v>
      </c>
      <c r="R85" s="106">
        <v>0</v>
      </c>
      <c r="S85" s="106">
        <v>0</v>
      </c>
      <c r="T85" s="106">
        <v>0</v>
      </c>
      <c r="U85" s="106">
        <v>0</v>
      </c>
      <c r="V85" s="106">
        <v>0</v>
      </c>
      <c r="W85" s="106">
        <v>0</v>
      </c>
      <c r="X85" s="106">
        <v>0</v>
      </c>
      <c r="Y85" s="106">
        <v>0</v>
      </c>
      <c r="Z85" s="106">
        <v>0</v>
      </c>
      <c r="AA85" s="106">
        <v>0</v>
      </c>
      <c r="AB85" s="106">
        <v>0</v>
      </c>
      <c r="AC85" s="106">
        <v>0</v>
      </c>
      <c r="AD85" s="106">
        <v>0</v>
      </c>
      <c r="AE85" s="106">
        <v>0</v>
      </c>
      <c r="AF85" s="106">
        <v>0</v>
      </c>
      <c r="AG85" s="106">
        <v>0</v>
      </c>
      <c r="AH85" s="106">
        <v>0</v>
      </c>
      <c r="AI85" s="106">
        <v>0</v>
      </c>
      <c r="AJ85" s="106">
        <v>0</v>
      </c>
      <c r="AK85" s="106">
        <v>0</v>
      </c>
      <c r="AL85" s="106">
        <v>0</v>
      </c>
      <c r="AM85" s="106">
        <v>0</v>
      </c>
      <c r="AN85" s="106">
        <v>0</v>
      </c>
      <c r="AO85" s="106">
        <v>0</v>
      </c>
      <c r="AP85" s="106">
        <v>0</v>
      </c>
      <c r="AQ85" s="106">
        <v>0</v>
      </c>
      <c r="AR85" s="106">
        <v>0</v>
      </c>
      <c r="AS85" s="106">
        <v>0</v>
      </c>
      <c r="AT85" s="106">
        <v>0</v>
      </c>
      <c r="AU85" s="106">
        <v>0</v>
      </c>
      <c r="AV85" s="106">
        <v>0</v>
      </c>
      <c r="AW85" s="106">
        <v>0</v>
      </c>
      <c r="AX85" s="106">
        <v>28.068839497789575</v>
      </c>
      <c r="AY85" s="106">
        <v>4210.3259246684365</v>
      </c>
      <c r="AZ85" s="106">
        <v>0</v>
      </c>
      <c r="BA85" s="106">
        <v>0</v>
      </c>
      <c r="BB85" s="106">
        <v>3</v>
      </c>
      <c r="BC85" s="106">
        <v>450</v>
      </c>
      <c r="BD85" s="106">
        <v>0</v>
      </c>
      <c r="BE85" s="106">
        <v>0</v>
      </c>
      <c r="BF85" s="106">
        <v>0</v>
      </c>
      <c r="BG85" s="106">
        <v>0</v>
      </c>
      <c r="BH85" s="106">
        <v>4</v>
      </c>
      <c r="BI85" s="106">
        <v>600</v>
      </c>
      <c r="BJ85" s="106">
        <v>0</v>
      </c>
      <c r="BK85" s="106">
        <v>0</v>
      </c>
      <c r="BL85" s="106">
        <v>3</v>
      </c>
      <c r="BM85" s="106">
        <v>450</v>
      </c>
      <c r="BN85" s="106">
        <v>2</v>
      </c>
      <c r="BO85" s="106">
        <v>300</v>
      </c>
      <c r="BP85" s="106">
        <v>3</v>
      </c>
      <c r="BQ85" s="106">
        <v>450</v>
      </c>
      <c r="BR85" s="106">
        <v>3</v>
      </c>
      <c r="BS85" s="106">
        <v>450</v>
      </c>
      <c r="BT85" s="106">
        <v>5</v>
      </c>
      <c r="BU85" s="106">
        <v>750</v>
      </c>
      <c r="BV85" s="106">
        <v>3</v>
      </c>
      <c r="BW85" s="106">
        <v>450</v>
      </c>
      <c r="BX85" s="106">
        <v>10.544109452058223</v>
      </c>
      <c r="BY85" s="106">
        <v>1581.6164178087333</v>
      </c>
      <c r="BZ85" s="106">
        <v>0</v>
      </c>
      <c r="CA85" s="106">
        <v>0</v>
      </c>
      <c r="CB85" s="106">
        <v>0</v>
      </c>
      <c r="CC85" s="106">
        <v>0</v>
      </c>
      <c r="CD85" s="106">
        <v>0</v>
      </c>
      <c r="CE85" s="106">
        <v>0</v>
      </c>
      <c r="CF85" s="106">
        <v>0</v>
      </c>
      <c r="CG85" s="106">
        <v>0</v>
      </c>
      <c r="CH85" s="106">
        <v>0</v>
      </c>
      <c r="CI85" s="106">
        <v>0</v>
      </c>
      <c r="CJ85" s="106">
        <v>0</v>
      </c>
      <c r="CK85" s="106">
        <v>0</v>
      </c>
      <c r="CL85" s="106">
        <v>0</v>
      </c>
      <c r="CM85" s="106">
        <v>0</v>
      </c>
      <c r="CN85" s="106">
        <v>0</v>
      </c>
      <c r="CO85" s="106">
        <v>0</v>
      </c>
      <c r="CP85" s="106">
        <v>0</v>
      </c>
      <c r="CQ85" s="106">
        <v>0</v>
      </c>
      <c r="CR85" s="106">
        <v>0</v>
      </c>
      <c r="CS85" s="106">
        <v>0</v>
      </c>
      <c r="CT85" s="106">
        <v>0</v>
      </c>
      <c r="CU85" s="106">
        <v>0</v>
      </c>
    </row>
    <row r="86" spans="2:99" x14ac:dyDescent="0.2">
      <c r="C86" s="105" t="s">
        <v>252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06">
        <v>0</v>
      </c>
      <c r="J86" s="106">
        <v>0</v>
      </c>
      <c r="K86" s="106">
        <v>0</v>
      </c>
      <c r="L86" s="106">
        <v>0</v>
      </c>
      <c r="M86" s="106">
        <v>0</v>
      </c>
      <c r="N86" s="106">
        <v>0</v>
      </c>
      <c r="O86" s="106">
        <v>0</v>
      </c>
      <c r="P86" s="106">
        <v>0</v>
      </c>
      <c r="Q86" s="106">
        <v>0</v>
      </c>
      <c r="R86" s="106">
        <v>0</v>
      </c>
      <c r="S86" s="106">
        <v>0</v>
      </c>
      <c r="T86" s="106">
        <v>0</v>
      </c>
      <c r="U86" s="106">
        <v>0</v>
      </c>
      <c r="V86" s="106">
        <v>0</v>
      </c>
      <c r="W86" s="106">
        <v>0</v>
      </c>
      <c r="X86" s="106">
        <v>0</v>
      </c>
      <c r="Y86" s="106">
        <v>0</v>
      </c>
      <c r="Z86" s="106">
        <v>0</v>
      </c>
      <c r="AA86" s="106">
        <v>0</v>
      </c>
      <c r="AB86" s="106">
        <v>0</v>
      </c>
      <c r="AC86" s="106">
        <v>0</v>
      </c>
      <c r="AD86" s="106">
        <v>0</v>
      </c>
      <c r="AE86" s="106">
        <v>0</v>
      </c>
      <c r="AF86" s="106">
        <v>0</v>
      </c>
      <c r="AG86" s="106">
        <v>0</v>
      </c>
      <c r="AH86" s="106">
        <v>0</v>
      </c>
      <c r="AI86" s="106">
        <v>0</v>
      </c>
      <c r="AJ86" s="106">
        <v>0</v>
      </c>
      <c r="AK86" s="106">
        <v>0</v>
      </c>
      <c r="AL86" s="106">
        <v>0</v>
      </c>
      <c r="AM86" s="106">
        <v>0</v>
      </c>
      <c r="AN86" s="106">
        <v>0</v>
      </c>
      <c r="AO86" s="106">
        <v>0</v>
      </c>
      <c r="AP86" s="106">
        <v>0</v>
      </c>
      <c r="AQ86" s="106">
        <v>0</v>
      </c>
      <c r="AR86" s="106">
        <v>0</v>
      </c>
      <c r="AS86" s="106">
        <v>0</v>
      </c>
      <c r="AT86" s="106">
        <v>0</v>
      </c>
      <c r="AU86" s="106">
        <v>0</v>
      </c>
      <c r="AV86" s="106">
        <v>0</v>
      </c>
      <c r="AW86" s="106">
        <v>0</v>
      </c>
      <c r="AX86" s="106">
        <v>23.797494356821595</v>
      </c>
      <c r="AY86" s="106">
        <v>12850.646952683661</v>
      </c>
      <c r="AZ86" s="106">
        <v>0</v>
      </c>
      <c r="BA86" s="106">
        <v>0</v>
      </c>
      <c r="BB86" s="106">
        <v>3</v>
      </c>
      <c r="BC86" s="106">
        <v>1620</v>
      </c>
      <c r="BD86" s="106">
        <v>0</v>
      </c>
      <c r="BE86" s="106">
        <v>0</v>
      </c>
      <c r="BF86" s="106">
        <v>0</v>
      </c>
      <c r="BG86" s="106">
        <v>0</v>
      </c>
      <c r="BH86" s="106">
        <v>3</v>
      </c>
      <c r="BI86" s="106">
        <v>1620</v>
      </c>
      <c r="BJ86" s="106">
        <v>0</v>
      </c>
      <c r="BK86" s="106">
        <v>0</v>
      </c>
      <c r="BL86" s="106">
        <v>2</v>
      </c>
      <c r="BM86" s="106">
        <v>1080</v>
      </c>
      <c r="BN86" s="106">
        <v>2</v>
      </c>
      <c r="BO86" s="106">
        <v>1080</v>
      </c>
      <c r="BP86" s="106">
        <v>2</v>
      </c>
      <c r="BQ86" s="106">
        <v>1080</v>
      </c>
      <c r="BR86" s="106">
        <v>2</v>
      </c>
      <c r="BS86" s="106">
        <v>1080</v>
      </c>
      <c r="BT86" s="106">
        <v>4</v>
      </c>
      <c r="BU86" s="106">
        <v>2160</v>
      </c>
      <c r="BV86" s="106">
        <v>3</v>
      </c>
      <c r="BW86" s="106">
        <v>1620</v>
      </c>
      <c r="BX86" s="106">
        <v>9.3725417351628639</v>
      </c>
      <c r="BY86" s="106">
        <v>5061.1725369879468</v>
      </c>
      <c r="BZ86" s="106">
        <v>0</v>
      </c>
      <c r="CA86" s="106">
        <v>0</v>
      </c>
      <c r="CB86" s="106">
        <v>0</v>
      </c>
      <c r="CC86" s="106">
        <v>0</v>
      </c>
      <c r="CD86" s="106">
        <v>0</v>
      </c>
      <c r="CE86" s="106">
        <v>0</v>
      </c>
      <c r="CF86" s="106">
        <v>0</v>
      </c>
      <c r="CG86" s="106">
        <v>0</v>
      </c>
      <c r="CH86" s="106">
        <v>0</v>
      </c>
      <c r="CI86" s="106">
        <v>0</v>
      </c>
      <c r="CJ86" s="106">
        <v>0</v>
      </c>
      <c r="CK86" s="106">
        <v>0</v>
      </c>
      <c r="CL86" s="106">
        <v>0</v>
      </c>
      <c r="CM86" s="106">
        <v>0</v>
      </c>
      <c r="CN86" s="106">
        <v>0</v>
      </c>
      <c r="CO86" s="106">
        <v>0</v>
      </c>
      <c r="CP86" s="106">
        <v>0</v>
      </c>
      <c r="CQ86" s="106">
        <v>0</v>
      </c>
      <c r="CR86" s="106">
        <v>0</v>
      </c>
      <c r="CS86" s="106">
        <v>0</v>
      </c>
      <c r="CT86" s="106">
        <v>0</v>
      </c>
      <c r="CU86" s="106">
        <v>0</v>
      </c>
    </row>
    <row r="87" spans="2:99" x14ac:dyDescent="0.2">
      <c r="B87" s="105" t="s">
        <v>131</v>
      </c>
      <c r="C87" s="105" t="s">
        <v>253</v>
      </c>
      <c r="D87" s="106">
        <v>0</v>
      </c>
      <c r="E87" s="106">
        <v>0</v>
      </c>
      <c r="F87" s="106">
        <v>0</v>
      </c>
      <c r="G87" s="106">
        <v>0</v>
      </c>
      <c r="H87" s="106">
        <v>0</v>
      </c>
      <c r="I87" s="106">
        <v>0</v>
      </c>
      <c r="J87" s="106">
        <v>0</v>
      </c>
      <c r="K87" s="106">
        <v>0</v>
      </c>
      <c r="L87" s="106">
        <v>0</v>
      </c>
      <c r="M87" s="106">
        <v>0</v>
      </c>
      <c r="N87" s="106">
        <v>0</v>
      </c>
      <c r="O87" s="106">
        <v>0</v>
      </c>
      <c r="P87" s="106">
        <v>0</v>
      </c>
      <c r="Q87" s="106">
        <v>0</v>
      </c>
      <c r="R87" s="106">
        <v>0</v>
      </c>
      <c r="S87" s="106">
        <v>0</v>
      </c>
      <c r="T87" s="106">
        <v>0</v>
      </c>
      <c r="U87" s="106">
        <v>0</v>
      </c>
      <c r="V87" s="106">
        <v>0</v>
      </c>
      <c r="W87" s="106">
        <v>0</v>
      </c>
      <c r="X87" s="106">
        <v>0</v>
      </c>
      <c r="Y87" s="106">
        <v>0</v>
      </c>
      <c r="Z87" s="106">
        <v>0</v>
      </c>
      <c r="AA87" s="106">
        <v>0</v>
      </c>
      <c r="AB87" s="106">
        <v>0</v>
      </c>
      <c r="AC87" s="106">
        <v>0</v>
      </c>
      <c r="AD87" s="106">
        <v>0</v>
      </c>
      <c r="AE87" s="106">
        <v>0</v>
      </c>
      <c r="AF87" s="106">
        <v>0</v>
      </c>
      <c r="AG87" s="106">
        <v>0</v>
      </c>
      <c r="AH87" s="106">
        <v>0</v>
      </c>
      <c r="AI87" s="106">
        <v>0</v>
      </c>
      <c r="AJ87" s="106">
        <v>0</v>
      </c>
      <c r="AK87" s="106">
        <v>0</v>
      </c>
      <c r="AL87" s="106">
        <v>0</v>
      </c>
      <c r="AM87" s="106">
        <v>0</v>
      </c>
      <c r="AN87" s="106">
        <v>0</v>
      </c>
      <c r="AO87" s="106">
        <v>0</v>
      </c>
      <c r="AP87" s="106">
        <v>0</v>
      </c>
      <c r="AQ87" s="106">
        <v>0</v>
      </c>
      <c r="AR87" s="106">
        <v>0</v>
      </c>
      <c r="AS87" s="106">
        <v>0</v>
      </c>
      <c r="AT87" s="106">
        <v>0</v>
      </c>
      <c r="AU87" s="106">
        <v>0</v>
      </c>
      <c r="AV87" s="106">
        <v>0</v>
      </c>
      <c r="AW87" s="106">
        <v>0</v>
      </c>
      <c r="AX87" s="106">
        <v>7.9324981189405319</v>
      </c>
      <c r="AY87" s="106">
        <v>15506.447322904951</v>
      </c>
      <c r="AZ87" s="106">
        <v>0</v>
      </c>
      <c r="BA87" s="106">
        <v>0</v>
      </c>
      <c r="BB87" s="106">
        <v>3</v>
      </c>
      <c r="BC87" s="106">
        <v>5864.4</v>
      </c>
      <c r="BD87" s="106">
        <v>0</v>
      </c>
      <c r="BE87" s="106">
        <v>0</v>
      </c>
      <c r="BF87" s="106">
        <v>0</v>
      </c>
      <c r="BG87" s="106">
        <v>0</v>
      </c>
      <c r="BH87" s="106">
        <v>10</v>
      </c>
      <c r="BI87" s="106">
        <v>19548</v>
      </c>
      <c r="BJ87" s="106">
        <v>0</v>
      </c>
      <c r="BK87" s="106">
        <v>0</v>
      </c>
      <c r="BL87" s="106">
        <v>8</v>
      </c>
      <c r="BM87" s="106">
        <v>15638.4</v>
      </c>
      <c r="BN87" s="106">
        <v>12</v>
      </c>
      <c r="BO87" s="106">
        <v>23457.599999999999</v>
      </c>
      <c r="BP87" s="106">
        <v>18</v>
      </c>
      <c r="BQ87" s="106">
        <v>35186.400000000001</v>
      </c>
      <c r="BR87" s="106">
        <v>18</v>
      </c>
      <c r="BS87" s="106">
        <v>35186.400000000001</v>
      </c>
      <c r="BT87" s="106">
        <v>20</v>
      </c>
      <c r="BU87" s="106">
        <v>39096</v>
      </c>
      <c r="BV87" s="106">
        <v>12</v>
      </c>
      <c r="BW87" s="106">
        <v>23457.599999999999</v>
      </c>
      <c r="BX87" s="106">
        <v>2.343135433790716</v>
      </c>
      <c r="BY87" s="106">
        <v>4580.3611459740914</v>
      </c>
      <c r="BZ87" s="106">
        <v>0</v>
      </c>
      <c r="CA87" s="106">
        <v>0</v>
      </c>
      <c r="CB87" s="106">
        <v>0</v>
      </c>
      <c r="CC87" s="106">
        <v>0</v>
      </c>
      <c r="CD87" s="106">
        <v>0</v>
      </c>
      <c r="CE87" s="106">
        <v>0</v>
      </c>
      <c r="CF87" s="106">
        <v>0</v>
      </c>
      <c r="CG87" s="106">
        <v>0</v>
      </c>
      <c r="CH87" s="106">
        <v>0</v>
      </c>
      <c r="CI87" s="106">
        <v>0</v>
      </c>
      <c r="CJ87" s="106">
        <v>0</v>
      </c>
      <c r="CK87" s="106">
        <v>0</v>
      </c>
      <c r="CL87" s="106">
        <v>0</v>
      </c>
      <c r="CM87" s="106">
        <v>0</v>
      </c>
      <c r="CN87" s="106">
        <v>0</v>
      </c>
      <c r="CO87" s="106">
        <v>0</v>
      </c>
      <c r="CP87" s="106">
        <v>0</v>
      </c>
      <c r="CQ87" s="106">
        <v>0</v>
      </c>
      <c r="CR87" s="106">
        <v>0</v>
      </c>
      <c r="CS87" s="106">
        <v>0</v>
      </c>
      <c r="CT87" s="106">
        <v>0</v>
      </c>
      <c r="CU87" s="106">
        <v>0</v>
      </c>
    </row>
    <row r="88" spans="2:99" x14ac:dyDescent="0.2">
      <c r="C88" s="105" t="s">
        <v>254</v>
      </c>
      <c r="D88" s="106">
        <v>0</v>
      </c>
      <c r="E88" s="106">
        <v>0</v>
      </c>
      <c r="F88" s="106">
        <v>0</v>
      </c>
      <c r="G88" s="106">
        <v>0</v>
      </c>
      <c r="H88" s="106">
        <v>0</v>
      </c>
      <c r="I88" s="106">
        <v>0</v>
      </c>
      <c r="J88" s="106">
        <v>0</v>
      </c>
      <c r="K88" s="106">
        <v>0</v>
      </c>
      <c r="L88" s="106">
        <v>0</v>
      </c>
      <c r="M88" s="106">
        <v>0</v>
      </c>
      <c r="N88" s="106">
        <v>0</v>
      </c>
      <c r="O88" s="106">
        <v>0</v>
      </c>
      <c r="P88" s="106">
        <v>0</v>
      </c>
      <c r="Q88" s="106">
        <v>0</v>
      </c>
      <c r="R88" s="106">
        <v>0</v>
      </c>
      <c r="S88" s="106">
        <v>0</v>
      </c>
      <c r="T88" s="106">
        <v>0</v>
      </c>
      <c r="U88" s="106">
        <v>0</v>
      </c>
      <c r="V88" s="106">
        <v>0</v>
      </c>
      <c r="W88" s="106">
        <v>0</v>
      </c>
      <c r="X88" s="106">
        <v>0</v>
      </c>
      <c r="Y88" s="106">
        <v>0</v>
      </c>
      <c r="Z88" s="106">
        <v>0</v>
      </c>
      <c r="AA88" s="106">
        <v>0</v>
      </c>
      <c r="AB88" s="106">
        <v>0</v>
      </c>
      <c r="AC88" s="106">
        <v>0</v>
      </c>
      <c r="AD88" s="106">
        <v>0</v>
      </c>
      <c r="AE88" s="106">
        <v>0</v>
      </c>
      <c r="AF88" s="106">
        <v>0</v>
      </c>
      <c r="AG88" s="106">
        <v>0</v>
      </c>
      <c r="AH88" s="106">
        <v>0</v>
      </c>
      <c r="AI88" s="106">
        <v>0</v>
      </c>
      <c r="AJ88" s="106">
        <v>0</v>
      </c>
      <c r="AK88" s="106">
        <v>0</v>
      </c>
      <c r="AL88" s="106">
        <v>0</v>
      </c>
      <c r="AM88" s="106">
        <v>0</v>
      </c>
      <c r="AN88" s="106">
        <v>0</v>
      </c>
      <c r="AO88" s="106">
        <v>0</v>
      </c>
      <c r="AP88" s="106">
        <v>0</v>
      </c>
      <c r="AQ88" s="106">
        <v>0</v>
      </c>
      <c r="AR88" s="106">
        <v>0</v>
      </c>
      <c r="AS88" s="106">
        <v>0</v>
      </c>
      <c r="AT88" s="106">
        <v>0</v>
      </c>
      <c r="AU88" s="106">
        <v>0</v>
      </c>
      <c r="AV88" s="106">
        <v>0</v>
      </c>
      <c r="AW88" s="106">
        <v>0</v>
      </c>
      <c r="AX88" s="106">
        <v>7.9324981189405319</v>
      </c>
      <c r="AY88" s="106">
        <v>15011.459440283061</v>
      </c>
      <c r="AZ88" s="106">
        <v>0</v>
      </c>
      <c r="BA88" s="106">
        <v>0</v>
      </c>
      <c r="BB88" s="106">
        <v>4</v>
      </c>
      <c r="BC88" s="106">
        <v>7569.5999999999995</v>
      </c>
      <c r="BD88" s="106">
        <v>0</v>
      </c>
      <c r="BE88" s="106">
        <v>0</v>
      </c>
      <c r="BF88" s="106">
        <v>0</v>
      </c>
      <c r="BG88" s="106">
        <v>0</v>
      </c>
      <c r="BH88" s="106">
        <v>9</v>
      </c>
      <c r="BI88" s="106">
        <v>17031.599999999999</v>
      </c>
      <c r="BJ88" s="106">
        <v>0</v>
      </c>
      <c r="BK88" s="106">
        <v>0</v>
      </c>
      <c r="BL88" s="106">
        <v>8</v>
      </c>
      <c r="BM88" s="106">
        <v>15139.199999999999</v>
      </c>
      <c r="BN88" s="106">
        <v>12</v>
      </c>
      <c r="BO88" s="106">
        <v>22708.799999999999</v>
      </c>
      <c r="BP88" s="106">
        <v>21</v>
      </c>
      <c r="BQ88" s="106">
        <v>39740.399999999994</v>
      </c>
      <c r="BR88" s="106">
        <v>21</v>
      </c>
      <c r="BS88" s="106">
        <v>39740.399999999994</v>
      </c>
      <c r="BT88" s="106">
        <v>23</v>
      </c>
      <c r="BU88" s="106">
        <v>43525.2</v>
      </c>
      <c r="BV88" s="106">
        <v>14</v>
      </c>
      <c r="BW88" s="106">
        <v>26493.599999999999</v>
      </c>
      <c r="BX88" s="106">
        <v>2.7336580060891689</v>
      </c>
      <c r="BY88" s="106">
        <v>5173.1744107231425</v>
      </c>
      <c r="BZ88" s="106">
        <v>0</v>
      </c>
      <c r="CA88" s="106">
        <v>0</v>
      </c>
      <c r="CB88" s="106">
        <v>0</v>
      </c>
      <c r="CC88" s="106">
        <v>0</v>
      </c>
      <c r="CD88" s="106">
        <v>0</v>
      </c>
      <c r="CE88" s="106">
        <v>0</v>
      </c>
      <c r="CF88" s="106">
        <v>0</v>
      </c>
      <c r="CG88" s="106">
        <v>0</v>
      </c>
      <c r="CH88" s="106">
        <v>0</v>
      </c>
      <c r="CI88" s="106">
        <v>0</v>
      </c>
      <c r="CJ88" s="106">
        <v>0</v>
      </c>
      <c r="CK88" s="106">
        <v>0</v>
      </c>
      <c r="CL88" s="106">
        <v>0</v>
      </c>
      <c r="CM88" s="106">
        <v>0</v>
      </c>
      <c r="CN88" s="106">
        <v>0</v>
      </c>
      <c r="CO88" s="106">
        <v>0</v>
      </c>
      <c r="CP88" s="106">
        <v>0</v>
      </c>
      <c r="CQ88" s="106">
        <v>0</v>
      </c>
      <c r="CR88" s="106">
        <v>0</v>
      </c>
      <c r="CS88" s="106">
        <v>0</v>
      </c>
      <c r="CT88" s="106">
        <v>0</v>
      </c>
      <c r="CU88" s="106">
        <v>0</v>
      </c>
    </row>
    <row r="89" spans="2:99" x14ac:dyDescent="0.2">
      <c r="C89" s="105" t="s">
        <v>255</v>
      </c>
      <c r="D89" s="106">
        <v>0</v>
      </c>
      <c r="E89" s="106">
        <v>0</v>
      </c>
      <c r="F89" s="106">
        <v>0</v>
      </c>
      <c r="G89" s="106">
        <v>0</v>
      </c>
      <c r="H89" s="106">
        <v>0</v>
      </c>
      <c r="I89" s="106">
        <v>0</v>
      </c>
      <c r="J89" s="106">
        <v>0</v>
      </c>
      <c r="K89" s="106">
        <v>0</v>
      </c>
      <c r="L89" s="106">
        <v>0</v>
      </c>
      <c r="M89" s="106">
        <v>0</v>
      </c>
      <c r="N89" s="106">
        <v>0</v>
      </c>
      <c r="O89" s="106">
        <v>0</v>
      </c>
      <c r="P89" s="106">
        <v>0</v>
      </c>
      <c r="Q89" s="106">
        <v>0</v>
      </c>
      <c r="R89" s="106">
        <v>0</v>
      </c>
      <c r="S89" s="106">
        <v>0</v>
      </c>
      <c r="T89" s="106">
        <v>0</v>
      </c>
      <c r="U89" s="106">
        <v>0</v>
      </c>
      <c r="V89" s="106">
        <v>0</v>
      </c>
      <c r="W89" s="106">
        <v>0</v>
      </c>
      <c r="X89" s="106">
        <v>0</v>
      </c>
      <c r="Y89" s="106">
        <v>0</v>
      </c>
      <c r="Z89" s="106">
        <v>0</v>
      </c>
      <c r="AA89" s="106">
        <v>0</v>
      </c>
      <c r="AB89" s="106">
        <v>0</v>
      </c>
      <c r="AC89" s="106">
        <v>0</v>
      </c>
      <c r="AD89" s="106">
        <v>0</v>
      </c>
      <c r="AE89" s="106">
        <v>0</v>
      </c>
      <c r="AF89" s="106">
        <v>0</v>
      </c>
      <c r="AG89" s="106">
        <v>0</v>
      </c>
      <c r="AH89" s="106">
        <v>0</v>
      </c>
      <c r="AI89" s="106">
        <v>0</v>
      </c>
      <c r="AJ89" s="106">
        <v>0</v>
      </c>
      <c r="AK89" s="106">
        <v>0</v>
      </c>
      <c r="AL89" s="106">
        <v>0</v>
      </c>
      <c r="AM89" s="106">
        <v>0</v>
      </c>
      <c r="AN89" s="106">
        <v>0</v>
      </c>
      <c r="AO89" s="106">
        <v>0</v>
      </c>
      <c r="AP89" s="106">
        <v>0</v>
      </c>
      <c r="AQ89" s="106">
        <v>0</v>
      </c>
      <c r="AR89" s="106">
        <v>0</v>
      </c>
      <c r="AS89" s="106">
        <v>0</v>
      </c>
      <c r="AT89" s="106">
        <v>0</v>
      </c>
      <c r="AU89" s="106">
        <v>0</v>
      </c>
      <c r="AV89" s="106">
        <v>0</v>
      </c>
      <c r="AW89" s="106">
        <v>0</v>
      </c>
      <c r="AX89" s="106">
        <v>6.7121137929496815</v>
      </c>
      <c r="AY89" s="106">
        <v>16092.964029976156</v>
      </c>
      <c r="AZ89" s="106">
        <v>0</v>
      </c>
      <c r="BA89" s="106">
        <v>0</v>
      </c>
      <c r="BB89" s="106">
        <v>4</v>
      </c>
      <c r="BC89" s="106">
        <v>9590.4</v>
      </c>
      <c r="BD89" s="106">
        <v>0</v>
      </c>
      <c r="BE89" s="106">
        <v>0</v>
      </c>
      <c r="BF89" s="106">
        <v>0</v>
      </c>
      <c r="BG89" s="106">
        <v>0</v>
      </c>
      <c r="BH89" s="106">
        <v>10</v>
      </c>
      <c r="BI89" s="106">
        <v>23976</v>
      </c>
      <c r="BJ89" s="106">
        <v>0</v>
      </c>
      <c r="BK89" s="106">
        <v>0</v>
      </c>
      <c r="BL89" s="106">
        <v>8</v>
      </c>
      <c r="BM89" s="106">
        <v>19180.8</v>
      </c>
      <c r="BN89" s="106">
        <v>11</v>
      </c>
      <c r="BO89" s="106">
        <v>26373.599999999999</v>
      </c>
      <c r="BP89" s="106">
        <v>20</v>
      </c>
      <c r="BQ89" s="106">
        <v>47952</v>
      </c>
      <c r="BR89" s="106">
        <v>19</v>
      </c>
      <c r="BS89" s="106">
        <v>45554.400000000001</v>
      </c>
      <c r="BT89" s="106">
        <v>19</v>
      </c>
      <c r="BU89" s="106">
        <v>45554.400000000001</v>
      </c>
      <c r="BV89" s="106">
        <v>12</v>
      </c>
      <c r="BW89" s="106">
        <v>28771.199999999997</v>
      </c>
      <c r="BX89" s="106">
        <v>2.7336580060891689</v>
      </c>
      <c r="BY89" s="106">
        <v>6554.2184353993907</v>
      </c>
      <c r="BZ89" s="106">
        <v>0</v>
      </c>
      <c r="CA89" s="106">
        <v>0</v>
      </c>
      <c r="CB89" s="106">
        <v>0</v>
      </c>
      <c r="CC89" s="106">
        <v>0</v>
      </c>
      <c r="CD89" s="106">
        <v>0</v>
      </c>
      <c r="CE89" s="106">
        <v>0</v>
      </c>
      <c r="CF89" s="106">
        <v>0</v>
      </c>
      <c r="CG89" s="106">
        <v>0</v>
      </c>
      <c r="CH89" s="106">
        <v>0</v>
      </c>
      <c r="CI89" s="106">
        <v>0</v>
      </c>
      <c r="CJ89" s="106">
        <v>0</v>
      </c>
      <c r="CK89" s="106">
        <v>0</v>
      </c>
      <c r="CL89" s="106">
        <v>0</v>
      </c>
      <c r="CM89" s="106">
        <v>0</v>
      </c>
      <c r="CN89" s="106">
        <v>0</v>
      </c>
      <c r="CO89" s="106">
        <v>0</v>
      </c>
      <c r="CP89" s="106">
        <v>0</v>
      </c>
      <c r="CQ89" s="106">
        <v>0</v>
      </c>
      <c r="CR89" s="106">
        <v>0</v>
      </c>
      <c r="CS89" s="106">
        <v>0</v>
      </c>
      <c r="CT89" s="106">
        <v>0</v>
      </c>
      <c r="CU89" s="106">
        <v>0</v>
      </c>
    </row>
    <row r="90" spans="2:99" x14ac:dyDescent="0.2">
      <c r="C90" s="105" t="s">
        <v>256</v>
      </c>
      <c r="D90" s="106">
        <v>0</v>
      </c>
      <c r="E90" s="106">
        <v>0</v>
      </c>
      <c r="F90" s="106">
        <v>0</v>
      </c>
      <c r="G90" s="106">
        <v>0</v>
      </c>
      <c r="H90" s="106">
        <v>0</v>
      </c>
      <c r="I90" s="106">
        <v>0</v>
      </c>
      <c r="J90" s="106">
        <v>0</v>
      </c>
      <c r="K90" s="106">
        <v>0</v>
      </c>
      <c r="L90" s="106">
        <v>0</v>
      </c>
      <c r="M90" s="106">
        <v>0</v>
      </c>
      <c r="N90" s="106">
        <v>0</v>
      </c>
      <c r="O90" s="106">
        <v>0</v>
      </c>
      <c r="P90" s="106">
        <v>0</v>
      </c>
      <c r="Q90" s="106">
        <v>0</v>
      </c>
      <c r="R90" s="106">
        <v>0</v>
      </c>
      <c r="S90" s="106">
        <v>0</v>
      </c>
      <c r="T90" s="106">
        <v>0</v>
      </c>
      <c r="U90" s="106">
        <v>0</v>
      </c>
      <c r="V90" s="106">
        <v>0</v>
      </c>
      <c r="W90" s="106">
        <v>0</v>
      </c>
      <c r="X90" s="106">
        <v>0</v>
      </c>
      <c r="Y90" s="106">
        <v>0</v>
      </c>
      <c r="Z90" s="106">
        <v>0</v>
      </c>
      <c r="AA90" s="106">
        <v>0</v>
      </c>
      <c r="AB90" s="106">
        <v>0</v>
      </c>
      <c r="AC90" s="106">
        <v>0</v>
      </c>
      <c r="AD90" s="106">
        <v>0</v>
      </c>
      <c r="AE90" s="106">
        <v>0</v>
      </c>
      <c r="AF90" s="106">
        <v>0</v>
      </c>
      <c r="AG90" s="106">
        <v>0</v>
      </c>
      <c r="AH90" s="106">
        <v>0</v>
      </c>
      <c r="AI90" s="106">
        <v>0</v>
      </c>
      <c r="AJ90" s="106">
        <v>0</v>
      </c>
      <c r="AK90" s="106">
        <v>0</v>
      </c>
      <c r="AL90" s="106">
        <v>0</v>
      </c>
      <c r="AM90" s="106">
        <v>0</v>
      </c>
      <c r="AN90" s="106">
        <v>0</v>
      </c>
      <c r="AO90" s="106">
        <v>0</v>
      </c>
      <c r="AP90" s="106">
        <v>0</v>
      </c>
      <c r="AQ90" s="106">
        <v>0</v>
      </c>
      <c r="AR90" s="106">
        <v>0</v>
      </c>
      <c r="AS90" s="106">
        <v>0</v>
      </c>
      <c r="AT90" s="106">
        <v>0</v>
      </c>
      <c r="AU90" s="106">
        <v>0</v>
      </c>
      <c r="AV90" s="106">
        <v>0</v>
      </c>
      <c r="AW90" s="106">
        <v>0</v>
      </c>
      <c r="AX90" s="106">
        <v>7.9324981189405319</v>
      </c>
      <c r="AY90" s="106">
        <v>17429.284866936134</v>
      </c>
      <c r="AZ90" s="106">
        <v>0</v>
      </c>
      <c r="BA90" s="106">
        <v>0</v>
      </c>
      <c r="BB90" s="106">
        <v>4</v>
      </c>
      <c r="BC90" s="106">
        <v>8788.7999999999993</v>
      </c>
      <c r="BD90" s="106">
        <v>0</v>
      </c>
      <c r="BE90" s="106">
        <v>0</v>
      </c>
      <c r="BF90" s="106">
        <v>0</v>
      </c>
      <c r="BG90" s="106">
        <v>0</v>
      </c>
      <c r="BH90" s="106">
        <v>10</v>
      </c>
      <c r="BI90" s="106">
        <v>21972</v>
      </c>
      <c r="BJ90" s="106">
        <v>0</v>
      </c>
      <c r="BK90" s="106">
        <v>0</v>
      </c>
      <c r="BL90" s="106">
        <v>8</v>
      </c>
      <c r="BM90" s="106">
        <v>17577.599999999999</v>
      </c>
      <c r="BN90" s="106">
        <v>11</v>
      </c>
      <c r="BO90" s="106">
        <v>24169.199999999997</v>
      </c>
      <c r="BP90" s="106">
        <v>21</v>
      </c>
      <c r="BQ90" s="106">
        <v>46141.2</v>
      </c>
      <c r="BR90" s="106">
        <v>18</v>
      </c>
      <c r="BS90" s="106">
        <v>39549.599999999999</v>
      </c>
      <c r="BT90" s="106">
        <v>21</v>
      </c>
      <c r="BU90" s="106">
        <v>46141.2</v>
      </c>
      <c r="BV90" s="106">
        <v>12</v>
      </c>
      <c r="BW90" s="106">
        <v>26366.399999999998</v>
      </c>
      <c r="BX90" s="106">
        <v>2.7336580060891689</v>
      </c>
      <c r="BY90" s="106">
        <v>6006.3933709791218</v>
      </c>
      <c r="BZ90" s="106">
        <v>0</v>
      </c>
      <c r="CA90" s="106">
        <v>0</v>
      </c>
      <c r="CB90" s="106">
        <v>0</v>
      </c>
      <c r="CC90" s="106">
        <v>0</v>
      </c>
      <c r="CD90" s="106">
        <v>0</v>
      </c>
      <c r="CE90" s="106">
        <v>0</v>
      </c>
      <c r="CF90" s="106">
        <v>0</v>
      </c>
      <c r="CG90" s="106">
        <v>0</v>
      </c>
      <c r="CH90" s="106">
        <v>0</v>
      </c>
      <c r="CI90" s="106">
        <v>0</v>
      </c>
      <c r="CJ90" s="106">
        <v>0</v>
      </c>
      <c r="CK90" s="106">
        <v>0</v>
      </c>
      <c r="CL90" s="106">
        <v>0</v>
      </c>
      <c r="CM90" s="106">
        <v>0</v>
      </c>
      <c r="CN90" s="106">
        <v>0</v>
      </c>
      <c r="CO90" s="106">
        <v>0</v>
      </c>
      <c r="CP90" s="106">
        <v>0</v>
      </c>
      <c r="CQ90" s="106">
        <v>0</v>
      </c>
      <c r="CR90" s="106">
        <v>0</v>
      </c>
      <c r="CS90" s="106">
        <v>0</v>
      </c>
      <c r="CT90" s="106">
        <v>0</v>
      </c>
      <c r="CU90" s="106">
        <v>0</v>
      </c>
    </row>
    <row r="91" spans="2:99" x14ac:dyDescent="0.2">
      <c r="C91" s="105" t="s">
        <v>257</v>
      </c>
      <c r="D91" s="106">
        <v>0</v>
      </c>
      <c r="E91" s="106">
        <v>0</v>
      </c>
      <c r="F91" s="106">
        <v>0</v>
      </c>
      <c r="G91" s="106">
        <v>0</v>
      </c>
      <c r="H91" s="106">
        <v>0</v>
      </c>
      <c r="I91" s="106">
        <v>0</v>
      </c>
      <c r="J91" s="106">
        <v>0</v>
      </c>
      <c r="K91" s="106">
        <v>0</v>
      </c>
      <c r="L91" s="106">
        <v>0</v>
      </c>
      <c r="M91" s="106">
        <v>0</v>
      </c>
      <c r="N91" s="106">
        <v>0</v>
      </c>
      <c r="O91" s="106">
        <v>0</v>
      </c>
      <c r="P91" s="106">
        <v>0</v>
      </c>
      <c r="Q91" s="106">
        <v>0</v>
      </c>
      <c r="R91" s="106">
        <v>0</v>
      </c>
      <c r="S91" s="106">
        <v>0</v>
      </c>
      <c r="T91" s="106">
        <v>0</v>
      </c>
      <c r="U91" s="106">
        <v>0</v>
      </c>
      <c r="V91" s="106">
        <v>0</v>
      </c>
      <c r="W91" s="106">
        <v>0</v>
      </c>
      <c r="X91" s="106">
        <v>0</v>
      </c>
      <c r="Y91" s="106">
        <v>0</v>
      </c>
      <c r="Z91" s="106">
        <v>0</v>
      </c>
      <c r="AA91" s="106">
        <v>0</v>
      </c>
      <c r="AB91" s="106">
        <v>0</v>
      </c>
      <c r="AC91" s="106">
        <v>0</v>
      </c>
      <c r="AD91" s="106">
        <v>0</v>
      </c>
      <c r="AE91" s="106">
        <v>0</v>
      </c>
      <c r="AF91" s="106">
        <v>0</v>
      </c>
      <c r="AG91" s="106">
        <v>0</v>
      </c>
      <c r="AH91" s="106">
        <v>0</v>
      </c>
      <c r="AI91" s="106">
        <v>0</v>
      </c>
      <c r="AJ91" s="106">
        <v>0</v>
      </c>
      <c r="AK91" s="106">
        <v>0</v>
      </c>
      <c r="AL91" s="106">
        <v>0</v>
      </c>
      <c r="AM91" s="106">
        <v>0</v>
      </c>
      <c r="AN91" s="106">
        <v>0</v>
      </c>
      <c r="AO91" s="106">
        <v>0</v>
      </c>
      <c r="AP91" s="106">
        <v>0</v>
      </c>
      <c r="AQ91" s="106">
        <v>0</v>
      </c>
      <c r="AR91" s="106">
        <v>0</v>
      </c>
      <c r="AS91" s="106">
        <v>0</v>
      </c>
      <c r="AT91" s="106">
        <v>0</v>
      </c>
      <c r="AU91" s="106">
        <v>0</v>
      </c>
      <c r="AV91" s="106">
        <v>0</v>
      </c>
      <c r="AW91" s="106">
        <v>0</v>
      </c>
      <c r="AX91" s="106">
        <v>7.9324981189405319</v>
      </c>
      <c r="AY91" s="106">
        <v>18219.361679582613</v>
      </c>
      <c r="AZ91" s="106">
        <v>0</v>
      </c>
      <c r="BA91" s="106">
        <v>0</v>
      </c>
      <c r="BB91" s="106">
        <v>3</v>
      </c>
      <c r="BC91" s="106">
        <v>6890.4</v>
      </c>
      <c r="BD91" s="106">
        <v>0</v>
      </c>
      <c r="BE91" s="106">
        <v>0</v>
      </c>
      <c r="BF91" s="106">
        <v>0</v>
      </c>
      <c r="BG91" s="106">
        <v>0</v>
      </c>
      <c r="BH91" s="106">
        <v>8</v>
      </c>
      <c r="BI91" s="106">
        <v>18374.399999999998</v>
      </c>
      <c r="BJ91" s="106">
        <v>0</v>
      </c>
      <c r="BK91" s="106">
        <v>0</v>
      </c>
      <c r="BL91" s="106">
        <v>7</v>
      </c>
      <c r="BM91" s="106">
        <v>16077.599999999999</v>
      </c>
      <c r="BN91" s="106">
        <v>11</v>
      </c>
      <c r="BO91" s="106">
        <v>25264.799999999996</v>
      </c>
      <c r="BP91" s="106">
        <v>21</v>
      </c>
      <c r="BQ91" s="106">
        <v>48232.799999999996</v>
      </c>
      <c r="BR91" s="106">
        <v>19</v>
      </c>
      <c r="BS91" s="106">
        <v>43639.199999999997</v>
      </c>
      <c r="BT91" s="106">
        <v>22</v>
      </c>
      <c r="BU91" s="106">
        <v>50529.599999999991</v>
      </c>
      <c r="BV91" s="106">
        <v>11</v>
      </c>
      <c r="BW91" s="106">
        <v>25264.799999999996</v>
      </c>
      <c r="BX91" s="106">
        <v>2.343135433790716</v>
      </c>
      <c r="BY91" s="106">
        <v>5381.7134643305162</v>
      </c>
      <c r="BZ91" s="106">
        <v>0</v>
      </c>
      <c r="CA91" s="106">
        <v>0</v>
      </c>
      <c r="CB91" s="106">
        <v>0</v>
      </c>
      <c r="CC91" s="106">
        <v>0</v>
      </c>
      <c r="CD91" s="106">
        <v>0</v>
      </c>
      <c r="CE91" s="106">
        <v>0</v>
      </c>
      <c r="CF91" s="106">
        <v>0</v>
      </c>
      <c r="CG91" s="106">
        <v>0</v>
      </c>
      <c r="CH91" s="106">
        <v>0</v>
      </c>
      <c r="CI91" s="106">
        <v>0</v>
      </c>
      <c r="CJ91" s="106">
        <v>0</v>
      </c>
      <c r="CK91" s="106">
        <v>0</v>
      </c>
      <c r="CL91" s="106">
        <v>0</v>
      </c>
      <c r="CM91" s="106">
        <v>0</v>
      </c>
      <c r="CN91" s="106">
        <v>0</v>
      </c>
      <c r="CO91" s="106">
        <v>0</v>
      </c>
      <c r="CP91" s="106">
        <v>0</v>
      </c>
      <c r="CQ91" s="106">
        <v>0</v>
      </c>
      <c r="CR91" s="106">
        <v>0</v>
      </c>
      <c r="CS91" s="106">
        <v>0</v>
      </c>
      <c r="CT91" s="106">
        <v>0</v>
      </c>
      <c r="CU91" s="106">
        <v>0</v>
      </c>
    </row>
    <row r="92" spans="2:99" x14ac:dyDescent="0.2">
      <c r="C92" s="105" t="s">
        <v>258</v>
      </c>
      <c r="D92" s="106">
        <v>0</v>
      </c>
      <c r="E92" s="106">
        <v>0</v>
      </c>
      <c r="F92" s="106">
        <v>0</v>
      </c>
      <c r="G92" s="106">
        <v>0</v>
      </c>
      <c r="H92" s="106">
        <v>0</v>
      </c>
      <c r="I92" s="106">
        <v>0</v>
      </c>
      <c r="J92" s="106">
        <v>0</v>
      </c>
      <c r="K92" s="106">
        <v>0</v>
      </c>
      <c r="L92" s="106">
        <v>0</v>
      </c>
      <c r="M92" s="106">
        <v>0</v>
      </c>
      <c r="N92" s="106">
        <v>0</v>
      </c>
      <c r="O92" s="106">
        <v>0</v>
      </c>
      <c r="P92" s="106">
        <v>0</v>
      </c>
      <c r="Q92" s="106">
        <v>0</v>
      </c>
      <c r="R92" s="106">
        <v>0</v>
      </c>
      <c r="S92" s="106">
        <v>0</v>
      </c>
      <c r="T92" s="106">
        <v>0</v>
      </c>
      <c r="U92" s="106">
        <v>0</v>
      </c>
      <c r="V92" s="106">
        <v>0</v>
      </c>
      <c r="W92" s="106">
        <v>0</v>
      </c>
      <c r="X92" s="106">
        <v>0</v>
      </c>
      <c r="Y92" s="106">
        <v>0</v>
      </c>
      <c r="Z92" s="106">
        <v>0</v>
      </c>
      <c r="AA92" s="106">
        <v>0</v>
      </c>
      <c r="AB92" s="106">
        <v>0</v>
      </c>
      <c r="AC92" s="106">
        <v>0</v>
      </c>
      <c r="AD92" s="106">
        <v>0</v>
      </c>
      <c r="AE92" s="106">
        <v>0</v>
      </c>
      <c r="AF92" s="106">
        <v>0</v>
      </c>
      <c r="AG92" s="106">
        <v>0</v>
      </c>
      <c r="AH92" s="106">
        <v>0</v>
      </c>
      <c r="AI92" s="106">
        <v>0</v>
      </c>
      <c r="AJ92" s="106">
        <v>0</v>
      </c>
      <c r="AK92" s="106">
        <v>0</v>
      </c>
      <c r="AL92" s="106">
        <v>0</v>
      </c>
      <c r="AM92" s="106">
        <v>0</v>
      </c>
      <c r="AN92" s="106">
        <v>0</v>
      </c>
      <c r="AO92" s="106">
        <v>0</v>
      </c>
      <c r="AP92" s="106">
        <v>0</v>
      </c>
      <c r="AQ92" s="106">
        <v>0</v>
      </c>
      <c r="AR92" s="106">
        <v>0</v>
      </c>
      <c r="AS92" s="106">
        <v>0</v>
      </c>
      <c r="AT92" s="106">
        <v>0</v>
      </c>
      <c r="AU92" s="106">
        <v>0</v>
      </c>
      <c r="AV92" s="106">
        <v>0</v>
      </c>
      <c r="AW92" s="106">
        <v>0</v>
      </c>
      <c r="AX92" s="106">
        <v>7.9324981189405319</v>
      </c>
      <c r="AY92" s="106">
        <v>11270.493327390708</v>
      </c>
      <c r="AZ92" s="106">
        <v>0</v>
      </c>
      <c r="BA92" s="106">
        <v>0</v>
      </c>
      <c r="BB92" s="106">
        <v>4</v>
      </c>
      <c r="BC92" s="106">
        <v>5683.2</v>
      </c>
      <c r="BD92" s="106">
        <v>0</v>
      </c>
      <c r="BE92" s="106">
        <v>0</v>
      </c>
      <c r="BF92" s="106">
        <v>0</v>
      </c>
      <c r="BG92" s="106">
        <v>0</v>
      </c>
      <c r="BH92" s="106">
        <v>9</v>
      </c>
      <c r="BI92" s="106">
        <v>12787.199999999999</v>
      </c>
      <c r="BJ92" s="106">
        <v>0</v>
      </c>
      <c r="BK92" s="106">
        <v>0</v>
      </c>
      <c r="BL92" s="106">
        <v>8</v>
      </c>
      <c r="BM92" s="106">
        <v>11366.4</v>
      </c>
      <c r="BN92" s="106">
        <v>12</v>
      </c>
      <c r="BO92" s="106">
        <v>17049.599999999999</v>
      </c>
      <c r="BP92" s="106">
        <v>22</v>
      </c>
      <c r="BQ92" s="106">
        <v>31257.599999999999</v>
      </c>
      <c r="BR92" s="106">
        <v>20</v>
      </c>
      <c r="BS92" s="106">
        <v>28416</v>
      </c>
      <c r="BT92" s="106">
        <v>22</v>
      </c>
      <c r="BU92" s="106">
        <v>31257.599999999999</v>
      </c>
      <c r="BV92" s="106">
        <v>15</v>
      </c>
      <c r="BW92" s="106">
        <v>21312</v>
      </c>
      <c r="BX92" s="106">
        <v>2.7336580060891689</v>
      </c>
      <c r="BY92" s="106">
        <v>3883.9812950514911</v>
      </c>
      <c r="BZ92" s="106">
        <v>0</v>
      </c>
      <c r="CA92" s="106">
        <v>0</v>
      </c>
      <c r="CB92" s="106">
        <v>0</v>
      </c>
      <c r="CC92" s="106">
        <v>0</v>
      </c>
      <c r="CD92" s="106">
        <v>0</v>
      </c>
      <c r="CE92" s="106">
        <v>0</v>
      </c>
      <c r="CF92" s="106">
        <v>0</v>
      </c>
      <c r="CG92" s="106">
        <v>0</v>
      </c>
      <c r="CH92" s="106">
        <v>0</v>
      </c>
      <c r="CI92" s="106">
        <v>0</v>
      </c>
      <c r="CJ92" s="106">
        <v>0</v>
      </c>
      <c r="CK92" s="106">
        <v>0</v>
      </c>
      <c r="CL92" s="106">
        <v>0</v>
      </c>
      <c r="CM92" s="106">
        <v>0</v>
      </c>
      <c r="CN92" s="106">
        <v>0</v>
      </c>
      <c r="CO92" s="106">
        <v>0</v>
      </c>
      <c r="CP92" s="106">
        <v>0</v>
      </c>
      <c r="CQ92" s="106">
        <v>0</v>
      </c>
      <c r="CR92" s="106">
        <v>0</v>
      </c>
      <c r="CS92" s="106">
        <v>0</v>
      </c>
      <c r="CT92" s="106">
        <v>0</v>
      </c>
      <c r="CU92" s="106">
        <v>0</v>
      </c>
    </row>
    <row r="93" spans="2:99" x14ac:dyDescent="0.2">
      <c r="C93" s="105" t="s">
        <v>259</v>
      </c>
      <c r="D93" s="106">
        <v>0</v>
      </c>
      <c r="E93" s="106">
        <v>0</v>
      </c>
      <c r="F93" s="106">
        <v>0</v>
      </c>
      <c r="G93" s="106">
        <v>0</v>
      </c>
      <c r="H93" s="106">
        <v>0</v>
      </c>
      <c r="I93" s="106">
        <v>0</v>
      </c>
      <c r="J93" s="106">
        <v>0</v>
      </c>
      <c r="K93" s="106">
        <v>0</v>
      </c>
      <c r="L93" s="106">
        <v>0</v>
      </c>
      <c r="M93" s="106">
        <v>0</v>
      </c>
      <c r="N93" s="106">
        <v>0</v>
      </c>
      <c r="O93" s="106">
        <v>0</v>
      </c>
      <c r="P93" s="106">
        <v>0</v>
      </c>
      <c r="Q93" s="106">
        <v>0</v>
      </c>
      <c r="R93" s="106">
        <v>0</v>
      </c>
      <c r="S93" s="106">
        <v>0</v>
      </c>
      <c r="T93" s="106">
        <v>0</v>
      </c>
      <c r="U93" s="106">
        <v>0</v>
      </c>
      <c r="V93" s="106">
        <v>0</v>
      </c>
      <c r="W93" s="106">
        <v>0</v>
      </c>
      <c r="X93" s="106">
        <v>0</v>
      </c>
      <c r="Y93" s="106">
        <v>0</v>
      </c>
      <c r="Z93" s="106">
        <v>0</v>
      </c>
      <c r="AA93" s="106">
        <v>0</v>
      </c>
      <c r="AB93" s="106">
        <v>0</v>
      </c>
      <c r="AC93" s="106">
        <v>0</v>
      </c>
      <c r="AD93" s="106">
        <v>0</v>
      </c>
      <c r="AE93" s="106">
        <v>0</v>
      </c>
      <c r="AF93" s="106">
        <v>0</v>
      </c>
      <c r="AG93" s="106">
        <v>0</v>
      </c>
      <c r="AH93" s="106">
        <v>0</v>
      </c>
      <c r="AI93" s="106">
        <v>0</v>
      </c>
      <c r="AJ93" s="106">
        <v>0</v>
      </c>
      <c r="AK93" s="106">
        <v>0</v>
      </c>
      <c r="AL93" s="106">
        <v>0</v>
      </c>
      <c r="AM93" s="106">
        <v>0</v>
      </c>
      <c r="AN93" s="106">
        <v>0</v>
      </c>
      <c r="AO93" s="106">
        <v>0</v>
      </c>
      <c r="AP93" s="106">
        <v>0</v>
      </c>
      <c r="AQ93" s="106">
        <v>0</v>
      </c>
      <c r="AR93" s="106">
        <v>0</v>
      </c>
      <c r="AS93" s="106">
        <v>0</v>
      </c>
      <c r="AT93" s="106">
        <v>0</v>
      </c>
      <c r="AU93" s="106">
        <v>0</v>
      </c>
      <c r="AV93" s="106">
        <v>0</v>
      </c>
      <c r="AW93" s="106">
        <v>0</v>
      </c>
      <c r="AX93" s="106">
        <v>7.9324981189405319</v>
      </c>
      <c r="AY93" s="106">
        <v>14059.559666010198</v>
      </c>
      <c r="AZ93" s="106">
        <v>0</v>
      </c>
      <c r="BA93" s="106">
        <v>0</v>
      </c>
      <c r="BB93" s="106">
        <v>4</v>
      </c>
      <c r="BC93" s="106">
        <v>7089.5999999999995</v>
      </c>
      <c r="BD93" s="106">
        <v>0</v>
      </c>
      <c r="BE93" s="106">
        <v>0</v>
      </c>
      <c r="BF93" s="106">
        <v>0</v>
      </c>
      <c r="BG93" s="106">
        <v>0</v>
      </c>
      <c r="BH93" s="106">
        <v>9</v>
      </c>
      <c r="BI93" s="106">
        <v>15951.599999999999</v>
      </c>
      <c r="BJ93" s="106">
        <v>0</v>
      </c>
      <c r="BK93" s="106">
        <v>0</v>
      </c>
      <c r="BL93" s="106">
        <v>7</v>
      </c>
      <c r="BM93" s="106">
        <v>12406.8</v>
      </c>
      <c r="BN93" s="106">
        <v>13</v>
      </c>
      <c r="BO93" s="106">
        <v>23041.199999999997</v>
      </c>
      <c r="BP93" s="106">
        <v>22</v>
      </c>
      <c r="BQ93" s="106">
        <v>38992.799999999996</v>
      </c>
      <c r="BR93" s="106">
        <v>19</v>
      </c>
      <c r="BS93" s="106">
        <v>33675.599999999999</v>
      </c>
      <c r="BT93" s="106">
        <v>22</v>
      </c>
      <c r="BU93" s="106">
        <v>38992.799999999996</v>
      </c>
      <c r="BV93" s="106">
        <v>14</v>
      </c>
      <c r="BW93" s="106">
        <v>24813.599999999999</v>
      </c>
      <c r="BX93" s="106">
        <v>2.343135433790716</v>
      </c>
      <c r="BY93" s="106">
        <v>4152.973242850665</v>
      </c>
      <c r="BZ93" s="106">
        <v>0</v>
      </c>
      <c r="CA93" s="106">
        <v>0</v>
      </c>
      <c r="CB93" s="106">
        <v>0</v>
      </c>
      <c r="CC93" s="106">
        <v>0</v>
      </c>
      <c r="CD93" s="106">
        <v>0</v>
      </c>
      <c r="CE93" s="106">
        <v>0</v>
      </c>
      <c r="CF93" s="106">
        <v>0</v>
      </c>
      <c r="CG93" s="106">
        <v>0</v>
      </c>
      <c r="CH93" s="106">
        <v>0</v>
      </c>
      <c r="CI93" s="106">
        <v>0</v>
      </c>
      <c r="CJ93" s="106">
        <v>0</v>
      </c>
      <c r="CK93" s="106">
        <v>0</v>
      </c>
      <c r="CL93" s="106">
        <v>0</v>
      </c>
      <c r="CM93" s="106">
        <v>0</v>
      </c>
      <c r="CN93" s="106">
        <v>0</v>
      </c>
      <c r="CO93" s="106">
        <v>0</v>
      </c>
      <c r="CP93" s="106">
        <v>0</v>
      </c>
      <c r="CQ93" s="106">
        <v>0</v>
      </c>
      <c r="CR93" s="106">
        <v>0</v>
      </c>
      <c r="CS93" s="106">
        <v>0</v>
      </c>
      <c r="CT93" s="106">
        <v>0</v>
      </c>
      <c r="CU93" s="106">
        <v>0</v>
      </c>
    </row>
    <row r="94" spans="2:99" x14ac:dyDescent="0.2">
      <c r="C94" s="105" t="s">
        <v>260</v>
      </c>
      <c r="D94" s="106">
        <v>0</v>
      </c>
      <c r="E94" s="106">
        <v>0</v>
      </c>
      <c r="F94" s="106">
        <v>0</v>
      </c>
      <c r="G94" s="106">
        <v>0</v>
      </c>
      <c r="H94" s="106">
        <v>0</v>
      </c>
      <c r="I94" s="106">
        <v>0</v>
      </c>
      <c r="J94" s="106">
        <v>0</v>
      </c>
      <c r="K94" s="106">
        <v>0</v>
      </c>
      <c r="L94" s="106">
        <v>0</v>
      </c>
      <c r="M94" s="106">
        <v>0</v>
      </c>
      <c r="N94" s="106">
        <v>0</v>
      </c>
      <c r="O94" s="106">
        <v>0</v>
      </c>
      <c r="P94" s="106">
        <v>0</v>
      </c>
      <c r="Q94" s="106">
        <v>0</v>
      </c>
      <c r="R94" s="106">
        <v>0</v>
      </c>
      <c r="S94" s="106">
        <v>0</v>
      </c>
      <c r="T94" s="106">
        <v>0</v>
      </c>
      <c r="U94" s="106">
        <v>0</v>
      </c>
      <c r="V94" s="106">
        <v>0</v>
      </c>
      <c r="W94" s="106">
        <v>0</v>
      </c>
      <c r="X94" s="106">
        <v>0</v>
      </c>
      <c r="Y94" s="106">
        <v>0</v>
      </c>
      <c r="Z94" s="106">
        <v>0</v>
      </c>
      <c r="AA94" s="106">
        <v>0</v>
      </c>
      <c r="AB94" s="106">
        <v>0</v>
      </c>
      <c r="AC94" s="106">
        <v>0</v>
      </c>
      <c r="AD94" s="106">
        <v>0</v>
      </c>
      <c r="AE94" s="106">
        <v>0</v>
      </c>
      <c r="AF94" s="106">
        <v>0</v>
      </c>
      <c r="AG94" s="106">
        <v>0</v>
      </c>
      <c r="AH94" s="106">
        <v>0</v>
      </c>
      <c r="AI94" s="106">
        <v>0</v>
      </c>
      <c r="AJ94" s="106">
        <v>0</v>
      </c>
      <c r="AK94" s="106">
        <v>0</v>
      </c>
      <c r="AL94" s="106">
        <v>0</v>
      </c>
      <c r="AM94" s="106">
        <v>0</v>
      </c>
      <c r="AN94" s="106">
        <v>0</v>
      </c>
      <c r="AO94" s="106">
        <v>0</v>
      </c>
      <c r="AP94" s="106">
        <v>0</v>
      </c>
      <c r="AQ94" s="106">
        <v>0</v>
      </c>
      <c r="AR94" s="106">
        <v>0</v>
      </c>
      <c r="AS94" s="106">
        <v>0</v>
      </c>
      <c r="AT94" s="106">
        <v>0</v>
      </c>
      <c r="AU94" s="106">
        <v>0</v>
      </c>
      <c r="AV94" s="106">
        <v>0</v>
      </c>
      <c r="AW94" s="106">
        <v>0</v>
      </c>
      <c r="AX94" s="106">
        <v>6.7121137929496815</v>
      </c>
      <c r="AY94" s="106">
        <v>16076.854956873076</v>
      </c>
      <c r="AZ94" s="106">
        <v>0</v>
      </c>
      <c r="BA94" s="106">
        <v>0</v>
      </c>
      <c r="BB94" s="106">
        <v>3</v>
      </c>
      <c r="BC94" s="106">
        <v>7185.5999999999995</v>
      </c>
      <c r="BD94" s="106">
        <v>0</v>
      </c>
      <c r="BE94" s="106">
        <v>0</v>
      </c>
      <c r="BF94" s="106">
        <v>0</v>
      </c>
      <c r="BG94" s="106">
        <v>0</v>
      </c>
      <c r="BH94" s="106">
        <v>9</v>
      </c>
      <c r="BI94" s="106">
        <v>21556.799999999999</v>
      </c>
      <c r="BJ94" s="106">
        <v>0</v>
      </c>
      <c r="BK94" s="106">
        <v>0</v>
      </c>
      <c r="BL94" s="106">
        <v>7</v>
      </c>
      <c r="BM94" s="106">
        <v>16766.399999999998</v>
      </c>
      <c r="BN94" s="106">
        <v>12</v>
      </c>
      <c r="BO94" s="106">
        <v>28742.399999999998</v>
      </c>
      <c r="BP94" s="106">
        <v>18</v>
      </c>
      <c r="BQ94" s="106">
        <v>43113.599999999999</v>
      </c>
      <c r="BR94" s="106">
        <v>18</v>
      </c>
      <c r="BS94" s="106">
        <v>43113.599999999999</v>
      </c>
      <c r="BT94" s="106">
        <v>20</v>
      </c>
      <c r="BU94" s="106">
        <v>47904</v>
      </c>
      <c r="BV94" s="106">
        <v>12</v>
      </c>
      <c r="BW94" s="106">
        <v>28742.399999999998</v>
      </c>
      <c r="BX94" s="106">
        <v>2.343135433790716</v>
      </c>
      <c r="BY94" s="106">
        <v>5612.2779910155223</v>
      </c>
      <c r="BZ94" s="106">
        <v>0</v>
      </c>
      <c r="CA94" s="106">
        <v>0</v>
      </c>
      <c r="CB94" s="106">
        <v>0</v>
      </c>
      <c r="CC94" s="106">
        <v>0</v>
      </c>
      <c r="CD94" s="106">
        <v>0</v>
      </c>
      <c r="CE94" s="106">
        <v>0</v>
      </c>
      <c r="CF94" s="106">
        <v>0</v>
      </c>
      <c r="CG94" s="106">
        <v>0</v>
      </c>
      <c r="CH94" s="106">
        <v>0</v>
      </c>
      <c r="CI94" s="106">
        <v>0</v>
      </c>
      <c r="CJ94" s="106">
        <v>0</v>
      </c>
      <c r="CK94" s="106">
        <v>0</v>
      </c>
      <c r="CL94" s="106">
        <v>0</v>
      </c>
      <c r="CM94" s="106">
        <v>0</v>
      </c>
      <c r="CN94" s="106">
        <v>0</v>
      </c>
      <c r="CO94" s="106">
        <v>0</v>
      </c>
      <c r="CP94" s="106">
        <v>0</v>
      </c>
      <c r="CQ94" s="106">
        <v>0</v>
      </c>
      <c r="CR94" s="106">
        <v>0</v>
      </c>
      <c r="CS94" s="106">
        <v>0</v>
      </c>
      <c r="CT94" s="106">
        <v>0</v>
      </c>
      <c r="CU94" s="106">
        <v>0</v>
      </c>
    </row>
    <row r="95" spans="2:99" x14ac:dyDescent="0.2">
      <c r="B95" s="105" t="s">
        <v>132</v>
      </c>
      <c r="C95" s="105" t="s">
        <v>261</v>
      </c>
      <c r="D95" s="106">
        <v>0</v>
      </c>
      <c r="E95" s="106">
        <v>0</v>
      </c>
      <c r="F95" s="106">
        <v>0</v>
      </c>
      <c r="G95" s="106">
        <v>0</v>
      </c>
      <c r="H95" s="106">
        <v>0</v>
      </c>
      <c r="I95" s="106">
        <v>0</v>
      </c>
      <c r="J95" s="106">
        <v>0</v>
      </c>
      <c r="K95" s="106">
        <v>0</v>
      </c>
      <c r="L95" s="106">
        <v>0</v>
      </c>
      <c r="M95" s="106">
        <v>0</v>
      </c>
      <c r="N95" s="106">
        <v>0</v>
      </c>
      <c r="O95" s="106">
        <v>0</v>
      </c>
      <c r="P95" s="106">
        <v>0</v>
      </c>
      <c r="Q95" s="106">
        <v>0</v>
      </c>
      <c r="R95" s="106">
        <v>0</v>
      </c>
      <c r="S95" s="106">
        <v>0</v>
      </c>
      <c r="T95" s="106">
        <v>0</v>
      </c>
      <c r="U95" s="106">
        <v>0</v>
      </c>
      <c r="V95" s="106">
        <v>0</v>
      </c>
      <c r="W95" s="106">
        <v>0</v>
      </c>
      <c r="X95" s="106">
        <v>0</v>
      </c>
      <c r="Y95" s="106">
        <v>0</v>
      </c>
      <c r="Z95" s="106">
        <v>0</v>
      </c>
      <c r="AA95" s="106">
        <v>0</v>
      </c>
      <c r="AB95" s="106">
        <v>0</v>
      </c>
      <c r="AC95" s="106">
        <v>0</v>
      </c>
      <c r="AD95" s="106">
        <v>0</v>
      </c>
      <c r="AE95" s="106">
        <v>0</v>
      </c>
      <c r="AF95" s="106">
        <v>0</v>
      </c>
      <c r="AG95" s="106">
        <v>0</v>
      </c>
      <c r="AH95" s="106">
        <v>0</v>
      </c>
      <c r="AI95" s="106">
        <v>0</v>
      </c>
      <c r="AJ95" s="106">
        <v>0</v>
      </c>
      <c r="AK95" s="106">
        <v>0</v>
      </c>
      <c r="AL95" s="106">
        <v>0</v>
      </c>
      <c r="AM95" s="106">
        <v>0</v>
      </c>
      <c r="AN95" s="106">
        <v>0</v>
      </c>
      <c r="AO95" s="106">
        <v>0</v>
      </c>
      <c r="AP95" s="106">
        <v>0</v>
      </c>
      <c r="AQ95" s="106">
        <v>0</v>
      </c>
      <c r="AR95" s="106">
        <v>0</v>
      </c>
      <c r="AS95" s="106">
        <v>0</v>
      </c>
      <c r="AT95" s="106">
        <v>0</v>
      </c>
      <c r="AU95" s="106">
        <v>0</v>
      </c>
      <c r="AV95" s="106">
        <v>0</v>
      </c>
      <c r="AW95" s="106">
        <v>0</v>
      </c>
      <c r="AX95" s="106">
        <v>1.8305764889862766</v>
      </c>
      <c r="AY95" s="106">
        <v>3172.0229401154202</v>
      </c>
      <c r="AZ95" s="106">
        <v>0</v>
      </c>
      <c r="BA95" s="106">
        <v>0</v>
      </c>
      <c r="BB95" s="106">
        <v>7</v>
      </c>
      <c r="BC95" s="106">
        <v>12129.6</v>
      </c>
      <c r="BD95" s="106">
        <v>0</v>
      </c>
      <c r="BE95" s="106">
        <v>0</v>
      </c>
      <c r="BF95" s="106">
        <v>0</v>
      </c>
      <c r="BG95" s="106">
        <v>0</v>
      </c>
      <c r="BH95" s="106">
        <v>10</v>
      </c>
      <c r="BI95" s="106">
        <v>17328</v>
      </c>
      <c r="BJ95" s="106">
        <v>0</v>
      </c>
      <c r="BK95" s="106">
        <v>0</v>
      </c>
      <c r="BL95" s="106">
        <v>7</v>
      </c>
      <c r="BM95" s="106">
        <v>12129.6</v>
      </c>
      <c r="BN95" s="106">
        <v>7</v>
      </c>
      <c r="BO95" s="106">
        <v>12129.6</v>
      </c>
      <c r="BP95" s="106">
        <v>3</v>
      </c>
      <c r="BQ95" s="106">
        <v>5198.3999999999996</v>
      </c>
      <c r="BR95" s="106">
        <v>5</v>
      </c>
      <c r="BS95" s="106">
        <v>8664</v>
      </c>
      <c r="BT95" s="106">
        <v>3</v>
      </c>
      <c r="BU95" s="106">
        <v>5198.3999999999996</v>
      </c>
      <c r="BV95" s="106">
        <v>3</v>
      </c>
      <c r="BW95" s="106">
        <v>5198.3999999999996</v>
      </c>
      <c r="BX95" s="106">
        <v>2.343135433790716</v>
      </c>
      <c r="BY95" s="106">
        <v>4060.1850796725525</v>
      </c>
      <c r="BZ95" s="106">
        <v>0</v>
      </c>
      <c r="CA95" s="106">
        <v>0</v>
      </c>
      <c r="CB95" s="106">
        <v>0</v>
      </c>
      <c r="CC95" s="106">
        <v>0</v>
      </c>
      <c r="CD95" s="106">
        <v>0</v>
      </c>
      <c r="CE95" s="106">
        <v>0</v>
      </c>
      <c r="CF95" s="106">
        <v>0</v>
      </c>
      <c r="CG95" s="106">
        <v>0</v>
      </c>
      <c r="CH95" s="106">
        <v>0</v>
      </c>
      <c r="CI95" s="106">
        <v>0</v>
      </c>
      <c r="CJ95" s="106">
        <v>0</v>
      </c>
      <c r="CK95" s="106">
        <v>0</v>
      </c>
      <c r="CL95" s="106">
        <v>0</v>
      </c>
      <c r="CM95" s="106">
        <v>0</v>
      </c>
      <c r="CN95" s="106">
        <v>0</v>
      </c>
      <c r="CO95" s="106">
        <v>0</v>
      </c>
      <c r="CP95" s="106">
        <v>0</v>
      </c>
      <c r="CQ95" s="106">
        <v>0</v>
      </c>
      <c r="CR95" s="106">
        <v>0</v>
      </c>
      <c r="CS95" s="106">
        <v>0</v>
      </c>
      <c r="CT95" s="106">
        <v>0</v>
      </c>
      <c r="CU95" s="106">
        <v>0</v>
      </c>
    </row>
    <row r="96" spans="2:99" x14ac:dyDescent="0.2">
      <c r="C96" s="105" t="s">
        <v>262</v>
      </c>
      <c r="D96" s="106">
        <v>0</v>
      </c>
      <c r="E96" s="106">
        <v>0</v>
      </c>
      <c r="F96" s="106">
        <v>0</v>
      </c>
      <c r="G96" s="106">
        <v>0</v>
      </c>
      <c r="H96" s="106">
        <v>0</v>
      </c>
      <c r="I96" s="106">
        <v>0</v>
      </c>
      <c r="J96" s="106">
        <v>0</v>
      </c>
      <c r="K96" s="106">
        <v>0</v>
      </c>
      <c r="L96" s="106">
        <v>0</v>
      </c>
      <c r="M96" s="106">
        <v>0</v>
      </c>
      <c r="N96" s="106">
        <v>0</v>
      </c>
      <c r="O96" s="106">
        <v>0</v>
      </c>
      <c r="P96" s="106">
        <v>0</v>
      </c>
      <c r="Q96" s="106">
        <v>0</v>
      </c>
      <c r="R96" s="106">
        <v>0</v>
      </c>
      <c r="S96" s="106">
        <v>0</v>
      </c>
      <c r="T96" s="106">
        <v>0</v>
      </c>
      <c r="U96" s="106">
        <v>0</v>
      </c>
      <c r="V96" s="106">
        <v>0</v>
      </c>
      <c r="W96" s="106">
        <v>0</v>
      </c>
      <c r="X96" s="106">
        <v>0</v>
      </c>
      <c r="Y96" s="106">
        <v>0</v>
      </c>
      <c r="Z96" s="106">
        <v>0</v>
      </c>
      <c r="AA96" s="106">
        <v>0</v>
      </c>
      <c r="AB96" s="106">
        <v>0</v>
      </c>
      <c r="AC96" s="106">
        <v>0</v>
      </c>
      <c r="AD96" s="106">
        <v>0</v>
      </c>
      <c r="AE96" s="106">
        <v>0</v>
      </c>
      <c r="AF96" s="106">
        <v>0</v>
      </c>
      <c r="AG96" s="106">
        <v>0</v>
      </c>
      <c r="AH96" s="106">
        <v>0</v>
      </c>
      <c r="AI96" s="106">
        <v>0</v>
      </c>
      <c r="AJ96" s="106">
        <v>0</v>
      </c>
      <c r="AK96" s="106">
        <v>0</v>
      </c>
      <c r="AL96" s="106">
        <v>0</v>
      </c>
      <c r="AM96" s="106">
        <v>0</v>
      </c>
      <c r="AN96" s="106">
        <v>0</v>
      </c>
      <c r="AO96" s="106">
        <v>0</v>
      </c>
      <c r="AP96" s="106">
        <v>0</v>
      </c>
      <c r="AQ96" s="106">
        <v>0</v>
      </c>
      <c r="AR96" s="106">
        <v>0</v>
      </c>
      <c r="AS96" s="106">
        <v>0</v>
      </c>
      <c r="AT96" s="106">
        <v>0</v>
      </c>
      <c r="AU96" s="106">
        <v>0</v>
      </c>
      <c r="AV96" s="106">
        <v>0</v>
      </c>
      <c r="AW96" s="106">
        <v>0</v>
      </c>
      <c r="AX96" s="106">
        <v>1.8305764889862766</v>
      </c>
      <c r="AY96" s="106">
        <v>1506.9305657335028</v>
      </c>
      <c r="AZ96" s="106">
        <v>0</v>
      </c>
      <c r="BA96" s="106">
        <v>0</v>
      </c>
      <c r="BB96" s="106">
        <v>7</v>
      </c>
      <c r="BC96" s="106">
        <v>5762.4</v>
      </c>
      <c r="BD96" s="106">
        <v>0</v>
      </c>
      <c r="BE96" s="106">
        <v>0</v>
      </c>
      <c r="BF96" s="106">
        <v>0</v>
      </c>
      <c r="BG96" s="106">
        <v>0</v>
      </c>
      <c r="BH96" s="106">
        <v>11</v>
      </c>
      <c r="BI96" s="106">
        <v>9055.1999999999989</v>
      </c>
      <c r="BJ96" s="106">
        <v>0</v>
      </c>
      <c r="BK96" s="106">
        <v>0</v>
      </c>
      <c r="BL96" s="106">
        <v>7</v>
      </c>
      <c r="BM96" s="106">
        <v>5762.4</v>
      </c>
      <c r="BN96" s="106">
        <v>8</v>
      </c>
      <c r="BO96" s="106">
        <v>6585.5999999999995</v>
      </c>
      <c r="BP96" s="106">
        <v>3</v>
      </c>
      <c r="BQ96" s="106">
        <v>2469.6</v>
      </c>
      <c r="BR96" s="106">
        <v>5</v>
      </c>
      <c r="BS96" s="106">
        <v>4116</v>
      </c>
      <c r="BT96" s="106">
        <v>4</v>
      </c>
      <c r="BU96" s="106">
        <v>3292.7999999999997</v>
      </c>
      <c r="BV96" s="106">
        <v>3</v>
      </c>
      <c r="BW96" s="106">
        <v>2469.6</v>
      </c>
      <c r="BX96" s="106">
        <v>2.7336580060891689</v>
      </c>
      <c r="BY96" s="106">
        <v>2250.3472706126036</v>
      </c>
      <c r="BZ96" s="106">
        <v>0</v>
      </c>
      <c r="CA96" s="106">
        <v>0</v>
      </c>
      <c r="CB96" s="106">
        <v>0</v>
      </c>
      <c r="CC96" s="106">
        <v>0</v>
      </c>
      <c r="CD96" s="106">
        <v>0</v>
      </c>
      <c r="CE96" s="106">
        <v>0</v>
      </c>
      <c r="CF96" s="106">
        <v>0</v>
      </c>
      <c r="CG96" s="106">
        <v>0</v>
      </c>
      <c r="CH96" s="106">
        <v>0</v>
      </c>
      <c r="CI96" s="106">
        <v>0</v>
      </c>
      <c r="CJ96" s="106">
        <v>0</v>
      </c>
      <c r="CK96" s="106">
        <v>0</v>
      </c>
      <c r="CL96" s="106">
        <v>0</v>
      </c>
      <c r="CM96" s="106">
        <v>0</v>
      </c>
      <c r="CN96" s="106">
        <v>0</v>
      </c>
      <c r="CO96" s="106">
        <v>0</v>
      </c>
      <c r="CP96" s="106">
        <v>0</v>
      </c>
      <c r="CQ96" s="106">
        <v>0</v>
      </c>
      <c r="CR96" s="106">
        <v>0</v>
      </c>
      <c r="CS96" s="106">
        <v>0</v>
      </c>
      <c r="CT96" s="106">
        <v>0</v>
      </c>
      <c r="CU96" s="106">
        <v>0</v>
      </c>
    </row>
    <row r="97" spans="2:99" x14ac:dyDescent="0.2">
      <c r="C97" s="105" t="s">
        <v>263</v>
      </c>
      <c r="D97" s="106">
        <v>0</v>
      </c>
      <c r="E97" s="106">
        <v>0</v>
      </c>
      <c r="F97" s="106">
        <v>0</v>
      </c>
      <c r="G97" s="106">
        <v>0</v>
      </c>
      <c r="H97" s="106">
        <v>0</v>
      </c>
      <c r="I97" s="106">
        <v>0</v>
      </c>
      <c r="J97" s="106">
        <v>0</v>
      </c>
      <c r="K97" s="106">
        <v>0</v>
      </c>
      <c r="L97" s="106">
        <v>0</v>
      </c>
      <c r="M97" s="106">
        <v>0</v>
      </c>
      <c r="N97" s="106">
        <v>0</v>
      </c>
      <c r="O97" s="106">
        <v>0</v>
      </c>
      <c r="P97" s="106">
        <v>0</v>
      </c>
      <c r="Q97" s="106">
        <v>0</v>
      </c>
      <c r="R97" s="106">
        <v>0</v>
      </c>
      <c r="S97" s="106">
        <v>0</v>
      </c>
      <c r="T97" s="106">
        <v>0</v>
      </c>
      <c r="U97" s="106">
        <v>0</v>
      </c>
      <c r="V97" s="106">
        <v>0</v>
      </c>
      <c r="W97" s="106">
        <v>0</v>
      </c>
      <c r="X97" s="106">
        <v>0</v>
      </c>
      <c r="Y97" s="106">
        <v>0</v>
      </c>
      <c r="Z97" s="106">
        <v>0</v>
      </c>
      <c r="AA97" s="106">
        <v>0</v>
      </c>
      <c r="AB97" s="106">
        <v>0</v>
      </c>
      <c r="AC97" s="106">
        <v>0</v>
      </c>
      <c r="AD97" s="106">
        <v>0</v>
      </c>
      <c r="AE97" s="106">
        <v>0</v>
      </c>
      <c r="AF97" s="106">
        <v>0</v>
      </c>
      <c r="AG97" s="106">
        <v>0</v>
      </c>
      <c r="AH97" s="106">
        <v>0</v>
      </c>
      <c r="AI97" s="106">
        <v>0</v>
      </c>
      <c r="AJ97" s="106">
        <v>0</v>
      </c>
      <c r="AK97" s="106">
        <v>0</v>
      </c>
      <c r="AL97" s="106">
        <v>0</v>
      </c>
      <c r="AM97" s="106">
        <v>0</v>
      </c>
      <c r="AN97" s="106">
        <v>0</v>
      </c>
      <c r="AO97" s="106">
        <v>0</v>
      </c>
      <c r="AP97" s="106">
        <v>0</v>
      </c>
      <c r="AQ97" s="106">
        <v>0</v>
      </c>
      <c r="AR97" s="106">
        <v>0</v>
      </c>
      <c r="AS97" s="106">
        <v>0</v>
      </c>
      <c r="AT97" s="106">
        <v>0</v>
      </c>
      <c r="AU97" s="106">
        <v>0</v>
      </c>
      <c r="AV97" s="106">
        <v>0</v>
      </c>
      <c r="AW97" s="106">
        <v>0</v>
      </c>
      <c r="AX97" s="106">
        <v>1.8305764889862766</v>
      </c>
      <c r="AY97" s="106">
        <v>3347.7582830581023</v>
      </c>
      <c r="AZ97" s="106">
        <v>0</v>
      </c>
      <c r="BA97" s="106">
        <v>0</v>
      </c>
      <c r="BB97" s="106">
        <v>6</v>
      </c>
      <c r="BC97" s="106">
        <v>10972.8</v>
      </c>
      <c r="BD97" s="106">
        <v>0</v>
      </c>
      <c r="BE97" s="106">
        <v>0</v>
      </c>
      <c r="BF97" s="106">
        <v>0</v>
      </c>
      <c r="BG97" s="106">
        <v>0</v>
      </c>
      <c r="BH97" s="106">
        <v>10</v>
      </c>
      <c r="BI97" s="106">
        <v>18288</v>
      </c>
      <c r="BJ97" s="106">
        <v>0</v>
      </c>
      <c r="BK97" s="106">
        <v>0</v>
      </c>
      <c r="BL97" s="106">
        <v>6</v>
      </c>
      <c r="BM97" s="106">
        <v>10972.8</v>
      </c>
      <c r="BN97" s="106">
        <v>6</v>
      </c>
      <c r="BO97" s="106">
        <v>10972.8</v>
      </c>
      <c r="BP97" s="106">
        <v>3</v>
      </c>
      <c r="BQ97" s="106">
        <v>5486.4</v>
      </c>
      <c r="BR97" s="106">
        <v>5</v>
      </c>
      <c r="BS97" s="106">
        <v>9144</v>
      </c>
      <c r="BT97" s="106">
        <v>4</v>
      </c>
      <c r="BU97" s="106">
        <v>7315.2</v>
      </c>
      <c r="BV97" s="106">
        <v>3</v>
      </c>
      <c r="BW97" s="106">
        <v>5486.4</v>
      </c>
      <c r="BX97" s="106">
        <v>2.343135433790716</v>
      </c>
      <c r="BY97" s="106">
        <v>4285.1260813164608</v>
      </c>
      <c r="BZ97" s="106">
        <v>0</v>
      </c>
      <c r="CA97" s="106">
        <v>0</v>
      </c>
      <c r="CB97" s="106">
        <v>0</v>
      </c>
      <c r="CC97" s="106">
        <v>0</v>
      </c>
      <c r="CD97" s="106">
        <v>0</v>
      </c>
      <c r="CE97" s="106">
        <v>0</v>
      </c>
      <c r="CF97" s="106">
        <v>0</v>
      </c>
      <c r="CG97" s="106">
        <v>0</v>
      </c>
      <c r="CH97" s="106">
        <v>0</v>
      </c>
      <c r="CI97" s="106">
        <v>0</v>
      </c>
      <c r="CJ97" s="106">
        <v>0</v>
      </c>
      <c r="CK97" s="106">
        <v>0</v>
      </c>
      <c r="CL97" s="106">
        <v>0</v>
      </c>
      <c r="CM97" s="106">
        <v>0</v>
      </c>
      <c r="CN97" s="106">
        <v>0</v>
      </c>
      <c r="CO97" s="106">
        <v>0</v>
      </c>
      <c r="CP97" s="106">
        <v>0</v>
      </c>
      <c r="CQ97" s="106">
        <v>0</v>
      </c>
      <c r="CR97" s="106">
        <v>0</v>
      </c>
      <c r="CS97" s="106">
        <v>0</v>
      </c>
      <c r="CT97" s="106">
        <v>0</v>
      </c>
      <c r="CU97" s="106">
        <v>0</v>
      </c>
    </row>
    <row r="98" spans="2:99" x14ac:dyDescent="0.2">
      <c r="C98" s="105" t="s">
        <v>264</v>
      </c>
      <c r="D98" s="106">
        <v>0</v>
      </c>
      <c r="E98" s="106">
        <v>0</v>
      </c>
      <c r="F98" s="106">
        <v>0</v>
      </c>
      <c r="G98" s="106">
        <v>0</v>
      </c>
      <c r="H98" s="106">
        <v>0</v>
      </c>
      <c r="I98" s="106">
        <v>0</v>
      </c>
      <c r="J98" s="106">
        <v>0</v>
      </c>
      <c r="K98" s="106">
        <v>0</v>
      </c>
      <c r="L98" s="106">
        <v>0</v>
      </c>
      <c r="M98" s="106">
        <v>0</v>
      </c>
      <c r="N98" s="106">
        <v>0</v>
      </c>
      <c r="O98" s="106">
        <v>0</v>
      </c>
      <c r="P98" s="106">
        <v>0</v>
      </c>
      <c r="Q98" s="106">
        <v>0</v>
      </c>
      <c r="R98" s="106">
        <v>0</v>
      </c>
      <c r="S98" s="106">
        <v>0</v>
      </c>
      <c r="T98" s="106">
        <v>0</v>
      </c>
      <c r="U98" s="106">
        <v>0</v>
      </c>
      <c r="V98" s="106">
        <v>0</v>
      </c>
      <c r="W98" s="106">
        <v>0</v>
      </c>
      <c r="X98" s="106">
        <v>0</v>
      </c>
      <c r="Y98" s="106">
        <v>0</v>
      </c>
      <c r="Z98" s="106">
        <v>0</v>
      </c>
      <c r="AA98" s="106">
        <v>0</v>
      </c>
      <c r="AB98" s="106">
        <v>0</v>
      </c>
      <c r="AC98" s="106">
        <v>0</v>
      </c>
      <c r="AD98" s="106">
        <v>0</v>
      </c>
      <c r="AE98" s="106">
        <v>0</v>
      </c>
      <c r="AF98" s="106">
        <v>0</v>
      </c>
      <c r="AG98" s="106">
        <v>0</v>
      </c>
      <c r="AH98" s="106">
        <v>0</v>
      </c>
      <c r="AI98" s="106">
        <v>0</v>
      </c>
      <c r="AJ98" s="106">
        <v>0</v>
      </c>
      <c r="AK98" s="106">
        <v>0</v>
      </c>
      <c r="AL98" s="106">
        <v>0</v>
      </c>
      <c r="AM98" s="106">
        <v>0</v>
      </c>
      <c r="AN98" s="106">
        <v>0</v>
      </c>
      <c r="AO98" s="106">
        <v>0</v>
      </c>
      <c r="AP98" s="106">
        <v>0</v>
      </c>
      <c r="AQ98" s="106">
        <v>0</v>
      </c>
      <c r="AR98" s="106">
        <v>0</v>
      </c>
      <c r="AS98" s="106">
        <v>0</v>
      </c>
      <c r="AT98" s="106">
        <v>0</v>
      </c>
      <c r="AU98" s="106">
        <v>0</v>
      </c>
      <c r="AV98" s="106">
        <v>0</v>
      </c>
      <c r="AW98" s="106">
        <v>0</v>
      </c>
      <c r="AX98" s="106">
        <v>1.8305764889862766</v>
      </c>
      <c r="AY98" s="106">
        <v>2313.1164514830589</v>
      </c>
      <c r="AZ98" s="106">
        <v>0</v>
      </c>
      <c r="BA98" s="106">
        <v>0</v>
      </c>
      <c r="BB98" s="106">
        <v>6</v>
      </c>
      <c r="BC98" s="106">
        <v>7581.5999999999995</v>
      </c>
      <c r="BD98" s="106">
        <v>0</v>
      </c>
      <c r="BE98" s="106">
        <v>0</v>
      </c>
      <c r="BF98" s="106">
        <v>0</v>
      </c>
      <c r="BG98" s="106">
        <v>0</v>
      </c>
      <c r="BH98" s="106">
        <v>10</v>
      </c>
      <c r="BI98" s="106">
        <v>12636</v>
      </c>
      <c r="BJ98" s="106">
        <v>0</v>
      </c>
      <c r="BK98" s="106">
        <v>0</v>
      </c>
      <c r="BL98" s="106">
        <v>7</v>
      </c>
      <c r="BM98" s="106">
        <v>8845.1999999999989</v>
      </c>
      <c r="BN98" s="106">
        <v>7</v>
      </c>
      <c r="BO98" s="106">
        <v>8845.1999999999989</v>
      </c>
      <c r="BP98" s="106">
        <v>3</v>
      </c>
      <c r="BQ98" s="106">
        <v>3790.7999999999997</v>
      </c>
      <c r="BR98" s="106">
        <v>5</v>
      </c>
      <c r="BS98" s="106">
        <v>6318</v>
      </c>
      <c r="BT98" s="106">
        <v>4</v>
      </c>
      <c r="BU98" s="106">
        <v>5054.3999999999996</v>
      </c>
      <c r="BV98" s="106">
        <v>3</v>
      </c>
      <c r="BW98" s="106">
        <v>3790.7999999999997</v>
      </c>
      <c r="BX98" s="106">
        <v>2.343135433790716</v>
      </c>
      <c r="BY98" s="106">
        <v>2960.7859341379485</v>
      </c>
      <c r="BZ98" s="106">
        <v>0</v>
      </c>
      <c r="CA98" s="106">
        <v>0</v>
      </c>
      <c r="CB98" s="106">
        <v>0</v>
      </c>
      <c r="CC98" s="106">
        <v>0</v>
      </c>
      <c r="CD98" s="106">
        <v>0</v>
      </c>
      <c r="CE98" s="106">
        <v>0</v>
      </c>
      <c r="CF98" s="106">
        <v>0</v>
      </c>
      <c r="CG98" s="106">
        <v>0</v>
      </c>
      <c r="CH98" s="106">
        <v>0</v>
      </c>
      <c r="CI98" s="106">
        <v>0</v>
      </c>
      <c r="CJ98" s="106">
        <v>0</v>
      </c>
      <c r="CK98" s="106">
        <v>0</v>
      </c>
      <c r="CL98" s="106">
        <v>0</v>
      </c>
      <c r="CM98" s="106">
        <v>0</v>
      </c>
      <c r="CN98" s="106">
        <v>0</v>
      </c>
      <c r="CO98" s="106">
        <v>0</v>
      </c>
      <c r="CP98" s="106">
        <v>0</v>
      </c>
      <c r="CQ98" s="106">
        <v>0</v>
      </c>
      <c r="CR98" s="106">
        <v>0</v>
      </c>
      <c r="CS98" s="106">
        <v>0</v>
      </c>
      <c r="CT98" s="106">
        <v>0</v>
      </c>
      <c r="CU98" s="106">
        <v>0</v>
      </c>
    </row>
    <row r="99" spans="2:99" x14ac:dyDescent="0.2">
      <c r="C99" s="105" t="s">
        <v>265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1.2203843259908511</v>
      </c>
      <c r="AY99" s="106">
        <v>6689.6587213514485</v>
      </c>
      <c r="AZ99" s="106">
        <v>0</v>
      </c>
      <c r="BA99" s="106">
        <v>0</v>
      </c>
      <c r="BB99" s="106">
        <v>5</v>
      </c>
      <c r="BC99" s="106">
        <v>27407.999999999996</v>
      </c>
      <c r="BD99" s="106">
        <v>0</v>
      </c>
      <c r="BE99" s="106">
        <v>0</v>
      </c>
      <c r="BF99" s="106">
        <v>0</v>
      </c>
      <c r="BG99" s="106">
        <v>0</v>
      </c>
      <c r="BH99" s="106">
        <v>7</v>
      </c>
      <c r="BI99" s="106">
        <v>38371.199999999997</v>
      </c>
      <c r="BJ99" s="106">
        <v>0</v>
      </c>
      <c r="BK99" s="106">
        <v>0</v>
      </c>
      <c r="BL99" s="106">
        <v>5</v>
      </c>
      <c r="BM99" s="106">
        <v>27407.999999999996</v>
      </c>
      <c r="BN99" s="106">
        <v>4</v>
      </c>
      <c r="BO99" s="106">
        <v>21926.399999999998</v>
      </c>
      <c r="BP99" s="106">
        <v>2</v>
      </c>
      <c r="BQ99" s="106">
        <v>10963.199999999999</v>
      </c>
      <c r="BR99" s="106">
        <v>4</v>
      </c>
      <c r="BS99" s="106">
        <v>21926.399999999998</v>
      </c>
      <c r="BT99" s="106">
        <v>3</v>
      </c>
      <c r="BU99" s="106">
        <v>16444.8</v>
      </c>
      <c r="BV99" s="106">
        <v>2</v>
      </c>
      <c r="BW99" s="106">
        <v>10963.199999999999</v>
      </c>
      <c r="BX99" s="106">
        <v>1.5620902891938107</v>
      </c>
      <c r="BY99" s="106">
        <v>8562.7541292447913</v>
      </c>
      <c r="BZ99" s="106">
        <v>0</v>
      </c>
      <c r="CA99" s="106">
        <v>0</v>
      </c>
      <c r="CB99" s="106">
        <v>0</v>
      </c>
      <c r="CC99" s="106">
        <v>0</v>
      </c>
      <c r="CD99" s="106">
        <v>0</v>
      </c>
      <c r="CE99" s="106">
        <v>0</v>
      </c>
      <c r="CF99" s="106">
        <v>0</v>
      </c>
      <c r="CG99" s="106">
        <v>0</v>
      </c>
      <c r="CH99" s="106">
        <v>0</v>
      </c>
      <c r="CI99" s="106">
        <v>0</v>
      </c>
      <c r="CJ99" s="106">
        <v>0</v>
      </c>
      <c r="CK99" s="106">
        <v>0</v>
      </c>
      <c r="CL99" s="106">
        <v>0</v>
      </c>
      <c r="CM99" s="106">
        <v>0</v>
      </c>
      <c r="CN99" s="106">
        <v>0</v>
      </c>
      <c r="CO99" s="106">
        <v>0</v>
      </c>
      <c r="CP99" s="106">
        <v>0</v>
      </c>
      <c r="CQ99" s="106">
        <v>0</v>
      </c>
      <c r="CR99" s="106">
        <v>0</v>
      </c>
      <c r="CS99" s="106">
        <v>0</v>
      </c>
      <c r="CT99" s="106">
        <v>0</v>
      </c>
      <c r="CU99" s="106">
        <v>0</v>
      </c>
    </row>
    <row r="100" spans="2:99" x14ac:dyDescent="0.2">
      <c r="C100" s="105" t="s">
        <v>266</v>
      </c>
      <c r="D100" s="106">
        <v>0</v>
      </c>
      <c r="E100" s="106">
        <v>0</v>
      </c>
      <c r="F100" s="106">
        <v>0</v>
      </c>
      <c r="G100" s="106">
        <v>0</v>
      </c>
      <c r="H100" s="106">
        <v>0</v>
      </c>
      <c r="I100" s="106">
        <v>0</v>
      </c>
      <c r="J100" s="106">
        <v>0</v>
      </c>
      <c r="K100" s="106">
        <v>0</v>
      </c>
      <c r="L100" s="106">
        <v>0</v>
      </c>
      <c r="M100" s="106">
        <v>0</v>
      </c>
      <c r="N100" s="106">
        <v>0</v>
      </c>
      <c r="O100" s="106">
        <v>0</v>
      </c>
      <c r="P100" s="106">
        <v>0</v>
      </c>
      <c r="Q100" s="106">
        <v>0</v>
      </c>
      <c r="R100" s="106">
        <v>0</v>
      </c>
      <c r="S100" s="106">
        <v>0</v>
      </c>
      <c r="T100" s="106">
        <v>0</v>
      </c>
      <c r="U100" s="106">
        <v>0</v>
      </c>
      <c r="V100" s="106">
        <v>0</v>
      </c>
      <c r="W100" s="106">
        <v>0</v>
      </c>
      <c r="X100" s="106">
        <v>0</v>
      </c>
      <c r="Y100" s="106">
        <v>0</v>
      </c>
      <c r="Z100" s="106">
        <v>0</v>
      </c>
      <c r="AA100" s="106">
        <v>0</v>
      </c>
      <c r="AB100" s="106">
        <v>0</v>
      </c>
      <c r="AC100" s="106">
        <v>0</v>
      </c>
      <c r="AD100" s="106">
        <v>0</v>
      </c>
      <c r="AE100" s="106">
        <v>0</v>
      </c>
      <c r="AF100" s="106">
        <v>0</v>
      </c>
      <c r="AG100" s="106">
        <v>0</v>
      </c>
      <c r="AH100" s="106">
        <v>0</v>
      </c>
      <c r="AI100" s="106">
        <v>0</v>
      </c>
      <c r="AJ100" s="106">
        <v>0</v>
      </c>
      <c r="AK100" s="106">
        <v>0</v>
      </c>
      <c r="AL100" s="106">
        <v>0</v>
      </c>
      <c r="AM100" s="106">
        <v>0</v>
      </c>
      <c r="AN100" s="106">
        <v>0</v>
      </c>
      <c r="AO100" s="106">
        <v>0</v>
      </c>
      <c r="AP100" s="106">
        <v>0</v>
      </c>
      <c r="AQ100" s="106">
        <v>0</v>
      </c>
      <c r="AR100" s="106">
        <v>0</v>
      </c>
      <c r="AS100" s="106">
        <v>0</v>
      </c>
      <c r="AT100" s="106">
        <v>0</v>
      </c>
      <c r="AU100" s="106">
        <v>0</v>
      </c>
      <c r="AV100" s="106">
        <v>0</v>
      </c>
      <c r="AW100" s="106">
        <v>0</v>
      </c>
      <c r="AX100" s="106">
        <v>1.8305764889862766</v>
      </c>
      <c r="AY100" s="106">
        <v>2969.9272957313347</v>
      </c>
      <c r="AZ100" s="106">
        <v>0</v>
      </c>
      <c r="BA100" s="106">
        <v>0</v>
      </c>
      <c r="BB100" s="106">
        <v>7</v>
      </c>
      <c r="BC100" s="106">
        <v>11356.8</v>
      </c>
      <c r="BD100" s="106">
        <v>0</v>
      </c>
      <c r="BE100" s="106">
        <v>0</v>
      </c>
      <c r="BF100" s="106">
        <v>0</v>
      </c>
      <c r="BG100" s="106">
        <v>0</v>
      </c>
      <c r="BH100" s="106">
        <v>9</v>
      </c>
      <c r="BI100" s="106">
        <v>14601.599999999999</v>
      </c>
      <c r="BJ100" s="106">
        <v>0</v>
      </c>
      <c r="BK100" s="106">
        <v>0</v>
      </c>
      <c r="BL100" s="106">
        <v>7</v>
      </c>
      <c r="BM100" s="106">
        <v>11356.8</v>
      </c>
      <c r="BN100" s="106">
        <v>6</v>
      </c>
      <c r="BO100" s="106">
        <v>9734.4</v>
      </c>
      <c r="BP100" s="106">
        <v>3</v>
      </c>
      <c r="BQ100" s="106">
        <v>4867.2</v>
      </c>
      <c r="BR100" s="106">
        <v>5</v>
      </c>
      <c r="BS100" s="106">
        <v>8111.9999999999991</v>
      </c>
      <c r="BT100" s="106">
        <v>4</v>
      </c>
      <c r="BU100" s="106">
        <v>6489.5999999999995</v>
      </c>
      <c r="BV100" s="106">
        <v>3</v>
      </c>
      <c r="BW100" s="106">
        <v>4867.2</v>
      </c>
      <c r="BX100" s="106">
        <v>2.343135433790716</v>
      </c>
      <c r="BY100" s="106">
        <v>3801.5029277820572</v>
      </c>
      <c r="BZ100" s="106">
        <v>0</v>
      </c>
      <c r="CA100" s="106">
        <v>0</v>
      </c>
      <c r="CB100" s="106">
        <v>0</v>
      </c>
      <c r="CC100" s="106">
        <v>0</v>
      </c>
      <c r="CD100" s="106">
        <v>0</v>
      </c>
      <c r="CE100" s="106">
        <v>0</v>
      </c>
      <c r="CF100" s="106">
        <v>0</v>
      </c>
      <c r="CG100" s="106">
        <v>0</v>
      </c>
      <c r="CH100" s="106">
        <v>0</v>
      </c>
      <c r="CI100" s="106">
        <v>0</v>
      </c>
      <c r="CJ100" s="106">
        <v>0</v>
      </c>
      <c r="CK100" s="106">
        <v>0</v>
      </c>
      <c r="CL100" s="106">
        <v>0</v>
      </c>
      <c r="CM100" s="106">
        <v>0</v>
      </c>
      <c r="CN100" s="106">
        <v>0</v>
      </c>
      <c r="CO100" s="106">
        <v>0</v>
      </c>
      <c r="CP100" s="106">
        <v>0</v>
      </c>
      <c r="CQ100" s="106">
        <v>0</v>
      </c>
      <c r="CR100" s="106">
        <v>0</v>
      </c>
      <c r="CS100" s="106">
        <v>0</v>
      </c>
      <c r="CT100" s="106">
        <v>0</v>
      </c>
      <c r="CU100" s="106">
        <v>0</v>
      </c>
    </row>
    <row r="101" spans="2:99" x14ac:dyDescent="0.2">
      <c r="C101" s="105" t="s">
        <v>267</v>
      </c>
      <c r="D101" s="106">
        <v>0</v>
      </c>
      <c r="E101" s="106">
        <v>0</v>
      </c>
      <c r="F101" s="106">
        <v>0</v>
      </c>
      <c r="G101" s="106">
        <v>0</v>
      </c>
      <c r="H101" s="106">
        <v>0</v>
      </c>
      <c r="I101" s="106">
        <v>0</v>
      </c>
      <c r="J101" s="106">
        <v>0</v>
      </c>
      <c r="K101" s="106">
        <v>0</v>
      </c>
      <c r="L101" s="106">
        <v>0</v>
      </c>
      <c r="M101" s="106">
        <v>0</v>
      </c>
      <c r="N101" s="106">
        <v>0</v>
      </c>
      <c r="O101" s="106">
        <v>0</v>
      </c>
      <c r="P101" s="106">
        <v>0</v>
      </c>
      <c r="Q101" s="106">
        <v>0</v>
      </c>
      <c r="R101" s="106">
        <v>0</v>
      </c>
      <c r="S101" s="106">
        <v>0</v>
      </c>
      <c r="T101" s="106">
        <v>0</v>
      </c>
      <c r="U101" s="106">
        <v>0</v>
      </c>
      <c r="V101" s="106">
        <v>0</v>
      </c>
      <c r="W101" s="106">
        <v>0</v>
      </c>
      <c r="X101" s="106">
        <v>0</v>
      </c>
      <c r="Y101" s="106">
        <v>0</v>
      </c>
      <c r="Z101" s="106">
        <v>0</v>
      </c>
      <c r="AA101" s="106">
        <v>0</v>
      </c>
      <c r="AB101" s="106">
        <v>0</v>
      </c>
      <c r="AC101" s="106">
        <v>0</v>
      </c>
      <c r="AD101" s="106">
        <v>0</v>
      </c>
      <c r="AE101" s="106">
        <v>0</v>
      </c>
      <c r="AF101" s="106">
        <v>0</v>
      </c>
      <c r="AG101" s="106">
        <v>0</v>
      </c>
      <c r="AH101" s="106">
        <v>0</v>
      </c>
      <c r="AI101" s="106">
        <v>0</v>
      </c>
      <c r="AJ101" s="106">
        <v>0</v>
      </c>
      <c r="AK101" s="106">
        <v>0</v>
      </c>
      <c r="AL101" s="106">
        <v>0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</v>
      </c>
      <c r="AU101" s="106">
        <v>0</v>
      </c>
      <c r="AV101" s="106">
        <v>0</v>
      </c>
      <c r="AW101" s="106">
        <v>0</v>
      </c>
      <c r="AX101" s="106">
        <v>1.8305764889862766</v>
      </c>
      <c r="AY101" s="106">
        <v>2179.1182524892633</v>
      </c>
      <c r="AZ101" s="106">
        <v>0</v>
      </c>
      <c r="BA101" s="106">
        <v>0</v>
      </c>
      <c r="BB101" s="106">
        <v>7</v>
      </c>
      <c r="BC101" s="106">
        <v>8332.7999999999993</v>
      </c>
      <c r="BD101" s="106">
        <v>0</v>
      </c>
      <c r="BE101" s="106">
        <v>0</v>
      </c>
      <c r="BF101" s="106">
        <v>0</v>
      </c>
      <c r="BG101" s="106">
        <v>0</v>
      </c>
      <c r="BH101" s="106">
        <v>11</v>
      </c>
      <c r="BI101" s="106">
        <v>13094.399999999998</v>
      </c>
      <c r="BJ101" s="106">
        <v>0</v>
      </c>
      <c r="BK101" s="106">
        <v>0</v>
      </c>
      <c r="BL101" s="106">
        <v>6</v>
      </c>
      <c r="BM101" s="106">
        <v>7142.4</v>
      </c>
      <c r="BN101" s="106">
        <v>7</v>
      </c>
      <c r="BO101" s="106">
        <v>8332.7999999999993</v>
      </c>
      <c r="BP101" s="106">
        <v>3</v>
      </c>
      <c r="BQ101" s="106">
        <v>3571.2</v>
      </c>
      <c r="BR101" s="106">
        <v>5</v>
      </c>
      <c r="BS101" s="106">
        <v>5951.9999999999991</v>
      </c>
      <c r="BT101" s="106">
        <v>4</v>
      </c>
      <c r="BU101" s="106">
        <v>4761.5999999999995</v>
      </c>
      <c r="BV101" s="106">
        <v>3</v>
      </c>
      <c r="BW101" s="106">
        <v>3571.2</v>
      </c>
      <c r="BX101" s="106">
        <v>2.343135433790716</v>
      </c>
      <c r="BY101" s="106">
        <v>2789.2684203844678</v>
      </c>
      <c r="BZ101" s="106">
        <v>0</v>
      </c>
      <c r="CA101" s="106">
        <v>0</v>
      </c>
      <c r="CB101" s="106">
        <v>0</v>
      </c>
      <c r="CC101" s="106">
        <v>0</v>
      </c>
      <c r="CD101" s="106">
        <v>0</v>
      </c>
      <c r="CE101" s="106">
        <v>0</v>
      </c>
      <c r="CF101" s="106">
        <v>0</v>
      </c>
      <c r="CG101" s="106">
        <v>0</v>
      </c>
      <c r="CH101" s="106">
        <v>0</v>
      </c>
      <c r="CI101" s="106">
        <v>0</v>
      </c>
      <c r="CJ101" s="106">
        <v>0</v>
      </c>
      <c r="CK101" s="106">
        <v>0</v>
      </c>
      <c r="CL101" s="106">
        <v>0</v>
      </c>
      <c r="CM101" s="106">
        <v>0</v>
      </c>
      <c r="CN101" s="106">
        <v>0</v>
      </c>
      <c r="CO101" s="106">
        <v>0</v>
      </c>
      <c r="CP101" s="106">
        <v>0</v>
      </c>
      <c r="CQ101" s="106">
        <v>0</v>
      </c>
      <c r="CR101" s="106">
        <v>0</v>
      </c>
      <c r="CS101" s="106">
        <v>0</v>
      </c>
      <c r="CT101" s="106">
        <v>0</v>
      </c>
      <c r="CU101" s="106">
        <v>0</v>
      </c>
    </row>
    <row r="102" spans="2:99" x14ac:dyDescent="0.2">
      <c r="C102" s="105" t="s">
        <v>268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1.8305764889862766</v>
      </c>
      <c r="AY102" s="106">
        <v>3549.8539274421873</v>
      </c>
      <c r="AZ102" s="106">
        <v>0</v>
      </c>
      <c r="BA102" s="106">
        <v>0</v>
      </c>
      <c r="BB102" s="106">
        <v>7</v>
      </c>
      <c r="BC102" s="106">
        <v>13574.399999999998</v>
      </c>
      <c r="BD102" s="106">
        <v>0</v>
      </c>
      <c r="BE102" s="106">
        <v>0</v>
      </c>
      <c r="BF102" s="106">
        <v>0</v>
      </c>
      <c r="BG102" s="106">
        <v>0</v>
      </c>
      <c r="BH102" s="106">
        <v>9</v>
      </c>
      <c r="BI102" s="106">
        <v>17452.8</v>
      </c>
      <c r="BJ102" s="106">
        <v>0</v>
      </c>
      <c r="BK102" s="106">
        <v>0</v>
      </c>
      <c r="BL102" s="106">
        <v>7</v>
      </c>
      <c r="BM102" s="106">
        <v>13574.399999999998</v>
      </c>
      <c r="BN102" s="106">
        <v>7</v>
      </c>
      <c r="BO102" s="106">
        <v>13574.399999999998</v>
      </c>
      <c r="BP102" s="106">
        <v>3</v>
      </c>
      <c r="BQ102" s="106">
        <v>5817.5999999999995</v>
      </c>
      <c r="BR102" s="106">
        <v>5</v>
      </c>
      <c r="BS102" s="106">
        <v>9696</v>
      </c>
      <c r="BT102" s="106">
        <v>4</v>
      </c>
      <c r="BU102" s="106">
        <v>7756.7999999999993</v>
      </c>
      <c r="BV102" s="106">
        <v>3</v>
      </c>
      <c r="BW102" s="106">
        <v>5817.5999999999995</v>
      </c>
      <c r="BX102" s="106">
        <v>1.9526128614922635</v>
      </c>
      <c r="BY102" s="106">
        <v>3786.506861005797</v>
      </c>
      <c r="BZ102" s="106">
        <v>0</v>
      </c>
      <c r="CA102" s="106">
        <v>0</v>
      </c>
      <c r="CB102" s="106">
        <v>0</v>
      </c>
      <c r="CC102" s="106">
        <v>0</v>
      </c>
      <c r="CD102" s="106">
        <v>0</v>
      </c>
      <c r="CE102" s="106">
        <v>0</v>
      </c>
      <c r="CF102" s="106">
        <v>0</v>
      </c>
      <c r="CG102" s="106">
        <v>0</v>
      </c>
      <c r="CH102" s="106">
        <v>0</v>
      </c>
      <c r="CI102" s="106">
        <v>0</v>
      </c>
      <c r="CJ102" s="106">
        <v>0</v>
      </c>
      <c r="CK102" s="106">
        <v>0</v>
      </c>
      <c r="CL102" s="106">
        <v>0</v>
      </c>
      <c r="CM102" s="106">
        <v>0</v>
      </c>
      <c r="CN102" s="106">
        <v>0</v>
      </c>
      <c r="CO102" s="106">
        <v>0</v>
      </c>
      <c r="CP102" s="106">
        <v>0</v>
      </c>
      <c r="CQ102" s="106">
        <v>0</v>
      </c>
      <c r="CR102" s="106">
        <v>0</v>
      </c>
      <c r="CS102" s="106">
        <v>0</v>
      </c>
      <c r="CT102" s="106">
        <v>0</v>
      </c>
      <c r="CU102" s="106">
        <v>0</v>
      </c>
    </row>
    <row r="103" spans="2:99" x14ac:dyDescent="0.2">
      <c r="C103" s="105" t="s">
        <v>269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1.8305764889862766</v>
      </c>
      <c r="AY103" s="106">
        <v>3712.4091196641689</v>
      </c>
      <c r="AZ103" s="106">
        <v>0</v>
      </c>
      <c r="BA103" s="106">
        <v>0</v>
      </c>
      <c r="BB103" s="106">
        <v>7</v>
      </c>
      <c r="BC103" s="106">
        <v>14196</v>
      </c>
      <c r="BD103" s="106">
        <v>0</v>
      </c>
      <c r="BE103" s="106">
        <v>0</v>
      </c>
      <c r="BF103" s="106">
        <v>0</v>
      </c>
      <c r="BG103" s="106">
        <v>0</v>
      </c>
      <c r="BH103" s="106">
        <v>10</v>
      </c>
      <c r="BI103" s="106">
        <v>20280</v>
      </c>
      <c r="BJ103" s="106">
        <v>0</v>
      </c>
      <c r="BK103" s="106">
        <v>0</v>
      </c>
      <c r="BL103" s="106">
        <v>6</v>
      </c>
      <c r="BM103" s="106">
        <v>12168</v>
      </c>
      <c r="BN103" s="106">
        <v>6</v>
      </c>
      <c r="BO103" s="106">
        <v>12168</v>
      </c>
      <c r="BP103" s="106">
        <v>3</v>
      </c>
      <c r="BQ103" s="106">
        <v>6084</v>
      </c>
      <c r="BR103" s="106">
        <v>4</v>
      </c>
      <c r="BS103" s="106">
        <v>8112</v>
      </c>
      <c r="BT103" s="106">
        <v>4</v>
      </c>
      <c r="BU103" s="106">
        <v>8112</v>
      </c>
      <c r="BV103" s="106">
        <v>3</v>
      </c>
      <c r="BW103" s="106">
        <v>6084</v>
      </c>
      <c r="BX103" s="106">
        <v>2.343135433790716</v>
      </c>
      <c r="BY103" s="106">
        <v>4751.8786597275721</v>
      </c>
      <c r="BZ103" s="106">
        <v>0</v>
      </c>
      <c r="CA103" s="106">
        <v>0</v>
      </c>
      <c r="CB103" s="106">
        <v>0</v>
      </c>
      <c r="CC103" s="106">
        <v>0</v>
      </c>
      <c r="CD103" s="106">
        <v>0</v>
      </c>
      <c r="CE103" s="106">
        <v>0</v>
      </c>
      <c r="CF103" s="106">
        <v>0</v>
      </c>
      <c r="CG103" s="106">
        <v>0</v>
      </c>
      <c r="CH103" s="106">
        <v>0</v>
      </c>
      <c r="CI103" s="106">
        <v>0</v>
      </c>
      <c r="CJ103" s="106">
        <v>0</v>
      </c>
      <c r="CK103" s="106">
        <v>0</v>
      </c>
      <c r="CL103" s="106">
        <v>0</v>
      </c>
      <c r="CM103" s="106">
        <v>0</v>
      </c>
      <c r="CN103" s="106">
        <v>0</v>
      </c>
      <c r="CO103" s="106">
        <v>0</v>
      </c>
      <c r="CP103" s="106">
        <v>0</v>
      </c>
      <c r="CQ103" s="106">
        <v>0</v>
      </c>
      <c r="CR103" s="106">
        <v>0</v>
      </c>
      <c r="CS103" s="106">
        <v>0</v>
      </c>
      <c r="CT103" s="106">
        <v>0</v>
      </c>
      <c r="CU103" s="106">
        <v>0</v>
      </c>
    </row>
    <row r="104" spans="2:99" x14ac:dyDescent="0.2">
      <c r="C104" s="105" t="s">
        <v>270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1.8305764889862766</v>
      </c>
      <c r="AY104" s="106">
        <v>3793.6867157751599</v>
      </c>
      <c r="AZ104" s="106">
        <v>0</v>
      </c>
      <c r="BA104" s="106">
        <v>0</v>
      </c>
      <c r="BB104" s="106">
        <v>7</v>
      </c>
      <c r="BC104" s="106">
        <v>14506.800000000001</v>
      </c>
      <c r="BD104" s="106">
        <v>0</v>
      </c>
      <c r="BE104" s="106">
        <v>0</v>
      </c>
      <c r="BF104" s="106">
        <v>0</v>
      </c>
      <c r="BG104" s="106">
        <v>0</v>
      </c>
      <c r="BH104" s="106">
        <v>10</v>
      </c>
      <c r="BI104" s="106">
        <v>20724</v>
      </c>
      <c r="BJ104" s="106">
        <v>0</v>
      </c>
      <c r="BK104" s="106">
        <v>0</v>
      </c>
      <c r="BL104" s="106">
        <v>7</v>
      </c>
      <c r="BM104" s="106">
        <v>14506.800000000001</v>
      </c>
      <c r="BN104" s="106">
        <v>6</v>
      </c>
      <c r="BO104" s="106">
        <v>12434.400000000001</v>
      </c>
      <c r="BP104" s="106">
        <v>3</v>
      </c>
      <c r="BQ104" s="106">
        <v>6217.2000000000007</v>
      </c>
      <c r="BR104" s="106">
        <v>5</v>
      </c>
      <c r="BS104" s="106">
        <v>10362</v>
      </c>
      <c r="BT104" s="106">
        <v>4</v>
      </c>
      <c r="BU104" s="106">
        <v>8289.6</v>
      </c>
      <c r="BV104" s="106">
        <v>3</v>
      </c>
      <c r="BW104" s="106">
        <v>6217.2000000000007</v>
      </c>
      <c r="BX104" s="106">
        <v>2.343135433790716</v>
      </c>
      <c r="BY104" s="106">
        <v>4855.9138729878796</v>
      </c>
      <c r="BZ104" s="106">
        <v>0</v>
      </c>
      <c r="CA104" s="106">
        <v>0</v>
      </c>
      <c r="CB104" s="106">
        <v>0</v>
      </c>
      <c r="CC104" s="106">
        <v>0</v>
      </c>
      <c r="CD104" s="106">
        <v>0</v>
      </c>
      <c r="CE104" s="106">
        <v>0</v>
      </c>
      <c r="CF104" s="106">
        <v>0</v>
      </c>
      <c r="CG104" s="106">
        <v>0</v>
      </c>
      <c r="CH104" s="106">
        <v>0</v>
      </c>
      <c r="CI104" s="106">
        <v>0</v>
      </c>
      <c r="CJ104" s="106">
        <v>0</v>
      </c>
      <c r="CK104" s="106">
        <v>0</v>
      </c>
      <c r="CL104" s="106">
        <v>0</v>
      </c>
      <c r="CM104" s="106">
        <v>0</v>
      </c>
      <c r="CN104" s="106">
        <v>0</v>
      </c>
      <c r="CO104" s="106">
        <v>0</v>
      </c>
      <c r="CP104" s="106">
        <v>0</v>
      </c>
      <c r="CQ104" s="106">
        <v>0</v>
      </c>
      <c r="CR104" s="106">
        <v>0</v>
      </c>
      <c r="CS104" s="106">
        <v>0</v>
      </c>
      <c r="CT104" s="106">
        <v>0</v>
      </c>
      <c r="CU104" s="106">
        <v>0</v>
      </c>
    </row>
    <row r="105" spans="2:99" x14ac:dyDescent="0.2">
      <c r="C105" s="105" t="s">
        <v>271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1.8305764889862766</v>
      </c>
      <c r="AY105" s="106">
        <v>3657.4918249945804</v>
      </c>
      <c r="AZ105" s="106">
        <v>0</v>
      </c>
      <c r="BA105" s="106">
        <v>0</v>
      </c>
      <c r="BB105" s="106">
        <v>6</v>
      </c>
      <c r="BC105" s="106">
        <v>11988</v>
      </c>
      <c r="BD105" s="106">
        <v>0</v>
      </c>
      <c r="BE105" s="106">
        <v>0</v>
      </c>
      <c r="BF105" s="106">
        <v>0</v>
      </c>
      <c r="BG105" s="106">
        <v>0</v>
      </c>
      <c r="BH105" s="106">
        <v>11</v>
      </c>
      <c r="BI105" s="106">
        <v>21978</v>
      </c>
      <c r="BJ105" s="106">
        <v>0</v>
      </c>
      <c r="BK105" s="106">
        <v>0</v>
      </c>
      <c r="BL105" s="106">
        <v>7</v>
      </c>
      <c r="BM105" s="106">
        <v>13986</v>
      </c>
      <c r="BN105" s="106">
        <v>7</v>
      </c>
      <c r="BO105" s="106">
        <v>13986</v>
      </c>
      <c r="BP105" s="106">
        <v>3</v>
      </c>
      <c r="BQ105" s="106">
        <v>5994</v>
      </c>
      <c r="BR105" s="106">
        <v>4</v>
      </c>
      <c r="BS105" s="106">
        <v>7992</v>
      </c>
      <c r="BT105" s="106">
        <v>3</v>
      </c>
      <c r="BU105" s="106">
        <v>5994</v>
      </c>
      <c r="BV105" s="106">
        <v>3</v>
      </c>
      <c r="BW105" s="106">
        <v>5994</v>
      </c>
      <c r="BX105" s="106">
        <v>2.343135433790716</v>
      </c>
      <c r="BY105" s="106">
        <v>4681.5845967138503</v>
      </c>
      <c r="BZ105" s="106">
        <v>0</v>
      </c>
      <c r="CA105" s="106">
        <v>0</v>
      </c>
      <c r="CB105" s="106">
        <v>0</v>
      </c>
      <c r="CC105" s="106">
        <v>0</v>
      </c>
      <c r="CD105" s="106">
        <v>0</v>
      </c>
      <c r="CE105" s="106">
        <v>0</v>
      </c>
      <c r="CF105" s="106">
        <v>0</v>
      </c>
      <c r="CG105" s="106">
        <v>0</v>
      </c>
      <c r="CH105" s="106">
        <v>0</v>
      </c>
      <c r="CI105" s="106">
        <v>0</v>
      </c>
      <c r="CJ105" s="106">
        <v>0</v>
      </c>
      <c r="CK105" s="106">
        <v>0</v>
      </c>
      <c r="CL105" s="106">
        <v>0</v>
      </c>
      <c r="CM105" s="106">
        <v>0</v>
      </c>
      <c r="CN105" s="106">
        <v>0</v>
      </c>
      <c r="CO105" s="106">
        <v>0</v>
      </c>
      <c r="CP105" s="106">
        <v>0</v>
      </c>
      <c r="CQ105" s="106">
        <v>0</v>
      </c>
      <c r="CR105" s="106">
        <v>0</v>
      </c>
      <c r="CS105" s="106">
        <v>0</v>
      </c>
      <c r="CT105" s="106">
        <v>0</v>
      </c>
      <c r="CU105" s="106">
        <v>0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0</v>
      </c>
      <c r="E112" s="106">
        <f>SUM(L$49:L$70)+SUM(N$49:N$70)+SUM(P$49:P$70)+SUM(R$49:R$70)</f>
        <v>0</v>
      </c>
      <c r="F112" s="106">
        <f>SUM(T$49:T$70)+SUM(V$49:V$70)+SUM(X$49:X$70)+SUM(Z$49:Z$70)</f>
        <v>0</v>
      </c>
      <c r="G112" s="106">
        <f>SUM(AB$49:AB$70)+SUM(AD$49:AD$70)+SUM(AF$49:AF$70)+SUM(AH$49:AH$70)</f>
        <v>0</v>
      </c>
      <c r="H112" s="106">
        <f>SUM(AJ$49:AJ$70)+SUM(AL$49:AL$70)+SUM(AN$49:AN$70)+SUM(AP$49:AP$70)</f>
        <v>0</v>
      </c>
      <c r="I112" s="106">
        <f>SUM(AR$49:AR$70)+SUM(AT$49:AT$70)+SUM(AV$49:AV$70)+SUM(AX$49:AX$70)</f>
        <v>7.9324981189405328</v>
      </c>
      <c r="J112" s="106">
        <f>SUM(AZ$49:AZ$70)+SUM(BB$49:BB$70)+SUM(BD$49:BD$70)+SUM(BF$49:BF$70)</f>
        <v>9</v>
      </c>
      <c r="K112" s="106">
        <f>SUM(BH$49:BH$70)+SUM(BJ$49:BJ$70)+SUM(BL$49:BL$70)+SUM(BN$49:BN$70)</f>
        <v>37</v>
      </c>
      <c r="L112" s="106">
        <f>SUM(BP$49:BP$70)+SUM(BR$49:BR$70)+SUM(BT$49:BT$70)+SUM(BV$49:BV$70)</f>
        <v>110</v>
      </c>
      <c r="M112" s="106">
        <f>SUM(BX$49:BX$70)+SUM(BZ$49:BZ$70)+SUM(CB$49:CB$70)+SUM(CD$49:CD$70)</f>
        <v>4.686270867581432</v>
      </c>
      <c r="N112" s="106">
        <f>SUM(CF$49:CF$70)+SUM(CH$49:CH$70)+SUM(CJ$49:CJ$70)+SUM(CL$49:CL$70)</f>
        <v>0</v>
      </c>
      <c r="O112" s="106">
        <f>SUM(CN$49:CN$70)+SUM(CP$49:CP$70)+SUM(CR$49:CR$70)+SUM(CT$49:CT$70)</f>
        <v>0</v>
      </c>
    </row>
    <row r="113" spans="2:15" x14ac:dyDescent="0.2">
      <c r="C113" s="105" t="s">
        <v>130</v>
      </c>
      <c r="D113" s="106">
        <f>SUM(D$71:D$86)+SUM(F$71:F$86)+SUM(H$71:H$86)+SUM(J$71:J$86)</f>
        <v>0</v>
      </c>
      <c r="E113" s="106">
        <f>SUM(L$71:L$86)+SUM(N$71:N$86)+SUM(P$71:P$86)+SUM(R$71:R$86)</f>
        <v>0</v>
      </c>
      <c r="F113" s="106">
        <f>SUM(T$71:T$86)+SUM(V$71:V$86)+SUM(X$71:X$86)+SUM(Z$71:Z$86)</f>
        <v>0</v>
      </c>
      <c r="G113" s="106">
        <f>SUM(AB$71:AB$86)+SUM(AD$71:AD$86)+SUM(AF$71:AF$86)+SUM(AH$71:AH$86)</f>
        <v>0</v>
      </c>
      <c r="H113" s="106">
        <f>SUM(AJ$71:AJ$86)+SUM(AL$71:AL$86)+SUM(AN$71:AN$86)+SUM(AP$71:AP$86)</f>
        <v>0</v>
      </c>
      <c r="I113" s="106">
        <f>SUM(AR$71:AR$86)+SUM(AT$71:AT$86)+SUM(AV$71:AV$86)+SUM(AX$71:AX$86)</f>
        <v>406.99817271794882</v>
      </c>
      <c r="J113" s="106">
        <f>SUM(AZ$71:AZ$86)+SUM(BB$71:BB$86)+SUM(BD$71:BD$86)+SUM(BF$71:BF$86)</f>
        <v>48</v>
      </c>
      <c r="K113" s="106">
        <f>SUM(BH$71:BH$86)+SUM(BJ$71:BJ$86)+SUM(BL$71:BL$86)+SUM(BN$71:BN$86)</f>
        <v>119</v>
      </c>
      <c r="L113" s="106">
        <f>SUM(BP$71:BP$86)+SUM(BR$71:BR$86)+SUM(BT$71:BT$86)+SUM(BV$71:BV$86)</f>
        <v>209</v>
      </c>
      <c r="M113" s="106">
        <f>SUM(BX$71:BX$86)+SUM(BZ$71:BZ$86)+SUM(CB$71:CB$86)+SUM(CD$71:CD$86)</f>
        <v>161.28582235926095</v>
      </c>
      <c r="N113" s="106">
        <f>SUM(CF$71:CF$86)+SUM(CH$71:CH$86)+SUM(CJ$71:CJ$86)+SUM(CL$71:CL$86)</f>
        <v>0</v>
      </c>
      <c r="O113" s="106">
        <f>SUM(CN$71:CN$86)+SUM(CP$71:CP$86)+SUM(CR$71:CR$86)+SUM(CT$71:CT$86)</f>
        <v>0</v>
      </c>
    </row>
    <row r="114" spans="2:15" x14ac:dyDescent="0.2">
      <c r="C114" s="105" t="s">
        <v>131</v>
      </c>
      <c r="D114" s="106">
        <f>SUM(D$87:D$94)+SUM(F$87:F$94)+SUM(H$87:H$94)+SUM(J$87:J$94)</f>
        <v>0</v>
      </c>
      <c r="E114" s="106">
        <f>SUM(L$87:L$94)+SUM(N$87:N$94)+SUM(P$87:P$94)+SUM(R$87:R$94)</f>
        <v>0</v>
      </c>
      <c r="F114" s="106">
        <f>SUM(T$87:T$94)+SUM(V$87:V$94)+SUM(X$87:X$94)+SUM(Z$87:Z$94)</f>
        <v>0</v>
      </c>
      <c r="G114" s="106">
        <f>SUM(AB$87:AB$94)+SUM(AD$87:AD$94)+SUM(AF$87:AF$94)+SUM(AH$87:AH$94)</f>
        <v>0</v>
      </c>
      <c r="H114" s="106">
        <f>SUM(AJ$87:AJ$94)+SUM(AL$87:AL$94)+SUM(AN$87:AN$94)+SUM(AP$87:AP$94)</f>
        <v>0</v>
      </c>
      <c r="I114" s="106">
        <f>SUM(AR$87:AR$94)+SUM(AT$87:AT$94)+SUM(AV$87:AV$94)+SUM(AX$87:AX$94)</f>
        <v>61.019216299542549</v>
      </c>
      <c r="J114" s="106">
        <f>SUM(AZ$87:AZ$94)+SUM(BB$87:BB$94)+SUM(BD$87:BD$94)+SUM(BF$87:BF$94)</f>
        <v>29</v>
      </c>
      <c r="K114" s="106">
        <f>SUM(BH$87:BH$94)+SUM(BJ$87:BJ$94)+SUM(BL$87:BL$94)+SUM(BN$87:BN$94)</f>
        <v>229</v>
      </c>
      <c r="L114" s="106">
        <f>SUM(BP$87:BP$94)+SUM(BR$87:BR$94)+SUM(BT$87:BT$94)+SUM(BV$87:BV$94)</f>
        <v>586</v>
      </c>
      <c r="M114" s="106">
        <f>SUM(BX$87:BX$94)+SUM(BZ$87:BZ$94)+SUM(CB$87:CB$94)+SUM(CD$87:CD$94)</f>
        <v>20.307173759519539</v>
      </c>
      <c r="N114" s="106">
        <f>SUM(CF$87:CF$94)+SUM(CH$87:CH$94)+SUM(CJ$87:CJ$94)+SUM(CL$87:CL$94)</f>
        <v>0</v>
      </c>
      <c r="O114" s="106">
        <f>SUM(CN$87:CN$94)+SUM(CP$87:CP$94)+SUM(CR$87:CR$94)+SUM(CT$87:CT$94)</f>
        <v>0</v>
      </c>
    </row>
    <row r="115" spans="2:15" x14ac:dyDescent="0.2">
      <c r="C115" s="105" t="s">
        <v>132</v>
      </c>
      <c r="D115" s="106">
        <f>SUM(D$95:D$105)+SUM(F$95:F$105)+SUM(H$95:H$105)+SUM(J$95:J$105)</f>
        <v>0</v>
      </c>
      <c r="E115" s="106">
        <f>SUM(L$95:L$105)+SUM(N$95:N$105)+SUM(P$95:P$105)+SUM(R$95:R$105)</f>
        <v>0</v>
      </c>
      <c r="F115" s="106">
        <f>SUM(T$95:T$105)+SUM(V$95:V$105)+SUM(X$95:X$105)+SUM(Z$95:Z$105)</f>
        <v>0</v>
      </c>
      <c r="G115" s="106">
        <f>SUM(AB$95:AB$105)+SUM(AD$95:AD$105)+SUM(AF$95:AF$105)+SUM(AH$95:AH$105)</f>
        <v>0</v>
      </c>
      <c r="H115" s="106">
        <f>SUM(AJ$95:AJ$105)+SUM(AL$95:AL$105)+SUM(AN$95:AN$105)+SUM(AP$95:AP$105)</f>
        <v>0</v>
      </c>
      <c r="I115" s="106">
        <f>SUM(AR$95:AR$105)+SUM(AT$95:AT$105)+SUM(AV$95:AV$105)+SUM(AX$95:AX$105)</f>
        <v>19.526149215853618</v>
      </c>
      <c r="J115" s="106">
        <f>SUM(AZ$95:AZ$105)+SUM(BB$95:BB$105)+SUM(BD$95:BD$105)+SUM(BF$95:BF$105)</f>
        <v>72</v>
      </c>
      <c r="K115" s="106">
        <f>SUM(BH$95:BH$105)+SUM(BJ$95:BJ$105)+SUM(BL$95:BL$105)+SUM(BN$95:BN$105)</f>
        <v>251</v>
      </c>
      <c r="L115" s="106">
        <f>SUM(BP$95:BP$105)+SUM(BR$95:BR$105)+SUM(BT$95:BT$105)+SUM(BV$95:BV$105)</f>
        <v>157</v>
      </c>
      <c r="M115" s="106">
        <f>SUM(BX$95:BX$105)+SUM(BZ$95:BZ$105)+SUM(CB$95:CB$105)+SUM(CD$95:CD$105)</f>
        <v>24.993444627100974</v>
      </c>
      <c r="N115" s="106">
        <f>SUM(CF$95:CF$105)+SUM(CH$95:CH$105)+SUM(CJ$95:CJ$105)+SUM(CL$95:CL$105)</f>
        <v>0</v>
      </c>
      <c r="O115" s="106">
        <f>SUM(CN$95:CN$105)+SUM(CP$95:CP$105)+SUM(CR$95:CR$105)+SUM(CT$95:CT$105)</f>
        <v>0</v>
      </c>
    </row>
    <row r="116" spans="2:15" x14ac:dyDescent="0.2">
      <c r="C116" s="105" t="s">
        <v>278</v>
      </c>
      <c r="D116" s="106">
        <f t="shared" ref="D116:O116" si="0">SUM(D$109:D$115)</f>
        <v>0</v>
      </c>
      <c r="E116" s="106">
        <f t="shared" si="0"/>
        <v>0</v>
      </c>
      <c r="F116" s="106">
        <f t="shared" si="0"/>
        <v>0</v>
      </c>
      <c r="G116" s="106">
        <f t="shared" si="0"/>
        <v>0</v>
      </c>
      <c r="H116" s="106">
        <f t="shared" si="0"/>
        <v>0</v>
      </c>
      <c r="I116" s="106">
        <f t="shared" si="0"/>
        <v>495.47603635228552</v>
      </c>
      <c r="J116" s="106">
        <f t="shared" si="0"/>
        <v>158</v>
      </c>
      <c r="K116" s="106">
        <f t="shared" si="0"/>
        <v>636</v>
      </c>
      <c r="L116" s="106">
        <f t="shared" si="0"/>
        <v>1062</v>
      </c>
      <c r="M116" s="106">
        <f t="shared" si="0"/>
        <v>211.27271161346292</v>
      </c>
      <c r="N116" s="106">
        <f t="shared" si="0"/>
        <v>0</v>
      </c>
      <c r="O116" s="106">
        <f t="shared" si="0"/>
        <v>0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0</v>
      </c>
      <c r="E120" s="106">
        <f>E109*pricing!E6*2000</f>
        <v>0</v>
      </c>
      <c r="F120" s="106">
        <f>F109*pricing!F6*2000</f>
        <v>0</v>
      </c>
      <c r="G120" s="106">
        <f>G109*pricing!G6*2000</f>
        <v>0</v>
      </c>
      <c r="H120" s="106">
        <f>H109*pricing!H6*2000</f>
        <v>0</v>
      </c>
      <c r="I120" s="106">
        <f>I109*pricing!I6*2000</f>
        <v>0</v>
      </c>
      <c r="J120" s="106">
        <f>J109*pricing!J6*2000</f>
        <v>0</v>
      </c>
      <c r="K120" s="106">
        <f>K109*pricing!K6*2000</f>
        <v>0</v>
      </c>
      <c r="L120" s="106">
        <f>L109*pricing!L6*2000</f>
        <v>0</v>
      </c>
      <c r="M120" s="106">
        <f>M109*pricing!M6*2000</f>
        <v>0</v>
      </c>
      <c r="N120" s="106">
        <f>N109*pricing!N6*2000</f>
        <v>0</v>
      </c>
      <c r="O120" s="106">
        <f>O109*pricing!O6*2000</f>
        <v>0</v>
      </c>
    </row>
    <row r="121" spans="2:15" x14ac:dyDescent="0.2">
      <c r="C121" s="105" t="s">
        <v>127</v>
      </c>
      <c r="D121" s="106">
        <f>D110*pricing!D7*2000</f>
        <v>0</v>
      </c>
      <c r="E121" s="106">
        <f>E110*pricing!E7*2000</f>
        <v>0</v>
      </c>
      <c r="F121" s="106">
        <f>F110*pricing!F7*2000</f>
        <v>0</v>
      </c>
      <c r="G121" s="106">
        <f>G110*pricing!G7*2000</f>
        <v>0</v>
      </c>
      <c r="H121" s="106">
        <f>H110*pricing!H7*2000</f>
        <v>0</v>
      </c>
      <c r="I121" s="106">
        <f>I110*pricing!I7*2000</f>
        <v>0</v>
      </c>
      <c r="J121" s="106">
        <f>J110*pricing!J7*2000</f>
        <v>0</v>
      </c>
      <c r="K121" s="106">
        <f>K110*pricing!K7*2000</f>
        <v>0</v>
      </c>
      <c r="L121" s="106">
        <f>L110*pricing!L7*2000</f>
        <v>0</v>
      </c>
      <c r="M121" s="106">
        <f>M110*pricing!M7*2000</f>
        <v>0</v>
      </c>
      <c r="N121" s="106">
        <f>N110*pricing!N7*2000</f>
        <v>0</v>
      </c>
      <c r="O121" s="106">
        <f>O110*pricing!O7*2000</f>
        <v>0</v>
      </c>
    </row>
    <row r="122" spans="2:15" x14ac:dyDescent="0.2">
      <c r="C122" s="105" t="s">
        <v>128</v>
      </c>
      <c r="D122" s="106">
        <f>D111*pricing!D8*2000</f>
        <v>0</v>
      </c>
      <c r="E122" s="106">
        <f>E111*pricing!E8*2000</f>
        <v>0</v>
      </c>
      <c r="F122" s="106">
        <f>F111*pricing!F8*2000</f>
        <v>0</v>
      </c>
      <c r="G122" s="106">
        <f>G111*pricing!G8*2000</f>
        <v>0</v>
      </c>
      <c r="H122" s="106">
        <f>H111*pricing!H8*2000</f>
        <v>0</v>
      </c>
      <c r="I122" s="106">
        <f>I111*pricing!I8*2000</f>
        <v>0</v>
      </c>
      <c r="J122" s="106">
        <f>J111*pricing!J8*2000</f>
        <v>0</v>
      </c>
      <c r="K122" s="106">
        <f>K111*pricing!K8*2000</f>
        <v>0</v>
      </c>
      <c r="L122" s="106">
        <f>L111*pricing!L8*2000</f>
        <v>0</v>
      </c>
      <c r="M122" s="106">
        <f>M111*pricing!M8*2000</f>
        <v>0</v>
      </c>
      <c r="N122" s="106">
        <f>N111*pricing!N8*2000</f>
        <v>0</v>
      </c>
      <c r="O122" s="106">
        <f>O111*pricing!O8*2000</f>
        <v>0</v>
      </c>
    </row>
    <row r="123" spans="2:15" x14ac:dyDescent="0.2">
      <c r="C123" s="105" t="s">
        <v>129</v>
      </c>
      <c r="D123" s="106">
        <f>D112*pricing!D9*2000</f>
        <v>0</v>
      </c>
      <c r="E123" s="106">
        <f>E112*pricing!E9*2000</f>
        <v>0</v>
      </c>
      <c r="F123" s="106">
        <f>F112*pricing!F9*2000</f>
        <v>0</v>
      </c>
      <c r="G123" s="106">
        <f>G112*pricing!G9*2000</f>
        <v>0</v>
      </c>
      <c r="H123" s="106">
        <f>H112*pricing!H9*2000</f>
        <v>0</v>
      </c>
      <c r="I123" s="106">
        <f>I112*pricing!I9*2000</f>
        <v>57033.776358025578</v>
      </c>
      <c r="J123" s="106">
        <f>J112*pricing!J9*2000</f>
        <v>59463.171005894801</v>
      </c>
      <c r="K123" s="106">
        <f>K112*pricing!K9*2000</f>
        <v>224049.97138079186</v>
      </c>
      <c r="L123" s="106">
        <f>L112*pricing!L9*2000</f>
        <v>501091.9061445946</v>
      </c>
      <c r="M123" s="106">
        <f>M112*pricing!M9*2000</f>
        <v>33674.083013708536</v>
      </c>
      <c r="N123" s="106">
        <f>N112*pricing!N9*2000</f>
        <v>0</v>
      </c>
      <c r="O123" s="106">
        <f>O112*pricing!O9*2000</f>
        <v>0</v>
      </c>
    </row>
    <row r="124" spans="2:15" x14ac:dyDescent="0.2">
      <c r="C124" s="105" t="s">
        <v>130</v>
      </c>
      <c r="D124" s="106">
        <f>D113*pricing!D10*2000</f>
        <v>0</v>
      </c>
      <c r="E124" s="106">
        <f>E113*pricing!E10*2000</f>
        <v>0</v>
      </c>
      <c r="F124" s="106">
        <f>F113*pricing!F10*2000</f>
        <v>0</v>
      </c>
      <c r="G124" s="106">
        <f>G113*pricing!G10*2000</f>
        <v>0</v>
      </c>
      <c r="H124" s="106">
        <f>H113*pricing!H10*2000</f>
        <v>0</v>
      </c>
      <c r="I124" s="106">
        <f>I113*pricing!I10*2000</f>
        <v>991386.98203185934</v>
      </c>
      <c r="J124" s="106">
        <f>J113*pricing!J10*2000</f>
        <v>315592.22346591111</v>
      </c>
      <c r="K124" s="106">
        <f>K113*pricing!K10*2000</f>
        <v>832074.77459237073</v>
      </c>
      <c r="L124" s="106">
        <f>L113*pricing!L10*2000</f>
        <v>1289097.4759607406</v>
      </c>
      <c r="M124" s="106">
        <f>M113*pricing!M10*2000</f>
        <v>474475.08184147917</v>
      </c>
      <c r="N124" s="106">
        <f>N113*pricing!N10*2000</f>
        <v>0</v>
      </c>
      <c r="O124" s="106">
        <f>O113*pricing!O10*2000</f>
        <v>0</v>
      </c>
    </row>
    <row r="125" spans="2:15" x14ac:dyDescent="0.2">
      <c r="C125" s="105" t="s">
        <v>131</v>
      </c>
      <c r="D125" s="106">
        <f>D114*pricing!D11*2000</f>
        <v>0</v>
      </c>
      <c r="E125" s="106">
        <f>E114*pricing!E11*2000</f>
        <v>0</v>
      </c>
      <c r="F125" s="106">
        <f>F114*pricing!F11*2000</f>
        <v>0</v>
      </c>
      <c r="G125" s="106">
        <f>G114*pricing!G11*2000</f>
        <v>0</v>
      </c>
      <c r="H125" s="106">
        <f>H114*pricing!H11*2000</f>
        <v>0</v>
      </c>
      <c r="I125" s="106">
        <f>I114*pricing!I11*2000</f>
        <v>196287.63250338929</v>
      </c>
      <c r="J125" s="106">
        <f>J114*pricing!J11*2000</f>
        <v>192625.15784472568</v>
      </c>
      <c r="K125" s="106">
        <f>K114*pricing!K11*2000</f>
        <v>1032346.6120679716</v>
      </c>
      <c r="L125" s="106">
        <f>L114*pricing!L11*2000</f>
        <v>1997661.6485076649</v>
      </c>
      <c r="M125" s="106">
        <f>M114*pricing!M11*2000</f>
        <v>97622.292091022158</v>
      </c>
      <c r="N125" s="106">
        <f>N114*pricing!N11*2000</f>
        <v>0</v>
      </c>
      <c r="O125" s="106">
        <f>O114*pricing!O11*2000</f>
        <v>0</v>
      </c>
    </row>
    <row r="126" spans="2:15" x14ac:dyDescent="0.2">
      <c r="C126" s="105" t="s">
        <v>132</v>
      </c>
      <c r="D126" s="106">
        <f>D115*pricing!D12*2000</f>
        <v>0</v>
      </c>
      <c r="E126" s="106">
        <f>E115*pricing!E12*2000</f>
        <v>0</v>
      </c>
      <c r="F126" s="106">
        <f>F115*pricing!F12*2000</f>
        <v>0</v>
      </c>
      <c r="G126" s="106">
        <f>G115*pricing!G12*2000</f>
        <v>0</v>
      </c>
      <c r="H126" s="106">
        <f>H115*pricing!H12*2000</f>
        <v>0</v>
      </c>
      <c r="I126" s="106">
        <f>I115*pricing!I12*2000</f>
        <v>134243.89131297424</v>
      </c>
      <c r="J126" s="106">
        <f>J115*pricing!J12*2000</f>
        <v>350882.146974481</v>
      </c>
      <c r="K126" s="106">
        <f>K115*pricing!K12*2000</f>
        <v>1192472.864516496</v>
      </c>
      <c r="L126" s="106">
        <f>L115*pricing!L12*2000</f>
        <v>1050294.7510103062</v>
      </c>
      <c r="M126" s="106">
        <f>M115*pricing!M12*2000</f>
        <v>115191.2709334425</v>
      </c>
      <c r="N126" s="106">
        <f>N115*pricing!N12*2000</f>
        <v>0</v>
      </c>
      <c r="O126" s="106">
        <f>O115*pricing!O12*2000</f>
        <v>0</v>
      </c>
    </row>
    <row r="127" spans="2:15" x14ac:dyDescent="0.2">
      <c r="C127" s="105" t="s">
        <v>278</v>
      </c>
      <c r="D127" s="106">
        <f t="shared" ref="D127:O127" si="1">SUM(D$120:D$126)</f>
        <v>0</v>
      </c>
      <c r="E127" s="106">
        <f t="shared" si="1"/>
        <v>0</v>
      </c>
      <c r="F127" s="106">
        <f t="shared" si="1"/>
        <v>0</v>
      </c>
      <c r="G127" s="106">
        <f t="shared" si="1"/>
        <v>0</v>
      </c>
      <c r="H127" s="106">
        <f t="shared" si="1"/>
        <v>0</v>
      </c>
      <c r="I127" s="106">
        <f t="shared" si="1"/>
        <v>1378952.2822062485</v>
      </c>
      <c r="J127" s="106">
        <f t="shared" si="1"/>
        <v>918562.69929101248</v>
      </c>
      <c r="K127" s="106">
        <f t="shared" si="1"/>
        <v>3280944.2225576304</v>
      </c>
      <c r="L127" s="106">
        <f t="shared" si="1"/>
        <v>4838145.7816233058</v>
      </c>
      <c r="M127" s="106">
        <f t="shared" si="1"/>
        <v>720962.7278796524</v>
      </c>
      <c r="N127" s="106">
        <f t="shared" si="1"/>
        <v>0</v>
      </c>
      <c r="O127" s="106">
        <f t="shared" si="1"/>
        <v>0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0</v>
      </c>
      <c r="E134" s="112">
        <f>SUM(M$49:M$70)+SUM(O$49:O$70)+SUM(Q$49:Q$70)+SUM(S$49:S$70)</f>
        <v>0</v>
      </c>
      <c r="F134" s="112">
        <f>SUM(U$49:U$70)+SUM(W$49:W$70)+SUM(Y$49:Y$70)+SUM(AA$49:AA$70)</f>
        <v>0</v>
      </c>
      <c r="G134" s="112">
        <f>SUM(AC$49:AC$70)+SUM(AE$49:AE$70)+SUM(AG$49:AG$70)+SUM(AI$49:AI$70)</f>
        <v>0</v>
      </c>
      <c r="H134" s="112">
        <f>SUM(AK$49:AK$70)+SUM(AM$49:AM$70)+SUM(AO$49:AO$70)+SUM(AQ$49:AQ$70)</f>
        <v>0</v>
      </c>
      <c r="I134" s="112">
        <f>SUM(AS$49:AS$70)+SUM(AU$49:AU$70)+SUM(AW$49:AW$70)+SUM(AY$49:AY$70)</f>
        <v>8687.9160167288683</v>
      </c>
      <c r="J134" s="112">
        <f>SUM(BA$49:BA$70)+SUM(BC$49:BC$70)+SUM(BE$49:BE$70)+SUM(BG$49:BG$70)</f>
        <v>9939.6</v>
      </c>
      <c r="K134" s="112">
        <f>SUM(BI$49:BI$70)+SUM(BK$49:BK$70)+SUM(BM$49:BM$70)+SUM(BO$49:BO$70)</f>
        <v>40909.199999999997</v>
      </c>
      <c r="L134" s="112">
        <f>SUM(BQ$49:BQ$70)+SUM(BS$49:BS$70)+SUM(BU$49:BU$70)+SUM(BW$49:BW$70)</f>
        <v>121272</v>
      </c>
      <c r="M134" s="112">
        <f>SUM(BY$49:BY$70)+SUM(CA$49:CA$70)+SUM(CC$49:CC$70)+SUM(CE$49:CE$70)</f>
        <v>5175.5175461569333</v>
      </c>
      <c r="N134" s="112">
        <f>SUM(CG$49:CG$70)+SUM(CI$49:CI$70)+SUM(CK$49:CK$70)+SUM(CM$49:CM$70)</f>
        <v>0</v>
      </c>
      <c r="O134" s="112">
        <f>SUM(CO$49:CO$70)+SUM(CQ$49:CQ$70)+SUM(CS$49:CS$70)+SUM(CU$49:CU$70)</f>
        <v>0</v>
      </c>
    </row>
    <row r="135" spans="2:15" x14ac:dyDescent="0.2">
      <c r="C135" s="111" t="s">
        <v>130</v>
      </c>
      <c r="D135" s="112">
        <f>SUM(E$71:E$86)+SUM(G$71:G$86)+SUM(I$71:I$86)+SUM(K$71:K$86)</f>
        <v>0</v>
      </c>
      <c r="E135" s="112">
        <f>SUM(M$71:M$86)+SUM(O$71:O$86)+SUM(Q$71:Q$86)+SUM(S$71:S$86)</f>
        <v>0</v>
      </c>
      <c r="F135" s="112">
        <f>SUM(U$71:U$86)+SUM(W$71:W$86)+SUM(Y$71:Y$86)+SUM(AA$71:AA$86)</f>
        <v>0</v>
      </c>
      <c r="G135" s="112">
        <f>SUM(AC$71:AC$86)+SUM(AE$71:AE$86)+SUM(AG$71:AG$86)+SUM(AI$71:AI$86)</f>
        <v>0</v>
      </c>
      <c r="H135" s="112">
        <f>SUM(AK$71:AK$86)+SUM(AM$71:AM$86)+SUM(AO$71:AO$86)+SUM(AQ$71:AQ$86)</f>
        <v>0</v>
      </c>
      <c r="I135" s="112">
        <f>SUM(AS$71:AS$86)+SUM(AU$71:AU$86)+SUM(AW$71:AW$86)+SUM(AY$71:AY$86)</f>
        <v>226200.67559105621</v>
      </c>
      <c r="J135" s="112">
        <f>SUM(BA$71:BA$86)+SUM(BC$71:BC$86)+SUM(BE$71:BE$86)+SUM(BG$71:BG$86)</f>
        <v>27028.799999999999</v>
      </c>
      <c r="K135" s="112">
        <f>SUM(BI$71:BI$86)+SUM(BK$71:BK$86)+SUM(BM$71:BM$86)+SUM(BO$71:BO$86)</f>
        <v>65778</v>
      </c>
      <c r="L135" s="112">
        <f>SUM(BQ$71:BQ$86)+SUM(BS$71:BS$86)+SUM(BU$71:BU$86)+SUM(BW$71:BW$86)</f>
        <v>117237.6</v>
      </c>
      <c r="M135" s="112">
        <f>SUM(BY$71:BY$86)+SUM(CA$71:CA$86)+SUM(CC$71:CC$86)+SUM(CE$71:CE$86)</f>
        <v>89527.455908449192</v>
      </c>
      <c r="N135" s="112">
        <f>SUM(CG$71:CG$86)+SUM(CI$71:CI$86)+SUM(CK$71:CK$86)+SUM(CM$71:CM$86)</f>
        <v>0</v>
      </c>
      <c r="O135" s="112">
        <f>SUM(CO$71:CO$86)+SUM(CQ$71:CQ$86)+SUM(CS$71:CS$86)+SUM(CU$71:CU$86)</f>
        <v>0</v>
      </c>
    </row>
    <row r="136" spans="2:15" x14ac:dyDescent="0.2">
      <c r="C136" s="111" t="s">
        <v>131</v>
      </c>
      <c r="D136" s="112">
        <f>SUM(E$87:E$94)+SUM(G$87:G$94)+SUM(I$87:I$94)+SUM(K$87:K$94)</f>
        <v>0</v>
      </c>
      <c r="E136" s="112">
        <f>SUM(M$87:M$94)+SUM(O$87:O$94)+SUM(Q$87:Q$94)+SUM(S$87:S$94)</f>
        <v>0</v>
      </c>
      <c r="F136" s="112">
        <f>SUM(U$87:U$94)+SUM(W$87:W$94)+SUM(Y$87:Y$94)+SUM(AA$87:AA$94)</f>
        <v>0</v>
      </c>
      <c r="G136" s="112">
        <f>SUM(AC$87:AC$94)+SUM(AE$87:AE$94)+SUM(AG$87:AG$94)+SUM(AI$87:AI$94)</f>
        <v>0</v>
      </c>
      <c r="H136" s="112">
        <f>SUM(AK$87:AK$94)+SUM(AM$87:AM$94)+SUM(AO$87:AO$94)+SUM(AQ$87:AQ$94)</f>
        <v>0</v>
      </c>
      <c r="I136" s="112">
        <f>SUM(AS$87:AS$94)+SUM(AU$87:AU$94)+SUM(AW$87:AW$94)+SUM(AY$87:AY$94)</f>
        <v>123666.42528995691</v>
      </c>
      <c r="J136" s="112">
        <f>SUM(BA$87:BA$94)+SUM(BC$87:BC$94)+SUM(BE$87:BE$94)+SUM(BG$87:BG$94)</f>
        <v>58661.999999999993</v>
      </c>
      <c r="K136" s="112">
        <f>SUM(BI$87:BI$94)+SUM(BK$87:BK$94)+SUM(BM$87:BM$94)+SUM(BO$87:BO$94)</f>
        <v>466158</v>
      </c>
      <c r="L136" s="112">
        <f>SUM(BQ$87:BQ$94)+SUM(BS$87:BS$94)+SUM(BU$87:BU$94)+SUM(BW$87:BW$94)</f>
        <v>1187714.3999999999</v>
      </c>
      <c r="M136" s="112">
        <f>SUM(BY$87:BY$94)+SUM(CA$87:CA$94)+SUM(CC$87:CC$94)+SUM(CE$87:CE$94)</f>
        <v>41345.093356323938</v>
      </c>
      <c r="N136" s="112">
        <f>SUM(CG$87:CG$94)+SUM(CI$87:CI$94)+SUM(CK$87:CK$94)+SUM(CM$87:CM$94)</f>
        <v>0</v>
      </c>
      <c r="O136" s="112">
        <f>SUM(CO$87:CO$94)+SUM(CQ$87:CQ$94)+SUM(CS$87:CS$94)+SUM(CU$87:CU$94)</f>
        <v>0</v>
      </c>
    </row>
    <row r="137" spans="2:15" x14ac:dyDescent="0.2">
      <c r="C137" s="111" t="s">
        <v>132</v>
      </c>
      <c r="D137" s="112">
        <f>SUM(E$95:E$105)+SUM(G$95:G$105)+SUM(I$95:I$105)+SUM(K$95:K$105)</f>
        <v>0</v>
      </c>
      <c r="E137" s="112">
        <f>SUM(M$95:M$105)+SUM(O$95:O$105)+SUM(Q$95:Q$105)+SUM(S$95:S$105)</f>
        <v>0</v>
      </c>
      <c r="F137" s="112">
        <f>SUM(U$95:U$105)+SUM(W$95:W$105)+SUM(Y$95:Y$105)+SUM(AA$95:AA$105)</f>
        <v>0</v>
      </c>
      <c r="G137" s="112">
        <f>SUM(AC$95:AC$105)+SUM(AE$95:AE$105)+SUM(AG$95:AG$105)+SUM(AI$95:AI$105)</f>
        <v>0</v>
      </c>
      <c r="H137" s="112">
        <f>SUM(AK$95:AK$105)+SUM(AM$95:AM$105)+SUM(AO$95:AO$105)+SUM(AQ$95:AQ$105)</f>
        <v>0</v>
      </c>
      <c r="I137" s="112">
        <f>SUM(AS$95:AS$105)+SUM(AU$95:AU$105)+SUM(AW$95:AW$105)+SUM(AY$95:AY$105)</f>
        <v>36891.974097838232</v>
      </c>
      <c r="J137" s="112">
        <f>SUM(BA$95:BA$105)+SUM(BC$95:BC$105)+SUM(BE$95:BE$105)+SUM(BG$95:BG$105)</f>
        <v>137809.20000000001</v>
      </c>
      <c r="K137" s="112">
        <f>SUM(BI$95:BI$105)+SUM(BK$95:BK$105)+SUM(BM$95:BM$105)+SUM(BO$95:BO$105)</f>
        <v>472351.19999999995</v>
      </c>
      <c r="L137" s="112">
        <f>SUM(BQ$95:BQ$105)+SUM(BS$95:BS$105)+SUM(BU$95:BU$105)+SUM(BW$95:BW$105)</f>
        <v>300022.8</v>
      </c>
      <c r="M137" s="112">
        <f>SUM(BY$95:BY$105)+SUM(CA$95:CA$105)+SUM(CC$95:CC$105)+SUM(CE$95:CE$105)</f>
        <v>46785.853833585985</v>
      </c>
      <c r="N137" s="112">
        <f>SUM(CG$95:CG$105)+SUM(CI$95:CI$105)+SUM(CK$95:CK$105)+SUM(CM$95:CM$105)</f>
        <v>0</v>
      </c>
      <c r="O137" s="112">
        <f>SUM(CO$95:CO$105)+SUM(CQ$95:CQ$105)+SUM(CS$95:CS$105)+SUM(CU$95:CU$105)</f>
        <v>0</v>
      </c>
    </row>
    <row r="138" spans="2:15" x14ac:dyDescent="0.2">
      <c r="C138" s="111" t="s">
        <v>278</v>
      </c>
      <c r="D138" s="106">
        <f t="shared" ref="D138:O138" si="2">SUM(D$131:D$137)</f>
        <v>0</v>
      </c>
      <c r="E138" s="106">
        <f t="shared" si="2"/>
        <v>0</v>
      </c>
      <c r="F138" s="106">
        <f t="shared" si="2"/>
        <v>0</v>
      </c>
      <c r="G138" s="106">
        <f t="shared" si="2"/>
        <v>0</v>
      </c>
      <c r="H138" s="106">
        <f t="shared" si="2"/>
        <v>0</v>
      </c>
      <c r="I138" s="106">
        <f t="shared" si="2"/>
        <v>395446.99099558021</v>
      </c>
      <c r="J138" s="106">
        <f t="shared" si="2"/>
        <v>233439.6</v>
      </c>
      <c r="K138" s="106">
        <f t="shared" si="2"/>
        <v>1045196.3999999999</v>
      </c>
      <c r="L138" s="106">
        <f t="shared" si="2"/>
        <v>1726246.8</v>
      </c>
      <c r="M138" s="106">
        <f t="shared" si="2"/>
        <v>182833.92064451604</v>
      </c>
      <c r="N138" s="106">
        <f t="shared" si="2"/>
        <v>0</v>
      </c>
      <c r="O138" s="106">
        <f t="shared" si="2"/>
        <v>0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59</v>
      </c>
      <c r="E49" s="106">
        <v>58126.799999999996</v>
      </c>
      <c r="F49" s="106">
        <v>45</v>
      </c>
      <c r="G49" s="106">
        <v>44334</v>
      </c>
      <c r="H49" s="106">
        <v>36</v>
      </c>
      <c r="I49" s="106">
        <v>35467.199999999997</v>
      </c>
      <c r="J49" s="106">
        <v>38</v>
      </c>
      <c r="K49" s="106">
        <v>37437.599999999999</v>
      </c>
      <c r="L49" s="106">
        <v>10</v>
      </c>
      <c r="M49" s="106">
        <v>9852</v>
      </c>
      <c r="N49" s="106">
        <v>11</v>
      </c>
      <c r="O49" s="106">
        <v>10837.199999999999</v>
      </c>
      <c r="P49" s="106">
        <v>12</v>
      </c>
      <c r="Q49" s="106">
        <v>11822.4</v>
      </c>
      <c r="R49" s="106">
        <v>10</v>
      </c>
      <c r="S49" s="106">
        <v>9852</v>
      </c>
      <c r="T49" s="106">
        <v>10</v>
      </c>
      <c r="U49" s="106">
        <v>9852</v>
      </c>
      <c r="V49" s="106">
        <v>11</v>
      </c>
      <c r="W49" s="106">
        <v>10837.199999999999</v>
      </c>
      <c r="X49" s="106">
        <v>7</v>
      </c>
      <c r="Y49" s="106">
        <v>6896.4</v>
      </c>
      <c r="Z49" s="106">
        <v>11</v>
      </c>
      <c r="AA49" s="106">
        <v>10837.199999999999</v>
      </c>
      <c r="AB49" s="106">
        <v>6</v>
      </c>
      <c r="AC49" s="106">
        <v>5911.2</v>
      </c>
      <c r="AD49" s="106">
        <v>6</v>
      </c>
      <c r="AE49" s="106">
        <v>5911.2</v>
      </c>
      <c r="AF49" s="106">
        <v>8</v>
      </c>
      <c r="AG49" s="106">
        <v>7881.5999999999995</v>
      </c>
      <c r="AH49" s="106">
        <v>9</v>
      </c>
      <c r="AI49" s="106">
        <v>8866.7999999999993</v>
      </c>
      <c r="AJ49" s="106">
        <v>24</v>
      </c>
      <c r="AK49" s="106">
        <v>23644.799999999999</v>
      </c>
      <c r="AL49" s="106">
        <v>17</v>
      </c>
      <c r="AM49" s="106">
        <v>16748.399999999998</v>
      </c>
      <c r="AN49" s="106">
        <v>28</v>
      </c>
      <c r="AO49" s="106">
        <v>27585.599999999999</v>
      </c>
      <c r="AP49" s="106">
        <v>21</v>
      </c>
      <c r="AQ49" s="106">
        <v>20689.199999999997</v>
      </c>
      <c r="AR49" s="106">
        <v>24</v>
      </c>
      <c r="AS49" s="106">
        <v>23644.799999999999</v>
      </c>
      <c r="AT49" s="106">
        <v>19</v>
      </c>
      <c r="AU49" s="106">
        <v>18718.8</v>
      </c>
      <c r="AV49" s="106">
        <v>19</v>
      </c>
      <c r="AW49" s="106">
        <v>18718.8</v>
      </c>
      <c r="AX49" s="106">
        <v>28</v>
      </c>
      <c r="AY49" s="106">
        <v>27585.599999999999</v>
      </c>
      <c r="AZ49" s="106">
        <v>13</v>
      </c>
      <c r="BA49" s="106">
        <v>12807.599999999999</v>
      </c>
      <c r="BB49" s="106">
        <v>15</v>
      </c>
      <c r="BC49" s="106">
        <v>14777.999999999998</v>
      </c>
      <c r="BD49" s="106">
        <v>15</v>
      </c>
      <c r="BE49" s="106">
        <v>14777.999999999998</v>
      </c>
      <c r="BF49" s="106">
        <v>13</v>
      </c>
      <c r="BG49" s="106">
        <v>12807.599999999999</v>
      </c>
      <c r="BH49" s="106">
        <v>17</v>
      </c>
      <c r="BI49" s="106">
        <v>16748.399999999998</v>
      </c>
      <c r="BJ49" s="106">
        <v>24</v>
      </c>
      <c r="BK49" s="106">
        <v>23644.799999999999</v>
      </c>
      <c r="BL49" s="106">
        <v>27</v>
      </c>
      <c r="BM49" s="106">
        <v>26600.399999999998</v>
      </c>
      <c r="BN49" s="106">
        <v>28</v>
      </c>
      <c r="BO49" s="106">
        <v>27585.599999999999</v>
      </c>
      <c r="BP49" s="106">
        <v>14</v>
      </c>
      <c r="BQ49" s="106">
        <v>13792.8</v>
      </c>
      <c r="BR49" s="106">
        <v>17</v>
      </c>
      <c r="BS49" s="106">
        <v>16748.399999999998</v>
      </c>
      <c r="BT49" s="106">
        <v>16</v>
      </c>
      <c r="BU49" s="106">
        <v>15763.199999999999</v>
      </c>
      <c r="BV49" s="106">
        <v>20</v>
      </c>
      <c r="BW49" s="106">
        <v>19704</v>
      </c>
      <c r="BX49" s="106">
        <v>37</v>
      </c>
      <c r="BY49" s="106">
        <v>36452.399999999994</v>
      </c>
      <c r="BZ49" s="106">
        <v>34</v>
      </c>
      <c r="CA49" s="106">
        <v>33496.799999999996</v>
      </c>
      <c r="CB49" s="106">
        <v>31</v>
      </c>
      <c r="CC49" s="106">
        <v>30541.199999999997</v>
      </c>
      <c r="CD49" s="106">
        <v>26</v>
      </c>
      <c r="CE49" s="106">
        <v>25615.199999999997</v>
      </c>
      <c r="CF49" s="106">
        <v>21</v>
      </c>
      <c r="CG49" s="106">
        <v>20689.199999999997</v>
      </c>
      <c r="CH49" s="106">
        <v>21</v>
      </c>
      <c r="CI49" s="106">
        <v>20689.199999999997</v>
      </c>
      <c r="CJ49" s="106">
        <v>20</v>
      </c>
      <c r="CK49" s="106">
        <v>19704</v>
      </c>
      <c r="CL49" s="106">
        <v>21</v>
      </c>
      <c r="CM49" s="106">
        <v>20689.199999999997</v>
      </c>
      <c r="CN49" s="106">
        <v>16</v>
      </c>
      <c r="CO49" s="106">
        <v>15763.199999999999</v>
      </c>
      <c r="CP49" s="106">
        <v>14</v>
      </c>
      <c r="CQ49" s="106">
        <v>13792.8</v>
      </c>
      <c r="CR49" s="106">
        <v>10</v>
      </c>
      <c r="CS49" s="106">
        <v>9852</v>
      </c>
      <c r="CT49" s="106">
        <v>13</v>
      </c>
      <c r="CU49" s="106">
        <v>12807.599999999999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60</v>
      </c>
      <c r="E56" s="106">
        <v>69048</v>
      </c>
      <c r="F56" s="106">
        <v>42</v>
      </c>
      <c r="G56" s="106">
        <v>48333.599999999999</v>
      </c>
      <c r="H56" s="106">
        <v>37</v>
      </c>
      <c r="I56" s="106">
        <v>42579.6</v>
      </c>
      <c r="J56" s="106">
        <v>37</v>
      </c>
      <c r="K56" s="106">
        <v>42579.6</v>
      </c>
      <c r="L56" s="106">
        <v>11</v>
      </c>
      <c r="M56" s="106">
        <v>12658.8</v>
      </c>
      <c r="N56" s="106">
        <v>10</v>
      </c>
      <c r="O56" s="106">
        <v>11508</v>
      </c>
      <c r="P56" s="106">
        <v>11</v>
      </c>
      <c r="Q56" s="106">
        <v>12658.8</v>
      </c>
      <c r="R56" s="106">
        <v>9</v>
      </c>
      <c r="S56" s="106">
        <v>10357.199999999999</v>
      </c>
      <c r="T56" s="106">
        <v>9</v>
      </c>
      <c r="U56" s="106">
        <v>10357.199999999999</v>
      </c>
      <c r="V56" s="106">
        <v>10</v>
      </c>
      <c r="W56" s="106">
        <v>11508</v>
      </c>
      <c r="X56" s="106">
        <v>8</v>
      </c>
      <c r="Y56" s="106">
        <v>9206.4</v>
      </c>
      <c r="Z56" s="106">
        <v>10</v>
      </c>
      <c r="AA56" s="106">
        <v>11508</v>
      </c>
      <c r="AB56" s="106">
        <v>6</v>
      </c>
      <c r="AC56" s="106">
        <v>6904.7999999999993</v>
      </c>
      <c r="AD56" s="106">
        <v>6</v>
      </c>
      <c r="AE56" s="106">
        <v>6904.7999999999993</v>
      </c>
      <c r="AF56" s="106">
        <v>9</v>
      </c>
      <c r="AG56" s="106">
        <v>10357.199999999999</v>
      </c>
      <c r="AH56" s="106">
        <v>10</v>
      </c>
      <c r="AI56" s="106">
        <v>11508</v>
      </c>
      <c r="AJ56" s="106">
        <v>22</v>
      </c>
      <c r="AK56" s="106">
        <v>25317.599999999999</v>
      </c>
      <c r="AL56" s="106">
        <v>18</v>
      </c>
      <c r="AM56" s="106">
        <v>20714.399999999998</v>
      </c>
      <c r="AN56" s="106">
        <v>25</v>
      </c>
      <c r="AO56" s="106">
        <v>28770</v>
      </c>
      <c r="AP56" s="106">
        <v>23</v>
      </c>
      <c r="AQ56" s="106">
        <v>26468.399999999998</v>
      </c>
      <c r="AR56" s="106">
        <v>23</v>
      </c>
      <c r="AS56" s="106">
        <v>26468.399999999998</v>
      </c>
      <c r="AT56" s="106">
        <v>19</v>
      </c>
      <c r="AU56" s="106">
        <v>21865.200000000001</v>
      </c>
      <c r="AV56" s="106">
        <v>20</v>
      </c>
      <c r="AW56" s="106">
        <v>23016</v>
      </c>
      <c r="AX56" s="106">
        <v>23</v>
      </c>
      <c r="AY56" s="106">
        <v>26468.399999999998</v>
      </c>
      <c r="AZ56" s="106">
        <v>13</v>
      </c>
      <c r="BA56" s="106">
        <v>14960.4</v>
      </c>
      <c r="BB56" s="106">
        <v>17</v>
      </c>
      <c r="BC56" s="106">
        <v>19563.599999999999</v>
      </c>
      <c r="BD56" s="106">
        <v>14</v>
      </c>
      <c r="BE56" s="106">
        <v>16111.199999999999</v>
      </c>
      <c r="BF56" s="106">
        <v>15</v>
      </c>
      <c r="BG56" s="106">
        <v>17262</v>
      </c>
      <c r="BH56" s="106">
        <v>17</v>
      </c>
      <c r="BI56" s="106">
        <v>19563.599999999999</v>
      </c>
      <c r="BJ56" s="106">
        <v>21</v>
      </c>
      <c r="BK56" s="106">
        <v>24166.799999999999</v>
      </c>
      <c r="BL56" s="106">
        <v>28</v>
      </c>
      <c r="BM56" s="106">
        <v>32222.399999999998</v>
      </c>
      <c r="BN56" s="106">
        <v>27</v>
      </c>
      <c r="BO56" s="106">
        <v>31071.599999999999</v>
      </c>
      <c r="BP56" s="106">
        <v>13</v>
      </c>
      <c r="BQ56" s="106">
        <v>14960.4</v>
      </c>
      <c r="BR56" s="106">
        <v>18</v>
      </c>
      <c r="BS56" s="106">
        <v>20714.399999999998</v>
      </c>
      <c r="BT56" s="106">
        <v>15</v>
      </c>
      <c r="BU56" s="106">
        <v>17262</v>
      </c>
      <c r="BV56" s="106">
        <v>16</v>
      </c>
      <c r="BW56" s="106">
        <v>18412.8</v>
      </c>
      <c r="BX56" s="106">
        <v>36</v>
      </c>
      <c r="BY56" s="106">
        <v>41428.799999999996</v>
      </c>
      <c r="BZ56" s="106">
        <v>33</v>
      </c>
      <c r="CA56" s="106">
        <v>37976.400000000001</v>
      </c>
      <c r="CB56" s="106">
        <v>29</v>
      </c>
      <c r="CC56" s="106">
        <v>33373.199999999997</v>
      </c>
      <c r="CD56" s="106">
        <v>24</v>
      </c>
      <c r="CE56" s="106">
        <v>27619.199999999997</v>
      </c>
      <c r="CF56" s="106">
        <v>22</v>
      </c>
      <c r="CG56" s="106">
        <v>25317.599999999999</v>
      </c>
      <c r="CH56" s="106">
        <v>20</v>
      </c>
      <c r="CI56" s="106">
        <v>23016</v>
      </c>
      <c r="CJ56" s="106">
        <v>19</v>
      </c>
      <c r="CK56" s="106">
        <v>21865.200000000001</v>
      </c>
      <c r="CL56" s="106">
        <v>20</v>
      </c>
      <c r="CM56" s="106">
        <v>23016</v>
      </c>
      <c r="CN56" s="106">
        <v>13</v>
      </c>
      <c r="CO56" s="106">
        <v>14960.4</v>
      </c>
      <c r="CP56" s="106">
        <v>12</v>
      </c>
      <c r="CQ56" s="106">
        <v>13809.599999999999</v>
      </c>
      <c r="CR56" s="106">
        <v>11</v>
      </c>
      <c r="CS56" s="106">
        <v>12658.8</v>
      </c>
      <c r="CT56" s="106">
        <v>12</v>
      </c>
      <c r="CU56" s="106">
        <v>13809.599999999999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61</v>
      </c>
      <c r="E58" s="106">
        <v>71809.2</v>
      </c>
      <c r="F58" s="106">
        <v>44</v>
      </c>
      <c r="G58" s="106">
        <v>51796.800000000003</v>
      </c>
      <c r="H58" s="106">
        <v>31</v>
      </c>
      <c r="I58" s="106">
        <v>36493.200000000004</v>
      </c>
      <c r="J58" s="106">
        <v>37</v>
      </c>
      <c r="K58" s="106">
        <v>43556.4</v>
      </c>
      <c r="L58" s="106">
        <v>10</v>
      </c>
      <c r="M58" s="106">
        <v>11772</v>
      </c>
      <c r="N58" s="106">
        <v>12</v>
      </c>
      <c r="O58" s="106">
        <v>14126.400000000001</v>
      </c>
      <c r="P58" s="106">
        <v>12</v>
      </c>
      <c r="Q58" s="106">
        <v>14126.400000000001</v>
      </c>
      <c r="R58" s="106">
        <v>10</v>
      </c>
      <c r="S58" s="106">
        <v>11772</v>
      </c>
      <c r="T58" s="106">
        <v>9</v>
      </c>
      <c r="U58" s="106">
        <v>10594.800000000001</v>
      </c>
      <c r="V58" s="106">
        <v>10</v>
      </c>
      <c r="W58" s="106">
        <v>11772</v>
      </c>
      <c r="X58" s="106">
        <v>8</v>
      </c>
      <c r="Y58" s="106">
        <v>9417.6</v>
      </c>
      <c r="Z58" s="106">
        <v>10</v>
      </c>
      <c r="AA58" s="106">
        <v>11772</v>
      </c>
      <c r="AB58" s="106">
        <v>6</v>
      </c>
      <c r="AC58" s="106">
        <v>7063.2000000000007</v>
      </c>
      <c r="AD58" s="106">
        <v>6</v>
      </c>
      <c r="AE58" s="106">
        <v>7063.2000000000007</v>
      </c>
      <c r="AF58" s="106">
        <v>8</v>
      </c>
      <c r="AG58" s="106">
        <v>9417.6</v>
      </c>
      <c r="AH58" s="106">
        <v>9</v>
      </c>
      <c r="AI58" s="106">
        <v>10594.800000000001</v>
      </c>
      <c r="AJ58" s="106">
        <v>20</v>
      </c>
      <c r="AK58" s="106">
        <v>23544</v>
      </c>
      <c r="AL58" s="106">
        <v>18</v>
      </c>
      <c r="AM58" s="106">
        <v>21189.600000000002</v>
      </c>
      <c r="AN58" s="106">
        <v>27</v>
      </c>
      <c r="AO58" s="106">
        <v>31784.400000000001</v>
      </c>
      <c r="AP58" s="106">
        <v>23</v>
      </c>
      <c r="AQ58" s="106">
        <v>27075.600000000002</v>
      </c>
      <c r="AR58" s="106">
        <v>21</v>
      </c>
      <c r="AS58" s="106">
        <v>24721.200000000001</v>
      </c>
      <c r="AT58" s="106">
        <v>20</v>
      </c>
      <c r="AU58" s="106">
        <v>23544</v>
      </c>
      <c r="AV58" s="106">
        <v>18</v>
      </c>
      <c r="AW58" s="106">
        <v>21189.600000000002</v>
      </c>
      <c r="AX58" s="106">
        <v>25</v>
      </c>
      <c r="AY58" s="106">
        <v>29430</v>
      </c>
      <c r="AZ58" s="106">
        <v>11</v>
      </c>
      <c r="BA58" s="106">
        <v>12949.2</v>
      </c>
      <c r="BB58" s="106">
        <v>17</v>
      </c>
      <c r="BC58" s="106">
        <v>20012.400000000001</v>
      </c>
      <c r="BD58" s="106">
        <v>15</v>
      </c>
      <c r="BE58" s="106">
        <v>17658</v>
      </c>
      <c r="BF58" s="106">
        <v>15</v>
      </c>
      <c r="BG58" s="106">
        <v>17658</v>
      </c>
      <c r="BH58" s="106">
        <v>20</v>
      </c>
      <c r="BI58" s="106">
        <v>23544</v>
      </c>
      <c r="BJ58" s="106">
        <v>22</v>
      </c>
      <c r="BK58" s="106">
        <v>25898.400000000001</v>
      </c>
      <c r="BL58" s="106">
        <v>29</v>
      </c>
      <c r="BM58" s="106">
        <v>34138.800000000003</v>
      </c>
      <c r="BN58" s="106">
        <v>28</v>
      </c>
      <c r="BO58" s="106">
        <v>32961.599999999999</v>
      </c>
      <c r="BP58" s="106">
        <v>13</v>
      </c>
      <c r="BQ58" s="106">
        <v>15303.6</v>
      </c>
      <c r="BR58" s="106">
        <v>19</v>
      </c>
      <c r="BS58" s="106">
        <v>22366.799999999999</v>
      </c>
      <c r="BT58" s="106">
        <v>16</v>
      </c>
      <c r="BU58" s="106">
        <v>18835.2</v>
      </c>
      <c r="BV58" s="106">
        <v>17</v>
      </c>
      <c r="BW58" s="106">
        <v>20012.400000000001</v>
      </c>
      <c r="BX58" s="106">
        <v>31</v>
      </c>
      <c r="BY58" s="106">
        <v>36493.200000000004</v>
      </c>
      <c r="BZ58" s="106">
        <v>31</v>
      </c>
      <c r="CA58" s="106">
        <v>36493.200000000004</v>
      </c>
      <c r="CB58" s="106">
        <v>29</v>
      </c>
      <c r="CC58" s="106">
        <v>34138.800000000003</v>
      </c>
      <c r="CD58" s="106">
        <v>27</v>
      </c>
      <c r="CE58" s="106">
        <v>31784.400000000001</v>
      </c>
      <c r="CF58" s="106">
        <v>21</v>
      </c>
      <c r="CG58" s="106">
        <v>24721.200000000001</v>
      </c>
      <c r="CH58" s="106">
        <v>21</v>
      </c>
      <c r="CI58" s="106">
        <v>24721.200000000001</v>
      </c>
      <c r="CJ58" s="106">
        <v>17</v>
      </c>
      <c r="CK58" s="106">
        <v>20012.400000000001</v>
      </c>
      <c r="CL58" s="106">
        <v>19</v>
      </c>
      <c r="CM58" s="106">
        <v>22366.799999999999</v>
      </c>
      <c r="CN58" s="106">
        <v>14</v>
      </c>
      <c r="CO58" s="106">
        <v>16480.8</v>
      </c>
      <c r="CP58" s="106">
        <v>15</v>
      </c>
      <c r="CQ58" s="106">
        <v>17658</v>
      </c>
      <c r="CR58" s="106">
        <v>10</v>
      </c>
      <c r="CS58" s="106">
        <v>11772</v>
      </c>
      <c r="CT58" s="106">
        <v>13</v>
      </c>
      <c r="CU58" s="106">
        <v>15303.6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19</v>
      </c>
      <c r="E71" s="106">
        <v>10716</v>
      </c>
      <c r="F71" s="106">
        <v>16</v>
      </c>
      <c r="G71" s="106">
        <v>9024</v>
      </c>
      <c r="H71" s="106">
        <v>14</v>
      </c>
      <c r="I71" s="106">
        <v>7896</v>
      </c>
      <c r="J71" s="106">
        <v>24</v>
      </c>
      <c r="K71" s="106">
        <v>13536</v>
      </c>
      <c r="L71" s="106">
        <v>39</v>
      </c>
      <c r="M71" s="106">
        <v>21996</v>
      </c>
      <c r="N71" s="106">
        <v>26</v>
      </c>
      <c r="O71" s="106">
        <v>14664</v>
      </c>
      <c r="P71" s="106">
        <v>34</v>
      </c>
      <c r="Q71" s="106">
        <v>19176</v>
      </c>
      <c r="R71" s="106">
        <v>24</v>
      </c>
      <c r="S71" s="106">
        <v>13536</v>
      </c>
      <c r="T71" s="106">
        <v>22</v>
      </c>
      <c r="U71" s="106">
        <v>12408</v>
      </c>
      <c r="V71" s="106">
        <v>14</v>
      </c>
      <c r="W71" s="106">
        <v>7896</v>
      </c>
      <c r="X71" s="106">
        <v>22</v>
      </c>
      <c r="Y71" s="106">
        <v>12408</v>
      </c>
      <c r="Z71" s="106">
        <v>24</v>
      </c>
      <c r="AA71" s="106">
        <v>13536</v>
      </c>
      <c r="AB71" s="106">
        <v>19</v>
      </c>
      <c r="AC71" s="106">
        <v>10716</v>
      </c>
      <c r="AD71" s="106">
        <v>16</v>
      </c>
      <c r="AE71" s="106">
        <v>9024</v>
      </c>
      <c r="AF71" s="106">
        <v>19</v>
      </c>
      <c r="AG71" s="106">
        <v>10716</v>
      </c>
      <c r="AH71" s="106">
        <v>12</v>
      </c>
      <c r="AI71" s="106">
        <v>6768</v>
      </c>
      <c r="AJ71" s="106">
        <v>14</v>
      </c>
      <c r="AK71" s="106">
        <v>7896</v>
      </c>
      <c r="AL71" s="106">
        <v>9</v>
      </c>
      <c r="AM71" s="106">
        <v>5076</v>
      </c>
      <c r="AN71" s="106">
        <v>12</v>
      </c>
      <c r="AO71" s="106">
        <v>6768</v>
      </c>
      <c r="AP71" s="106">
        <v>11</v>
      </c>
      <c r="AQ71" s="106">
        <v>6204</v>
      </c>
      <c r="AR71" s="106">
        <v>69</v>
      </c>
      <c r="AS71" s="106">
        <v>38916</v>
      </c>
      <c r="AT71" s="106">
        <v>97</v>
      </c>
      <c r="AU71" s="106">
        <v>54708</v>
      </c>
      <c r="AV71" s="106">
        <v>59</v>
      </c>
      <c r="AW71" s="106">
        <v>33276</v>
      </c>
      <c r="AX71" s="106">
        <v>65</v>
      </c>
      <c r="AY71" s="106">
        <v>36660</v>
      </c>
      <c r="AZ71" s="106">
        <v>10</v>
      </c>
      <c r="BA71" s="106">
        <v>5640</v>
      </c>
      <c r="BB71" s="106">
        <v>7</v>
      </c>
      <c r="BC71" s="106">
        <v>3948</v>
      </c>
      <c r="BD71" s="106">
        <v>12</v>
      </c>
      <c r="BE71" s="106">
        <v>6768</v>
      </c>
      <c r="BF71" s="106">
        <v>12</v>
      </c>
      <c r="BG71" s="106">
        <v>6768</v>
      </c>
      <c r="BH71" s="106">
        <v>52</v>
      </c>
      <c r="BI71" s="106">
        <v>29328</v>
      </c>
      <c r="BJ71" s="106">
        <v>38</v>
      </c>
      <c r="BK71" s="106">
        <v>21432</v>
      </c>
      <c r="BL71" s="106">
        <v>52</v>
      </c>
      <c r="BM71" s="106">
        <v>29328</v>
      </c>
      <c r="BN71" s="106">
        <v>45</v>
      </c>
      <c r="BO71" s="106">
        <v>25380</v>
      </c>
      <c r="BP71" s="106">
        <v>7</v>
      </c>
      <c r="BQ71" s="106">
        <v>3948</v>
      </c>
      <c r="BR71" s="106">
        <v>15</v>
      </c>
      <c r="BS71" s="106">
        <v>8460</v>
      </c>
      <c r="BT71" s="106">
        <v>14</v>
      </c>
      <c r="BU71" s="106">
        <v>7896</v>
      </c>
      <c r="BV71" s="106">
        <v>10</v>
      </c>
      <c r="BW71" s="106">
        <v>5640</v>
      </c>
      <c r="BX71" s="106">
        <v>17</v>
      </c>
      <c r="BY71" s="106">
        <v>9588</v>
      </c>
      <c r="BZ71" s="106">
        <v>12</v>
      </c>
      <c r="CA71" s="106">
        <v>6768</v>
      </c>
      <c r="CB71" s="106">
        <v>11</v>
      </c>
      <c r="CC71" s="106">
        <v>6204</v>
      </c>
      <c r="CD71" s="106">
        <v>23</v>
      </c>
      <c r="CE71" s="106">
        <v>12972</v>
      </c>
      <c r="CF71" s="106">
        <v>10</v>
      </c>
      <c r="CG71" s="106">
        <v>5640</v>
      </c>
      <c r="CH71" s="106">
        <v>11</v>
      </c>
      <c r="CI71" s="106">
        <v>6204</v>
      </c>
      <c r="CJ71" s="106">
        <v>12</v>
      </c>
      <c r="CK71" s="106">
        <v>6768</v>
      </c>
      <c r="CL71" s="106">
        <v>10</v>
      </c>
      <c r="CM71" s="106">
        <v>5640</v>
      </c>
      <c r="CN71" s="106">
        <v>11</v>
      </c>
      <c r="CO71" s="106">
        <v>6204</v>
      </c>
      <c r="CP71" s="106">
        <v>12</v>
      </c>
      <c r="CQ71" s="106">
        <v>6768</v>
      </c>
      <c r="CR71" s="106">
        <v>13</v>
      </c>
      <c r="CS71" s="106">
        <v>7332</v>
      </c>
      <c r="CT71" s="106">
        <v>13</v>
      </c>
      <c r="CU71" s="106">
        <v>7332</v>
      </c>
    </row>
    <row r="72" spans="2:99" x14ac:dyDescent="0.2">
      <c r="C72" s="105" t="s">
        <v>238</v>
      </c>
      <c r="D72" s="106">
        <v>21</v>
      </c>
      <c r="E72" s="106">
        <v>1562.3999999999999</v>
      </c>
      <c r="F72" s="106">
        <v>18</v>
      </c>
      <c r="G72" s="106">
        <v>1339.1999999999998</v>
      </c>
      <c r="H72" s="106">
        <v>17</v>
      </c>
      <c r="I72" s="106">
        <v>1264.8</v>
      </c>
      <c r="J72" s="106">
        <v>26</v>
      </c>
      <c r="K72" s="106">
        <v>1934.3999999999999</v>
      </c>
      <c r="L72" s="106">
        <v>35</v>
      </c>
      <c r="M72" s="106">
        <v>2603.9999999999995</v>
      </c>
      <c r="N72" s="106">
        <v>29</v>
      </c>
      <c r="O72" s="106">
        <v>2157.6</v>
      </c>
      <c r="P72" s="106">
        <v>36</v>
      </c>
      <c r="Q72" s="106">
        <v>2678.3999999999996</v>
      </c>
      <c r="R72" s="106">
        <v>23</v>
      </c>
      <c r="S72" s="106">
        <v>1711.1999999999998</v>
      </c>
      <c r="T72" s="106">
        <v>25</v>
      </c>
      <c r="U72" s="106">
        <v>1859.9999999999998</v>
      </c>
      <c r="V72" s="106">
        <v>14</v>
      </c>
      <c r="W72" s="106">
        <v>1041.5999999999999</v>
      </c>
      <c r="X72" s="106">
        <v>20</v>
      </c>
      <c r="Y72" s="106">
        <v>1487.9999999999998</v>
      </c>
      <c r="Z72" s="106">
        <v>24</v>
      </c>
      <c r="AA72" s="106">
        <v>1785.6</v>
      </c>
      <c r="AB72" s="106">
        <v>17</v>
      </c>
      <c r="AC72" s="106">
        <v>1264.8</v>
      </c>
      <c r="AD72" s="106">
        <v>18</v>
      </c>
      <c r="AE72" s="106">
        <v>1339.1999999999998</v>
      </c>
      <c r="AF72" s="106">
        <v>17</v>
      </c>
      <c r="AG72" s="106">
        <v>1264.8</v>
      </c>
      <c r="AH72" s="106">
        <v>13</v>
      </c>
      <c r="AI72" s="106">
        <v>967.19999999999993</v>
      </c>
      <c r="AJ72" s="106">
        <v>15</v>
      </c>
      <c r="AK72" s="106">
        <v>1115.9999999999998</v>
      </c>
      <c r="AL72" s="106">
        <v>9</v>
      </c>
      <c r="AM72" s="106">
        <v>669.59999999999991</v>
      </c>
      <c r="AN72" s="106">
        <v>12</v>
      </c>
      <c r="AO72" s="106">
        <v>892.8</v>
      </c>
      <c r="AP72" s="106">
        <v>11</v>
      </c>
      <c r="AQ72" s="106">
        <v>818.39999999999986</v>
      </c>
      <c r="AR72" s="106">
        <v>83</v>
      </c>
      <c r="AS72" s="106">
        <v>6175.1999999999989</v>
      </c>
      <c r="AT72" s="106">
        <v>121</v>
      </c>
      <c r="AU72" s="106">
        <v>9002.4</v>
      </c>
      <c r="AV72" s="106">
        <v>65</v>
      </c>
      <c r="AW72" s="106">
        <v>4835.9999999999991</v>
      </c>
      <c r="AX72" s="106">
        <v>83</v>
      </c>
      <c r="AY72" s="106">
        <v>6175.1999999999989</v>
      </c>
      <c r="AZ72" s="106">
        <v>9</v>
      </c>
      <c r="BA72" s="106">
        <v>669.59999999999991</v>
      </c>
      <c r="BB72" s="106">
        <v>8</v>
      </c>
      <c r="BC72" s="106">
        <v>595.19999999999993</v>
      </c>
      <c r="BD72" s="106">
        <v>13</v>
      </c>
      <c r="BE72" s="106">
        <v>967.19999999999993</v>
      </c>
      <c r="BF72" s="106">
        <v>10</v>
      </c>
      <c r="BG72" s="106">
        <v>743.99999999999989</v>
      </c>
      <c r="BH72" s="106">
        <v>54</v>
      </c>
      <c r="BI72" s="106">
        <v>4017.5999999999995</v>
      </c>
      <c r="BJ72" s="106">
        <v>36</v>
      </c>
      <c r="BK72" s="106">
        <v>2678.3999999999996</v>
      </c>
      <c r="BL72" s="106">
        <v>60</v>
      </c>
      <c r="BM72" s="106">
        <v>4463.9999999999991</v>
      </c>
      <c r="BN72" s="106">
        <v>57</v>
      </c>
      <c r="BO72" s="106">
        <v>4240.7999999999993</v>
      </c>
      <c r="BP72" s="106">
        <v>7</v>
      </c>
      <c r="BQ72" s="106">
        <v>520.79999999999995</v>
      </c>
      <c r="BR72" s="106">
        <v>13</v>
      </c>
      <c r="BS72" s="106">
        <v>967.19999999999993</v>
      </c>
      <c r="BT72" s="106">
        <v>13</v>
      </c>
      <c r="BU72" s="106">
        <v>967.19999999999993</v>
      </c>
      <c r="BV72" s="106">
        <v>11</v>
      </c>
      <c r="BW72" s="106">
        <v>818.39999999999986</v>
      </c>
      <c r="BX72" s="106">
        <v>16</v>
      </c>
      <c r="BY72" s="106">
        <v>1190.3999999999999</v>
      </c>
      <c r="BZ72" s="106">
        <v>12</v>
      </c>
      <c r="CA72" s="106">
        <v>892.8</v>
      </c>
      <c r="CB72" s="106">
        <v>12</v>
      </c>
      <c r="CC72" s="106">
        <v>892.8</v>
      </c>
      <c r="CD72" s="106">
        <v>24</v>
      </c>
      <c r="CE72" s="106">
        <v>1785.6</v>
      </c>
      <c r="CF72" s="106">
        <v>11</v>
      </c>
      <c r="CG72" s="106">
        <v>818.39999999999986</v>
      </c>
      <c r="CH72" s="106">
        <v>11</v>
      </c>
      <c r="CI72" s="106">
        <v>818.39999999999986</v>
      </c>
      <c r="CJ72" s="106">
        <v>12</v>
      </c>
      <c r="CK72" s="106">
        <v>892.8</v>
      </c>
      <c r="CL72" s="106">
        <v>11</v>
      </c>
      <c r="CM72" s="106">
        <v>818.39999999999986</v>
      </c>
      <c r="CN72" s="106">
        <v>12</v>
      </c>
      <c r="CO72" s="106">
        <v>892.8</v>
      </c>
      <c r="CP72" s="106">
        <v>13</v>
      </c>
      <c r="CQ72" s="106">
        <v>967.19999999999993</v>
      </c>
      <c r="CR72" s="106">
        <v>16</v>
      </c>
      <c r="CS72" s="106">
        <v>1190.3999999999999</v>
      </c>
      <c r="CT72" s="106">
        <v>11</v>
      </c>
      <c r="CU72" s="106">
        <v>818.39999999999986</v>
      </c>
    </row>
    <row r="73" spans="2:99" x14ac:dyDescent="0.2">
      <c r="C73" s="105" t="s">
        <v>239</v>
      </c>
      <c r="D73" s="106">
        <v>19</v>
      </c>
      <c r="E73" s="106">
        <v>10624.8</v>
      </c>
      <c r="F73" s="106">
        <v>17</v>
      </c>
      <c r="G73" s="106">
        <v>9506.4</v>
      </c>
      <c r="H73" s="106">
        <v>17</v>
      </c>
      <c r="I73" s="106">
        <v>9506.4</v>
      </c>
      <c r="J73" s="106">
        <v>23</v>
      </c>
      <c r="K73" s="106">
        <v>12861.599999999999</v>
      </c>
      <c r="L73" s="106">
        <v>33</v>
      </c>
      <c r="M73" s="106">
        <v>18453.599999999999</v>
      </c>
      <c r="N73" s="106">
        <v>28</v>
      </c>
      <c r="O73" s="106">
        <v>15657.599999999999</v>
      </c>
      <c r="P73" s="106">
        <v>33</v>
      </c>
      <c r="Q73" s="106">
        <v>18453.599999999999</v>
      </c>
      <c r="R73" s="106">
        <v>23</v>
      </c>
      <c r="S73" s="106">
        <v>12861.599999999999</v>
      </c>
      <c r="T73" s="106">
        <v>23</v>
      </c>
      <c r="U73" s="106">
        <v>12861.599999999999</v>
      </c>
      <c r="V73" s="106">
        <v>13</v>
      </c>
      <c r="W73" s="106">
        <v>7269.5999999999995</v>
      </c>
      <c r="X73" s="106">
        <v>21</v>
      </c>
      <c r="Y73" s="106">
        <v>11743.199999999999</v>
      </c>
      <c r="Z73" s="106">
        <v>24</v>
      </c>
      <c r="AA73" s="106">
        <v>13420.8</v>
      </c>
      <c r="AB73" s="106">
        <v>18</v>
      </c>
      <c r="AC73" s="106">
        <v>10065.599999999999</v>
      </c>
      <c r="AD73" s="106">
        <v>17</v>
      </c>
      <c r="AE73" s="106">
        <v>9506.4</v>
      </c>
      <c r="AF73" s="106">
        <v>17</v>
      </c>
      <c r="AG73" s="106">
        <v>9506.4</v>
      </c>
      <c r="AH73" s="106">
        <v>11</v>
      </c>
      <c r="AI73" s="106">
        <v>6151.1999999999989</v>
      </c>
      <c r="AJ73" s="106">
        <v>14</v>
      </c>
      <c r="AK73" s="106">
        <v>7828.7999999999993</v>
      </c>
      <c r="AL73" s="106">
        <v>9</v>
      </c>
      <c r="AM73" s="106">
        <v>5032.7999999999993</v>
      </c>
      <c r="AN73" s="106">
        <v>12</v>
      </c>
      <c r="AO73" s="106">
        <v>6710.4</v>
      </c>
      <c r="AP73" s="106">
        <v>11</v>
      </c>
      <c r="AQ73" s="106">
        <v>6151.1999999999989</v>
      </c>
      <c r="AR73" s="106">
        <v>76</v>
      </c>
      <c r="AS73" s="106">
        <v>42499.199999999997</v>
      </c>
      <c r="AT73" s="106">
        <v>104</v>
      </c>
      <c r="AU73" s="106">
        <v>58156.799999999996</v>
      </c>
      <c r="AV73" s="106">
        <v>58</v>
      </c>
      <c r="AW73" s="106">
        <v>32433.599999999995</v>
      </c>
      <c r="AX73" s="106">
        <v>69</v>
      </c>
      <c r="AY73" s="106">
        <v>38584.799999999996</v>
      </c>
      <c r="AZ73" s="106">
        <v>10</v>
      </c>
      <c r="BA73" s="106">
        <v>5591.9999999999991</v>
      </c>
      <c r="BB73" s="106">
        <v>8</v>
      </c>
      <c r="BC73" s="106">
        <v>4473.5999999999995</v>
      </c>
      <c r="BD73" s="106">
        <v>12</v>
      </c>
      <c r="BE73" s="106">
        <v>6710.4</v>
      </c>
      <c r="BF73" s="106">
        <v>10</v>
      </c>
      <c r="BG73" s="106">
        <v>5591.9999999999991</v>
      </c>
      <c r="BH73" s="106">
        <v>49</v>
      </c>
      <c r="BI73" s="106">
        <v>27400.799999999996</v>
      </c>
      <c r="BJ73" s="106">
        <v>38</v>
      </c>
      <c r="BK73" s="106">
        <v>21249.599999999999</v>
      </c>
      <c r="BL73" s="106">
        <v>57</v>
      </c>
      <c r="BM73" s="106">
        <v>31874.399999999998</v>
      </c>
      <c r="BN73" s="106">
        <v>46</v>
      </c>
      <c r="BO73" s="106">
        <v>25723.199999999997</v>
      </c>
      <c r="BP73" s="106">
        <v>8</v>
      </c>
      <c r="BQ73" s="106">
        <v>4473.5999999999995</v>
      </c>
      <c r="BR73" s="106">
        <v>14</v>
      </c>
      <c r="BS73" s="106">
        <v>7828.7999999999993</v>
      </c>
      <c r="BT73" s="106">
        <v>14</v>
      </c>
      <c r="BU73" s="106">
        <v>7828.7999999999993</v>
      </c>
      <c r="BV73" s="106">
        <v>11</v>
      </c>
      <c r="BW73" s="106">
        <v>6151.1999999999989</v>
      </c>
      <c r="BX73" s="106">
        <v>17</v>
      </c>
      <c r="BY73" s="106">
        <v>9506.4</v>
      </c>
      <c r="BZ73" s="106">
        <v>13</v>
      </c>
      <c r="CA73" s="106">
        <v>7269.5999999999995</v>
      </c>
      <c r="CB73" s="106">
        <v>12</v>
      </c>
      <c r="CC73" s="106">
        <v>6710.4</v>
      </c>
      <c r="CD73" s="106">
        <v>21</v>
      </c>
      <c r="CE73" s="106">
        <v>11743.199999999999</v>
      </c>
      <c r="CF73" s="106">
        <v>11</v>
      </c>
      <c r="CG73" s="106">
        <v>6151.1999999999989</v>
      </c>
      <c r="CH73" s="106">
        <v>12</v>
      </c>
      <c r="CI73" s="106">
        <v>6710.4</v>
      </c>
      <c r="CJ73" s="106">
        <v>12</v>
      </c>
      <c r="CK73" s="106">
        <v>6710.4</v>
      </c>
      <c r="CL73" s="106">
        <v>9</v>
      </c>
      <c r="CM73" s="106">
        <v>5032.7999999999993</v>
      </c>
      <c r="CN73" s="106">
        <v>12</v>
      </c>
      <c r="CO73" s="106">
        <v>6710.4</v>
      </c>
      <c r="CP73" s="106">
        <v>11</v>
      </c>
      <c r="CQ73" s="106">
        <v>6151.1999999999989</v>
      </c>
      <c r="CR73" s="106">
        <v>14</v>
      </c>
      <c r="CS73" s="106">
        <v>7828.7999999999993</v>
      </c>
      <c r="CT73" s="106">
        <v>11</v>
      </c>
      <c r="CU73" s="106">
        <v>6151.1999999999989</v>
      </c>
    </row>
    <row r="74" spans="2:99" x14ac:dyDescent="0.2">
      <c r="C74" s="105" t="s">
        <v>240</v>
      </c>
      <c r="D74" s="106">
        <v>20</v>
      </c>
      <c r="E74" s="106">
        <v>8064</v>
      </c>
      <c r="F74" s="106">
        <v>16</v>
      </c>
      <c r="G74" s="106">
        <v>6451.2</v>
      </c>
      <c r="H74" s="106">
        <v>16</v>
      </c>
      <c r="I74" s="106">
        <v>6451.2</v>
      </c>
      <c r="J74" s="106">
        <v>25</v>
      </c>
      <c r="K74" s="106">
        <v>10080</v>
      </c>
      <c r="L74" s="106">
        <v>34</v>
      </c>
      <c r="M74" s="106">
        <v>13708.8</v>
      </c>
      <c r="N74" s="106">
        <v>29</v>
      </c>
      <c r="O74" s="106">
        <v>11692.8</v>
      </c>
      <c r="P74" s="106">
        <v>37</v>
      </c>
      <c r="Q74" s="106">
        <v>14918.4</v>
      </c>
      <c r="R74" s="106">
        <v>24</v>
      </c>
      <c r="S74" s="106">
        <v>9676.7999999999993</v>
      </c>
      <c r="T74" s="106">
        <v>23</v>
      </c>
      <c r="U74" s="106">
        <v>9273.6</v>
      </c>
      <c r="V74" s="106">
        <v>14</v>
      </c>
      <c r="W74" s="106">
        <v>5644.8</v>
      </c>
      <c r="X74" s="106">
        <v>20</v>
      </c>
      <c r="Y74" s="106">
        <v>8064</v>
      </c>
      <c r="Z74" s="106">
        <v>22</v>
      </c>
      <c r="AA74" s="106">
        <v>8870.4</v>
      </c>
      <c r="AB74" s="106">
        <v>19</v>
      </c>
      <c r="AC74" s="106">
        <v>7660.8</v>
      </c>
      <c r="AD74" s="106">
        <v>17</v>
      </c>
      <c r="AE74" s="106">
        <v>6854.4</v>
      </c>
      <c r="AF74" s="106">
        <v>20</v>
      </c>
      <c r="AG74" s="106">
        <v>8064</v>
      </c>
      <c r="AH74" s="106">
        <v>12</v>
      </c>
      <c r="AI74" s="106">
        <v>4838.3999999999996</v>
      </c>
      <c r="AJ74" s="106">
        <v>15</v>
      </c>
      <c r="AK74" s="106">
        <v>6048</v>
      </c>
      <c r="AL74" s="106">
        <v>10</v>
      </c>
      <c r="AM74" s="106">
        <v>4032</v>
      </c>
      <c r="AN74" s="106">
        <v>13</v>
      </c>
      <c r="AO74" s="106">
        <v>5241.5999999999995</v>
      </c>
      <c r="AP74" s="106">
        <v>12</v>
      </c>
      <c r="AQ74" s="106">
        <v>4838.3999999999996</v>
      </c>
      <c r="AR74" s="106">
        <v>70</v>
      </c>
      <c r="AS74" s="106">
        <v>28224</v>
      </c>
      <c r="AT74" s="106">
        <v>102</v>
      </c>
      <c r="AU74" s="106">
        <v>41126.400000000001</v>
      </c>
      <c r="AV74" s="106">
        <v>61</v>
      </c>
      <c r="AW74" s="106">
        <v>24595.200000000001</v>
      </c>
      <c r="AX74" s="106">
        <v>71</v>
      </c>
      <c r="AY74" s="106">
        <v>28627.200000000001</v>
      </c>
      <c r="AZ74" s="106">
        <v>9</v>
      </c>
      <c r="BA74" s="106">
        <v>3628.7999999999997</v>
      </c>
      <c r="BB74" s="106">
        <v>8</v>
      </c>
      <c r="BC74" s="106">
        <v>3225.6</v>
      </c>
      <c r="BD74" s="106">
        <v>14</v>
      </c>
      <c r="BE74" s="106">
        <v>5644.8</v>
      </c>
      <c r="BF74" s="106">
        <v>11</v>
      </c>
      <c r="BG74" s="106">
        <v>4435.2</v>
      </c>
      <c r="BH74" s="106">
        <v>49</v>
      </c>
      <c r="BI74" s="106">
        <v>19756.8</v>
      </c>
      <c r="BJ74" s="106">
        <v>40</v>
      </c>
      <c r="BK74" s="106">
        <v>16128</v>
      </c>
      <c r="BL74" s="106">
        <v>57</v>
      </c>
      <c r="BM74" s="106">
        <v>22982.399999999998</v>
      </c>
      <c r="BN74" s="106">
        <v>52</v>
      </c>
      <c r="BO74" s="106">
        <v>20966.399999999998</v>
      </c>
      <c r="BP74" s="106">
        <v>8</v>
      </c>
      <c r="BQ74" s="106">
        <v>3225.6</v>
      </c>
      <c r="BR74" s="106">
        <v>15</v>
      </c>
      <c r="BS74" s="106">
        <v>6048</v>
      </c>
      <c r="BT74" s="106">
        <v>14</v>
      </c>
      <c r="BU74" s="106">
        <v>5644.8</v>
      </c>
      <c r="BV74" s="106">
        <v>11</v>
      </c>
      <c r="BW74" s="106">
        <v>4435.2</v>
      </c>
      <c r="BX74" s="106">
        <v>16</v>
      </c>
      <c r="BY74" s="106">
        <v>6451.2</v>
      </c>
      <c r="BZ74" s="106">
        <v>14</v>
      </c>
      <c r="CA74" s="106">
        <v>5644.8</v>
      </c>
      <c r="CB74" s="106">
        <v>14</v>
      </c>
      <c r="CC74" s="106">
        <v>5644.8</v>
      </c>
      <c r="CD74" s="106">
        <v>23</v>
      </c>
      <c r="CE74" s="106">
        <v>9273.6</v>
      </c>
      <c r="CF74" s="106">
        <v>10</v>
      </c>
      <c r="CG74" s="106">
        <v>4032</v>
      </c>
      <c r="CH74" s="106">
        <v>12</v>
      </c>
      <c r="CI74" s="106">
        <v>4838.3999999999996</v>
      </c>
      <c r="CJ74" s="106">
        <v>11</v>
      </c>
      <c r="CK74" s="106">
        <v>4435.2</v>
      </c>
      <c r="CL74" s="106">
        <v>10</v>
      </c>
      <c r="CM74" s="106">
        <v>4032</v>
      </c>
      <c r="CN74" s="106">
        <v>12</v>
      </c>
      <c r="CO74" s="106">
        <v>4838.3999999999996</v>
      </c>
      <c r="CP74" s="106">
        <v>13</v>
      </c>
      <c r="CQ74" s="106">
        <v>5241.5999999999995</v>
      </c>
      <c r="CR74" s="106">
        <v>14</v>
      </c>
      <c r="CS74" s="106">
        <v>5644.8</v>
      </c>
      <c r="CT74" s="106">
        <v>11</v>
      </c>
      <c r="CU74" s="106">
        <v>4435.2</v>
      </c>
    </row>
    <row r="75" spans="2:99" x14ac:dyDescent="0.2">
      <c r="C75" s="105" t="s">
        <v>241</v>
      </c>
      <c r="D75" s="106">
        <v>19</v>
      </c>
      <c r="E75" s="106">
        <v>12220.8</v>
      </c>
      <c r="F75" s="106">
        <v>18</v>
      </c>
      <c r="G75" s="106">
        <v>11577.599999999999</v>
      </c>
      <c r="H75" s="106">
        <v>15</v>
      </c>
      <c r="I75" s="106">
        <v>9647.9999999999982</v>
      </c>
      <c r="J75" s="106">
        <v>24</v>
      </c>
      <c r="K75" s="106">
        <v>15436.8</v>
      </c>
      <c r="L75" s="106">
        <v>37</v>
      </c>
      <c r="M75" s="106">
        <v>23798.399999999998</v>
      </c>
      <c r="N75" s="106">
        <v>27</v>
      </c>
      <c r="O75" s="106">
        <v>17366.399999999998</v>
      </c>
      <c r="P75" s="106">
        <v>33</v>
      </c>
      <c r="Q75" s="106">
        <v>21225.599999999999</v>
      </c>
      <c r="R75" s="106">
        <v>21</v>
      </c>
      <c r="S75" s="106">
        <v>13507.199999999999</v>
      </c>
      <c r="T75" s="106">
        <v>24</v>
      </c>
      <c r="U75" s="106">
        <v>15436.8</v>
      </c>
      <c r="V75" s="106">
        <v>15</v>
      </c>
      <c r="W75" s="106">
        <v>9647.9999999999982</v>
      </c>
      <c r="X75" s="106">
        <v>21</v>
      </c>
      <c r="Y75" s="106">
        <v>13507.199999999999</v>
      </c>
      <c r="Z75" s="106">
        <v>22</v>
      </c>
      <c r="AA75" s="106">
        <v>14150.399999999998</v>
      </c>
      <c r="AB75" s="106">
        <v>16</v>
      </c>
      <c r="AC75" s="106">
        <v>10291.199999999999</v>
      </c>
      <c r="AD75" s="106">
        <v>17</v>
      </c>
      <c r="AE75" s="106">
        <v>10934.4</v>
      </c>
      <c r="AF75" s="106">
        <v>19</v>
      </c>
      <c r="AG75" s="106">
        <v>12220.8</v>
      </c>
      <c r="AH75" s="106">
        <v>11</v>
      </c>
      <c r="AI75" s="106">
        <v>7075.1999999999989</v>
      </c>
      <c r="AJ75" s="106">
        <v>14</v>
      </c>
      <c r="AK75" s="106">
        <v>9004.7999999999993</v>
      </c>
      <c r="AL75" s="106">
        <v>9</v>
      </c>
      <c r="AM75" s="106">
        <v>5788.7999999999993</v>
      </c>
      <c r="AN75" s="106">
        <v>11</v>
      </c>
      <c r="AO75" s="106">
        <v>7075.1999999999989</v>
      </c>
      <c r="AP75" s="106">
        <v>11</v>
      </c>
      <c r="AQ75" s="106">
        <v>7075.1999999999989</v>
      </c>
      <c r="AR75" s="106">
        <v>70</v>
      </c>
      <c r="AS75" s="106">
        <v>45023.999999999993</v>
      </c>
      <c r="AT75" s="106">
        <v>107</v>
      </c>
      <c r="AU75" s="106">
        <v>68822.399999999994</v>
      </c>
      <c r="AV75" s="106">
        <v>55</v>
      </c>
      <c r="AW75" s="106">
        <v>35375.999999999993</v>
      </c>
      <c r="AX75" s="106">
        <v>75</v>
      </c>
      <c r="AY75" s="106">
        <v>48239.999999999993</v>
      </c>
      <c r="AZ75" s="106">
        <v>10</v>
      </c>
      <c r="BA75" s="106">
        <v>6431.9999999999991</v>
      </c>
      <c r="BB75" s="106">
        <v>7</v>
      </c>
      <c r="BC75" s="106">
        <v>4502.3999999999996</v>
      </c>
      <c r="BD75" s="106">
        <v>14</v>
      </c>
      <c r="BE75" s="106">
        <v>9004.7999999999993</v>
      </c>
      <c r="BF75" s="106">
        <v>12</v>
      </c>
      <c r="BG75" s="106">
        <v>7718.4</v>
      </c>
      <c r="BH75" s="106">
        <v>50</v>
      </c>
      <c r="BI75" s="106">
        <v>32159.999999999996</v>
      </c>
      <c r="BJ75" s="106">
        <v>38</v>
      </c>
      <c r="BK75" s="106">
        <v>24441.599999999999</v>
      </c>
      <c r="BL75" s="106">
        <v>55</v>
      </c>
      <c r="BM75" s="106">
        <v>35375.999999999993</v>
      </c>
      <c r="BN75" s="106">
        <v>50</v>
      </c>
      <c r="BO75" s="106">
        <v>32159.999999999996</v>
      </c>
      <c r="BP75" s="106">
        <v>8</v>
      </c>
      <c r="BQ75" s="106">
        <v>5145.5999999999995</v>
      </c>
      <c r="BR75" s="106">
        <v>15</v>
      </c>
      <c r="BS75" s="106">
        <v>9647.9999999999982</v>
      </c>
      <c r="BT75" s="106">
        <v>13</v>
      </c>
      <c r="BU75" s="106">
        <v>8361.5999999999985</v>
      </c>
      <c r="BV75" s="106">
        <v>12</v>
      </c>
      <c r="BW75" s="106">
        <v>7718.4</v>
      </c>
      <c r="BX75" s="106">
        <v>15</v>
      </c>
      <c r="BY75" s="106">
        <v>9647.9999999999982</v>
      </c>
      <c r="BZ75" s="106">
        <v>12</v>
      </c>
      <c r="CA75" s="106">
        <v>7718.4</v>
      </c>
      <c r="CB75" s="106">
        <v>11</v>
      </c>
      <c r="CC75" s="106">
        <v>7075.1999999999989</v>
      </c>
      <c r="CD75" s="106">
        <v>23</v>
      </c>
      <c r="CE75" s="106">
        <v>14793.599999999999</v>
      </c>
      <c r="CF75" s="106">
        <v>10</v>
      </c>
      <c r="CG75" s="106">
        <v>6431.9999999999991</v>
      </c>
      <c r="CH75" s="106">
        <v>10</v>
      </c>
      <c r="CI75" s="106">
        <v>6431.9999999999991</v>
      </c>
      <c r="CJ75" s="106">
        <v>11</v>
      </c>
      <c r="CK75" s="106">
        <v>7075.1999999999989</v>
      </c>
      <c r="CL75" s="106">
        <v>9</v>
      </c>
      <c r="CM75" s="106">
        <v>5788.7999999999993</v>
      </c>
      <c r="CN75" s="106">
        <v>11</v>
      </c>
      <c r="CO75" s="106">
        <v>7075.1999999999989</v>
      </c>
      <c r="CP75" s="106">
        <v>12</v>
      </c>
      <c r="CQ75" s="106">
        <v>7718.4</v>
      </c>
      <c r="CR75" s="106">
        <v>14</v>
      </c>
      <c r="CS75" s="106">
        <v>9004.7999999999993</v>
      </c>
      <c r="CT75" s="106">
        <v>11</v>
      </c>
      <c r="CU75" s="106">
        <v>7075.1999999999989</v>
      </c>
    </row>
    <row r="76" spans="2:99" x14ac:dyDescent="0.2">
      <c r="C76" s="105" t="s">
        <v>242</v>
      </c>
      <c r="D76" s="106">
        <v>17</v>
      </c>
      <c r="E76" s="106">
        <v>13239.599999999999</v>
      </c>
      <c r="F76" s="106">
        <v>16</v>
      </c>
      <c r="G76" s="106">
        <v>12460.8</v>
      </c>
      <c r="H76" s="106">
        <v>16</v>
      </c>
      <c r="I76" s="106">
        <v>12460.8</v>
      </c>
      <c r="J76" s="106">
        <v>22</v>
      </c>
      <c r="K76" s="106">
        <v>17133.599999999999</v>
      </c>
      <c r="L76" s="106">
        <v>37</v>
      </c>
      <c r="M76" s="106">
        <v>28815.599999999999</v>
      </c>
      <c r="N76" s="106">
        <v>25</v>
      </c>
      <c r="O76" s="106">
        <v>19470</v>
      </c>
      <c r="P76" s="106">
        <v>32</v>
      </c>
      <c r="Q76" s="106">
        <v>24921.599999999999</v>
      </c>
      <c r="R76" s="106">
        <v>23</v>
      </c>
      <c r="S76" s="106">
        <v>17912.399999999998</v>
      </c>
      <c r="T76" s="106">
        <v>25</v>
      </c>
      <c r="U76" s="106">
        <v>19470</v>
      </c>
      <c r="V76" s="106">
        <v>15</v>
      </c>
      <c r="W76" s="106">
        <v>11682</v>
      </c>
      <c r="X76" s="106">
        <v>21</v>
      </c>
      <c r="Y76" s="106">
        <v>16354.8</v>
      </c>
      <c r="Z76" s="106">
        <v>22</v>
      </c>
      <c r="AA76" s="106">
        <v>17133.599999999999</v>
      </c>
      <c r="AB76" s="106">
        <v>17</v>
      </c>
      <c r="AC76" s="106">
        <v>13239.599999999999</v>
      </c>
      <c r="AD76" s="106">
        <v>16</v>
      </c>
      <c r="AE76" s="106">
        <v>12460.8</v>
      </c>
      <c r="AF76" s="106">
        <v>18</v>
      </c>
      <c r="AG76" s="106">
        <v>14018.4</v>
      </c>
      <c r="AH76" s="106">
        <v>11</v>
      </c>
      <c r="AI76" s="106">
        <v>8566.7999999999993</v>
      </c>
      <c r="AJ76" s="106">
        <v>14</v>
      </c>
      <c r="AK76" s="106">
        <v>10903.199999999999</v>
      </c>
      <c r="AL76" s="106">
        <v>9</v>
      </c>
      <c r="AM76" s="106">
        <v>7009.2</v>
      </c>
      <c r="AN76" s="106">
        <v>12</v>
      </c>
      <c r="AO76" s="106">
        <v>9345.5999999999985</v>
      </c>
      <c r="AP76" s="106">
        <v>12</v>
      </c>
      <c r="AQ76" s="106">
        <v>9345.5999999999985</v>
      </c>
      <c r="AR76" s="106">
        <v>66</v>
      </c>
      <c r="AS76" s="106">
        <v>51400.799999999996</v>
      </c>
      <c r="AT76" s="106">
        <v>92</v>
      </c>
      <c r="AU76" s="106">
        <v>71649.599999999991</v>
      </c>
      <c r="AV76" s="106">
        <v>51</v>
      </c>
      <c r="AW76" s="106">
        <v>39718.799999999996</v>
      </c>
      <c r="AX76" s="106">
        <v>65</v>
      </c>
      <c r="AY76" s="106">
        <v>50622</v>
      </c>
      <c r="AZ76" s="106">
        <v>9</v>
      </c>
      <c r="BA76" s="106">
        <v>7009.2</v>
      </c>
      <c r="BB76" s="106">
        <v>8</v>
      </c>
      <c r="BC76" s="106">
        <v>6230.4</v>
      </c>
      <c r="BD76" s="106">
        <v>12</v>
      </c>
      <c r="BE76" s="106">
        <v>9345.5999999999985</v>
      </c>
      <c r="BF76" s="106">
        <v>12</v>
      </c>
      <c r="BG76" s="106">
        <v>9345.5999999999985</v>
      </c>
      <c r="BH76" s="106">
        <v>51</v>
      </c>
      <c r="BI76" s="106">
        <v>39718.799999999996</v>
      </c>
      <c r="BJ76" s="106">
        <v>39</v>
      </c>
      <c r="BK76" s="106">
        <v>30373.199999999997</v>
      </c>
      <c r="BL76" s="106">
        <v>49</v>
      </c>
      <c r="BM76" s="106">
        <v>38161.199999999997</v>
      </c>
      <c r="BN76" s="106">
        <v>49</v>
      </c>
      <c r="BO76" s="106">
        <v>38161.199999999997</v>
      </c>
      <c r="BP76" s="106">
        <v>7</v>
      </c>
      <c r="BQ76" s="106">
        <v>5451.5999999999995</v>
      </c>
      <c r="BR76" s="106">
        <v>15</v>
      </c>
      <c r="BS76" s="106">
        <v>11682</v>
      </c>
      <c r="BT76" s="106">
        <v>13</v>
      </c>
      <c r="BU76" s="106">
        <v>10124.4</v>
      </c>
      <c r="BV76" s="106">
        <v>11</v>
      </c>
      <c r="BW76" s="106">
        <v>8566.7999999999993</v>
      </c>
      <c r="BX76" s="106">
        <v>14</v>
      </c>
      <c r="BY76" s="106">
        <v>10903.199999999999</v>
      </c>
      <c r="BZ76" s="106">
        <v>14</v>
      </c>
      <c r="CA76" s="106">
        <v>10903.199999999999</v>
      </c>
      <c r="CB76" s="106">
        <v>12</v>
      </c>
      <c r="CC76" s="106">
        <v>9345.5999999999985</v>
      </c>
      <c r="CD76" s="106">
        <v>23</v>
      </c>
      <c r="CE76" s="106">
        <v>17912.399999999998</v>
      </c>
      <c r="CF76" s="106">
        <v>12</v>
      </c>
      <c r="CG76" s="106">
        <v>9345.5999999999985</v>
      </c>
      <c r="CH76" s="106">
        <v>9</v>
      </c>
      <c r="CI76" s="106">
        <v>7009.2</v>
      </c>
      <c r="CJ76" s="106">
        <v>12</v>
      </c>
      <c r="CK76" s="106">
        <v>9345.5999999999985</v>
      </c>
      <c r="CL76" s="106">
        <v>9</v>
      </c>
      <c r="CM76" s="106">
        <v>7009.2</v>
      </c>
      <c r="CN76" s="106">
        <v>12</v>
      </c>
      <c r="CO76" s="106">
        <v>9345.5999999999985</v>
      </c>
      <c r="CP76" s="106">
        <v>11</v>
      </c>
      <c r="CQ76" s="106">
        <v>8566.7999999999993</v>
      </c>
      <c r="CR76" s="106">
        <v>13</v>
      </c>
      <c r="CS76" s="106">
        <v>10124.4</v>
      </c>
      <c r="CT76" s="106">
        <v>12</v>
      </c>
      <c r="CU76" s="106">
        <v>9345.5999999999985</v>
      </c>
    </row>
    <row r="77" spans="2:99" x14ac:dyDescent="0.2">
      <c r="C77" s="105" t="s">
        <v>243</v>
      </c>
      <c r="D77" s="106">
        <v>19</v>
      </c>
      <c r="E77" s="106">
        <v>5289.5999999999995</v>
      </c>
      <c r="F77" s="106">
        <v>16</v>
      </c>
      <c r="G77" s="106">
        <v>4454.3999999999996</v>
      </c>
      <c r="H77" s="106">
        <v>18</v>
      </c>
      <c r="I77" s="106">
        <v>5011.2</v>
      </c>
      <c r="J77" s="106">
        <v>24</v>
      </c>
      <c r="K77" s="106">
        <v>6681.5999999999995</v>
      </c>
      <c r="L77" s="106">
        <v>36</v>
      </c>
      <c r="M77" s="106">
        <v>10022.4</v>
      </c>
      <c r="N77" s="106">
        <v>29</v>
      </c>
      <c r="O77" s="106">
        <v>8073.5999999999995</v>
      </c>
      <c r="P77" s="106">
        <v>40</v>
      </c>
      <c r="Q77" s="106">
        <v>11136</v>
      </c>
      <c r="R77" s="106">
        <v>24</v>
      </c>
      <c r="S77" s="106">
        <v>6681.5999999999995</v>
      </c>
      <c r="T77" s="106">
        <v>22</v>
      </c>
      <c r="U77" s="106">
        <v>6124.7999999999993</v>
      </c>
      <c r="V77" s="106">
        <v>16</v>
      </c>
      <c r="W77" s="106">
        <v>4454.3999999999996</v>
      </c>
      <c r="X77" s="106">
        <v>23</v>
      </c>
      <c r="Y77" s="106">
        <v>6403.2</v>
      </c>
      <c r="Z77" s="106">
        <v>22</v>
      </c>
      <c r="AA77" s="106">
        <v>6124.7999999999993</v>
      </c>
      <c r="AB77" s="106">
        <v>17</v>
      </c>
      <c r="AC77" s="106">
        <v>4732.7999999999993</v>
      </c>
      <c r="AD77" s="106">
        <v>16</v>
      </c>
      <c r="AE77" s="106">
        <v>4454.3999999999996</v>
      </c>
      <c r="AF77" s="106">
        <v>20</v>
      </c>
      <c r="AG77" s="106">
        <v>5568</v>
      </c>
      <c r="AH77" s="106">
        <v>11</v>
      </c>
      <c r="AI77" s="106">
        <v>3062.3999999999996</v>
      </c>
      <c r="AJ77" s="106">
        <v>13</v>
      </c>
      <c r="AK77" s="106">
        <v>3619.2</v>
      </c>
      <c r="AL77" s="106">
        <v>10</v>
      </c>
      <c r="AM77" s="106">
        <v>2784</v>
      </c>
      <c r="AN77" s="106">
        <v>12</v>
      </c>
      <c r="AO77" s="106">
        <v>3340.7999999999997</v>
      </c>
      <c r="AP77" s="106">
        <v>12</v>
      </c>
      <c r="AQ77" s="106">
        <v>3340.7999999999997</v>
      </c>
      <c r="AR77" s="106">
        <v>84</v>
      </c>
      <c r="AS77" s="106">
        <v>23385.599999999999</v>
      </c>
      <c r="AT77" s="106">
        <v>112</v>
      </c>
      <c r="AU77" s="106">
        <v>31180.799999999996</v>
      </c>
      <c r="AV77" s="106">
        <v>58</v>
      </c>
      <c r="AW77" s="106">
        <v>16147.199999999999</v>
      </c>
      <c r="AX77" s="106">
        <v>76</v>
      </c>
      <c r="AY77" s="106">
        <v>21158.399999999998</v>
      </c>
      <c r="AZ77" s="106">
        <v>9</v>
      </c>
      <c r="BA77" s="106">
        <v>2505.6</v>
      </c>
      <c r="BB77" s="106">
        <v>8</v>
      </c>
      <c r="BC77" s="106">
        <v>2227.1999999999998</v>
      </c>
      <c r="BD77" s="106">
        <v>12</v>
      </c>
      <c r="BE77" s="106">
        <v>3340.7999999999997</v>
      </c>
      <c r="BF77" s="106">
        <v>11</v>
      </c>
      <c r="BG77" s="106">
        <v>3062.3999999999996</v>
      </c>
      <c r="BH77" s="106">
        <v>46</v>
      </c>
      <c r="BI77" s="106">
        <v>12806.4</v>
      </c>
      <c r="BJ77" s="106">
        <v>39</v>
      </c>
      <c r="BK77" s="106">
        <v>10857.599999999999</v>
      </c>
      <c r="BL77" s="106">
        <v>60</v>
      </c>
      <c r="BM77" s="106">
        <v>16704</v>
      </c>
      <c r="BN77" s="106">
        <v>54</v>
      </c>
      <c r="BO77" s="106">
        <v>15033.599999999999</v>
      </c>
      <c r="BP77" s="106">
        <v>8</v>
      </c>
      <c r="BQ77" s="106">
        <v>2227.1999999999998</v>
      </c>
      <c r="BR77" s="106">
        <v>14</v>
      </c>
      <c r="BS77" s="106">
        <v>3897.5999999999995</v>
      </c>
      <c r="BT77" s="106">
        <v>15</v>
      </c>
      <c r="BU77" s="106">
        <v>4176</v>
      </c>
      <c r="BV77" s="106">
        <v>12</v>
      </c>
      <c r="BW77" s="106">
        <v>3340.7999999999997</v>
      </c>
      <c r="BX77" s="106">
        <v>17</v>
      </c>
      <c r="BY77" s="106">
        <v>4732.7999999999993</v>
      </c>
      <c r="BZ77" s="106">
        <v>12</v>
      </c>
      <c r="CA77" s="106">
        <v>3340.7999999999997</v>
      </c>
      <c r="CB77" s="106">
        <v>12</v>
      </c>
      <c r="CC77" s="106">
        <v>3340.7999999999997</v>
      </c>
      <c r="CD77" s="106">
        <v>23</v>
      </c>
      <c r="CE77" s="106">
        <v>6403.2</v>
      </c>
      <c r="CF77" s="106">
        <v>12</v>
      </c>
      <c r="CG77" s="106">
        <v>3340.7999999999997</v>
      </c>
      <c r="CH77" s="106">
        <v>11</v>
      </c>
      <c r="CI77" s="106">
        <v>3062.3999999999996</v>
      </c>
      <c r="CJ77" s="106">
        <v>12</v>
      </c>
      <c r="CK77" s="106">
        <v>3340.7999999999997</v>
      </c>
      <c r="CL77" s="106">
        <v>9</v>
      </c>
      <c r="CM77" s="106">
        <v>2505.6</v>
      </c>
      <c r="CN77" s="106">
        <v>13</v>
      </c>
      <c r="CO77" s="106">
        <v>3619.2</v>
      </c>
      <c r="CP77" s="106">
        <v>12</v>
      </c>
      <c r="CQ77" s="106">
        <v>3340.7999999999997</v>
      </c>
      <c r="CR77" s="106">
        <v>14</v>
      </c>
      <c r="CS77" s="106">
        <v>3897.5999999999995</v>
      </c>
      <c r="CT77" s="106">
        <v>12</v>
      </c>
      <c r="CU77" s="106">
        <v>3340.7999999999997</v>
      </c>
    </row>
    <row r="78" spans="2:99" x14ac:dyDescent="0.2">
      <c r="C78" s="105" t="s">
        <v>244</v>
      </c>
      <c r="D78" s="106">
        <v>17</v>
      </c>
      <c r="E78" s="106">
        <v>9384</v>
      </c>
      <c r="F78" s="106">
        <v>19</v>
      </c>
      <c r="G78" s="106">
        <v>10488</v>
      </c>
      <c r="H78" s="106">
        <v>17</v>
      </c>
      <c r="I78" s="106">
        <v>9384</v>
      </c>
      <c r="J78" s="106">
        <v>23</v>
      </c>
      <c r="K78" s="106">
        <v>12696</v>
      </c>
      <c r="L78" s="106">
        <v>34</v>
      </c>
      <c r="M78" s="106">
        <v>18768</v>
      </c>
      <c r="N78" s="106">
        <v>28</v>
      </c>
      <c r="O78" s="106">
        <v>15456</v>
      </c>
      <c r="P78" s="106">
        <v>39</v>
      </c>
      <c r="Q78" s="106">
        <v>21528</v>
      </c>
      <c r="R78" s="106">
        <v>24</v>
      </c>
      <c r="S78" s="106">
        <v>13248</v>
      </c>
      <c r="T78" s="106">
        <v>22</v>
      </c>
      <c r="U78" s="106">
        <v>12144</v>
      </c>
      <c r="V78" s="106">
        <v>14</v>
      </c>
      <c r="W78" s="106">
        <v>7728</v>
      </c>
      <c r="X78" s="106">
        <v>22</v>
      </c>
      <c r="Y78" s="106">
        <v>12144</v>
      </c>
      <c r="Z78" s="106">
        <v>22</v>
      </c>
      <c r="AA78" s="106">
        <v>12144</v>
      </c>
      <c r="AB78" s="106">
        <v>18</v>
      </c>
      <c r="AC78" s="106">
        <v>9936</v>
      </c>
      <c r="AD78" s="106">
        <v>16</v>
      </c>
      <c r="AE78" s="106">
        <v>8832</v>
      </c>
      <c r="AF78" s="106">
        <v>17</v>
      </c>
      <c r="AG78" s="106">
        <v>9384</v>
      </c>
      <c r="AH78" s="106">
        <v>12</v>
      </c>
      <c r="AI78" s="106">
        <v>6624</v>
      </c>
      <c r="AJ78" s="106">
        <v>13</v>
      </c>
      <c r="AK78" s="106">
        <v>7176</v>
      </c>
      <c r="AL78" s="106">
        <v>9</v>
      </c>
      <c r="AM78" s="106">
        <v>4968</v>
      </c>
      <c r="AN78" s="106">
        <v>13</v>
      </c>
      <c r="AO78" s="106">
        <v>7176</v>
      </c>
      <c r="AP78" s="106">
        <v>11</v>
      </c>
      <c r="AQ78" s="106">
        <v>6072</v>
      </c>
      <c r="AR78" s="106">
        <v>72</v>
      </c>
      <c r="AS78" s="106">
        <v>39744</v>
      </c>
      <c r="AT78" s="106">
        <v>107</v>
      </c>
      <c r="AU78" s="106">
        <v>59064</v>
      </c>
      <c r="AV78" s="106">
        <v>55</v>
      </c>
      <c r="AW78" s="106">
        <v>30360</v>
      </c>
      <c r="AX78" s="106">
        <v>72</v>
      </c>
      <c r="AY78" s="106">
        <v>39744</v>
      </c>
      <c r="AZ78" s="106">
        <v>10</v>
      </c>
      <c r="BA78" s="106">
        <v>5520</v>
      </c>
      <c r="BB78" s="106">
        <v>8</v>
      </c>
      <c r="BC78" s="106">
        <v>4416</v>
      </c>
      <c r="BD78" s="106">
        <v>14</v>
      </c>
      <c r="BE78" s="106">
        <v>7728</v>
      </c>
      <c r="BF78" s="106">
        <v>12</v>
      </c>
      <c r="BG78" s="106">
        <v>6624</v>
      </c>
      <c r="BH78" s="106">
        <v>51</v>
      </c>
      <c r="BI78" s="106">
        <v>28152</v>
      </c>
      <c r="BJ78" s="106">
        <v>36</v>
      </c>
      <c r="BK78" s="106">
        <v>19872</v>
      </c>
      <c r="BL78" s="106">
        <v>52</v>
      </c>
      <c r="BM78" s="106">
        <v>28704</v>
      </c>
      <c r="BN78" s="106">
        <v>53</v>
      </c>
      <c r="BO78" s="106">
        <v>29256</v>
      </c>
      <c r="BP78" s="106">
        <v>8</v>
      </c>
      <c r="BQ78" s="106">
        <v>4416</v>
      </c>
      <c r="BR78" s="106">
        <v>13</v>
      </c>
      <c r="BS78" s="106">
        <v>7176</v>
      </c>
      <c r="BT78" s="106">
        <v>14</v>
      </c>
      <c r="BU78" s="106">
        <v>7728</v>
      </c>
      <c r="BV78" s="106">
        <v>11</v>
      </c>
      <c r="BW78" s="106">
        <v>6072</v>
      </c>
      <c r="BX78" s="106">
        <v>15</v>
      </c>
      <c r="BY78" s="106">
        <v>8280</v>
      </c>
      <c r="BZ78" s="106">
        <v>13</v>
      </c>
      <c r="CA78" s="106">
        <v>7176</v>
      </c>
      <c r="CB78" s="106">
        <v>12</v>
      </c>
      <c r="CC78" s="106">
        <v>6624</v>
      </c>
      <c r="CD78" s="106">
        <v>23</v>
      </c>
      <c r="CE78" s="106">
        <v>12696</v>
      </c>
      <c r="CF78" s="106">
        <v>11</v>
      </c>
      <c r="CG78" s="106">
        <v>6072</v>
      </c>
      <c r="CH78" s="106">
        <v>10</v>
      </c>
      <c r="CI78" s="106">
        <v>5520</v>
      </c>
      <c r="CJ78" s="106">
        <v>11</v>
      </c>
      <c r="CK78" s="106">
        <v>6072</v>
      </c>
      <c r="CL78" s="106">
        <v>9</v>
      </c>
      <c r="CM78" s="106">
        <v>4968</v>
      </c>
      <c r="CN78" s="106">
        <v>11</v>
      </c>
      <c r="CO78" s="106">
        <v>6072</v>
      </c>
      <c r="CP78" s="106">
        <v>11</v>
      </c>
      <c r="CQ78" s="106">
        <v>6072</v>
      </c>
      <c r="CR78" s="106">
        <v>14</v>
      </c>
      <c r="CS78" s="106">
        <v>7728</v>
      </c>
      <c r="CT78" s="106">
        <v>12</v>
      </c>
      <c r="CU78" s="106">
        <v>6624</v>
      </c>
    </row>
    <row r="79" spans="2:99" x14ac:dyDescent="0.2">
      <c r="C79" s="105" t="s">
        <v>245</v>
      </c>
      <c r="D79" s="106">
        <v>17</v>
      </c>
      <c r="E79" s="106">
        <v>12872.4</v>
      </c>
      <c r="F79" s="106">
        <v>17</v>
      </c>
      <c r="G79" s="106">
        <v>12872.4</v>
      </c>
      <c r="H79" s="106">
        <v>16</v>
      </c>
      <c r="I79" s="106">
        <v>12115.199999999999</v>
      </c>
      <c r="J79" s="106">
        <v>23</v>
      </c>
      <c r="K79" s="106">
        <v>17415.599999999999</v>
      </c>
      <c r="L79" s="106">
        <v>36</v>
      </c>
      <c r="M79" s="106">
        <v>27259.199999999997</v>
      </c>
      <c r="N79" s="106">
        <v>24</v>
      </c>
      <c r="O79" s="106">
        <v>18172.8</v>
      </c>
      <c r="P79" s="106">
        <v>36</v>
      </c>
      <c r="Q79" s="106">
        <v>27259.199999999997</v>
      </c>
      <c r="R79" s="106">
        <v>20</v>
      </c>
      <c r="S79" s="106">
        <v>15143.999999999998</v>
      </c>
      <c r="T79" s="106">
        <v>22</v>
      </c>
      <c r="U79" s="106">
        <v>16658.399999999998</v>
      </c>
      <c r="V79" s="106">
        <v>15</v>
      </c>
      <c r="W79" s="106">
        <v>11357.999999999998</v>
      </c>
      <c r="X79" s="106">
        <v>20</v>
      </c>
      <c r="Y79" s="106">
        <v>15143.999999999998</v>
      </c>
      <c r="Z79" s="106">
        <v>24</v>
      </c>
      <c r="AA79" s="106">
        <v>18172.8</v>
      </c>
      <c r="AB79" s="106">
        <v>19</v>
      </c>
      <c r="AC79" s="106">
        <v>14386.8</v>
      </c>
      <c r="AD79" s="106">
        <v>16</v>
      </c>
      <c r="AE79" s="106">
        <v>12115.199999999999</v>
      </c>
      <c r="AF79" s="106">
        <v>18</v>
      </c>
      <c r="AG79" s="106">
        <v>13629.599999999999</v>
      </c>
      <c r="AH79" s="106">
        <v>12</v>
      </c>
      <c r="AI79" s="106">
        <v>9086.4</v>
      </c>
      <c r="AJ79" s="106">
        <v>14</v>
      </c>
      <c r="AK79" s="106">
        <v>10600.8</v>
      </c>
      <c r="AL79" s="106">
        <v>8</v>
      </c>
      <c r="AM79" s="106">
        <v>6057.5999999999995</v>
      </c>
      <c r="AN79" s="106">
        <v>12</v>
      </c>
      <c r="AO79" s="106">
        <v>9086.4</v>
      </c>
      <c r="AP79" s="106">
        <v>12</v>
      </c>
      <c r="AQ79" s="106">
        <v>9086.4</v>
      </c>
      <c r="AR79" s="106">
        <v>75</v>
      </c>
      <c r="AS79" s="106">
        <v>56789.999999999993</v>
      </c>
      <c r="AT79" s="106">
        <v>102</v>
      </c>
      <c r="AU79" s="106">
        <v>77234.399999999994</v>
      </c>
      <c r="AV79" s="106">
        <v>55</v>
      </c>
      <c r="AW79" s="106">
        <v>41645.999999999993</v>
      </c>
      <c r="AX79" s="106">
        <v>63</v>
      </c>
      <c r="AY79" s="106">
        <v>47703.6</v>
      </c>
      <c r="AZ79" s="106">
        <v>9</v>
      </c>
      <c r="BA79" s="106">
        <v>6814.7999999999993</v>
      </c>
      <c r="BB79" s="106">
        <v>7</v>
      </c>
      <c r="BC79" s="106">
        <v>5300.4</v>
      </c>
      <c r="BD79" s="106">
        <v>13</v>
      </c>
      <c r="BE79" s="106">
        <v>9843.5999999999985</v>
      </c>
      <c r="BF79" s="106">
        <v>11</v>
      </c>
      <c r="BG79" s="106">
        <v>8329.1999999999989</v>
      </c>
      <c r="BH79" s="106">
        <v>47</v>
      </c>
      <c r="BI79" s="106">
        <v>35588.399999999994</v>
      </c>
      <c r="BJ79" s="106">
        <v>33</v>
      </c>
      <c r="BK79" s="106">
        <v>24987.599999999999</v>
      </c>
      <c r="BL79" s="106">
        <v>54</v>
      </c>
      <c r="BM79" s="106">
        <v>40888.799999999996</v>
      </c>
      <c r="BN79" s="106">
        <v>47</v>
      </c>
      <c r="BO79" s="106">
        <v>35588.399999999994</v>
      </c>
      <c r="BP79" s="106">
        <v>7</v>
      </c>
      <c r="BQ79" s="106">
        <v>5300.4</v>
      </c>
      <c r="BR79" s="106">
        <v>13</v>
      </c>
      <c r="BS79" s="106">
        <v>9843.5999999999985</v>
      </c>
      <c r="BT79" s="106">
        <v>14</v>
      </c>
      <c r="BU79" s="106">
        <v>10600.8</v>
      </c>
      <c r="BV79" s="106">
        <v>10</v>
      </c>
      <c r="BW79" s="106">
        <v>7571.9999999999991</v>
      </c>
      <c r="BX79" s="106">
        <v>16</v>
      </c>
      <c r="BY79" s="106">
        <v>12115.199999999999</v>
      </c>
      <c r="BZ79" s="106">
        <v>13</v>
      </c>
      <c r="CA79" s="106">
        <v>9843.5999999999985</v>
      </c>
      <c r="CB79" s="106">
        <v>12</v>
      </c>
      <c r="CC79" s="106">
        <v>9086.4</v>
      </c>
      <c r="CD79" s="106">
        <v>24</v>
      </c>
      <c r="CE79" s="106">
        <v>18172.8</v>
      </c>
      <c r="CF79" s="106">
        <v>12</v>
      </c>
      <c r="CG79" s="106">
        <v>9086.4</v>
      </c>
      <c r="CH79" s="106">
        <v>11</v>
      </c>
      <c r="CI79" s="106">
        <v>8329.1999999999989</v>
      </c>
      <c r="CJ79" s="106">
        <v>12</v>
      </c>
      <c r="CK79" s="106">
        <v>9086.4</v>
      </c>
      <c r="CL79" s="106">
        <v>8</v>
      </c>
      <c r="CM79" s="106">
        <v>6057.5999999999995</v>
      </c>
      <c r="CN79" s="106">
        <v>13</v>
      </c>
      <c r="CO79" s="106">
        <v>9843.5999999999985</v>
      </c>
      <c r="CP79" s="106">
        <v>12</v>
      </c>
      <c r="CQ79" s="106">
        <v>9086.4</v>
      </c>
      <c r="CR79" s="106">
        <v>14</v>
      </c>
      <c r="CS79" s="106">
        <v>10600.8</v>
      </c>
      <c r="CT79" s="106">
        <v>11</v>
      </c>
      <c r="CU79" s="106">
        <v>8329.1999999999989</v>
      </c>
    </row>
    <row r="80" spans="2:99" x14ac:dyDescent="0.2">
      <c r="C80" s="105" t="s">
        <v>246</v>
      </c>
      <c r="D80" s="106">
        <v>18</v>
      </c>
      <c r="E80" s="106">
        <v>14493.599999999999</v>
      </c>
      <c r="F80" s="106">
        <v>18</v>
      </c>
      <c r="G80" s="106">
        <v>14493.599999999999</v>
      </c>
      <c r="H80" s="106">
        <v>15</v>
      </c>
      <c r="I80" s="106">
        <v>12077.999999999998</v>
      </c>
      <c r="J80" s="106">
        <v>21</v>
      </c>
      <c r="K80" s="106">
        <v>16909.199999999997</v>
      </c>
      <c r="L80" s="106">
        <v>37</v>
      </c>
      <c r="M80" s="106">
        <v>29792.399999999998</v>
      </c>
      <c r="N80" s="106">
        <v>28</v>
      </c>
      <c r="O80" s="106">
        <v>22545.599999999999</v>
      </c>
      <c r="P80" s="106">
        <v>33</v>
      </c>
      <c r="Q80" s="106">
        <v>26571.599999999999</v>
      </c>
      <c r="R80" s="106">
        <v>22</v>
      </c>
      <c r="S80" s="106">
        <v>17714.399999999998</v>
      </c>
      <c r="T80" s="106">
        <v>21</v>
      </c>
      <c r="U80" s="106">
        <v>16909.199999999997</v>
      </c>
      <c r="V80" s="106">
        <v>15</v>
      </c>
      <c r="W80" s="106">
        <v>12077.999999999998</v>
      </c>
      <c r="X80" s="106">
        <v>22</v>
      </c>
      <c r="Y80" s="106">
        <v>17714.399999999998</v>
      </c>
      <c r="Z80" s="106">
        <v>23</v>
      </c>
      <c r="AA80" s="106">
        <v>18519.599999999999</v>
      </c>
      <c r="AB80" s="106">
        <v>17</v>
      </c>
      <c r="AC80" s="106">
        <v>13688.4</v>
      </c>
      <c r="AD80" s="106">
        <v>18</v>
      </c>
      <c r="AE80" s="106">
        <v>14493.599999999999</v>
      </c>
      <c r="AF80" s="106">
        <v>19</v>
      </c>
      <c r="AG80" s="106">
        <v>15298.8</v>
      </c>
      <c r="AH80" s="106">
        <v>12</v>
      </c>
      <c r="AI80" s="106">
        <v>9662.4</v>
      </c>
      <c r="AJ80" s="106">
        <v>14</v>
      </c>
      <c r="AK80" s="106">
        <v>11272.8</v>
      </c>
      <c r="AL80" s="106">
        <v>9</v>
      </c>
      <c r="AM80" s="106">
        <v>7246.7999999999993</v>
      </c>
      <c r="AN80" s="106">
        <v>11</v>
      </c>
      <c r="AO80" s="106">
        <v>8857.1999999999989</v>
      </c>
      <c r="AP80" s="106">
        <v>11</v>
      </c>
      <c r="AQ80" s="106">
        <v>8857.1999999999989</v>
      </c>
      <c r="AR80" s="106">
        <v>65</v>
      </c>
      <c r="AS80" s="106">
        <v>52337.999999999993</v>
      </c>
      <c r="AT80" s="106">
        <v>94</v>
      </c>
      <c r="AU80" s="106">
        <v>75688.799999999988</v>
      </c>
      <c r="AV80" s="106">
        <v>51</v>
      </c>
      <c r="AW80" s="106">
        <v>41065.199999999997</v>
      </c>
      <c r="AX80" s="106">
        <v>74</v>
      </c>
      <c r="AY80" s="106">
        <v>59584.799999999996</v>
      </c>
      <c r="AZ80" s="106">
        <v>8</v>
      </c>
      <c r="BA80" s="106">
        <v>6441.5999999999995</v>
      </c>
      <c r="BB80" s="106">
        <v>8</v>
      </c>
      <c r="BC80" s="106">
        <v>6441.5999999999995</v>
      </c>
      <c r="BD80" s="106">
        <v>12</v>
      </c>
      <c r="BE80" s="106">
        <v>9662.4</v>
      </c>
      <c r="BF80" s="106">
        <v>10</v>
      </c>
      <c r="BG80" s="106">
        <v>8051.9999999999991</v>
      </c>
      <c r="BH80" s="106">
        <v>48</v>
      </c>
      <c r="BI80" s="106">
        <v>38649.599999999999</v>
      </c>
      <c r="BJ80" s="106">
        <v>38</v>
      </c>
      <c r="BK80" s="106">
        <v>30597.599999999999</v>
      </c>
      <c r="BL80" s="106">
        <v>51</v>
      </c>
      <c r="BM80" s="106">
        <v>41065.199999999997</v>
      </c>
      <c r="BN80" s="106">
        <v>50</v>
      </c>
      <c r="BO80" s="106">
        <v>40260</v>
      </c>
      <c r="BP80" s="106">
        <v>7</v>
      </c>
      <c r="BQ80" s="106">
        <v>5636.4</v>
      </c>
      <c r="BR80" s="106">
        <v>13</v>
      </c>
      <c r="BS80" s="106">
        <v>10467.599999999999</v>
      </c>
      <c r="BT80" s="106">
        <v>13</v>
      </c>
      <c r="BU80" s="106">
        <v>10467.599999999999</v>
      </c>
      <c r="BV80" s="106">
        <v>11</v>
      </c>
      <c r="BW80" s="106">
        <v>8857.1999999999989</v>
      </c>
      <c r="BX80" s="106">
        <v>16</v>
      </c>
      <c r="BY80" s="106">
        <v>12883.199999999999</v>
      </c>
      <c r="BZ80" s="106">
        <v>13</v>
      </c>
      <c r="CA80" s="106">
        <v>10467.599999999999</v>
      </c>
      <c r="CB80" s="106">
        <v>13</v>
      </c>
      <c r="CC80" s="106">
        <v>10467.599999999999</v>
      </c>
      <c r="CD80" s="106">
        <v>24</v>
      </c>
      <c r="CE80" s="106">
        <v>19324.8</v>
      </c>
      <c r="CF80" s="106">
        <v>11</v>
      </c>
      <c r="CG80" s="106">
        <v>8857.1999999999989</v>
      </c>
      <c r="CH80" s="106">
        <v>10</v>
      </c>
      <c r="CI80" s="106">
        <v>8051.9999999999991</v>
      </c>
      <c r="CJ80" s="106">
        <v>12</v>
      </c>
      <c r="CK80" s="106">
        <v>9662.4</v>
      </c>
      <c r="CL80" s="106">
        <v>9</v>
      </c>
      <c r="CM80" s="106">
        <v>7246.7999999999993</v>
      </c>
      <c r="CN80" s="106">
        <v>12</v>
      </c>
      <c r="CO80" s="106">
        <v>9662.4</v>
      </c>
      <c r="CP80" s="106">
        <v>11</v>
      </c>
      <c r="CQ80" s="106">
        <v>8857.1999999999989</v>
      </c>
      <c r="CR80" s="106">
        <v>15</v>
      </c>
      <c r="CS80" s="106">
        <v>12077.999999999998</v>
      </c>
      <c r="CT80" s="106">
        <v>11</v>
      </c>
      <c r="CU80" s="106">
        <v>8857.1999999999989</v>
      </c>
    </row>
    <row r="81" spans="2:99" x14ac:dyDescent="0.2">
      <c r="C81" s="105" t="s">
        <v>247</v>
      </c>
      <c r="D81" s="106">
        <v>19</v>
      </c>
      <c r="E81" s="106">
        <v>14318.4</v>
      </c>
      <c r="F81" s="106">
        <v>18</v>
      </c>
      <c r="G81" s="106">
        <v>13564.800000000001</v>
      </c>
      <c r="H81" s="106">
        <v>16</v>
      </c>
      <c r="I81" s="106">
        <v>12057.6</v>
      </c>
      <c r="J81" s="106">
        <v>25</v>
      </c>
      <c r="K81" s="106">
        <v>18840</v>
      </c>
      <c r="L81" s="106">
        <v>37</v>
      </c>
      <c r="M81" s="106">
        <v>27883.200000000001</v>
      </c>
      <c r="N81" s="106">
        <v>24</v>
      </c>
      <c r="O81" s="106">
        <v>18086.400000000001</v>
      </c>
      <c r="P81" s="106">
        <v>37</v>
      </c>
      <c r="Q81" s="106">
        <v>27883.200000000001</v>
      </c>
      <c r="R81" s="106">
        <v>23</v>
      </c>
      <c r="S81" s="106">
        <v>17332.8</v>
      </c>
      <c r="T81" s="106">
        <v>22</v>
      </c>
      <c r="U81" s="106">
        <v>16579.2</v>
      </c>
      <c r="V81" s="106">
        <v>14</v>
      </c>
      <c r="W81" s="106">
        <v>10550.4</v>
      </c>
      <c r="X81" s="106">
        <v>21</v>
      </c>
      <c r="Y81" s="106">
        <v>15825.6</v>
      </c>
      <c r="Z81" s="106">
        <v>22</v>
      </c>
      <c r="AA81" s="106">
        <v>16579.2</v>
      </c>
      <c r="AB81" s="106">
        <v>17</v>
      </c>
      <c r="AC81" s="106">
        <v>12811.2</v>
      </c>
      <c r="AD81" s="106">
        <v>16</v>
      </c>
      <c r="AE81" s="106">
        <v>12057.6</v>
      </c>
      <c r="AF81" s="106">
        <v>17</v>
      </c>
      <c r="AG81" s="106">
        <v>12811.2</v>
      </c>
      <c r="AH81" s="106">
        <v>11</v>
      </c>
      <c r="AI81" s="106">
        <v>8289.6</v>
      </c>
      <c r="AJ81" s="106">
        <v>13</v>
      </c>
      <c r="AK81" s="106">
        <v>9796.8000000000011</v>
      </c>
      <c r="AL81" s="106">
        <v>9</v>
      </c>
      <c r="AM81" s="106">
        <v>6782.4000000000005</v>
      </c>
      <c r="AN81" s="106">
        <v>11</v>
      </c>
      <c r="AO81" s="106">
        <v>8289.6</v>
      </c>
      <c r="AP81" s="106">
        <v>12</v>
      </c>
      <c r="AQ81" s="106">
        <v>9043.2000000000007</v>
      </c>
      <c r="AR81" s="106">
        <v>69</v>
      </c>
      <c r="AS81" s="106">
        <v>51998.400000000001</v>
      </c>
      <c r="AT81" s="106">
        <v>101</v>
      </c>
      <c r="AU81" s="106">
        <v>76113.600000000006</v>
      </c>
      <c r="AV81" s="106">
        <v>50</v>
      </c>
      <c r="AW81" s="106">
        <v>37680</v>
      </c>
      <c r="AX81" s="106">
        <v>74</v>
      </c>
      <c r="AY81" s="106">
        <v>55766.400000000001</v>
      </c>
      <c r="AZ81" s="106">
        <v>8</v>
      </c>
      <c r="BA81" s="106">
        <v>6028.8</v>
      </c>
      <c r="BB81" s="106">
        <v>8</v>
      </c>
      <c r="BC81" s="106">
        <v>6028.8</v>
      </c>
      <c r="BD81" s="106">
        <v>12</v>
      </c>
      <c r="BE81" s="106">
        <v>9043.2000000000007</v>
      </c>
      <c r="BF81" s="106">
        <v>12</v>
      </c>
      <c r="BG81" s="106">
        <v>9043.2000000000007</v>
      </c>
      <c r="BH81" s="106">
        <v>43</v>
      </c>
      <c r="BI81" s="106">
        <v>32404.799999999999</v>
      </c>
      <c r="BJ81" s="106">
        <v>34</v>
      </c>
      <c r="BK81" s="106">
        <v>25622.400000000001</v>
      </c>
      <c r="BL81" s="106">
        <v>55</v>
      </c>
      <c r="BM81" s="106">
        <v>41448</v>
      </c>
      <c r="BN81" s="106">
        <v>49</v>
      </c>
      <c r="BO81" s="106">
        <v>36926.400000000001</v>
      </c>
      <c r="BP81" s="106">
        <v>8</v>
      </c>
      <c r="BQ81" s="106">
        <v>6028.8</v>
      </c>
      <c r="BR81" s="106">
        <v>15</v>
      </c>
      <c r="BS81" s="106">
        <v>11304</v>
      </c>
      <c r="BT81" s="106">
        <v>14</v>
      </c>
      <c r="BU81" s="106">
        <v>10550.4</v>
      </c>
      <c r="BV81" s="106">
        <v>11</v>
      </c>
      <c r="BW81" s="106">
        <v>8289.6</v>
      </c>
      <c r="BX81" s="106">
        <v>15</v>
      </c>
      <c r="BY81" s="106">
        <v>11304</v>
      </c>
      <c r="BZ81" s="106">
        <v>13</v>
      </c>
      <c r="CA81" s="106">
        <v>9796.8000000000011</v>
      </c>
      <c r="CB81" s="106">
        <v>11</v>
      </c>
      <c r="CC81" s="106">
        <v>8289.6</v>
      </c>
      <c r="CD81" s="106">
        <v>22</v>
      </c>
      <c r="CE81" s="106">
        <v>16579.2</v>
      </c>
      <c r="CF81" s="106">
        <v>12</v>
      </c>
      <c r="CG81" s="106">
        <v>9043.2000000000007</v>
      </c>
      <c r="CH81" s="106">
        <v>10</v>
      </c>
      <c r="CI81" s="106">
        <v>7536</v>
      </c>
      <c r="CJ81" s="106">
        <v>11</v>
      </c>
      <c r="CK81" s="106">
        <v>8289.6</v>
      </c>
      <c r="CL81" s="106">
        <v>9</v>
      </c>
      <c r="CM81" s="106">
        <v>6782.4000000000005</v>
      </c>
      <c r="CN81" s="106">
        <v>13</v>
      </c>
      <c r="CO81" s="106">
        <v>9796.8000000000011</v>
      </c>
      <c r="CP81" s="106">
        <v>12</v>
      </c>
      <c r="CQ81" s="106">
        <v>9043.2000000000007</v>
      </c>
      <c r="CR81" s="106">
        <v>13</v>
      </c>
      <c r="CS81" s="106">
        <v>9796.8000000000011</v>
      </c>
      <c r="CT81" s="106">
        <v>13</v>
      </c>
      <c r="CU81" s="106">
        <v>9796.8000000000011</v>
      </c>
    </row>
    <row r="82" spans="2:99" x14ac:dyDescent="0.2">
      <c r="C82" s="105" t="s">
        <v>248</v>
      </c>
      <c r="D82" s="106">
        <v>20</v>
      </c>
      <c r="E82" s="106">
        <v>10175.999999999998</v>
      </c>
      <c r="F82" s="106">
        <v>17</v>
      </c>
      <c r="G82" s="106">
        <v>8649.5999999999985</v>
      </c>
      <c r="H82" s="106">
        <v>17</v>
      </c>
      <c r="I82" s="106">
        <v>8649.5999999999985</v>
      </c>
      <c r="J82" s="106">
        <v>25</v>
      </c>
      <c r="K82" s="106">
        <v>12719.999999999998</v>
      </c>
      <c r="L82" s="106">
        <v>32</v>
      </c>
      <c r="M82" s="106">
        <v>16281.599999999997</v>
      </c>
      <c r="N82" s="106">
        <v>25</v>
      </c>
      <c r="O82" s="106">
        <v>12719.999999999998</v>
      </c>
      <c r="P82" s="106">
        <v>36</v>
      </c>
      <c r="Q82" s="106">
        <v>18316.799999999996</v>
      </c>
      <c r="R82" s="106">
        <v>24</v>
      </c>
      <c r="S82" s="106">
        <v>12211.199999999997</v>
      </c>
      <c r="T82" s="106">
        <v>22</v>
      </c>
      <c r="U82" s="106">
        <v>11193.599999999999</v>
      </c>
      <c r="V82" s="106">
        <v>14</v>
      </c>
      <c r="W82" s="106">
        <v>7123.1999999999989</v>
      </c>
      <c r="X82" s="106">
        <v>21</v>
      </c>
      <c r="Y82" s="106">
        <v>10684.799999999997</v>
      </c>
      <c r="Z82" s="106">
        <v>22</v>
      </c>
      <c r="AA82" s="106">
        <v>11193.599999999999</v>
      </c>
      <c r="AB82" s="106">
        <v>17</v>
      </c>
      <c r="AC82" s="106">
        <v>8649.5999999999985</v>
      </c>
      <c r="AD82" s="106">
        <v>17</v>
      </c>
      <c r="AE82" s="106">
        <v>8649.5999999999985</v>
      </c>
      <c r="AF82" s="106">
        <v>16</v>
      </c>
      <c r="AG82" s="106">
        <v>8140.7999999999984</v>
      </c>
      <c r="AH82" s="106">
        <v>12</v>
      </c>
      <c r="AI82" s="106">
        <v>6105.5999999999985</v>
      </c>
      <c r="AJ82" s="106">
        <v>14</v>
      </c>
      <c r="AK82" s="106">
        <v>7123.1999999999989</v>
      </c>
      <c r="AL82" s="106">
        <v>9</v>
      </c>
      <c r="AM82" s="106">
        <v>4579.1999999999989</v>
      </c>
      <c r="AN82" s="106">
        <v>12</v>
      </c>
      <c r="AO82" s="106">
        <v>6105.5999999999985</v>
      </c>
      <c r="AP82" s="106">
        <v>11</v>
      </c>
      <c r="AQ82" s="106">
        <v>5596.7999999999993</v>
      </c>
      <c r="AR82" s="106">
        <v>81</v>
      </c>
      <c r="AS82" s="106">
        <v>41212.799999999988</v>
      </c>
      <c r="AT82" s="106">
        <v>106</v>
      </c>
      <c r="AU82" s="106">
        <v>53932.799999999988</v>
      </c>
      <c r="AV82" s="106">
        <v>61</v>
      </c>
      <c r="AW82" s="106">
        <v>31036.799999999992</v>
      </c>
      <c r="AX82" s="106">
        <v>76</v>
      </c>
      <c r="AY82" s="106">
        <v>38668.799999999996</v>
      </c>
      <c r="AZ82" s="106">
        <v>10</v>
      </c>
      <c r="BA82" s="106">
        <v>5087.9999999999991</v>
      </c>
      <c r="BB82" s="106">
        <v>8</v>
      </c>
      <c r="BC82" s="106">
        <v>4070.3999999999992</v>
      </c>
      <c r="BD82" s="106">
        <v>12</v>
      </c>
      <c r="BE82" s="106">
        <v>6105.5999999999985</v>
      </c>
      <c r="BF82" s="106">
        <v>11</v>
      </c>
      <c r="BG82" s="106">
        <v>5596.7999999999993</v>
      </c>
      <c r="BH82" s="106">
        <v>51</v>
      </c>
      <c r="BI82" s="106">
        <v>25948.799999999996</v>
      </c>
      <c r="BJ82" s="106">
        <v>35</v>
      </c>
      <c r="BK82" s="106">
        <v>17807.999999999996</v>
      </c>
      <c r="BL82" s="106">
        <v>53</v>
      </c>
      <c r="BM82" s="106">
        <v>26966.399999999994</v>
      </c>
      <c r="BN82" s="106">
        <v>51</v>
      </c>
      <c r="BO82" s="106">
        <v>25948.799999999996</v>
      </c>
      <c r="BP82" s="106">
        <v>7</v>
      </c>
      <c r="BQ82" s="106">
        <v>3561.5999999999995</v>
      </c>
      <c r="BR82" s="106">
        <v>15</v>
      </c>
      <c r="BS82" s="106">
        <v>7631.9999999999982</v>
      </c>
      <c r="BT82" s="106">
        <v>15</v>
      </c>
      <c r="BU82" s="106">
        <v>7631.9999999999982</v>
      </c>
      <c r="BV82" s="106">
        <v>12</v>
      </c>
      <c r="BW82" s="106">
        <v>6105.5999999999985</v>
      </c>
      <c r="BX82" s="106">
        <v>17</v>
      </c>
      <c r="BY82" s="106">
        <v>8649.5999999999985</v>
      </c>
      <c r="BZ82" s="106">
        <v>13</v>
      </c>
      <c r="CA82" s="106">
        <v>6614.3999999999987</v>
      </c>
      <c r="CB82" s="106">
        <v>13</v>
      </c>
      <c r="CC82" s="106">
        <v>6614.3999999999987</v>
      </c>
      <c r="CD82" s="106">
        <v>24</v>
      </c>
      <c r="CE82" s="106">
        <v>12211.199999999997</v>
      </c>
      <c r="CF82" s="106">
        <v>11</v>
      </c>
      <c r="CG82" s="106">
        <v>5596.7999999999993</v>
      </c>
      <c r="CH82" s="106">
        <v>11</v>
      </c>
      <c r="CI82" s="106">
        <v>5596.7999999999993</v>
      </c>
      <c r="CJ82" s="106">
        <v>12</v>
      </c>
      <c r="CK82" s="106">
        <v>6105.5999999999985</v>
      </c>
      <c r="CL82" s="106">
        <v>10</v>
      </c>
      <c r="CM82" s="106">
        <v>5087.9999999999991</v>
      </c>
      <c r="CN82" s="106">
        <v>11</v>
      </c>
      <c r="CO82" s="106">
        <v>5596.7999999999993</v>
      </c>
      <c r="CP82" s="106">
        <v>12</v>
      </c>
      <c r="CQ82" s="106">
        <v>6105.5999999999985</v>
      </c>
      <c r="CR82" s="106">
        <v>15</v>
      </c>
      <c r="CS82" s="106">
        <v>7631.9999999999982</v>
      </c>
      <c r="CT82" s="106">
        <v>11</v>
      </c>
      <c r="CU82" s="106">
        <v>5596.7999999999993</v>
      </c>
    </row>
    <row r="83" spans="2:99" x14ac:dyDescent="0.2">
      <c r="C83" s="105" t="s">
        <v>249</v>
      </c>
      <c r="D83" s="106">
        <v>19</v>
      </c>
      <c r="E83" s="106">
        <v>16347.6</v>
      </c>
      <c r="F83" s="106">
        <v>18</v>
      </c>
      <c r="G83" s="106">
        <v>15487.199999999999</v>
      </c>
      <c r="H83" s="106">
        <v>16</v>
      </c>
      <c r="I83" s="106">
        <v>13766.4</v>
      </c>
      <c r="J83" s="106">
        <v>22</v>
      </c>
      <c r="K83" s="106">
        <v>18928.8</v>
      </c>
      <c r="L83" s="106">
        <v>33</v>
      </c>
      <c r="M83" s="106">
        <v>28393.200000000001</v>
      </c>
      <c r="N83" s="106">
        <v>24</v>
      </c>
      <c r="O83" s="106">
        <v>20649.599999999999</v>
      </c>
      <c r="P83" s="106">
        <v>34</v>
      </c>
      <c r="Q83" s="106">
        <v>29253.599999999999</v>
      </c>
      <c r="R83" s="106">
        <v>22</v>
      </c>
      <c r="S83" s="106">
        <v>18928.8</v>
      </c>
      <c r="T83" s="106">
        <v>24</v>
      </c>
      <c r="U83" s="106">
        <v>20649.599999999999</v>
      </c>
      <c r="V83" s="106">
        <v>14</v>
      </c>
      <c r="W83" s="106">
        <v>12045.6</v>
      </c>
      <c r="X83" s="106">
        <v>19</v>
      </c>
      <c r="Y83" s="106">
        <v>16347.6</v>
      </c>
      <c r="Z83" s="106">
        <v>23</v>
      </c>
      <c r="AA83" s="106">
        <v>19789.2</v>
      </c>
      <c r="AB83" s="106">
        <v>17</v>
      </c>
      <c r="AC83" s="106">
        <v>14626.8</v>
      </c>
      <c r="AD83" s="106">
        <v>17</v>
      </c>
      <c r="AE83" s="106">
        <v>14626.8</v>
      </c>
      <c r="AF83" s="106">
        <v>17</v>
      </c>
      <c r="AG83" s="106">
        <v>14626.8</v>
      </c>
      <c r="AH83" s="106">
        <v>12</v>
      </c>
      <c r="AI83" s="106">
        <v>10324.799999999999</v>
      </c>
      <c r="AJ83" s="106">
        <v>14</v>
      </c>
      <c r="AK83" s="106">
        <v>12045.6</v>
      </c>
      <c r="AL83" s="106">
        <v>10</v>
      </c>
      <c r="AM83" s="106">
        <v>8604</v>
      </c>
      <c r="AN83" s="106">
        <v>11</v>
      </c>
      <c r="AO83" s="106">
        <v>9464.4</v>
      </c>
      <c r="AP83" s="106">
        <v>10</v>
      </c>
      <c r="AQ83" s="106">
        <v>8604</v>
      </c>
      <c r="AR83" s="106">
        <v>73</v>
      </c>
      <c r="AS83" s="106">
        <v>62809.2</v>
      </c>
      <c r="AT83" s="106">
        <v>96</v>
      </c>
      <c r="AU83" s="106">
        <v>82598.399999999994</v>
      </c>
      <c r="AV83" s="106">
        <v>49</v>
      </c>
      <c r="AW83" s="106">
        <v>42159.6</v>
      </c>
      <c r="AX83" s="106">
        <v>63</v>
      </c>
      <c r="AY83" s="106">
        <v>54205.2</v>
      </c>
      <c r="AZ83" s="106">
        <v>9</v>
      </c>
      <c r="BA83" s="106">
        <v>7743.5999999999995</v>
      </c>
      <c r="BB83" s="106">
        <v>8</v>
      </c>
      <c r="BC83" s="106">
        <v>6883.2</v>
      </c>
      <c r="BD83" s="106">
        <v>12</v>
      </c>
      <c r="BE83" s="106">
        <v>10324.799999999999</v>
      </c>
      <c r="BF83" s="106">
        <v>10</v>
      </c>
      <c r="BG83" s="106">
        <v>8604</v>
      </c>
      <c r="BH83" s="106">
        <v>50</v>
      </c>
      <c r="BI83" s="106">
        <v>43020</v>
      </c>
      <c r="BJ83" s="106">
        <v>34</v>
      </c>
      <c r="BK83" s="106">
        <v>29253.599999999999</v>
      </c>
      <c r="BL83" s="106">
        <v>51</v>
      </c>
      <c r="BM83" s="106">
        <v>43880.4</v>
      </c>
      <c r="BN83" s="106">
        <v>50</v>
      </c>
      <c r="BO83" s="106">
        <v>43020</v>
      </c>
      <c r="BP83" s="106">
        <v>7</v>
      </c>
      <c r="BQ83" s="106">
        <v>6022.8</v>
      </c>
      <c r="BR83" s="106">
        <v>13</v>
      </c>
      <c r="BS83" s="106">
        <v>11185.199999999999</v>
      </c>
      <c r="BT83" s="106">
        <v>14</v>
      </c>
      <c r="BU83" s="106">
        <v>12045.6</v>
      </c>
      <c r="BV83" s="106">
        <v>11</v>
      </c>
      <c r="BW83" s="106">
        <v>9464.4</v>
      </c>
      <c r="BX83" s="106">
        <v>15</v>
      </c>
      <c r="BY83" s="106">
        <v>12906</v>
      </c>
      <c r="BZ83" s="106">
        <v>13</v>
      </c>
      <c r="CA83" s="106">
        <v>11185.199999999999</v>
      </c>
      <c r="CB83" s="106">
        <v>12</v>
      </c>
      <c r="CC83" s="106">
        <v>10324.799999999999</v>
      </c>
      <c r="CD83" s="106">
        <v>23</v>
      </c>
      <c r="CE83" s="106">
        <v>19789.2</v>
      </c>
      <c r="CF83" s="106">
        <v>10</v>
      </c>
      <c r="CG83" s="106">
        <v>8604</v>
      </c>
      <c r="CH83" s="106">
        <v>11</v>
      </c>
      <c r="CI83" s="106">
        <v>9464.4</v>
      </c>
      <c r="CJ83" s="106">
        <v>12</v>
      </c>
      <c r="CK83" s="106">
        <v>10324.799999999999</v>
      </c>
      <c r="CL83" s="106">
        <v>8</v>
      </c>
      <c r="CM83" s="106">
        <v>6883.2</v>
      </c>
      <c r="CN83" s="106">
        <v>12</v>
      </c>
      <c r="CO83" s="106">
        <v>10324.799999999999</v>
      </c>
      <c r="CP83" s="106">
        <v>11</v>
      </c>
      <c r="CQ83" s="106">
        <v>9464.4</v>
      </c>
      <c r="CR83" s="106">
        <v>14</v>
      </c>
      <c r="CS83" s="106">
        <v>12045.6</v>
      </c>
      <c r="CT83" s="106">
        <v>12</v>
      </c>
      <c r="CU83" s="106">
        <v>10324.799999999999</v>
      </c>
    </row>
    <row r="84" spans="2:99" x14ac:dyDescent="0.2">
      <c r="C84" s="105" t="s">
        <v>250</v>
      </c>
      <c r="D84" s="106">
        <v>20</v>
      </c>
      <c r="E84" s="106">
        <v>15623.999999999998</v>
      </c>
      <c r="F84" s="106">
        <v>17</v>
      </c>
      <c r="G84" s="106">
        <v>13280.4</v>
      </c>
      <c r="H84" s="106">
        <v>15</v>
      </c>
      <c r="I84" s="106">
        <v>11717.999999999998</v>
      </c>
      <c r="J84" s="106">
        <v>25</v>
      </c>
      <c r="K84" s="106">
        <v>19530</v>
      </c>
      <c r="L84" s="106">
        <v>32</v>
      </c>
      <c r="M84" s="106">
        <v>24998.399999999998</v>
      </c>
      <c r="N84" s="106">
        <v>24</v>
      </c>
      <c r="O84" s="106">
        <v>18748.8</v>
      </c>
      <c r="P84" s="106">
        <v>36</v>
      </c>
      <c r="Q84" s="106">
        <v>28123.199999999997</v>
      </c>
      <c r="R84" s="106">
        <v>22</v>
      </c>
      <c r="S84" s="106">
        <v>17186.399999999998</v>
      </c>
      <c r="T84" s="106">
        <v>24</v>
      </c>
      <c r="U84" s="106">
        <v>18748.8</v>
      </c>
      <c r="V84" s="106">
        <v>14</v>
      </c>
      <c r="W84" s="106">
        <v>10936.8</v>
      </c>
      <c r="X84" s="106">
        <v>22</v>
      </c>
      <c r="Y84" s="106">
        <v>17186.399999999998</v>
      </c>
      <c r="Z84" s="106">
        <v>25</v>
      </c>
      <c r="AA84" s="106">
        <v>19530</v>
      </c>
      <c r="AB84" s="106">
        <v>16</v>
      </c>
      <c r="AC84" s="106">
        <v>12499.199999999999</v>
      </c>
      <c r="AD84" s="106">
        <v>16</v>
      </c>
      <c r="AE84" s="106">
        <v>12499.199999999999</v>
      </c>
      <c r="AF84" s="106">
        <v>18</v>
      </c>
      <c r="AG84" s="106">
        <v>14061.599999999999</v>
      </c>
      <c r="AH84" s="106">
        <v>11</v>
      </c>
      <c r="AI84" s="106">
        <v>8593.1999999999989</v>
      </c>
      <c r="AJ84" s="106">
        <v>13</v>
      </c>
      <c r="AK84" s="106">
        <v>10155.599999999999</v>
      </c>
      <c r="AL84" s="106">
        <v>9</v>
      </c>
      <c r="AM84" s="106">
        <v>7030.7999999999993</v>
      </c>
      <c r="AN84" s="106">
        <v>12</v>
      </c>
      <c r="AO84" s="106">
        <v>9374.4</v>
      </c>
      <c r="AP84" s="106">
        <v>12</v>
      </c>
      <c r="AQ84" s="106">
        <v>9374.4</v>
      </c>
      <c r="AR84" s="106">
        <v>78</v>
      </c>
      <c r="AS84" s="106">
        <v>60933.599999999991</v>
      </c>
      <c r="AT84" s="106">
        <v>99</v>
      </c>
      <c r="AU84" s="106">
        <v>77338.799999999988</v>
      </c>
      <c r="AV84" s="106">
        <v>58</v>
      </c>
      <c r="AW84" s="106">
        <v>45309.599999999999</v>
      </c>
      <c r="AX84" s="106">
        <v>64</v>
      </c>
      <c r="AY84" s="106">
        <v>49996.799999999996</v>
      </c>
      <c r="AZ84" s="106">
        <v>10</v>
      </c>
      <c r="BA84" s="106">
        <v>7811.9999999999991</v>
      </c>
      <c r="BB84" s="106">
        <v>8</v>
      </c>
      <c r="BC84" s="106">
        <v>6249.5999999999995</v>
      </c>
      <c r="BD84" s="106">
        <v>12</v>
      </c>
      <c r="BE84" s="106">
        <v>9374.4</v>
      </c>
      <c r="BF84" s="106">
        <v>11</v>
      </c>
      <c r="BG84" s="106">
        <v>8593.1999999999989</v>
      </c>
      <c r="BH84" s="106">
        <v>49</v>
      </c>
      <c r="BI84" s="106">
        <v>38278.799999999996</v>
      </c>
      <c r="BJ84" s="106">
        <v>39</v>
      </c>
      <c r="BK84" s="106">
        <v>30466.799999999996</v>
      </c>
      <c r="BL84" s="106">
        <v>57</v>
      </c>
      <c r="BM84" s="106">
        <v>44528.399999999994</v>
      </c>
      <c r="BN84" s="106">
        <v>46</v>
      </c>
      <c r="BO84" s="106">
        <v>35935.199999999997</v>
      </c>
      <c r="BP84" s="106">
        <v>7</v>
      </c>
      <c r="BQ84" s="106">
        <v>5468.4</v>
      </c>
      <c r="BR84" s="106">
        <v>14</v>
      </c>
      <c r="BS84" s="106">
        <v>10936.8</v>
      </c>
      <c r="BT84" s="106">
        <v>13</v>
      </c>
      <c r="BU84" s="106">
        <v>10155.599999999999</v>
      </c>
      <c r="BV84" s="106">
        <v>11</v>
      </c>
      <c r="BW84" s="106">
        <v>8593.1999999999989</v>
      </c>
      <c r="BX84" s="106">
        <v>16</v>
      </c>
      <c r="BY84" s="106">
        <v>12499.199999999999</v>
      </c>
      <c r="BZ84" s="106">
        <v>14</v>
      </c>
      <c r="CA84" s="106">
        <v>10936.8</v>
      </c>
      <c r="CB84" s="106">
        <v>11</v>
      </c>
      <c r="CC84" s="106">
        <v>8593.1999999999989</v>
      </c>
      <c r="CD84" s="106">
        <v>23</v>
      </c>
      <c r="CE84" s="106">
        <v>17967.599999999999</v>
      </c>
      <c r="CF84" s="106">
        <v>11</v>
      </c>
      <c r="CG84" s="106">
        <v>8593.1999999999989</v>
      </c>
      <c r="CH84" s="106">
        <v>11</v>
      </c>
      <c r="CI84" s="106">
        <v>8593.1999999999989</v>
      </c>
      <c r="CJ84" s="106">
        <v>12</v>
      </c>
      <c r="CK84" s="106">
        <v>9374.4</v>
      </c>
      <c r="CL84" s="106">
        <v>9</v>
      </c>
      <c r="CM84" s="106">
        <v>7030.7999999999993</v>
      </c>
      <c r="CN84" s="106">
        <v>11</v>
      </c>
      <c r="CO84" s="106">
        <v>8593.1999999999989</v>
      </c>
      <c r="CP84" s="106">
        <v>12</v>
      </c>
      <c r="CQ84" s="106">
        <v>9374.4</v>
      </c>
      <c r="CR84" s="106">
        <v>14</v>
      </c>
      <c r="CS84" s="106">
        <v>10936.8</v>
      </c>
      <c r="CT84" s="106">
        <v>11</v>
      </c>
      <c r="CU84" s="106">
        <v>8593.1999999999989</v>
      </c>
    </row>
    <row r="85" spans="2:99" x14ac:dyDescent="0.2">
      <c r="C85" s="105" t="s">
        <v>251</v>
      </c>
      <c r="D85" s="106">
        <v>20</v>
      </c>
      <c r="E85" s="106">
        <v>3000</v>
      </c>
      <c r="F85" s="106">
        <v>16</v>
      </c>
      <c r="G85" s="106">
        <v>2400</v>
      </c>
      <c r="H85" s="106">
        <v>17</v>
      </c>
      <c r="I85" s="106">
        <v>2550</v>
      </c>
      <c r="J85" s="106">
        <v>23</v>
      </c>
      <c r="K85" s="106">
        <v>3450</v>
      </c>
      <c r="L85" s="106">
        <v>36</v>
      </c>
      <c r="M85" s="106">
        <v>5400</v>
      </c>
      <c r="N85" s="106">
        <v>27</v>
      </c>
      <c r="O85" s="106">
        <v>4050</v>
      </c>
      <c r="P85" s="106">
        <v>36</v>
      </c>
      <c r="Q85" s="106">
        <v>5400</v>
      </c>
      <c r="R85" s="106">
        <v>23</v>
      </c>
      <c r="S85" s="106">
        <v>3450</v>
      </c>
      <c r="T85" s="106">
        <v>23</v>
      </c>
      <c r="U85" s="106">
        <v>3450</v>
      </c>
      <c r="V85" s="106">
        <v>15</v>
      </c>
      <c r="W85" s="106">
        <v>2250</v>
      </c>
      <c r="X85" s="106">
        <v>19</v>
      </c>
      <c r="Y85" s="106">
        <v>2850</v>
      </c>
      <c r="Z85" s="106">
        <v>22</v>
      </c>
      <c r="AA85" s="106">
        <v>3300</v>
      </c>
      <c r="AB85" s="106">
        <v>18</v>
      </c>
      <c r="AC85" s="106">
        <v>2700</v>
      </c>
      <c r="AD85" s="106">
        <v>18</v>
      </c>
      <c r="AE85" s="106">
        <v>2700</v>
      </c>
      <c r="AF85" s="106">
        <v>18</v>
      </c>
      <c r="AG85" s="106">
        <v>2700</v>
      </c>
      <c r="AH85" s="106">
        <v>13</v>
      </c>
      <c r="AI85" s="106">
        <v>1950</v>
      </c>
      <c r="AJ85" s="106">
        <v>14</v>
      </c>
      <c r="AK85" s="106">
        <v>2100</v>
      </c>
      <c r="AL85" s="106">
        <v>9</v>
      </c>
      <c r="AM85" s="106">
        <v>1350</v>
      </c>
      <c r="AN85" s="106">
        <v>12</v>
      </c>
      <c r="AO85" s="106">
        <v>1800</v>
      </c>
      <c r="AP85" s="106">
        <v>10</v>
      </c>
      <c r="AQ85" s="106">
        <v>1500</v>
      </c>
      <c r="AR85" s="106">
        <v>74</v>
      </c>
      <c r="AS85" s="106">
        <v>11100</v>
      </c>
      <c r="AT85" s="106">
        <v>105</v>
      </c>
      <c r="AU85" s="106">
        <v>15750</v>
      </c>
      <c r="AV85" s="106">
        <v>58</v>
      </c>
      <c r="AW85" s="106">
        <v>8700</v>
      </c>
      <c r="AX85" s="106">
        <v>69</v>
      </c>
      <c r="AY85" s="106">
        <v>10350</v>
      </c>
      <c r="AZ85" s="106">
        <v>10</v>
      </c>
      <c r="BA85" s="106">
        <v>1500</v>
      </c>
      <c r="BB85" s="106">
        <v>8</v>
      </c>
      <c r="BC85" s="106">
        <v>1200</v>
      </c>
      <c r="BD85" s="106">
        <v>14</v>
      </c>
      <c r="BE85" s="106">
        <v>2100</v>
      </c>
      <c r="BF85" s="106">
        <v>12</v>
      </c>
      <c r="BG85" s="106">
        <v>1800</v>
      </c>
      <c r="BH85" s="106">
        <v>53</v>
      </c>
      <c r="BI85" s="106">
        <v>7950</v>
      </c>
      <c r="BJ85" s="106">
        <v>39</v>
      </c>
      <c r="BK85" s="106">
        <v>5850</v>
      </c>
      <c r="BL85" s="106">
        <v>52</v>
      </c>
      <c r="BM85" s="106">
        <v>7800</v>
      </c>
      <c r="BN85" s="106">
        <v>57</v>
      </c>
      <c r="BO85" s="106">
        <v>8550</v>
      </c>
      <c r="BP85" s="106">
        <v>8</v>
      </c>
      <c r="BQ85" s="106">
        <v>1200</v>
      </c>
      <c r="BR85" s="106">
        <v>14</v>
      </c>
      <c r="BS85" s="106">
        <v>2100</v>
      </c>
      <c r="BT85" s="106">
        <v>15</v>
      </c>
      <c r="BU85" s="106">
        <v>2250</v>
      </c>
      <c r="BV85" s="106">
        <v>11</v>
      </c>
      <c r="BW85" s="106">
        <v>1650</v>
      </c>
      <c r="BX85" s="106">
        <v>17</v>
      </c>
      <c r="BY85" s="106">
        <v>2550</v>
      </c>
      <c r="BZ85" s="106">
        <v>12</v>
      </c>
      <c r="CA85" s="106">
        <v>1800</v>
      </c>
      <c r="CB85" s="106">
        <v>14</v>
      </c>
      <c r="CC85" s="106">
        <v>2100</v>
      </c>
      <c r="CD85" s="106">
        <v>23</v>
      </c>
      <c r="CE85" s="106">
        <v>3450</v>
      </c>
      <c r="CF85" s="106">
        <v>12</v>
      </c>
      <c r="CG85" s="106">
        <v>1800</v>
      </c>
      <c r="CH85" s="106">
        <v>11</v>
      </c>
      <c r="CI85" s="106">
        <v>1650</v>
      </c>
      <c r="CJ85" s="106">
        <v>12</v>
      </c>
      <c r="CK85" s="106">
        <v>1800</v>
      </c>
      <c r="CL85" s="106">
        <v>10</v>
      </c>
      <c r="CM85" s="106">
        <v>1500</v>
      </c>
      <c r="CN85" s="106">
        <v>13</v>
      </c>
      <c r="CO85" s="106">
        <v>1950</v>
      </c>
      <c r="CP85" s="106">
        <v>13</v>
      </c>
      <c r="CQ85" s="106">
        <v>1950</v>
      </c>
      <c r="CR85" s="106">
        <v>14</v>
      </c>
      <c r="CS85" s="106">
        <v>2100</v>
      </c>
      <c r="CT85" s="106">
        <v>11</v>
      </c>
      <c r="CU85" s="106">
        <v>1650</v>
      </c>
    </row>
    <row r="86" spans="2:99" x14ac:dyDescent="0.2">
      <c r="C86" s="105" t="s">
        <v>252</v>
      </c>
      <c r="D86" s="106">
        <v>18</v>
      </c>
      <c r="E86" s="106">
        <v>9720</v>
      </c>
      <c r="F86" s="106">
        <v>17</v>
      </c>
      <c r="G86" s="106">
        <v>9180</v>
      </c>
      <c r="H86" s="106">
        <v>15</v>
      </c>
      <c r="I86" s="106">
        <v>8100</v>
      </c>
      <c r="J86" s="106">
        <v>21</v>
      </c>
      <c r="K86" s="106">
        <v>11340</v>
      </c>
      <c r="L86" s="106">
        <v>35</v>
      </c>
      <c r="M86" s="106">
        <v>18900</v>
      </c>
      <c r="N86" s="106">
        <v>26</v>
      </c>
      <c r="O86" s="106">
        <v>14040</v>
      </c>
      <c r="P86" s="106">
        <v>36</v>
      </c>
      <c r="Q86" s="106">
        <v>19440</v>
      </c>
      <c r="R86" s="106">
        <v>24</v>
      </c>
      <c r="S86" s="106">
        <v>12960</v>
      </c>
      <c r="T86" s="106">
        <v>24</v>
      </c>
      <c r="U86" s="106">
        <v>12960</v>
      </c>
      <c r="V86" s="106">
        <v>13</v>
      </c>
      <c r="W86" s="106">
        <v>7020</v>
      </c>
      <c r="X86" s="106">
        <v>21</v>
      </c>
      <c r="Y86" s="106">
        <v>11340</v>
      </c>
      <c r="Z86" s="106">
        <v>26</v>
      </c>
      <c r="AA86" s="106">
        <v>14040</v>
      </c>
      <c r="AB86" s="106">
        <v>18</v>
      </c>
      <c r="AC86" s="106">
        <v>9720</v>
      </c>
      <c r="AD86" s="106">
        <v>16</v>
      </c>
      <c r="AE86" s="106">
        <v>8640</v>
      </c>
      <c r="AF86" s="106">
        <v>17</v>
      </c>
      <c r="AG86" s="106">
        <v>9180</v>
      </c>
      <c r="AH86" s="106">
        <v>11</v>
      </c>
      <c r="AI86" s="106">
        <v>5940</v>
      </c>
      <c r="AJ86" s="106">
        <v>14</v>
      </c>
      <c r="AK86" s="106">
        <v>7560</v>
      </c>
      <c r="AL86" s="106">
        <v>10</v>
      </c>
      <c r="AM86" s="106">
        <v>5400</v>
      </c>
      <c r="AN86" s="106">
        <v>13</v>
      </c>
      <c r="AO86" s="106">
        <v>7020</v>
      </c>
      <c r="AP86" s="106">
        <v>12</v>
      </c>
      <c r="AQ86" s="106">
        <v>6480</v>
      </c>
      <c r="AR86" s="106">
        <v>71</v>
      </c>
      <c r="AS86" s="106">
        <v>38340</v>
      </c>
      <c r="AT86" s="106">
        <v>100</v>
      </c>
      <c r="AU86" s="106">
        <v>54000</v>
      </c>
      <c r="AV86" s="106">
        <v>59</v>
      </c>
      <c r="AW86" s="106">
        <v>31860</v>
      </c>
      <c r="AX86" s="106">
        <v>75</v>
      </c>
      <c r="AY86" s="106">
        <v>40500</v>
      </c>
      <c r="AZ86" s="106">
        <v>10</v>
      </c>
      <c r="BA86" s="106">
        <v>5400</v>
      </c>
      <c r="BB86" s="106">
        <v>7</v>
      </c>
      <c r="BC86" s="106">
        <v>3780</v>
      </c>
      <c r="BD86" s="106">
        <v>13</v>
      </c>
      <c r="BE86" s="106">
        <v>7020</v>
      </c>
      <c r="BF86" s="106">
        <v>10</v>
      </c>
      <c r="BG86" s="106">
        <v>5400</v>
      </c>
      <c r="BH86" s="106">
        <v>47</v>
      </c>
      <c r="BI86" s="106">
        <v>25380</v>
      </c>
      <c r="BJ86" s="106">
        <v>37</v>
      </c>
      <c r="BK86" s="106">
        <v>19980</v>
      </c>
      <c r="BL86" s="106">
        <v>55</v>
      </c>
      <c r="BM86" s="106">
        <v>29700</v>
      </c>
      <c r="BN86" s="106">
        <v>52</v>
      </c>
      <c r="BO86" s="106">
        <v>28080</v>
      </c>
      <c r="BP86" s="106">
        <v>7</v>
      </c>
      <c r="BQ86" s="106">
        <v>3780</v>
      </c>
      <c r="BR86" s="106">
        <v>15</v>
      </c>
      <c r="BS86" s="106">
        <v>8100</v>
      </c>
      <c r="BT86" s="106">
        <v>13</v>
      </c>
      <c r="BU86" s="106">
        <v>7020</v>
      </c>
      <c r="BV86" s="106">
        <v>12</v>
      </c>
      <c r="BW86" s="106">
        <v>6480</v>
      </c>
      <c r="BX86" s="106">
        <v>16</v>
      </c>
      <c r="BY86" s="106">
        <v>8640</v>
      </c>
      <c r="BZ86" s="106">
        <v>12</v>
      </c>
      <c r="CA86" s="106">
        <v>6480</v>
      </c>
      <c r="CB86" s="106">
        <v>12</v>
      </c>
      <c r="CC86" s="106">
        <v>6480</v>
      </c>
      <c r="CD86" s="106">
        <v>22</v>
      </c>
      <c r="CE86" s="106">
        <v>11880</v>
      </c>
      <c r="CF86" s="106">
        <v>12</v>
      </c>
      <c r="CG86" s="106">
        <v>6480</v>
      </c>
      <c r="CH86" s="106">
        <v>11</v>
      </c>
      <c r="CI86" s="106">
        <v>5940</v>
      </c>
      <c r="CJ86" s="106">
        <v>12</v>
      </c>
      <c r="CK86" s="106">
        <v>6480</v>
      </c>
      <c r="CL86" s="106">
        <v>10</v>
      </c>
      <c r="CM86" s="106">
        <v>5400</v>
      </c>
      <c r="CN86" s="106">
        <v>12</v>
      </c>
      <c r="CO86" s="106">
        <v>6480</v>
      </c>
      <c r="CP86" s="106">
        <v>12</v>
      </c>
      <c r="CQ86" s="106">
        <v>6480</v>
      </c>
      <c r="CR86" s="106">
        <v>16</v>
      </c>
      <c r="CS86" s="106">
        <v>8640</v>
      </c>
      <c r="CT86" s="106">
        <v>12</v>
      </c>
      <c r="CU86" s="106">
        <v>6480</v>
      </c>
    </row>
    <row r="87" spans="2:99" x14ac:dyDescent="0.2">
      <c r="B87" s="105" t="s">
        <v>131</v>
      </c>
      <c r="C87" s="105" t="s">
        <v>253</v>
      </c>
      <c r="D87" s="106">
        <v>12</v>
      </c>
      <c r="E87" s="106">
        <v>23457.599999999999</v>
      </c>
      <c r="F87" s="106">
        <v>8</v>
      </c>
      <c r="G87" s="106">
        <v>15638.4</v>
      </c>
      <c r="H87" s="106">
        <v>16</v>
      </c>
      <c r="I87" s="106">
        <v>31276.799999999999</v>
      </c>
      <c r="J87" s="106">
        <v>13</v>
      </c>
      <c r="K87" s="106">
        <v>25412.399999999998</v>
      </c>
      <c r="L87" s="106">
        <v>33</v>
      </c>
      <c r="M87" s="106">
        <v>64508.4</v>
      </c>
      <c r="N87" s="106">
        <v>34</v>
      </c>
      <c r="O87" s="106">
        <v>66463.199999999997</v>
      </c>
      <c r="P87" s="106">
        <v>37</v>
      </c>
      <c r="Q87" s="106">
        <v>72327.599999999991</v>
      </c>
      <c r="R87" s="106">
        <v>37</v>
      </c>
      <c r="S87" s="106">
        <v>72327.599999999991</v>
      </c>
      <c r="T87" s="106">
        <v>64</v>
      </c>
      <c r="U87" s="106">
        <v>125107.2</v>
      </c>
      <c r="V87" s="106">
        <v>43</v>
      </c>
      <c r="W87" s="106">
        <v>84056.4</v>
      </c>
      <c r="X87" s="106">
        <v>49</v>
      </c>
      <c r="Y87" s="106">
        <v>95785.2</v>
      </c>
      <c r="Z87" s="106">
        <v>66</v>
      </c>
      <c r="AA87" s="106">
        <v>129016.8</v>
      </c>
      <c r="AB87" s="106">
        <v>25</v>
      </c>
      <c r="AC87" s="106">
        <v>48870</v>
      </c>
      <c r="AD87" s="106">
        <v>24</v>
      </c>
      <c r="AE87" s="106">
        <v>46915.199999999997</v>
      </c>
      <c r="AF87" s="106">
        <v>23</v>
      </c>
      <c r="AG87" s="106">
        <v>44960.4</v>
      </c>
      <c r="AH87" s="106">
        <v>23</v>
      </c>
      <c r="AI87" s="106">
        <v>44960.4</v>
      </c>
      <c r="AJ87" s="106">
        <v>83</v>
      </c>
      <c r="AK87" s="106">
        <v>162248.4</v>
      </c>
      <c r="AL87" s="106">
        <v>61</v>
      </c>
      <c r="AM87" s="106">
        <v>119242.8</v>
      </c>
      <c r="AN87" s="106">
        <v>64</v>
      </c>
      <c r="AO87" s="106">
        <v>125107.2</v>
      </c>
      <c r="AP87" s="106">
        <v>41</v>
      </c>
      <c r="AQ87" s="106">
        <v>80146.8</v>
      </c>
      <c r="AR87" s="106">
        <v>11</v>
      </c>
      <c r="AS87" s="106">
        <v>21502.799999999999</v>
      </c>
      <c r="AT87" s="106">
        <v>15</v>
      </c>
      <c r="AU87" s="106">
        <v>29322</v>
      </c>
      <c r="AV87" s="106">
        <v>9</v>
      </c>
      <c r="AW87" s="106">
        <v>17593.2</v>
      </c>
      <c r="AX87" s="106">
        <v>13</v>
      </c>
      <c r="AY87" s="106">
        <v>25412.399999999998</v>
      </c>
      <c r="AZ87" s="106">
        <v>17</v>
      </c>
      <c r="BA87" s="106">
        <v>33231.599999999999</v>
      </c>
      <c r="BB87" s="106">
        <v>19</v>
      </c>
      <c r="BC87" s="106">
        <v>37141.199999999997</v>
      </c>
      <c r="BD87" s="106">
        <v>32</v>
      </c>
      <c r="BE87" s="106">
        <v>62553.599999999999</v>
      </c>
      <c r="BF87" s="106">
        <v>30</v>
      </c>
      <c r="BG87" s="106">
        <v>58644</v>
      </c>
      <c r="BH87" s="106">
        <v>18</v>
      </c>
      <c r="BI87" s="106">
        <v>35186.400000000001</v>
      </c>
      <c r="BJ87" s="106">
        <v>24</v>
      </c>
      <c r="BK87" s="106">
        <v>46915.199999999997</v>
      </c>
      <c r="BL87" s="106">
        <v>29</v>
      </c>
      <c r="BM87" s="106">
        <v>56689.2</v>
      </c>
      <c r="BN87" s="106">
        <v>21</v>
      </c>
      <c r="BO87" s="106">
        <v>41050.799999999996</v>
      </c>
      <c r="BP87" s="106">
        <v>39</v>
      </c>
      <c r="BQ87" s="106">
        <v>76237.2</v>
      </c>
      <c r="BR87" s="106">
        <v>43</v>
      </c>
      <c r="BS87" s="106">
        <v>84056.4</v>
      </c>
      <c r="BT87" s="106">
        <v>44</v>
      </c>
      <c r="BU87" s="106">
        <v>86011.199999999997</v>
      </c>
      <c r="BV87" s="106">
        <v>51</v>
      </c>
      <c r="BW87" s="106">
        <v>99694.8</v>
      </c>
      <c r="BX87" s="106">
        <v>11</v>
      </c>
      <c r="BY87" s="106">
        <v>21502.799999999999</v>
      </c>
      <c r="BZ87" s="106">
        <v>19</v>
      </c>
      <c r="CA87" s="106">
        <v>37141.199999999997</v>
      </c>
      <c r="CB87" s="106">
        <v>20</v>
      </c>
      <c r="CC87" s="106">
        <v>39096</v>
      </c>
      <c r="CD87" s="106">
        <v>23</v>
      </c>
      <c r="CE87" s="106">
        <v>44960.4</v>
      </c>
      <c r="CF87" s="106">
        <v>37</v>
      </c>
      <c r="CG87" s="106">
        <v>72327.599999999991</v>
      </c>
      <c r="CH87" s="106">
        <v>26</v>
      </c>
      <c r="CI87" s="106">
        <v>50824.799999999996</v>
      </c>
      <c r="CJ87" s="106">
        <v>32</v>
      </c>
      <c r="CK87" s="106">
        <v>62553.599999999999</v>
      </c>
      <c r="CL87" s="106">
        <v>28</v>
      </c>
      <c r="CM87" s="106">
        <v>54734.400000000001</v>
      </c>
      <c r="CN87" s="106">
        <v>10</v>
      </c>
      <c r="CO87" s="106">
        <v>19548</v>
      </c>
      <c r="CP87" s="106">
        <v>10</v>
      </c>
      <c r="CQ87" s="106">
        <v>19548</v>
      </c>
      <c r="CR87" s="106">
        <v>8</v>
      </c>
      <c r="CS87" s="106">
        <v>15638.4</v>
      </c>
      <c r="CT87" s="106">
        <v>8</v>
      </c>
      <c r="CU87" s="106">
        <v>15638.4</v>
      </c>
    </row>
    <row r="88" spans="2:99" x14ac:dyDescent="0.2">
      <c r="C88" s="105" t="s">
        <v>254</v>
      </c>
      <c r="D88" s="106">
        <v>12</v>
      </c>
      <c r="E88" s="106">
        <v>22708.799999999999</v>
      </c>
      <c r="F88" s="106">
        <v>9</v>
      </c>
      <c r="G88" s="106">
        <v>17031.599999999999</v>
      </c>
      <c r="H88" s="106">
        <v>14</v>
      </c>
      <c r="I88" s="106">
        <v>26493.599999999999</v>
      </c>
      <c r="J88" s="106">
        <v>14</v>
      </c>
      <c r="K88" s="106">
        <v>26493.599999999999</v>
      </c>
      <c r="L88" s="106">
        <v>35</v>
      </c>
      <c r="M88" s="106">
        <v>66234</v>
      </c>
      <c r="N88" s="106">
        <v>35</v>
      </c>
      <c r="O88" s="106">
        <v>66234</v>
      </c>
      <c r="P88" s="106">
        <v>38</v>
      </c>
      <c r="Q88" s="106">
        <v>71911.199999999997</v>
      </c>
      <c r="R88" s="106">
        <v>36</v>
      </c>
      <c r="S88" s="106">
        <v>68126.399999999994</v>
      </c>
      <c r="T88" s="106">
        <v>60</v>
      </c>
      <c r="U88" s="106">
        <v>113543.99999999999</v>
      </c>
      <c r="V88" s="106">
        <v>42</v>
      </c>
      <c r="W88" s="106">
        <v>79480.799999999988</v>
      </c>
      <c r="X88" s="106">
        <v>51</v>
      </c>
      <c r="Y88" s="106">
        <v>96512.4</v>
      </c>
      <c r="Z88" s="106">
        <v>72</v>
      </c>
      <c r="AA88" s="106">
        <v>136252.79999999999</v>
      </c>
      <c r="AB88" s="106">
        <v>26</v>
      </c>
      <c r="AC88" s="106">
        <v>49202.399999999994</v>
      </c>
      <c r="AD88" s="106">
        <v>25</v>
      </c>
      <c r="AE88" s="106">
        <v>47310</v>
      </c>
      <c r="AF88" s="106">
        <v>21</v>
      </c>
      <c r="AG88" s="106">
        <v>39740.399999999994</v>
      </c>
      <c r="AH88" s="106">
        <v>22</v>
      </c>
      <c r="AI88" s="106">
        <v>41632.799999999996</v>
      </c>
      <c r="AJ88" s="106">
        <v>80</v>
      </c>
      <c r="AK88" s="106">
        <v>151392</v>
      </c>
      <c r="AL88" s="106">
        <v>61</v>
      </c>
      <c r="AM88" s="106">
        <v>115436.4</v>
      </c>
      <c r="AN88" s="106">
        <v>58</v>
      </c>
      <c r="AO88" s="106">
        <v>109759.2</v>
      </c>
      <c r="AP88" s="106">
        <v>46</v>
      </c>
      <c r="AQ88" s="106">
        <v>87050.4</v>
      </c>
      <c r="AR88" s="106">
        <v>11</v>
      </c>
      <c r="AS88" s="106">
        <v>20816.399999999998</v>
      </c>
      <c r="AT88" s="106">
        <v>15</v>
      </c>
      <c r="AU88" s="106">
        <v>28385.999999999996</v>
      </c>
      <c r="AV88" s="106">
        <v>8</v>
      </c>
      <c r="AW88" s="106">
        <v>15139.199999999999</v>
      </c>
      <c r="AX88" s="106">
        <v>13</v>
      </c>
      <c r="AY88" s="106">
        <v>24601.199999999997</v>
      </c>
      <c r="AZ88" s="106">
        <v>17</v>
      </c>
      <c r="BA88" s="106">
        <v>32170.799999999999</v>
      </c>
      <c r="BB88" s="106">
        <v>20</v>
      </c>
      <c r="BC88" s="106">
        <v>37848</v>
      </c>
      <c r="BD88" s="106">
        <v>32</v>
      </c>
      <c r="BE88" s="106">
        <v>60556.799999999996</v>
      </c>
      <c r="BF88" s="106">
        <v>32</v>
      </c>
      <c r="BG88" s="106">
        <v>60556.799999999996</v>
      </c>
      <c r="BH88" s="106">
        <v>16</v>
      </c>
      <c r="BI88" s="106">
        <v>30278.399999999998</v>
      </c>
      <c r="BJ88" s="106">
        <v>29</v>
      </c>
      <c r="BK88" s="106">
        <v>54879.6</v>
      </c>
      <c r="BL88" s="106">
        <v>30</v>
      </c>
      <c r="BM88" s="106">
        <v>56771.999999999993</v>
      </c>
      <c r="BN88" s="106">
        <v>20</v>
      </c>
      <c r="BO88" s="106">
        <v>37848</v>
      </c>
      <c r="BP88" s="106">
        <v>38</v>
      </c>
      <c r="BQ88" s="106">
        <v>71911.199999999997</v>
      </c>
      <c r="BR88" s="106">
        <v>42</v>
      </c>
      <c r="BS88" s="106">
        <v>79480.799999999988</v>
      </c>
      <c r="BT88" s="106">
        <v>48</v>
      </c>
      <c r="BU88" s="106">
        <v>90835.199999999997</v>
      </c>
      <c r="BV88" s="106">
        <v>48</v>
      </c>
      <c r="BW88" s="106">
        <v>90835.199999999997</v>
      </c>
      <c r="BX88" s="106">
        <v>12</v>
      </c>
      <c r="BY88" s="106">
        <v>22708.799999999999</v>
      </c>
      <c r="BZ88" s="106">
        <v>17</v>
      </c>
      <c r="CA88" s="106">
        <v>32170.799999999999</v>
      </c>
      <c r="CB88" s="106">
        <v>20</v>
      </c>
      <c r="CC88" s="106">
        <v>37848</v>
      </c>
      <c r="CD88" s="106">
        <v>20</v>
      </c>
      <c r="CE88" s="106">
        <v>37848</v>
      </c>
      <c r="CF88" s="106">
        <v>37</v>
      </c>
      <c r="CG88" s="106">
        <v>70018.799999999988</v>
      </c>
      <c r="CH88" s="106">
        <v>27</v>
      </c>
      <c r="CI88" s="106">
        <v>51094.799999999996</v>
      </c>
      <c r="CJ88" s="106">
        <v>32</v>
      </c>
      <c r="CK88" s="106">
        <v>60556.799999999996</v>
      </c>
      <c r="CL88" s="106">
        <v>28</v>
      </c>
      <c r="CM88" s="106">
        <v>52987.199999999997</v>
      </c>
      <c r="CN88" s="106">
        <v>10</v>
      </c>
      <c r="CO88" s="106">
        <v>18924</v>
      </c>
      <c r="CP88" s="106">
        <v>11</v>
      </c>
      <c r="CQ88" s="106">
        <v>20816.399999999998</v>
      </c>
      <c r="CR88" s="106">
        <v>7</v>
      </c>
      <c r="CS88" s="106">
        <v>13246.8</v>
      </c>
      <c r="CT88" s="106">
        <v>9</v>
      </c>
      <c r="CU88" s="106">
        <v>17031.599999999999</v>
      </c>
    </row>
    <row r="89" spans="2:99" x14ac:dyDescent="0.2">
      <c r="C89" s="105" t="s">
        <v>255</v>
      </c>
      <c r="D89" s="106">
        <v>12</v>
      </c>
      <c r="E89" s="106">
        <v>28771.199999999997</v>
      </c>
      <c r="F89" s="106">
        <v>8</v>
      </c>
      <c r="G89" s="106">
        <v>19180.8</v>
      </c>
      <c r="H89" s="106">
        <v>13</v>
      </c>
      <c r="I89" s="106">
        <v>31168.799999999999</v>
      </c>
      <c r="J89" s="106">
        <v>13</v>
      </c>
      <c r="K89" s="106">
        <v>31168.799999999999</v>
      </c>
      <c r="L89" s="106">
        <v>32</v>
      </c>
      <c r="M89" s="106">
        <v>76723.199999999997</v>
      </c>
      <c r="N89" s="106">
        <v>36</v>
      </c>
      <c r="O89" s="106">
        <v>86313.599999999991</v>
      </c>
      <c r="P89" s="106">
        <v>38</v>
      </c>
      <c r="Q89" s="106">
        <v>91108.800000000003</v>
      </c>
      <c r="R89" s="106">
        <v>36</v>
      </c>
      <c r="S89" s="106">
        <v>86313.599999999991</v>
      </c>
      <c r="T89" s="106">
        <v>56</v>
      </c>
      <c r="U89" s="106">
        <v>134265.60000000001</v>
      </c>
      <c r="V89" s="106">
        <v>40</v>
      </c>
      <c r="W89" s="106">
        <v>95904</v>
      </c>
      <c r="X89" s="106">
        <v>42</v>
      </c>
      <c r="Y89" s="106">
        <v>100699.2</v>
      </c>
      <c r="Z89" s="106">
        <v>61</v>
      </c>
      <c r="AA89" s="106">
        <v>146253.6</v>
      </c>
      <c r="AB89" s="106">
        <v>25</v>
      </c>
      <c r="AC89" s="106">
        <v>59940</v>
      </c>
      <c r="AD89" s="106">
        <v>24</v>
      </c>
      <c r="AE89" s="106">
        <v>57542.399999999994</v>
      </c>
      <c r="AF89" s="106">
        <v>21</v>
      </c>
      <c r="AG89" s="106">
        <v>50349.599999999999</v>
      </c>
      <c r="AH89" s="106">
        <v>24</v>
      </c>
      <c r="AI89" s="106">
        <v>57542.399999999994</v>
      </c>
      <c r="AJ89" s="106">
        <v>78</v>
      </c>
      <c r="AK89" s="106">
        <v>187012.8</v>
      </c>
      <c r="AL89" s="106">
        <v>64</v>
      </c>
      <c r="AM89" s="106">
        <v>153446.39999999999</v>
      </c>
      <c r="AN89" s="106">
        <v>52</v>
      </c>
      <c r="AO89" s="106">
        <v>124675.2</v>
      </c>
      <c r="AP89" s="106">
        <v>43</v>
      </c>
      <c r="AQ89" s="106">
        <v>103096.8</v>
      </c>
      <c r="AR89" s="106">
        <v>11</v>
      </c>
      <c r="AS89" s="106">
        <v>26373.599999999999</v>
      </c>
      <c r="AT89" s="106">
        <v>15</v>
      </c>
      <c r="AU89" s="106">
        <v>35964</v>
      </c>
      <c r="AV89" s="106">
        <v>8</v>
      </c>
      <c r="AW89" s="106">
        <v>19180.8</v>
      </c>
      <c r="AX89" s="106">
        <v>12</v>
      </c>
      <c r="AY89" s="106">
        <v>28771.199999999997</v>
      </c>
      <c r="AZ89" s="106">
        <v>18</v>
      </c>
      <c r="BA89" s="106">
        <v>43156.799999999996</v>
      </c>
      <c r="BB89" s="106">
        <v>19</v>
      </c>
      <c r="BC89" s="106">
        <v>45554.400000000001</v>
      </c>
      <c r="BD89" s="106">
        <v>32</v>
      </c>
      <c r="BE89" s="106">
        <v>76723.199999999997</v>
      </c>
      <c r="BF89" s="106">
        <v>30</v>
      </c>
      <c r="BG89" s="106">
        <v>71928</v>
      </c>
      <c r="BH89" s="106">
        <v>16</v>
      </c>
      <c r="BI89" s="106">
        <v>38361.599999999999</v>
      </c>
      <c r="BJ89" s="106">
        <v>23</v>
      </c>
      <c r="BK89" s="106">
        <v>55144.799999999996</v>
      </c>
      <c r="BL89" s="106">
        <v>28</v>
      </c>
      <c r="BM89" s="106">
        <v>67132.800000000003</v>
      </c>
      <c r="BN89" s="106">
        <v>23</v>
      </c>
      <c r="BO89" s="106">
        <v>55144.799999999996</v>
      </c>
      <c r="BP89" s="106">
        <v>38</v>
      </c>
      <c r="BQ89" s="106">
        <v>91108.800000000003</v>
      </c>
      <c r="BR89" s="106">
        <v>40</v>
      </c>
      <c r="BS89" s="106">
        <v>95904</v>
      </c>
      <c r="BT89" s="106">
        <v>42</v>
      </c>
      <c r="BU89" s="106">
        <v>100699.2</v>
      </c>
      <c r="BV89" s="106">
        <v>51</v>
      </c>
      <c r="BW89" s="106">
        <v>122277.59999999999</v>
      </c>
      <c r="BX89" s="106">
        <v>12</v>
      </c>
      <c r="BY89" s="106">
        <v>28771.199999999997</v>
      </c>
      <c r="BZ89" s="106">
        <v>15</v>
      </c>
      <c r="CA89" s="106">
        <v>35964</v>
      </c>
      <c r="CB89" s="106">
        <v>17</v>
      </c>
      <c r="CC89" s="106">
        <v>40759.199999999997</v>
      </c>
      <c r="CD89" s="106">
        <v>21</v>
      </c>
      <c r="CE89" s="106">
        <v>50349.599999999999</v>
      </c>
      <c r="CF89" s="106">
        <v>31</v>
      </c>
      <c r="CG89" s="106">
        <v>74325.599999999991</v>
      </c>
      <c r="CH89" s="106">
        <v>26</v>
      </c>
      <c r="CI89" s="106">
        <v>62337.599999999999</v>
      </c>
      <c r="CJ89" s="106">
        <v>26</v>
      </c>
      <c r="CK89" s="106">
        <v>62337.599999999999</v>
      </c>
      <c r="CL89" s="106">
        <v>31</v>
      </c>
      <c r="CM89" s="106">
        <v>74325.599999999991</v>
      </c>
      <c r="CN89" s="106">
        <v>9</v>
      </c>
      <c r="CO89" s="106">
        <v>21578.399999999998</v>
      </c>
      <c r="CP89" s="106">
        <v>12</v>
      </c>
      <c r="CQ89" s="106">
        <v>28771.199999999997</v>
      </c>
      <c r="CR89" s="106">
        <v>8</v>
      </c>
      <c r="CS89" s="106">
        <v>19180.8</v>
      </c>
      <c r="CT89" s="106">
        <v>9</v>
      </c>
      <c r="CU89" s="106">
        <v>21578.399999999998</v>
      </c>
    </row>
    <row r="90" spans="2:99" x14ac:dyDescent="0.2">
      <c r="C90" s="105" t="s">
        <v>256</v>
      </c>
      <c r="D90" s="106">
        <v>13</v>
      </c>
      <c r="E90" s="106">
        <v>28563.599999999999</v>
      </c>
      <c r="F90" s="106">
        <v>9</v>
      </c>
      <c r="G90" s="106">
        <v>19774.8</v>
      </c>
      <c r="H90" s="106">
        <v>14</v>
      </c>
      <c r="I90" s="106">
        <v>30760.799999999996</v>
      </c>
      <c r="J90" s="106">
        <v>13</v>
      </c>
      <c r="K90" s="106">
        <v>28563.599999999999</v>
      </c>
      <c r="L90" s="106">
        <v>31</v>
      </c>
      <c r="M90" s="106">
        <v>68113.2</v>
      </c>
      <c r="N90" s="106">
        <v>32</v>
      </c>
      <c r="O90" s="106">
        <v>70310.399999999994</v>
      </c>
      <c r="P90" s="106">
        <v>35</v>
      </c>
      <c r="Q90" s="106">
        <v>76902</v>
      </c>
      <c r="R90" s="106">
        <v>39</v>
      </c>
      <c r="S90" s="106">
        <v>85690.799999999988</v>
      </c>
      <c r="T90" s="106">
        <v>55</v>
      </c>
      <c r="U90" s="106">
        <v>120845.99999999999</v>
      </c>
      <c r="V90" s="106">
        <v>41</v>
      </c>
      <c r="W90" s="106">
        <v>90085.2</v>
      </c>
      <c r="X90" s="106">
        <v>46</v>
      </c>
      <c r="Y90" s="106">
        <v>101071.2</v>
      </c>
      <c r="Z90" s="106">
        <v>57</v>
      </c>
      <c r="AA90" s="106">
        <v>125240.4</v>
      </c>
      <c r="AB90" s="106">
        <v>25</v>
      </c>
      <c r="AC90" s="106">
        <v>54929.999999999993</v>
      </c>
      <c r="AD90" s="106">
        <v>23</v>
      </c>
      <c r="AE90" s="106">
        <v>50535.6</v>
      </c>
      <c r="AF90" s="106">
        <v>19</v>
      </c>
      <c r="AG90" s="106">
        <v>41746.799999999996</v>
      </c>
      <c r="AH90" s="106">
        <v>23</v>
      </c>
      <c r="AI90" s="106">
        <v>50535.6</v>
      </c>
      <c r="AJ90" s="106">
        <v>73</v>
      </c>
      <c r="AK90" s="106">
        <v>160395.59999999998</v>
      </c>
      <c r="AL90" s="106">
        <v>56</v>
      </c>
      <c r="AM90" s="106">
        <v>123043.19999999998</v>
      </c>
      <c r="AN90" s="106">
        <v>58</v>
      </c>
      <c r="AO90" s="106">
        <v>127437.59999999999</v>
      </c>
      <c r="AP90" s="106">
        <v>39</v>
      </c>
      <c r="AQ90" s="106">
        <v>85690.799999999988</v>
      </c>
      <c r="AR90" s="106">
        <v>11</v>
      </c>
      <c r="AS90" s="106">
        <v>24169.199999999997</v>
      </c>
      <c r="AT90" s="106">
        <v>14</v>
      </c>
      <c r="AU90" s="106">
        <v>30760.799999999996</v>
      </c>
      <c r="AV90" s="106">
        <v>9</v>
      </c>
      <c r="AW90" s="106">
        <v>19774.8</v>
      </c>
      <c r="AX90" s="106">
        <v>13</v>
      </c>
      <c r="AY90" s="106">
        <v>28563.599999999999</v>
      </c>
      <c r="AZ90" s="106">
        <v>17</v>
      </c>
      <c r="BA90" s="106">
        <v>37352.399999999994</v>
      </c>
      <c r="BB90" s="106">
        <v>19</v>
      </c>
      <c r="BC90" s="106">
        <v>41746.799999999996</v>
      </c>
      <c r="BD90" s="106">
        <v>29</v>
      </c>
      <c r="BE90" s="106">
        <v>63718.799999999996</v>
      </c>
      <c r="BF90" s="106">
        <v>28</v>
      </c>
      <c r="BG90" s="106">
        <v>61521.599999999991</v>
      </c>
      <c r="BH90" s="106">
        <v>17</v>
      </c>
      <c r="BI90" s="106">
        <v>37352.399999999994</v>
      </c>
      <c r="BJ90" s="106">
        <v>28</v>
      </c>
      <c r="BK90" s="106">
        <v>61521.599999999991</v>
      </c>
      <c r="BL90" s="106">
        <v>30</v>
      </c>
      <c r="BM90" s="106">
        <v>65916</v>
      </c>
      <c r="BN90" s="106">
        <v>23</v>
      </c>
      <c r="BO90" s="106">
        <v>50535.6</v>
      </c>
      <c r="BP90" s="106">
        <v>35</v>
      </c>
      <c r="BQ90" s="106">
        <v>76902</v>
      </c>
      <c r="BR90" s="106">
        <v>40</v>
      </c>
      <c r="BS90" s="106">
        <v>87888</v>
      </c>
      <c r="BT90" s="106">
        <v>46</v>
      </c>
      <c r="BU90" s="106">
        <v>101071.2</v>
      </c>
      <c r="BV90" s="106">
        <v>46</v>
      </c>
      <c r="BW90" s="106">
        <v>101071.2</v>
      </c>
      <c r="BX90" s="106">
        <v>11</v>
      </c>
      <c r="BY90" s="106">
        <v>24169.199999999997</v>
      </c>
      <c r="BZ90" s="106">
        <v>15</v>
      </c>
      <c r="CA90" s="106">
        <v>32958</v>
      </c>
      <c r="CB90" s="106">
        <v>17</v>
      </c>
      <c r="CC90" s="106">
        <v>37352.399999999994</v>
      </c>
      <c r="CD90" s="106">
        <v>22</v>
      </c>
      <c r="CE90" s="106">
        <v>48338.399999999994</v>
      </c>
      <c r="CF90" s="106">
        <v>30</v>
      </c>
      <c r="CG90" s="106">
        <v>65916</v>
      </c>
      <c r="CH90" s="106">
        <v>24</v>
      </c>
      <c r="CI90" s="106">
        <v>52732.799999999996</v>
      </c>
      <c r="CJ90" s="106">
        <v>31</v>
      </c>
      <c r="CK90" s="106">
        <v>68113.2</v>
      </c>
      <c r="CL90" s="106">
        <v>28</v>
      </c>
      <c r="CM90" s="106">
        <v>61521.599999999991</v>
      </c>
      <c r="CN90" s="106">
        <v>9</v>
      </c>
      <c r="CO90" s="106">
        <v>19774.8</v>
      </c>
      <c r="CP90" s="106">
        <v>11</v>
      </c>
      <c r="CQ90" s="106">
        <v>24169.199999999997</v>
      </c>
      <c r="CR90" s="106">
        <v>8</v>
      </c>
      <c r="CS90" s="106">
        <v>17577.599999999999</v>
      </c>
      <c r="CT90" s="106">
        <v>9</v>
      </c>
      <c r="CU90" s="106">
        <v>19774.8</v>
      </c>
    </row>
    <row r="91" spans="2:99" x14ac:dyDescent="0.2">
      <c r="C91" s="105" t="s">
        <v>257</v>
      </c>
      <c r="D91" s="106">
        <v>12</v>
      </c>
      <c r="E91" s="106">
        <v>27561.599999999999</v>
      </c>
      <c r="F91" s="106">
        <v>8</v>
      </c>
      <c r="G91" s="106">
        <v>18374.399999999998</v>
      </c>
      <c r="H91" s="106">
        <v>14</v>
      </c>
      <c r="I91" s="106">
        <v>32155.199999999997</v>
      </c>
      <c r="J91" s="106">
        <v>14</v>
      </c>
      <c r="K91" s="106">
        <v>32155.199999999997</v>
      </c>
      <c r="L91" s="106">
        <v>30</v>
      </c>
      <c r="M91" s="106">
        <v>68903.999999999985</v>
      </c>
      <c r="N91" s="106">
        <v>34</v>
      </c>
      <c r="O91" s="106">
        <v>78091.199999999997</v>
      </c>
      <c r="P91" s="106">
        <v>38</v>
      </c>
      <c r="Q91" s="106">
        <v>87278.399999999994</v>
      </c>
      <c r="R91" s="106">
        <v>39</v>
      </c>
      <c r="S91" s="106">
        <v>89575.199999999983</v>
      </c>
      <c r="T91" s="106">
        <v>58</v>
      </c>
      <c r="U91" s="106">
        <v>133214.39999999999</v>
      </c>
      <c r="V91" s="106">
        <v>34</v>
      </c>
      <c r="W91" s="106">
        <v>78091.199999999997</v>
      </c>
      <c r="X91" s="106">
        <v>44</v>
      </c>
      <c r="Y91" s="106">
        <v>101059.19999999998</v>
      </c>
      <c r="Z91" s="106">
        <v>62</v>
      </c>
      <c r="AA91" s="106">
        <v>142401.59999999998</v>
      </c>
      <c r="AB91" s="106">
        <v>26</v>
      </c>
      <c r="AC91" s="106">
        <v>59716.799999999996</v>
      </c>
      <c r="AD91" s="106">
        <v>23</v>
      </c>
      <c r="AE91" s="106">
        <v>52826.399999999994</v>
      </c>
      <c r="AF91" s="106">
        <v>22</v>
      </c>
      <c r="AG91" s="106">
        <v>50529.599999999991</v>
      </c>
      <c r="AH91" s="106">
        <v>23</v>
      </c>
      <c r="AI91" s="106">
        <v>52826.399999999994</v>
      </c>
      <c r="AJ91" s="106">
        <v>72</v>
      </c>
      <c r="AK91" s="106">
        <v>165369.59999999998</v>
      </c>
      <c r="AL91" s="106">
        <v>61</v>
      </c>
      <c r="AM91" s="106">
        <v>140104.79999999999</v>
      </c>
      <c r="AN91" s="106">
        <v>63</v>
      </c>
      <c r="AO91" s="106">
        <v>144698.4</v>
      </c>
      <c r="AP91" s="106">
        <v>41</v>
      </c>
      <c r="AQ91" s="106">
        <v>94168.799999999988</v>
      </c>
      <c r="AR91" s="106">
        <v>11</v>
      </c>
      <c r="AS91" s="106">
        <v>25264.799999999996</v>
      </c>
      <c r="AT91" s="106">
        <v>15</v>
      </c>
      <c r="AU91" s="106">
        <v>34451.999999999993</v>
      </c>
      <c r="AV91" s="106">
        <v>8</v>
      </c>
      <c r="AW91" s="106">
        <v>18374.399999999998</v>
      </c>
      <c r="AX91" s="106">
        <v>13</v>
      </c>
      <c r="AY91" s="106">
        <v>29858.399999999998</v>
      </c>
      <c r="AZ91" s="106">
        <v>19</v>
      </c>
      <c r="BA91" s="106">
        <v>43639.199999999997</v>
      </c>
      <c r="BB91" s="106">
        <v>20</v>
      </c>
      <c r="BC91" s="106">
        <v>45935.999999999993</v>
      </c>
      <c r="BD91" s="106">
        <v>31</v>
      </c>
      <c r="BE91" s="106">
        <v>71200.799999999988</v>
      </c>
      <c r="BF91" s="106">
        <v>32</v>
      </c>
      <c r="BG91" s="106">
        <v>73497.599999999991</v>
      </c>
      <c r="BH91" s="106">
        <v>15</v>
      </c>
      <c r="BI91" s="106">
        <v>34451.999999999993</v>
      </c>
      <c r="BJ91" s="106">
        <v>24</v>
      </c>
      <c r="BK91" s="106">
        <v>55123.199999999997</v>
      </c>
      <c r="BL91" s="106">
        <v>27</v>
      </c>
      <c r="BM91" s="106">
        <v>62013.599999999991</v>
      </c>
      <c r="BN91" s="106">
        <v>20</v>
      </c>
      <c r="BO91" s="106">
        <v>45935.999999999993</v>
      </c>
      <c r="BP91" s="106">
        <v>35</v>
      </c>
      <c r="BQ91" s="106">
        <v>80387.999999999985</v>
      </c>
      <c r="BR91" s="106">
        <v>36</v>
      </c>
      <c r="BS91" s="106">
        <v>82684.799999999988</v>
      </c>
      <c r="BT91" s="106">
        <v>41</v>
      </c>
      <c r="BU91" s="106">
        <v>94168.799999999988</v>
      </c>
      <c r="BV91" s="106">
        <v>54</v>
      </c>
      <c r="BW91" s="106">
        <v>124027.19999999998</v>
      </c>
      <c r="BX91" s="106">
        <v>11</v>
      </c>
      <c r="BY91" s="106">
        <v>25264.799999999996</v>
      </c>
      <c r="BZ91" s="106">
        <v>17</v>
      </c>
      <c r="CA91" s="106">
        <v>39045.599999999999</v>
      </c>
      <c r="CB91" s="106">
        <v>18</v>
      </c>
      <c r="CC91" s="106">
        <v>41342.399999999994</v>
      </c>
      <c r="CD91" s="106">
        <v>23</v>
      </c>
      <c r="CE91" s="106">
        <v>52826.399999999994</v>
      </c>
      <c r="CF91" s="106">
        <v>30</v>
      </c>
      <c r="CG91" s="106">
        <v>68903.999999999985</v>
      </c>
      <c r="CH91" s="106">
        <v>27</v>
      </c>
      <c r="CI91" s="106">
        <v>62013.599999999991</v>
      </c>
      <c r="CJ91" s="106">
        <v>30</v>
      </c>
      <c r="CK91" s="106">
        <v>68903.999999999985</v>
      </c>
      <c r="CL91" s="106">
        <v>27</v>
      </c>
      <c r="CM91" s="106">
        <v>62013.599999999991</v>
      </c>
      <c r="CN91" s="106">
        <v>9</v>
      </c>
      <c r="CO91" s="106">
        <v>20671.199999999997</v>
      </c>
      <c r="CP91" s="106">
        <v>11</v>
      </c>
      <c r="CQ91" s="106">
        <v>25264.799999999996</v>
      </c>
      <c r="CR91" s="106">
        <v>8</v>
      </c>
      <c r="CS91" s="106">
        <v>18374.399999999998</v>
      </c>
      <c r="CT91" s="106">
        <v>9</v>
      </c>
      <c r="CU91" s="106">
        <v>20671.199999999997</v>
      </c>
    </row>
    <row r="92" spans="2:99" x14ac:dyDescent="0.2">
      <c r="C92" s="105" t="s">
        <v>258</v>
      </c>
      <c r="D92" s="106">
        <v>14</v>
      </c>
      <c r="E92" s="106">
        <v>19891.2</v>
      </c>
      <c r="F92" s="106">
        <v>9</v>
      </c>
      <c r="G92" s="106">
        <v>12787.199999999999</v>
      </c>
      <c r="H92" s="106">
        <v>16</v>
      </c>
      <c r="I92" s="106">
        <v>22732.799999999999</v>
      </c>
      <c r="J92" s="106">
        <v>14</v>
      </c>
      <c r="K92" s="106">
        <v>19891.2</v>
      </c>
      <c r="L92" s="106">
        <v>38</v>
      </c>
      <c r="M92" s="106">
        <v>53990.400000000001</v>
      </c>
      <c r="N92" s="106">
        <v>41</v>
      </c>
      <c r="O92" s="106">
        <v>58252.799999999996</v>
      </c>
      <c r="P92" s="106">
        <v>47</v>
      </c>
      <c r="Q92" s="106">
        <v>66777.599999999991</v>
      </c>
      <c r="R92" s="106">
        <v>41</v>
      </c>
      <c r="S92" s="106">
        <v>58252.799999999996</v>
      </c>
      <c r="T92" s="106">
        <v>72</v>
      </c>
      <c r="U92" s="106">
        <v>102297.59999999999</v>
      </c>
      <c r="V92" s="106">
        <v>45</v>
      </c>
      <c r="W92" s="106">
        <v>63936</v>
      </c>
      <c r="X92" s="106">
        <v>50</v>
      </c>
      <c r="Y92" s="106">
        <v>71040</v>
      </c>
      <c r="Z92" s="106">
        <v>74</v>
      </c>
      <c r="AA92" s="106">
        <v>105139.2</v>
      </c>
      <c r="AB92" s="106">
        <v>24</v>
      </c>
      <c r="AC92" s="106">
        <v>34099.199999999997</v>
      </c>
      <c r="AD92" s="106">
        <v>25</v>
      </c>
      <c r="AE92" s="106">
        <v>35520</v>
      </c>
      <c r="AF92" s="106">
        <v>24</v>
      </c>
      <c r="AG92" s="106">
        <v>34099.199999999997</v>
      </c>
      <c r="AH92" s="106">
        <v>26</v>
      </c>
      <c r="AI92" s="106">
        <v>36940.799999999996</v>
      </c>
      <c r="AJ92" s="106">
        <v>82</v>
      </c>
      <c r="AK92" s="106">
        <v>116505.59999999999</v>
      </c>
      <c r="AL92" s="106">
        <v>75</v>
      </c>
      <c r="AM92" s="106">
        <v>106560</v>
      </c>
      <c r="AN92" s="106">
        <v>70</v>
      </c>
      <c r="AO92" s="106">
        <v>99456</v>
      </c>
      <c r="AP92" s="106">
        <v>43</v>
      </c>
      <c r="AQ92" s="106">
        <v>61094.400000000001</v>
      </c>
      <c r="AR92" s="106">
        <v>12</v>
      </c>
      <c r="AS92" s="106">
        <v>17049.599999999999</v>
      </c>
      <c r="AT92" s="106">
        <v>14</v>
      </c>
      <c r="AU92" s="106">
        <v>19891.2</v>
      </c>
      <c r="AV92" s="106">
        <v>10</v>
      </c>
      <c r="AW92" s="106">
        <v>14208</v>
      </c>
      <c r="AX92" s="106">
        <v>13</v>
      </c>
      <c r="AY92" s="106">
        <v>18470.399999999998</v>
      </c>
      <c r="AZ92" s="106">
        <v>19</v>
      </c>
      <c r="BA92" s="106">
        <v>26995.200000000001</v>
      </c>
      <c r="BB92" s="106">
        <v>22</v>
      </c>
      <c r="BC92" s="106">
        <v>31257.599999999999</v>
      </c>
      <c r="BD92" s="106">
        <v>30</v>
      </c>
      <c r="BE92" s="106">
        <v>42624</v>
      </c>
      <c r="BF92" s="106">
        <v>31</v>
      </c>
      <c r="BG92" s="106">
        <v>44044.799999999996</v>
      </c>
      <c r="BH92" s="106">
        <v>17</v>
      </c>
      <c r="BI92" s="106">
        <v>24153.599999999999</v>
      </c>
      <c r="BJ92" s="106">
        <v>28</v>
      </c>
      <c r="BK92" s="106">
        <v>39782.400000000001</v>
      </c>
      <c r="BL92" s="106">
        <v>27</v>
      </c>
      <c r="BM92" s="106">
        <v>38361.599999999999</v>
      </c>
      <c r="BN92" s="106">
        <v>22</v>
      </c>
      <c r="BO92" s="106">
        <v>31257.599999999999</v>
      </c>
      <c r="BP92" s="106">
        <v>37</v>
      </c>
      <c r="BQ92" s="106">
        <v>52569.599999999999</v>
      </c>
      <c r="BR92" s="106">
        <v>39</v>
      </c>
      <c r="BS92" s="106">
        <v>55411.199999999997</v>
      </c>
      <c r="BT92" s="106">
        <v>45</v>
      </c>
      <c r="BU92" s="106">
        <v>63936</v>
      </c>
      <c r="BV92" s="106">
        <v>52</v>
      </c>
      <c r="BW92" s="106">
        <v>73881.599999999991</v>
      </c>
      <c r="BX92" s="106">
        <v>12</v>
      </c>
      <c r="BY92" s="106">
        <v>17049.599999999999</v>
      </c>
      <c r="BZ92" s="106">
        <v>19</v>
      </c>
      <c r="CA92" s="106">
        <v>26995.200000000001</v>
      </c>
      <c r="CB92" s="106">
        <v>20</v>
      </c>
      <c r="CC92" s="106">
        <v>28416</v>
      </c>
      <c r="CD92" s="106">
        <v>23</v>
      </c>
      <c r="CE92" s="106">
        <v>32678.399999999998</v>
      </c>
      <c r="CF92" s="106">
        <v>35</v>
      </c>
      <c r="CG92" s="106">
        <v>49728</v>
      </c>
      <c r="CH92" s="106">
        <v>29</v>
      </c>
      <c r="CI92" s="106">
        <v>41203.199999999997</v>
      </c>
      <c r="CJ92" s="106">
        <v>31</v>
      </c>
      <c r="CK92" s="106">
        <v>44044.799999999996</v>
      </c>
      <c r="CL92" s="106">
        <v>33</v>
      </c>
      <c r="CM92" s="106">
        <v>46886.400000000001</v>
      </c>
      <c r="CN92" s="106">
        <v>10</v>
      </c>
      <c r="CO92" s="106">
        <v>14208</v>
      </c>
      <c r="CP92" s="106">
        <v>11</v>
      </c>
      <c r="CQ92" s="106">
        <v>15628.8</v>
      </c>
      <c r="CR92" s="106">
        <v>8</v>
      </c>
      <c r="CS92" s="106">
        <v>11366.4</v>
      </c>
      <c r="CT92" s="106">
        <v>9</v>
      </c>
      <c r="CU92" s="106">
        <v>12787.199999999999</v>
      </c>
    </row>
    <row r="93" spans="2:99" x14ac:dyDescent="0.2">
      <c r="C93" s="105" t="s">
        <v>259</v>
      </c>
      <c r="D93" s="106">
        <v>13</v>
      </c>
      <c r="E93" s="106">
        <v>23041.199999999997</v>
      </c>
      <c r="F93" s="106">
        <v>9</v>
      </c>
      <c r="G93" s="106">
        <v>15951.599999999999</v>
      </c>
      <c r="H93" s="106">
        <v>14</v>
      </c>
      <c r="I93" s="106">
        <v>24813.599999999999</v>
      </c>
      <c r="J93" s="106">
        <v>14</v>
      </c>
      <c r="K93" s="106">
        <v>24813.599999999999</v>
      </c>
      <c r="L93" s="106">
        <v>32</v>
      </c>
      <c r="M93" s="106">
        <v>56716.799999999996</v>
      </c>
      <c r="N93" s="106">
        <v>35</v>
      </c>
      <c r="O93" s="106">
        <v>62033.999999999993</v>
      </c>
      <c r="P93" s="106">
        <v>37</v>
      </c>
      <c r="Q93" s="106">
        <v>65578.799999999988</v>
      </c>
      <c r="R93" s="106">
        <v>40</v>
      </c>
      <c r="S93" s="106">
        <v>70896</v>
      </c>
      <c r="T93" s="106">
        <v>61</v>
      </c>
      <c r="U93" s="106">
        <v>108116.4</v>
      </c>
      <c r="V93" s="106">
        <v>41</v>
      </c>
      <c r="W93" s="106">
        <v>72668.399999999994</v>
      </c>
      <c r="X93" s="106">
        <v>45</v>
      </c>
      <c r="Y93" s="106">
        <v>79758</v>
      </c>
      <c r="Z93" s="106">
        <v>71</v>
      </c>
      <c r="AA93" s="106">
        <v>125840.4</v>
      </c>
      <c r="AB93" s="106">
        <v>28</v>
      </c>
      <c r="AC93" s="106">
        <v>49627.199999999997</v>
      </c>
      <c r="AD93" s="106">
        <v>26</v>
      </c>
      <c r="AE93" s="106">
        <v>46082.399999999994</v>
      </c>
      <c r="AF93" s="106">
        <v>22</v>
      </c>
      <c r="AG93" s="106">
        <v>38992.799999999996</v>
      </c>
      <c r="AH93" s="106">
        <v>24</v>
      </c>
      <c r="AI93" s="106">
        <v>42537.599999999999</v>
      </c>
      <c r="AJ93" s="106">
        <v>83</v>
      </c>
      <c r="AK93" s="106">
        <v>147109.19999999998</v>
      </c>
      <c r="AL93" s="106">
        <v>64</v>
      </c>
      <c r="AM93" s="106">
        <v>113433.59999999999</v>
      </c>
      <c r="AN93" s="106">
        <v>62</v>
      </c>
      <c r="AO93" s="106">
        <v>109888.79999999999</v>
      </c>
      <c r="AP93" s="106">
        <v>41</v>
      </c>
      <c r="AQ93" s="106">
        <v>72668.399999999994</v>
      </c>
      <c r="AR93" s="106">
        <v>12</v>
      </c>
      <c r="AS93" s="106">
        <v>21268.799999999999</v>
      </c>
      <c r="AT93" s="106">
        <v>15</v>
      </c>
      <c r="AU93" s="106">
        <v>26585.999999999996</v>
      </c>
      <c r="AV93" s="106">
        <v>9</v>
      </c>
      <c r="AW93" s="106">
        <v>15951.599999999999</v>
      </c>
      <c r="AX93" s="106">
        <v>12</v>
      </c>
      <c r="AY93" s="106">
        <v>21268.799999999999</v>
      </c>
      <c r="AZ93" s="106">
        <v>19</v>
      </c>
      <c r="BA93" s="106">
        <v>33675.599999999999</v>
      </c>
      <c r="BB93" s="106">
        <v>23</v>
      </c>
      <c r="BC93" s="106">
        <v>40765.199999999997</v>
      </c>
      <c r="BD93" s="106">
        <v>31</v>
      </c>
      <c r="BE93" s="106">
        <v>54944.399999999994</v>
      </c>
      <c r="BF93" s="106">
        <v>33</v>
      </c>
      <c r="BG93" s="106">
        <v>58489.2</v>
      </c>
      <c r="BH93" s="106">
        <v>16</v>
      </c>
      <c r="BI93" s="106">
        <v>28358.399999999998</v>
      </c>
      <c r="BJ93" s="106">
        <v>25</v>
      </c>
      <c r="BK93" s="106">
        <v>44310</v>
      </c>
      <c r="BL93" s="106">
        <v>30</v>
      </c>
      <c r="BM93" s="106">
        <v>53171.999999999993</v>
      </c>
      <c r="BN93" s="106">
        <v>22</v>
      </c>
      <c r="BO93" s="106">
        <v>38992.799999999996</v>
      </c>
      <c r="BP93" s="106">
        <v>38</v>
      </c>
      <c r="BQ93" s="106">
        <v>67351.199999999997</v>
      </c>
      <c r="BR93" s="106">
        <v>39</v>
      </c>
      <c r="BS93" s="106">
        <v>69123.599999999991</v>
      </c>
      <c r="BT93" s="106">
        <v>49</v>
      </c>
      <c r="BU93" s="106">
        <v>86847.599999999991</v>
      </c>
      <c r="BV93" s="106">
        <v>52</v>
      </c>
      <c r="BW93" s="106">
        <v>92164.799999999988</v>
      </c>
      <c r="BX93" s="106">
        <v>11</v>
      </c>
      <c r="BY93" s="106">
        <v>19496.399999999998</v>
      </c>
      <c r="BZ93" s="106">
        <v>16</v>
      </c>
      <c r="CA93" s="106">
        <v>28358.399999999998</v>
      </c>
      <c r="CB93" s="106">
        <v>19</v>
      </c>
      <c r="CC93" s="106">
        <v>33675.599999999999</v>
      </c>
      <c r="CD93" s="106">
        <v>23</v>
      </c>
      <c r="CE93" s="106">
        <v>40765.199999999997</v>
      </c>
      <c r="CF93" s="106">
        <v>37</v>
      </c>
      <c r="CG93" s="106">
        <v>65578.799999999988</v>
      </c>
      <c r="CH93" s="106">
        <v>28</v>
      </c>
      <c r="CI93" s="106">
        <v>49627.199999999997</v>
      </c>
      <c r="CJ93" s="106">
        <v>30</v>
      </c>
      <c r="CK93" s="106">
        <v>53171.999999999993</v>
      </c>
      <c r="CL93" s="106">
        <v>32</v>
      </c>
      <c r="CM93" s="106">
        <v>56716.799999999996</v>
      </c>
      <c r="CN93" s="106">
        <v>9</v>
      </c>
      <c r="CO93" s="106">
        <v>15951.599999999999</v>
      </c>
      <c r="CP93" s="106">
        <v>12</v>
      </c>
      <c r="CQ93" s="106">
        <v>21268.799999999999</v>
      </c>
      <c r="CR93" s="106">
        <v>8</v>
      </c>
      <c r="CS93" s="106">
        <v>14179.199999999999</v>
      </c>
      <c r="CT93" s="106">
        <v>9</v>
      </c>
      <c r="CU93" s="106">
        <v>15951.599999999999</v>
      </c>
    </row>
    <row r="94" spans="2:99" x14ac:dyDescent="0.2">
      <c r="C94" s="105" t="s">
        <v>260</v>
      </c>
      <c r="D94" s="106">
        <v>13</v>
      </c>
      <c r="E94" s="106">
        <v>31137.599999999999</v>
      </c>
      <c r="F94" s="106">
        <v>8</v>
      </c>
      <c r="G94" s="106">
        <v>19161.599999999999</v>
      </c>
      <c r="H94" s="106">
        <v>13</v>
      </c>
      <c r="I94" s="106">
        <v>31137.599999999999</v>
      </c>
      <c r="J94" s="106">
        <v>14</v>
      </c>
      <c r="K94" s="106">
        <v>33532.799999999996</v>
      </c>
      <c r="L94" s="106">
        <v>35</v>
      </c>
      <c r="M94" s="106">
        <v>83832</v>
      </c>
      <c r="N94" s="106">
        <v>35</v>
      </c>
      <c r="O94" s="106">
        <v>83832</v>
      </c>
      <c r="P94" s="106">
        <v>39</v>
      </c>
      <c r="Q94" s="106">
        <v>93412.799999999988</v>
      </c>
      <c r="R94" s="106">
        <v>34</v>
      </c>
      <c r="S94" s="106">
        <v>81436.799999999988</v>
      </c>
      <c r="T94" s="106">
        <v>54</v>
      </c>
      <c r="U94" s="106">
        <v>129340.79999999999</v>
      </c>
      <c r="V94" s="106">
        <v>39</v>
      </c>
      <c r="W94" s="106">
        <v>93412.799999999988</v>
      </c>
      <c r="X94" s="106">
        <v>44</v>
      </c>
      <c r="Y94" s="106">
        <v>105388.79999999999</v>
      </c>
      <c r="Z94" s="106">
        <v>66</v>
      </c>
      <c r="AA94" s="106">
        <v>158083.19999999998</v>
      </c>
      <c r="AB94" s="106">
        <v>22</v>
      </c>
      <c r="AC94" s="106">
        <v>52694.399999999994</v>
      </c>
      <c r="AD94" s="106">
        <v>24</v>
      </c>
      <c r="AE94" s="106">
        <v>57484.799999999996</v>
      </c>
      <c r="AF94" s="106">
        <v>20</v>
      </c>
      <c r="AG94" s="106">
        <v>47904</v>
      </c>
      <c r="AH94" s="106">
        <v>21</v>
      </c>
      <c r="AI94" s="106">
        <v>50299.199999999997</v>
      </c>
      <c r="AJ94" s="106">
        <v>73</v>
      </c>
      <c r="AK94" s="106">
        <v>174849.59999999998</v>
      </c>
      <c r="AL94" s="106">
        <v>56</v>
      </c>
      <c r="AM94" s="106">
        <v>134131.19999999998</v>
      </c>
      <c r="AN94" s="106">
        <v>57</v>
      </c>
      <c r="AO94" s="106">
        <v>136526.39999999999</v>
      </c>
      <c r="AP94" s="106">
        <v>41</v>
      </c>
      <c r="AQ94" s="106">
        <v>98203.199999999997</v>
      </c>
      <c r="AR94" s="106">
        <v>11</v>
      </c>
      <c r="AS94" s="106">
        <v>26347.199999999997</v>
      </c>
      <c r="AT94" s="106">
        <v>12</v>
      </c>
      <c r="AU94" s="106">
        <v>28742.399999999998</v>
      </c>
      <c r="AV94" s="106">
        <v>9</v>
      </c>
      <c r="AW94" s="106">
        <v>21556.799999999999</v>
      </c>
      <c r="AX94" s="106">
        <v>11</v>
      </c>
      <c r="AY94" s="106">
        <v>26347.199999999997</v>
      </c>
      <c r="AZ94" s="106">
        <v>19</v>
      </c>
      <c r="BA94" s="106">
        <v>45508.799999999996</v>
      </c>
      <c r="BB94" s="106">
        <v>21</v>
      </c>
      <c r="BC94" s="106">
        <v>50299.199999999997</v>
      </c>
      <c r="BD94" s="106">
        <v>31</v>
      </c>
      <c r="BE94" s="106">
        <v>74251.199999999997</v>
      </c>
      <c r="BF94" s="106">
        <v>29</v>
      </c>
      <c r="BG94" s="106">
        <v>69460.799999999988</v>
      </c>
      <c r="BH94" s="106">
        <v>15</v>
      </c>
      <c r="BI94" s="106">
        <v>35928</v>
      </c>
      <c r="BJ94" s="106">
        <v>27</v>
      </c>
      <c r="BK94" s="106">
        <v>64670.399999999994</v>
      </c>
      <c r="BL94" s="106">
        <v>26</v>
      </c>
      <c r="BM94" s="106">
        <v>62275.199999999997</v>
      </c>
      <c r="BN94" s="106">
        <v>24</v>
      </c>
      <c r="BO94" s="106">
        <v>57484.799999999996</v>
      </c>
      <c r="BP94" s="106">
        <v>33</v>
      </c>
      <c r="BQ94" s="106">
        <v>79041.599999999991</v>
      </c>
      <c r="BR94" s="106">
        <v>41</v>
      </c>
      <c r="BS94" s="106">
        <v>98203.199999999997</v>
      </c>
      <c r="BT94" s="106">
        <v>43</v>
      </c>
      <c r="BU94" s="106">
        <v>102993.59999999999</v>
      </c>
      <c r="BV94" s="106">
        <v>50</v>
      </c>
      <c r="BW94" s="106">
        <v>119759.99999999999</v>
      </c>
      <c r="BX94" s="106">
        <v>11</v>
      </c>
      <c r="BY94" s="106">
        <v>26347.199999999997</v>
      </c>
      <c r="BZ94" s="106">
        <v>15</v>
      </c>
      <c r="CA94" s="106">
        <v>35928</v>
      </c>
      <c r="CB94" s="106">
        <v>18</v>
      </c>
      <c r="CC94" s="106">
        <v>43113.599999999999</v>
      </c>
      <c r="CD94" s="106">
        <v>20</v>
      </c>
      <c r="CE94" s="106">
        <v>47904</v>
      </c>
      <c r="CF94" s="106">
        <v>30</v>
      </c>
      <c r="CG94" s="106">
        <v>71856</v>
      </c>
      <c r="CH94" s="106">
        <v>27</v>
      </c>
      <c r="CI94" s="106">
        <v>64670.399999999994</v>
      </c>
      <c r="CJ94" s="106">
        <v>26</v>
      </c>
      <c r="CK94" s="106">
        <v>62275.199999999997</v>
      </c>
      <c r="CL94" s="106">
        <v>28</v>
      </c>
      <c r="CM94" s="106">
        <v>67065.599999999991</v>
      </c>
      <c r="CN94" s="106">
        <v>9</v>
      </c>
      <c r="CO94" s="106">
        <v>21556.799999999999</v>
      </c>
      <c r="CP94" s="106">
        <v>10</v>
      </c>
      <c r="CQ94" s="106">
        <v>23952</v>
      </c>
      <c r="CR94" s="106">
        <v>7</v>
      </c>
      <c r="CS94" s="106">
        <v>16766.399999999998</v>
      </c>
      <c r="CT94" s="106">
        <v>8</v>
      </c>
      <c r="CU94" s="106">
        <v>19161.599999999999</v>
      </c>
    </row>
    <row r="95" spans="2:99" x14ac:dyDescent="0.2">
      <c r="B95" s="105" t="s">
        <v>132</v>
      </c>
      <c r="C95" s="105" t="s">
        <v>261</v>
      </c>
      <c r="D95" s="106">
        <v>52</v>
      </c>
      <c r="E95" s="106">
        <v>90105.599999999991</v>
      </c>
      <c r="F95" s="106">
        <v>55</v>
      </c>
      <c r="G95" s="106">
        <v>95304</v>
      </c>
      <c r="H95" s="106">
        <v>34</v>
      </c>
      <c r="I95" s="106">
        <v>58915.199999999997</v>
      </c>
      <c r="J95" s="106">
        <v>36</v>
      </c>
      <c r="K95" s="106">
        <v>62380.799999999996</v>
      </c>
      <c r="L95" s="106">
        <v>28</v>
      </c>
      <c r="M95" s="106">
        <v>48518.400000000001</v>
      </c>
      <c r="N95" s="106">
        <v>27</v>
      </c>
      <c r="O95" s="106">
        <v>46785.599999999999</v>
      </c>
      <c r="P95" s="106">
        <v>31</v>
      </c>
      <c r="Q95" s="106">
        <v>53716.799999999996</v>
      </c>
      <c r="R95" s="106">
        <v>27</v>
      </c>
      <c r="S95" s="106">
        <v>46785.599999999999</v>
      </c>
      <c r="T95" s="106">
        <v>78</v>
      </c>
      <c r="U95" s="106">
        <v>135158.39999999999</v>
      </c>
      <c r="V95" s="106">
        <v>81</v>
      </c>
      <c r="W95" s="106">
        <v>140356.79999999999</v>
      </c>
      <c r="X95" s="106">
        <v>82</v>
      </c>
      <c r="Y95" s="106">
        <v>142089.60000000001</v>
      </c>
      <c r="Z95" s="106">
        <v>51</v>
      </c>
      <c r="AA95" s="106">
        <v>88372.800000000003</v>
      </c>
      <c r="AB95" s="106">
        <v>14</v>
      </c>
      <c r="AC95" s="106">
        <v>24259.200000000001</v>
      </c>
      <c r="AD95" s="106">
        <v>13</v>
      </c>
      <c r="AE95" s="106">
        <v>22526.399999999998</v>
      </c>
      <c r="AF95" s="106">
        <v>10</v>
      </c>
      <c r="AG95" s="106">
        <v>17328</v>
      </c>
      <c r="AH95" s="106">
        <v>14</v>
      </c>
      <c r="AI95" s="106">
        <v>24259.200000000001</v>
      </c>
      <c r="AJ95" s="106">
        <v>35</v>
      </c>
      <c r="AK95" s="106">
        <v>60648</v>
      </c>
      <c r="AL95" s="106">
        <v>27</v>
      </c>
      <c r="AM95" s="106">
        <v>46785.599999999999</v>
      </c>
      <c r="AN95" s="106">
        <v>30</v>
      </c>
      <c r="AO95" s="106">
        <v>51984</v>
      </c>
      <c r="AP95" s="106">
        <v>32</v>
      </c>
      <c r="AQ95" s="106">
        <v>55449.599999999999</v>
      </c>
      <c r="AR95" s="106">
        <v>49</v>
      </c>
      <c r="AS95" s="106">
        <v>84907.199999999997</v>
      </c>
      <c r="AT95" s="106">
        <v>31</v>
      </c>
      <c r="AU95" s="106">
        <v>53716.799999999996</v>
      </c>
      <c r="AV95" s="106">
        <v>36</v>
      </c>
      <c r="AW95" s="106">
        <v>62380.799999999996</v>
      </c>
      <c r="AX95" s="106">
        <v>30</v>
      </c>
      <c r="AY95" s="106">
        <v>51984</v>
      </c>
      <c r="AZ95" s="106">
        <v>20</v>
      </c>
      <c r="BA95" s="106">
        <v>34656</v>
      </c>
      <c r="BB95" s="106">
        <v>14</v>
      </c>
      <c r="BC95" s="106">
        <v>24259.200000000001</v>
      </c>
      <c r="BD95" s="106">
        <v>21</v>
      </c>
      <c r="BE95" s="106">
        <v>36388.799999999996</v>
      </c>
      <c r="BF95" s="106">
        <v>17</v>
      </c>
      <c r="BG95" s="106">
        <v>29457.599999999999</v>
      </c>
      <c r="BH95" s="106">
        <v>26</v>
      </c>
      <c r="BI95" s="106">
        <v>45052.799999999996</v>
      </c>
      <c r="BJ95" s="106">
        <v>26</v>
      </c>
      <c r="BK95" s="106">
        <v>45052.799999999996</v>
      </c>
      <c r="BL95" s="106">
        <v>22</v>
      </c>
      <c r="BM95" s="106">
        <v>38121.599999999999</v>
      </c>
      <c r="BN95" s="106">
        <v>29</v>
      </c>
      <c r="BO95" s="106">
        <v>50251.199999999997</v>
      </c>
      <c r="BP95" s="106">
        <v>27</v>
      </c>
      <c r="BQ95" s="106">
        <v>46785.599999999999</v>
      </c>
      <c r="BR95" s="106">
        <v>32</v>
      </c>
      <c r="BS95" s="106">
        <v>55449.599999999999</v>
      </c>
      <c r="BT95" s="106">
        <v>44</v>
      </c>
      <c r="BU95" s="106">
        <v>76243.199999999997</v>
      </c>
      <c r="BV95" s="106">
        <v>34</v>
      </c>
      <c r="BW95" s="106">
        <v>58915.199999999997</v>
      </c>
      <c r="BX95" s="106">
        <v>63</v>
      </c>
      <c r="BY95" s="106">
        <v>109166.39999999999</v>
      </c>
      <c r="BZ95" s="106">
        <v>77</v>
      </c>
      <c r="CA95" s="106">
        <v>133425.60000000001</v>
      </c>
      <c r="CB95" s="106">
        <v>80</v>
      </c>
      <c r="CC95" s="106">
        <v>138624</v>
      </c>
      <c r="CD95" s="106">
        <v>58</v>
      </c>
      <c r="CE95" s="106">
        <v>100502.39999999999</v>
      </c>
      <c r="CF95" s="106">
        <v>16</v>
      </c>
      <c r="CG95" s="106">
        <v>27724.799999999999</v>
      </c>
      <c r="CH95" s="106">
        <v>11</v>
      </c>
      <c r="CI95" s="106">
        <v>19060.8</v>
      </c>
      <c r="CJ95" s="106">
        <v>12</v>
      </c>
      <c r="CK95" s="106">
        <v>20793.599999999999</v>
      </c>
      <c r="CL95" s="106">
        <v>12</v>
      </c>
      <c r="CM95" s="106">
        <v>20793.599999999999</v>
      </c>
      <c r="CN95" s="106">
        <v>55</v>
      </c>
      <c r="CO95" s="106">
        <v>95304</v>
      </c>
      <c r="CP95" s="106">
        <v>33</v>
      </c>
      <c r="CQ95" s="106">
        <v>57182.400000000001</v>
      </c>
      <c r="CR95" s="106">
        <v>33</v>
      </c>
      <c r="CS95" s="106">
        <v>57182.400000000001</v>
      </c>
      <c r="CT95" s="106">
        <v>28</v>
      </c>
      <c r="CU95" s="106">
        <v>48518.400000000001</v>
      </c>
    </row>
    <row r="96" spans="2:99" x14ac:dyDescent="0.2">
      <c r="C96" s="105" t="s">
        <v>262</v>
      </c>
      <c r="D96" s="106">
        <v>53</v>
      </c>
      <c r="E96" s="106">
        <v>43629.599999999999</v>
      </c>
      <c r="F96" s="106">
        <v>59</v>
      </c>
      <c r="G96" s="106">
        <v>48568.799999999996</v>
      </c>
      <c r="H96" s="106">
        <v>33</v>
      </c>
      <c r="I96" s="106">
        <v>27165.599999999999</v>
      </c>
      <c r="J96" s="106">
        <v>42</v>
      </c>
      <c r="K96" s="106">
        <v>34574.399999999994</v>
      </c>
      <c r="L96" s="106">
        <v>32</v>
      </c>
      <c r="M96" s="106">
        <v>26342.399999999998</v>
      </c>
      <c r="N96" s="106">
        <v>30</v>
      </c>
      <c r="O96" s="106">
        <v>24695.999999999996</v>
      </c>
      <c r="P96" s="106">
        <v>36</v>
      </c>
      <c r="Q96" s="106">
        <v>29635.199999999997</v>
      </c>
      <c r="R96" s="106">
        <v>30</v>
      </c>
      <c r="S96" s="106">
        <v>24695.999999999996</v>
      </c>
      <c r="T96" s="106">
        <v>89</v>
      </c>
      <c r="U96" s="106">
        <v>73264.799999999988</v>
      </c>
      <c r="V96" s="106">
        <v>99</v>
      </c>
      <c r="W96" s="106">
        <v>81496.799999999988</v>
      </c>
      <c r="X96" s="106">
        <v>105</v>
      </c>
      <c r="Y96" s="106">
        <v>86436</v>
      </c>
      <c r="Z96" s="106">
        <v>60</v>
      </c>
      <c r="AA96" s="106">
        <v>49391.999999999993</v>
      </c>
      <c r="AB96" s="106">
        <v>14</v>
      </c>
      <c r="AC96" s="106">
        <v>11524.8</v>
      </c>
      <c r="AD96" s="106">
        <v>12</v>
      </c>
      <c r="AE96" s="106">
        <v>9878.4</v>
      </c>
      <c r="AF96" s="106">
        <v>11</v>
      </c>
      <c r="AG96" s="106">
        <v>9055.1999999999989</v>
      </c>
      <c r="AH96" s="106">
        <v>14</v>
      </c>
      <c r="AI96" s="106">
        <v>11524.8</v>
      </c>
      <c r="AJ96" s="106">
        <v>37</v>
      </c>
      <c r="AK96" s="106">
        <v>30458.399999999998</v>
      </c>
      <c r="AL96" s="106">
        <v>31</v>
      </c>
      <c r="AM96" s="106">
        <v>25519.199999999997</v>
      </c>
      <c r="AN96" s="106">
        <v>33</v>
      </c>
      <c r="AO96" s="106">
        <v>27165.599999999999</v>
      </c>
      <c r="AP96" s="106">
        <v>36</v>
      </c>
      <c r="AQ96" s="106">
        <v>29635.199999999997</v>
      </c>
      <c r="AR96" s="106">
        <v>59</v>
      </c>
      <c r="AS96" s="106">
        <v>48568.799999999996</v>
      </c>
      <c r="AT96" s="106">
        <v>36</v>
      </c>
      <c r="AU96" s="106">
        <v>29635.199999999997</v>
      </c>
      <c r="AV96" s="106">
        <v>37</v>
      </c>
      <c r="AW96" s="106">
        <v>30458.399999999998</v>
      </c>
      <c r="AX96" s="106">
        <v>30</v>
      </c>
      <c r="AY96" s="106">
        <v>24695.999999999996</v>
      </c>
      <c r="AZ96" s="106">
        <v>19</v>
      </c>
      <c r="BA96" s="106">
        <v>15640.8</v>
      </c>
      <c r="BB96" s="106">
        <v>14</v>
      </c>
      <c r="BC96" s="106">
        <v>11524.8</v>
      </c>
      <c r="BD96" s="106">
        <v>25</v>
      </c>
      <c r="BE96" s="106">
        <v>20580</v>
      </c>
      <c r="BF96" s="106">
        <v>17</v>
      </c>
      <c r="BG96" s="106">
        <v>13994.4</v>
      </c>
      <c r="BH96" s="106">
        <v>31</v>
      </c>
      <c r="BI96" s="106">
        <v>25519.199999999997</v>
      </c>
      <c r="BJ96" s="106">
        <v>29</v>
      </c>
      <c r="BK96" s="106">
        <v>23872.799999999999</v>
      </c>
      <c r="BL96" s="106">
        <v>27</v>
      </c>
      <c r="BM96" s="106">
        <v>22226.399999999998</v>
      </c>
      <c r="BN96" s="106">
        <v>32</v>
      </c>
      <c r="BO96" s="106">
        <v>26342.399999999998</v>
      </c>
      <c r="BP96" s="106">
        <v>27</v>
      </c>
      <c r="BQ96" s="106">
        <v>22226.399999999998</v>
      </c>
      <c r="BR96" s="106">
        <v>32</v>
      </c>
      <c r="BS96" s="106">
        <v>26342.399999999998</v>
      </c>
      <c r="BT96" s="106">
        <v>52</v>
      </c>
      <c r="BU96" s="106">
        <v>42806.399999999994</v>
      </c>
      <c r="BV96" s="106">
        <v>44</v>
      </c>
      <c r="BW96" s="106">
        <v>36220.799999999996</v>
      </c>
      <c r="BX96" s="106">
        <v>65</v>
      </c>
      <c r="BY96" s="106">
        <v>53507.999999999993</v>
      </c>
      <c r="BZ96" s="106">
        <v>92</v>
      </c>
      <c r="CA96" s="106">
        <v>75734.399999999994</v>
      </c>
      <c r="CB96" s="106">
        <v>97</v>
      </c>
      <c r="CC96" s="106">
        <v>79850.399999999994</v>
      </c>
      <c r="CD96" s="106">
        <v>68</v>
      </c>
      <c r="CE96" s="106">
        <v>55977.599999999999</v>
      </c>
      <c r="CF96" s="106">
        <v>18</v>
      </c>
      <c r="CG96" s="106">
        <v>14817.599999999999</v>
      </c>
      <c r="CH96" s="106">
        <v>12</v>
      </c>
      <c r="CI96" s="106">
        <v>9878.4</v>
      </c>
      <c r="CJ96" s="106">
        <v>13</v>
      </c>
      <c r="CK96" s="106">
        <v>10701.599999999999</v>
      </c>
      <c r="CL96" s="106">
        <v>15</v>
      </c>
      <c r="CM96" s="106">
        <v>12347.999999999998</v>
      </c>
      <c r="CN96" s="106">
        <v>58</v>
      </c>
      <c r="CO96" s="106">
        <v>47745.599999999999</v>
      </c>
      <c r="CP96" s="106">
        <v>35</v>
      </c>
      <c r="CQ96" s="106">
        <v>28811.999999999996</v>
      </c>
      <c r="CR96" s="106">
        <v>40</v>
      </c>
      <c r="CS96" s="106">
        <v>32928</v>
      </c>
      <c r="CT96" s="106">
        <v>33</v>
      </c>
      <c r="CU96" s="106">
        <v>27165.599999999999</v>
      </c>
    </row>
    <row r="97" spans="2:99" x14ac:dyDescent="0.2">
      <c r="C97" s="105" t="s">
        <v>263</v>
      </c>
      <c r="D97" s="106">
        <v>52</v>
      </c>
      <c r="E97" s="106">
        <v>95097.599999999991</v>
      </c>
      <c r="F97" s="106">
        <v>46</v>
      </c>
      <c r="G97" s="106">
        <v>84124.800000000003</v>
      </c>
      <c r="H97" s="106">
        <v>31</v>
      </c>
      <c r="I97" s="106">
        <v>56692.799999999996</v>
      </c>
      <c r="J97" s="106">
        <v>40</v>
      </c>
      <c r="K97" s="106">
        <v>73152</v>
      </c>
      <c r="L97" s="106">
        <v>28</v>
      </c>
      <c r="M97" s="106">
        <v>51206.400000000001</v>
      </c>
      <c r="N97" s="106">
        <v>23</v>
      </c>
      <c r="O97" s="106">
        <v>42062.400000000001</v>
      </c>
      <c r="P97" s="106">
        <v>33</v>
      </c>
      <c r="Q97" s="106">
        <v>60350.400000000001</v>
      </c>
      <c r="R97" s="106">
        <v>31</v>
      </c>
      <c r="S97" s="106">
        <v>56692.799999999996</v>
      </c>
      <c r="T97" s="106">
        <v>88</v>
      </c>
      <c r="U97" s="106">
        <v>160934.39999999999</v>
      </c>
      <c r="V97" s="106">
        <v>82</v>
      </c>
      <c r="W97" s="106">
        <v>149961.60000000001</v>
      </c>
      <c r="X97" s="106">
        <v>87</v>
      </c>
      <c r="Y97" s="106">
        <v>159105.60000000001</v>
      </c>
      <c r="Z97" s="106">
        <v>47</v>
      </c>
      <c r="AA97" s="106">
        <v>85953.599999999991</v>
      </c>
      <c r="AB97" s="106">
        <v>14</v>
      </c>
      <c r="AC97" s="106">
        <v>25603.200000000001</v>
      </c>
      <c r="AD97" s="106">
        <v>11</v>
      </c>
      <c r="AE97" s="106">
        <v>20116.8</v>
      </c>
      <c r="AF97" s="106">
        <v>10</v>
      </c>
      <c r="AG97" s="106">
        <v>18288</v>
      </c>
      <c r="AH97" s="106">
        <v>13</v>
      </c>
      <c r="AI97" s="106">
        <v>23774.399999999998</v>
      </c>
      <c r="AJ97" s="106">
        <v>40</v>
      </c>
      <c r="AK97" s="106">
        <v>73152</v>
      </c>
      <c r="AL97" s="106">
        <v>24</v>
      </c>
      <c r="AM97" s="106">
        <v>43891.199999999997</v>
      </c>
      <c r="AN97" s="106">
        <v>28</v>
      </c>
      <c r="AO97" s="106">
        <v>51206.400000000001</v>
      </c>
      <c r="AP97" s="106">
        <v>32</v>
      </c>
      <c r="AQ97" s="106">
        <v>58521.599999999999</v>
      </c>
      <c r="AR97" s="106">
        <v>45</v>
      </c>
      <c r="AS97" s="106">
        <v>82296</v>
      </c>
      <c r="AT97" s="106">
        <v>28</v>
      </c>
      <c r="AU97" s="106">
        <v>51206.400000000001</v>
      </c>
      <c r="AV97" s="106">
        <v>38</v>
      </c>
      <c r="AW97" s="106">
        <v>69494.399999999994</v>
      </c>
      <c r="AX97" s="106">
        <v>29</v>
      </c>
      <c r="AY97" s="106">
        <v>53035.199999999997</v>
      </c>
      <c r="AZ97" s="106">
        <v>19</v>
      </c>
      <c r="BA97" s="106">
        <v>34747.199999999997</v>
      </c>
      <c r="BB97" s="106">
        <v>13</v>
      </c>
      <c r="BC97" s="106">
        <v>23774.399999999998</v>
      </c>
      <c r="BD97" s="106">
        <v>22</v>
      </c>
      <c r="BE97" s="106">
        <v>40233.599999999999</v>
      </c>
      <c r="BF97" s="106">
        <v>19</v>
      </c>
      <c r="BG97" s="106">
        <v>34747.199999999997</v>
      </c>
      <c r="BH97" s="106">
        <v>29</v>
      </c>
      <c r="BI97" s="106">
        <v>53035.199999999997</v>
      </c>
      <c r="BJ97" s="106">
        <v>25</v>
      </c>
      <c r="BK97" s="106">
        <v>45720</v>
      </c>
      <c r="BL97" s="106">
        <v>22</v>
      </c>
      <c r="BM97" s="106">
        <v>40233.599999999999</v>
      </c>
      <c r="BN97" s="106">
        <v>29</v>
      </c>
      <c r="BO97" s="106">
        <v>53035.199999999997</v>
      </c>
      <c r="BP97" s="106">
        <v>26</v>
      </c>
      <c r="BQ97" s="106">
        <v>47548.799999999996</v>
      </c>
      <c r="BR97" s="106">
        <v>32</v>
      </c>
      <c r="BS97" s="106">
        <v>58521.599999999999</v>
      </c>
      <c r="BT97" s="106">
        <v>50</v>
      </c>
      <c r="BU97" s="106">
        <v>91440</v>
      </c>
      <c r="BV97" s="106">
        <v>37</v>
      </c>
      <c r="BW97" s="106">
        <v>67665.599999999991</v>
      </c>
      <c r="BX97" s="106">
        <v>54</v>
      </c>
      <c r="BY97" s="106">
        <v>98755.199999999997</v>
      </c>
      <c r="BZ97" s="106">
        <v>87</v>
      </c>
      <c r="CA97" s="106">
        <v>159105.60000000001</v>
      </c>
      <c r="CB97" s="106">
        <v>77</v>
      </c>
      <c r="CC97" s="106">
        <v>140817.60000000001</v>
      </c>
      <c r="CD97" s="106">
        <v>55</v>
      </c>
      <c r="CE97" s="106">
        <v>100584</v>
      </c>
      <c r="CF97" s="106">
        <v>17</v>
      </c>
      <c r="CG97" s="106">
        <v>31089.599999999999</v>
      </c>
      <c r="CH97" s="106">
        <v>9</v>
      </c>
      <c r="CI97" s="106">
        <v>16459.2</v>
      </c>
      <c r="CJ97" s="106">
        <v>12</v>
      </c>
      <c r="CK97" s="106">
        <v>21945.599999999999</v>
      </c>
      <c r="CL97" s="106">
        <v>12</v>
      </c>
      <c r="CM97" s="106">
        <v>21945.599999999999</v>
      </c>
      <c r="CN97" s="106">
        <v>49</v>
      </c>
      <c r="CO97" s="106">
        <v>89611.199999999997</v>
      </c>
      <c r="CP97" s="106">
        <v>32</v>
      </c>
      <c r="CQ97" s="106">
        <v>58521.599999999999</v>
      </c>
      <c r="CR97" s="106">
        <v>37</v>
      </c>
      <c r="CS97" s="106">
        <v>67665.599999999991</v>
      </c>
      <c r="CT97" s="106">
        <v>29</v>
      </c>
      <c r="CU97" s="106">
        <v>53035.199999999997</v>
      </c>
    </row>
    <row r="98" spans="2:99" x14ac:dyDescent="0.2">
      <c r="C98" s="105" t="s">
        <v>264</v>
      </c>
      <c r="D98" s="106">
        <v>56</v>
      </c>
      <c r="E98" s="106">
        <v>70761.599999999991</v>
      </c>
      <c r="F98" s="106">
        <v>52</v>
      </c>
      <c r="G98" s="106">
        <v>65707.199999999997</v>
      </c>
      <c r="H98" s="106">
        <v>37</v>
      </c>
      <c r="I98" s="106">
        <v>46753.2</v>
      </c>
      <c r="J98" s="106">
        <v>44</v>
      </c>
      <c r="K98" s="106">
        <v>55598.399999999994</v>
      </c>
      <c r="L98" s="106">
        <v>31</v>
      </c>
      <c r="M98" s="106">
        <v>39171.599999999999</v>
      </c>
      <c r="N98" s="106">
        <v>27</v>
      </c>
      <c r="O98" s="106">
        <v>34117.199999999997</v>
      </c>
      <c r="P98" s="106">
        <v>34</v>
      </c>
      <c r="Q98" s="106">
        <v>42962.399999999994</v>
      </c>
      <c r="R98" s="106">
        <v>33</v>
      </c>
      <c r="S98" s="106">
        <v>41698.799999999996</v>
      </c>
      <c r="T98" s="106">
        <v>91</v>
      </c>
      <c r="U98" s="106">
        <v>114987.59999999999</v>
      </c>
      <c r="V98" s="106">
        <v>82</v>
      </c>
      <c r="W98" s="106">
        <v>103615.2</v>
      </c>
      <c r="X98" s="106">
        <v>100</v>
      </c>
      <c r="Y98" s="106">
        <v>126359.99999999999</v>
      </c>
      <c r="Z98" s="106">
        <v>55</v>
      </c>
      <c r="AA98" s="106">
        <v>69498</v>
      </c>
      <c r="AB98" s="106">
        <v>14</v>
      </c>
      <c r="AC98" s="106">
        <v>17690.399999999998</v>
      </c>
      <c r="AD98" s="106">
        <v>12</v>
      </c>
      <c r="AE98" s="106">
        <v>15163.199999999999</v>
      </c>
      <c r="AF98" s="106">
        <v>11</v>
      </c>
      <c r="AG98" s="106">
        <v>13899.599999999999</v>
      </c>
      <c r="AH98" s="106">
        <v>14</v>
      </c>
      <c r="AI98" s="106">
        <v>17690.399999999998</v>
      </c>
      <c r="AJ98" s="106">
        <v>43</v>
      </c>
      <c r="AK98" s="106">
        <v>54334.799999999996</v>
      </c>
      <c r="AL98" s="106">
        <v>28</v>
      </c>
      <c r="AM98" s="106">
        <v>35380.799999999996</v>
      </c>
      <c r="AN98" s="106">
        <v>33</v>
      </c>
      <c r="AO98" s="106">
        <v>41698.799999999996</v>
      </c>
      <c r="AP98" s="106">
        <v>35</v>
      </c>
      <c r="AQ98" s="106">
        <v>44226</v>
      </c>
      <c r="AR98" s="106">
        <v>55</v>
      </c>
      <c r="AS98" s="106">
        <v>69498</v>
      </c>
      <c r="AT98" s="106">
        <v>35</v>
      </c>
      <c r="AU98" s="106">
        <v>44226</v>
      </c>
      <c r="AV98" s="106">
        <v>38</v>
      </c>
      <c r="AW98" s="106">
        <v>48016.799999999996</v>
      </c>
      <c r="AX98" s="106">
        <v>32</v>
      </c>
      <c r="AY98" s="106">
        <v>40435.199999999997</v>
      </c>
      <c r="AZ98" s="106">
        <v>18</v>
      </c>
      <c r="BA98" s="106">
        <v>22744.799999999999</v>
      </c>
      <c r="BB98" s="106">
        <v>14</v>
      </c>
      <c r="BC98" s="106">
        <v>17690.399999999998</v>
      </c>
      <c r="BD98" s="106">
        <v>24</v>
      </c>
      <c r="BE98" s="106">
        <v>30326.399999999998</v>
      </c>
      <c r="BF98" s="106">
        <v>19</v>
      </c>
      <c r="BG98" s="106">
        <v>24008.399999999998</v>
      </c>
      <c r="BH98" s="106">
        <v>30</v>
      </c>
      <c r="BI98" s="106">
        <v>37908</v>
      </c>
      <c r="BJ98" s="106">
        <v>26</v>
      </c>
      <c r="BK98" s="106">
        <v>32853.599999999999</v>
      </c>
      <c r="BL98" s="106">
        <v>24</v>
      </c>
      <c r="BM98" s="106">
        <v>30326.399999999998</v>
      </c>
      <c r="BN98" s="106">
        <v>32</v>
      </c>
      <c r="BO98" s="106">
        <v>40435.199999999997</v>
      </c>
      <c r="BP98" s="106">
        <v>25</v>
      </c>
      <c r="BQ98" s="106">
        <v>31589.999999999996</v>
      </c>
      <c r="BR98" s="106">
        <v>36</v>
      </c>
      <c r="BS98" s="106">
        <v>45489.599999999999</v>
      </c>
      <c r="BT98" s="106">
        <v>46</v>
      </c>
      <c r="BU98" s="106">
        <v>58125.599999999999</v>
      </c>
      <c r="BV98" s="106">
        <v>41</v>
      </c>
      <c r="BW98" s="106">
        <v>51807.6</v>
      </c>
      <c r="BX98" s="106">
        <v>57</v>
      </c>
      <c r="BY98" s="106">
        <v>72025.2</v>
      </c>
      <c r="BZ98" s="106">
        <v>94</v>
      </c>
      <c r="CA98" s="106">
        <v>118778.4</v>
      </c>
      <c r="CB98" s="106">
        <v>87</v>
      </c>
      <c r="CC98" s="106">
        <v>109933.2</v>
      </c>
      <c r="CD98" s="106">
        <v>53</v>
      </c>
      <c r="CE98" s="106">
        <v>66970.799999999988</v>
      </c>
      <c r="CF98" s="106">
        <v>16</v>
      </c>
      <c r="CG98" s="106">
        <v>20217.599999999999</v>
      </c>
      <c r="CH98" s="106">
        <v>12</v>
      </c>
      <c r="CI98" s="106">
        <v>15163.199999999999</v>
      </c>
      <c r="CJ98" s="106">
        <v>11</v>
      </c>
      <c r="CK98" s="106">
        <v>13899.599999999999</v>
      </c>
      <c r="CL98" s="106">
        <v>13</v>
      </c>
      <c r="CM98" s="106">
        <v>16426.8</v>
      </c>
      <c r="CN98" s="106">
        <v>52</v>
      </c>
      <c r="CO98" s="106">
        <v>65707.199999999997</v>
      </c>
      <c r="CP98" s="106">
        <v>35</v>
      </c>
      <c r="CQ98" s="106">
        <v>44226</v>
      </c>
      <c r="CR98" s="106">
        <v>33</v>
      </c>
      <c r="CS98" s="106">
        <v>41698.799999999996</v>
      </c>
      <c r="CT98" s="106">
        <v>31</v>
      </c>
      <c r="CU98" s="106">
        <v>39171.599999999999</v>
      </c>
    </row>
    <row r="99" spans="2:99" x14ac:dyDescent="0.2">
      <c r="C99" s="105" t="s">
        <v>265</v>
      </c>
      <c r="D99" s="106">
        <v>32</v>
      </c>
      <c r="E99" s="106">
        <v>175411.19999999998</v>
      </c>
      <c r="F99" s="106">
        <v>37</v>
      </c>
      <c r="G99" s="106">
        <v>202819.19999999998</v>
      </c>
      <c r="H99" s="106">
        <v>21</v>
      </c>
      <c r="I99" s="106">
        <v>115113.59999999999</v>
      </c>
      <c r="J99" s="106">
        <v>27</v>
      </c>
      <c r="K99" s="106">
        <v>148003.19999999998</v>
      </c>
      <c r="L99" s="106">
        <v>20</v>
      </c>
      <c r="M99" s="106">
        <v>109631.99999999999</v>
      </c>
      <c r="N99" s="106">
        <v>16</v>
      </c>
      <c r="O99" s="106">
        <v>87705.599999999991</v>
      </c>
      <c r="P99" s="106">
        <v>21</v>
      </c>
      <c r="Q99" s="106">
        <v>115113.59999999999</v>
      </c>
      <c r="R99" s="106">
        <v>20</v>
      </c>
      <c r="S99" s="106">
        <v>109631.99999999999</v>
      </c>
      <c r="T99" s="106">
        <v>49</v>
      </c>
      <c r="U99" s="106">
        <v>268598.39999999997</v>
      </c>
      <c r="V99" s="106">
        <v>51</v>
      </c>
      <c r="W99" s="106">
        <v>279561.59999999998</v>
      </c>
      <c r="X99" s="106">
        <v>53</v>
      </c>
      <c r="Y99" s="106">
        <v>290524.79999999999</v>
      </c>
      <c r="Z99" s="106">
        <v>28</v>
      </c>
      <c r="AA99" s="106">
        <v>153484.79999999999</v>
      </c>
      <c r="AB99" s="106">
        <v>10</v>
      </c>
      <c r="AC99" s="106">
        <v>54815.999999999993</v>
      </c>
      <c r="AD99" s="106">
        <v>10</v>
      </c>
      <c r="AE99" s="106">
        <v>54815.999999999993</v>
      </c>
      <c r="AF99" s="106">
        <v>9</v>
      </c>
      <c r="AG99" s="106">
        <v>49334.399999999994</v>
      </c>
      <c r="AH99" s="106">
        <v>11</v>
      </c>
      <c r="AI99" s="106">
        <v>60297.599999999991</v>
      </c>
      <c r="AJ99" s="106">
        <v>24</v>
      </c>
      <c r="AK99" s="106">
        <v>131558.39999999999</v>
      </c>
      <c r="AL99" s="106">
        <v>16</v>
      </c>
      <c r="AM99" s="106">
        <v>87705.599999999991</v>
      </c>
      <c r="AN99" s="106">
        <v>22</v>
      </c>
      <c r="AO99" s="106">
        <v>120595.19999999998</v>
      </c>
      <c r="AP99" s="106">
        <v>22</v>
      </c>
      <c r="AQ99" s="106">
        <v>120595.19999999998</v>
      </c>
      <c r="AR99" s="106">
        <v>31</v>
      </c>
      <c r="AS99" s="106">
        <v>169929.59999999998</v>
      </c>
      <c r="AT99" s="106">
        <v>22</v>
      </c>
      <c r="AU99" s="106">
        <v>120595.19999999998</v>
      </c>
      <c r="AV99" s="106">
        <v>26</v>
      </c>
      <c r="AW99" s="106">
        <v>142521.59999999998</v>
      </c>
      <c r="AX99" s="106">
        <v>21</v>
      </c>
      <c r="AY99" s="106">
        <v>115113.59999999999</v>
      </c>
      <c r="AZ99" s="106">
        <v>15</v>
      </c>
      <c r="BA99" s="106">
        <v>82223.999999999985</v>
      </c>
      <c r="BB99" s="106">
        <v>12</v>
      </c>
      <c r="BC99" s="106">
        <v>65779.199999999997</v>
      </c>
      <c r="BD99" s="106">
        <v>17</v>
      </c>
      <c r="BE99" s="106">
        <v>93187.199999999997</v>
      </c>
      <c r="BF99" s="106">
        <v>14</v>
      </c>
      <c r="BG99" s="106">
        <v>76742.399999999994</v>
      </c>
      <c r="BH99" s="106">
        <v>19</v>
      </c>
      <c r="BI99" s="106">
        <v>104150.39999999999</v>
      </c>
      <c r="BJ99" s="106">
        <v>19</v>
      </c>
      <c r="BK99" s="106">
        <v>104150.39999999999</v>
      </c>
      <c r="BL99" s="106">
        <v>15</v>
      </c>
      <c r="BM99" s="106">
        <v>82223.999999999985</v>
      </c>
      <c r="BN99" s="106">
        <v>24</v>
      </c>
      <c r="BO99" s="106">
        <v>131558.39999999999</v>
      </c>
      <c r="BP99" s="106">
        <v>18</v>
      </c>
      <c r="BQ99" s="106">
        <v>98668.799999999988</v>
      </c>
      <c r="BR99" s="106">
        <v>22</v>
      </c>
      <c r="BS99" s="106">
        <v>120595.19999999998</v>
      </c>
      <c r="BT99" s="106">
        <v>33</v>
      </c>
      <c r="BU99" s="106">
        <v>180892.79999999999</v>
      </c>
      <c r="BV99" s="106">
        <v>25</v>
      </c>
      <c r="BW99" s="106">
        <v>137040</v>
      </c>
      <c r="BX99" s="106">
        <v>38</v>
      </c>
      <c r="BY99" s="106">
        <v>208300.79999999999</v>
      </c>
      <c r="BZ99" s="106">
        <v>51</v>
      </c>
      <c r="CA99" s="106">
        <v>279561.59999999998</v>
      </c>
      <c r="CB99" s="106">
        <v>51</v>
      </c>
      <c r="CC99" s="106">
        <v>279561.59999999998</v>
      </c>
      <c r="CD99" s="106">
        <v>31</v>
      </c>
      <c r="CE99" s="106">
        <v>169929.59999999998</v>
      </c>
      <c r="CF99" s="106">
        <v>13</v>
      </c>
      <c r="CG99" s="106">
        <v>71260.799999999988</v>
      </c>
      <c r="CH99" s="106">
        <v>9</v>
      </c>
      <c r="CI99" s="106">
        <v>49334.399999999994</v>
      </c>
      <c r="CJ99" s="106">
        <v>10</v>
      </c>
      <c r="CK99" s="106">
        <v>54815.999999999993</v>
      </c>
      <c r="CL99" s="106">
        <v>10</v>
      </c>
      <c r="CM99" s="106">
        <v>54815.999999999993</v>
      </c>
      <c r="CN99" s="106">
        <v>37</v>
      </c>
      <c r="CO99" s="106">
        <v>202819.19999999998</v>
      </c>
      <c r="CP99" s="106">
        <v>24</v>
      </c>
      <c r="CQ99" s="106">
        <v>131558.39999999999</v>
      </c>
      <c r="CR99" s="106">
        <v>26</v>
      </c>
      <c r="CS99" s="106">
        <v>142521.59999999998</v>
      </c>
      <c r="CT99" s="106">
        <v>21</v>
      </c>
      <c r="CU99" s="106">
        <v>115113.59999999999</v>
      </c>
    </row>
    <row r="100" spans="2:99" x14ac:dyDescent="0.2">
      <c r="C100" s="105" t="s">
        <v>266</v>
      </c>
      <c r="D100" s="106">
        <v>48</v>
      </c>
      <c r="E100" s="106">
        <v>77875.199999999997</v>
      </c>
      <c r="F100" s="106">
        <v>50</v>
      </c>
      <c r="G100" s="106">
        <v>81120</v>
      </c>
      <c r="H100" s="106">
        <v>31</v>
      </c>
      <c r="I100" s="106">
        <v>50294.399999999994</v>
      </c>
      <c r="J100" s="106">
        <v>43</v>
      </c>
      <c r="K100" s="106">
        <v>69763.199999999997</v>
      </c>
      <c r="L100" s="106">
        <v>30</v>
      </c>
      <c r="M100" s="106">
        <v>48671.999999999993</v>
      </c>
      <c r="N100" s="106">
        <v>24</v>
      </c>
      <c r="O100" s="106">
        <v>38937.599999999999</v>
      </c>
      <c r="P100" s="106">
        <v>33</v>
      </c>
      <c r="Q100" s="106">
        <v>53539.199999999997</v>
      </c>
      <c r="R100" s="106">
        <v>28</v>
      </c>
      <c r="S100" s="106">
        <v>45427.199999999997</v>
      </c>
      <c r="T100" s="106">
        <v>79</v>
      </c>
      <c r="U100" s="106">
        <v>128169.59999999999</v>
      </c>
      <c r="V100" s="106">
        <v>77</v>
      </c>
      <c r="W100" s="106">
        <v>124924.79999999999</v>
      </c>
      <c r="X100" s="106">
        <v>85</v>
      </c>
      <c r="Y100" s="106">
        <v>137904</v>
      </c>
      <c r="Z100" s="106">
        <v>52</v>
      </c>
      <c r="AA100" s="106">
        <v>84364.799999999988</v>
      </c>
      <c r="AB100" s="106">
        <v>14</v>
      </c>
      <c r="AC100" s="106">
        <v>22713.599999999999</v>
      </c>
      <c r="AD100" s="106">
        <v>11</v>
      </c>
      <c r="AE100" s="106">
        <v>17846.399999999998</v>
      </c>
      <c r="AF100" s="106">
        <v>12</v>
      </c>
      <c r="AG100" s="106">
        <v>19468.8</v>
      </c>
      <c r="AH100" s="106">
        <v>14</v>
      </c>
      <c r="AI100" s="106">
        <v>22713.599999999999</v>
      </c>
      <c r="AJ100" s="106">
        <v>41</v>
      </c>
      <c r="AK100" s="106">
        <v>66518.399999999994</v>
      </c>
      <c r="AL100" s="106">
        <v>26</v>
      </c>
      <c r="AM100" s="106">
        <v>42182.399999999994</v>
      </c>
      <c r="AN100" s="106">
        <v>30</v>
      </c>
      <c r="AO100" s="106">
        <v>48671.999999999993</v>
      </c>
      <c r="AP100" s="106">
        <v>36</v>
      </c>
      <c r="AQ100" s="106">
        <v>58406.399999999994</v>
      </c>
      <c r="AR100" s="106">
        <v>49</v>
      </c>
      <c r="AS100" s="106">
        <v>79497.599999999991</v>
      </c>
      <c r="AT100" s="106">
        <v>32</v>
      </c>
      <c r="AU100" s="106">
        <v>51916.799999999996</v>
      </c>
      <c r="AV100" s="106">
        <v>36</v>
      </c>
      <c r="AW100" s="106">
        <v>58406.399999999994</v>
      </c>
      <c r="AX100" s="106">
        <v>26</v>
      </c>
      <c r="AY100" s="106">
        <v>42182.399999999994</v>
      </c>
      <c r="AZ100" s="106">
        <v>20</v>
      </c>
      <c r="BA100" s="106">
        <v>32447.999999999996</v>
      </c>
      <c r="BB100" s="106">
        <v>13</v>
      </c>
      <c r="BC100" s="106">
        <v>21091.199999999997</v>
      </c>
      <c r="BD100" s="106">
        <v>21</v>
      </c>
      <c r="BE100" s="106">
        <v>34070.399999999994</v>
      </c>
      <c r="BF100" s="106">
        <v>17</v>
      </c>
      <c r="BG100" s="106">
        <v>27580.799999999999</v>
      </c>
      <c r="BH100" s="106">
        <v>26</v>
      </c>
      <c r="BI100" s="106">
        <v>42182.399999999994</v>
      </c>
      <c r="BJ100" s="106">
        <v>25</v>
      </c>
      <c r="BK100" s="106">
        <v>40560</v>
      </c>
      <c r="BL100" s="106">
        <v>22</v>
      </c>
      <c r="BM100" s="106">
        <v>35692.799999999996</v>
      </c>
      <c r="BN100" s="106">
        <v>31</v>
      </c>
      <c r="BO100" s="106">
        <v>50294.399999999994</v>
      </c>
      <c r="BP100" s="106">
        <v>26</v>
      </c>
      <c r="BQ100" s="106">
        <v>42182.399999999994</v>
      </c>
      <c r="BR100" s="106">
        <v>29</v>
      </c>
      <c r="BS100" s="106">
        <v>47049.599999999999</v>
      </c>
      <c r="BT100" s="106">
        <v>43</v>
      </c>
      <c r="BU100" s="106">
        <v>69763.199999999997</v>
      </c>
      <c r="BV100" s="106">
        <v>38</v>
      </c>
      <c r="BW100" s="106">
        <v>61651.199999999997</v>
      </c>
      <c r="BX100" s="106">
        <v>62</v>
      </c>
      <c r="BY100" s="106">
        <v>100588.79999999999</v>
      </c>
      <c r="BZ100" s="106">
        <v>87</v>
      </c>
      <c r="CA100" s="106">
        <v>141148.79999999999</v>
      </c>
      <c r="CB100" s="106">
        <v>75</v>
      </c>
      <c r="CC100" s="106">
        <v>121679.99999999999</v>
      </c>
      <c r="CD100" s="106">
        <v>52</v>
      </c>
      <c r="CE100" s="106">
        <v>84364.799999999988</v>
      </c>
      <c r="CF100" s="106">
        <v>17</v>
      </c>
      <c r="CG100" s="106">
        <v>27580.799999999999</v>
      </c>
      <c r="CH100" s="106">
        <v>10</v>
      </c>
      <c r="CI100" s="106">
        <v>16223.999999999998</v>
      </c>
      <c r="CJ100" s="106">
        <v>12</v>
      </c>
      <c r="CK100" s="106">
        <v>19468.8</v>
      </c>
      <c r="CL100" s="106">
        <v>14</v>
      </c>
      <c r="CM100" s="106">
        <v>22713.599999999999</v>
      </c>
      <c r="CN100" s="106">
        <v>49</v>
      </c>
      <c r="CO100" s="106">
        <v>79497.599999999991</v>
      </c>
      <c r="CP100" s="106">
        <v>33</v>
      </c>
      <c r="CQ100" s="106">
        <v>53539.199999999997</v>
      </c>
      <c r="CR100" s="106">
        <v>38</v>
      </c>
      <c r="CS100" s="106">
        <v>61651.199999999997</v>
      </c>
      <c r="CT100" s="106">
        <v>29</v>
      </c>
      <c r="CU100" s="106">
        <v>47049.599999999999</v>
      </c>
    </row>
    <row r="101" spans="2:99" x14ac:dyDescent="0.2">
      <c r="C101" s="105" t="s">
        <v>267</v>
      </c>
      <c r="D101" s="106">
        <v>55</v>
      </c>
      <c r="E101" s="106">
        <v>65471.999999999993</v>
      </c>
      <c r="F101" s="106">
        <v>59</v>
      </c>
      <c r="G101" s="106">
        <v>70233.599999999991</v>
      </c>
      <c r="H101" s="106">
        <v>36</v>
      </c>
      <c r="I101" s="106">
        <v>42854.399999999994</v>
      </c>
      <c r="J101" s="106">
        <v>38</v>
      </c>
      <c r="K101" s="106">
        <v>45235.199999999997</v>
      </c>
      <c r="L101" s="106">
        <v>29</v>
      </c>
      <c r="M101" s="106">
        <v>34521.599999999999</v>
      </c>
      <c r="N101" s="106">
        <v>27</v>
      </c>
      <c r="O101" s="106">
        <v>32140.799999999996</v>
      </c>
      <c r="P101" s="106">
        <v>35</v>
      </c>
      <c r="Q101" s="106">
        <v>41663.999999999993</v>
      </c>
      <c r="R101" s="106">
        <v>31</v>
      </c>
      <c r="S101" s="106">
        <v>36902.399999999994</v>
      </c>
      <c r="T101" s="106">
        <v>92</v>
      </c>
      <c r="U101" s="106">
        <v>109516.79999999999</v>
      </c>
      <c r="V101" s="106">
        <v>91</v>
      </c>
      <c r="W101" s="106">
        <v>108326.39999999999</v>
      </c>
      <c r="X101" s="106">
        <v>85</v>
      </c>
      <c r="Y101" s="106">
        <v>101183.99999999999</v>
      </c>
      <c r="Z101" s="106">
        <v>53</v>
      </c>
      <c r="AA101" s="106">
        <v>63091.19999999999</v>
      </c>
      <c r="AB101" s="106">
        <v>14</v>
      </c>
      <c r="AC101" s="106">
        <v>16665.599999999999</v>
      </c>
      <c r="AD101" s="106">
        <v>12</v>
      </c>
      <c r="AE101" s="106">
        <v>14284.8</v>
      </c>
      <c r="AF101" s="106">
        <v>11</v>
      </c>
      <c r="AG101" s="106">
        <v>13094.399999999998</v>
      </c>
      <c r="AH101" s="106">
        <v>14</v>
      </c>
      <c r="AI101" s="106">
        <v>16665.599999999999</v>
      </c>
      <c r="AJ101" s="106">
        <v>37</v>
      </c>
      <c r="AK101" s="106">
        <v>44044.799999999996</v>
      </c>
      <c r="AL101" s="106">
        <v>26</v>
      </c>
      <c r="AM101" s="106">
        <v>30950.399999999998</v>
      </c>
      <c r="AN101" s="106">
        <v>30</v>
      </c>
      <c r="AO101" s="106">
        <v>35711.999999999993</v>
      </c>
      <c r="AP101" s="106">
        <v>33</v>
      </c>
      <c r="AQ101" s="106">
        <v>39283.199999999997</v>
      </c>
      <c r="AR101" s="106">
        <v>49</v>
      </c>
      <c r="AS101" s="106">
        <v>58329.599999999991</v>
      </c>
      <c r="AT101" s="106">
        <v>34</v>
      </c>
      <c r="AU101" s="106">
        <v>40473.599999999999</v>
      </c>
      <c r="AV101" s="106">
        <v>42</v>
      </c>
      <c r="AW101" s="106">
        <v>49996.799999999996</v>
      </c>
      <c r="AX101" s="106">
        <v>31</v>
      </c>
      <c r="AY101" s="106">
        <v>36902.399999999994</v>
      </c>
      <c r="AZ101" s="106">
        <v>20</v>
      </c>
      <c r="BA101" s="106">
        <v>23807.999999999996</v>
      </c>
      <c r="BB101" s="106">
        <v>14</v>
      </c>
      <c r="BC101" s="106">
        <v>16665.599999999999</v>
      </c>
      <c r="BD101" s="106">
        <v>21</v>
      </c>
      <c r="BE101" s="106">
        <v>24998.399999999998</v>
      </c>
      <c r="BF101" s="106">
        <v>18</v>
      </c>
      <c r="BG101" s="106">
        <v>21427.199999999997</v>
      </c>
      <c r="BH101" s="106">
        <v>29</v>
      </c>
      <c r="BI101" s="106">
        <v>34521.599999999999</v>
      </c>
      <c r="BJ101" s="106">
        <v>28</v>
      </c>
      <c r="BK101" s="106">
        <v>33331.199999999997</v>
      </c>
      <c r="BL101" s="106">
        <v>24</v>
      </c>
      <c r="BM101" s="106">
        <v>28569.599999999999</v>
      </c>
      <c r="BN101" s="106">
        <v>33</v>
      </c>
      <c r="BO101" s="106">
        <v>39283.199999999997</v>
      </c>
      <c r="BP101" s="106">
        <v>29</v>
      </c>
      <c r="BQ101" s="106">
        <v>34521.599999999999</v>
      </c>
      <c r="BR101" s="106">
        <v>36</v>
      </c>
      <c r="BS101" s="106">
        <v>42854.399999999994</v>
      </c>
      <c r="BT101" s="106">
        <v>47</v>
      </c>
      <c r="BU101" s="106">
        <v>55948.799999999996</v>
      </c>
      <c r="BV101" s="106">
        <v>37</v>
      </c>
      <c r="BW101" s="106">
        <v>44044.799999999996</v>
      </c>
      <c r="BX101" s="106">
        <v>61</v>
      </c>
      <c r="BY101" s="106">
        <v>72614.399999999994</v>
      </c>
      <c r="BZ101" s="106">
        <v>89</v>
      </c>
      <c r="CA101" s="106">
        <v>105945.59999999999</v>
      </c>
      <c r="CB101" s="106">
        <v>90</v>
      </c>
      <c r="CC101" s="106">
        <v>107135.99999999999</v>
      </c>
      <c r="CD101" s="106">
        <v>59</v>
      </c>
      <c r="CE101" s="106">
        <v>70233.599999999991</v>
      </c>
      <c r="CF101" s="106">
        <v>15</v>
      </c>
      <c r="CG101" s="106">
        <v>17855.999999999996</v>
      </c>
      <c r="CH101" s="106">
        <v>11</v>
      </c>
      <c r="CI101" s="106">
        <v>13094.399999999998</v>
      </c>
      <c r="CJ101" s="106">
        <v>13</v>
      </c>
      <c r="CK101" s="106">
        <v>15475.199999999999</v>
      </c>
      <c r="CL101" s="106">
        <v>13</v>
      </c>
      <c r="CM101" s="106">
        <v>15475.199999999999</v>
      </c>
      <c r="CN101" s="106">
        <v>48</v>
      </c>
      <c r="CO101" s="106">
        <v>57139.199999999997</v>
      </c>
      <c r="CP101" s="106">
        <v>37</v>
      </c>
      <c r="CQ101" s="106">
        <v>44044.799999999996</v>
      </c>
      <c r="CR101" s="106">
        <v>34</v>
      </c>
      <c r="CS101" s="106">
        <v>40473.599999999999</v>
      </c>
      <c r="CT101" s="106">
        <v>36</v>
      </c>
      <c r="CU101" s="106">
        <v>42854.399999999994</v>
      </c>
    </row>
    <row r="102" spans="2:99" x14ac:dyDescent="0.2">
      <c r="C102" s="105" t="s">
        <v>268</v>
      </c>
      <c r="D102" s="106">
        <v>54</v>
      </c>
      <c r="E102" s="106">
        <v>104716.79999999999</v>
      </c>
      <c r="F102" s="106">
        <v>54</v>
      </c>
      <c r="G102" s="106">
        <v>104716.79999999999</v>
      </c>
      <c r="H102" s="106">
        <v>33</v>
      </c>
      <c r="I102" s="106">
        <v>63993.599999999991</v>
      </c>
      <c r="J102" s="106">
        <v>39</v>
      </c>
      <c r="K102" s="106">
        <v>75628.799999999988</v>
      </c>
      <c r="L102" s="106">
        <v>24</v>
      </c>
      <c r="M102" s="106">
        <v>46540.799999999996</v>
      </c>
      <c r="N102" s="106">
        <v>24</v>
      </c>
      <c r="O102" s="106">
        <v>46540.799999999996</v>
      </c>
      <c r="P102" s="106">
        <v>29</v>
      </c>
      <c r="Q102" s="106">
        <v>56236.799999999996</v>
      </c>
      <c r="R102" s="106">
        <v>31</v>
      </c>
      <c r="S102" s="106">
        <v>60115.199999999997</v>
      </c>
      <c r="T102" s="106">
        <v>74</v>
      </c>
      <c r="U102" s="106">
        <v>143500.79999999999</v>
      </c>
      <c r="V102" s="106">
        <v>83</v>
      </c>
      <c r="W102" s="106">
        <v>160953.59999999998</v>
      </c>
      <c r="X102" s="106">
        <v>80</v>
      </c>
      <c r="Y102" s="106">
        <v>155136</v>
      </c>
      <c r="Z102" s="106">
        <v>51</v>
      </c>
      <c r="AA102" s="106">
        <v>98899.199999999997</v>
      </c>
      <c r="AB102" s="106">
        <v>12</v>
      </c>
      <c r="AC102" s="106">
        <v>23270.399999999998</v>
      </c>
      <c r="AD102" s="106">
        <v>12</v>
      </c>
      <c r="AE102" s="106">
        <v>23270.399999999998</v>
      </c>
      <c r="AF102" s="106">
        <v>10</v>
      </c>
      <c r="AG102" s="106">
        <v>19392</v>
      </c>
      <c r="AH102" s="106">
        <v>13</v>
      </c>
      <c r="AI102" s="106">
        <v>25209.599999999999</v>
      </c>
      <c r="AJ102" s="106">
        <v>37</v>
      </c>
      <c r="AK102" s="106">
        <v>71750.399999999994</v>
      </c>
      <c r="AL102" s="106">
        <v>26</v>
      </c>
      <c r="AM102" s="106">
        <v>50419.199999999997</v>
      </c>
      <c r="AN102" s="106">
        <v>29</v>
      </c>
      <c r="AO102" s="106">
        <v>56236.799999999996</v>
      </c>
      <c r="AP102" s="106">
        <v>32</v>
      </c>
      <c r="AQ102" s="106">
        <v>62054.399999999994</v>
      </c>
      <c r="AR102" s="106">
        <v>50</v>
      </c>
      <c r="AS102" s="106">
        <v>96959.999999999985</v>
      </c>
      <c r="AT102" s="106">
        <v>27</v>
      </c>
      <c r="AU102" s="106">
        <v>52358.399999999994</v>
      </c>
      <c r="AV102" s="106">
        <v>37</v>
      </c>
      <c r="AW102" s="106">
        <v>71750.399999999994</v>
      </c>
      <c r="AX102" s="106">
        <v>27</v>
      </c>
      <c r="AY102" s="106">
        <v>52358.399999999994</v>
      </c>
      <c r="AZ102" s="106">
        <v>18</v>
      </c>
      <c r="BA102" s="106">
        <v>34905.599999999999</v>
      </c>
      <c r="BB102" s="106">
        <v>15</v>
      </c>
      <c r="BC102" s="106">
        <v>29087.999999999996</v>
      </c>
      <c r="BD102" s="106">
        <v>22</v>
      </c>
      <c r="BE102" s="106">
        <v>42662.399999999994</v>
      </c>
      <c r="BF102" s="106">
        <v>18</v>
      </c>
      <c r="BG102" s="106">
        <v>34905.599999999999</v>
      </c>
      <c r="BH102" s="106">
        <v>28</v>
      </c>
      <c r="BI102" s="106">
        <v>54297.599999999991</v>
      </c>
      <c r="BJ102" s="106">
        <v>26</v>
      </c>
      <c r="BK102" s="106">
        <v>50419.199999999997</v>
      </c>
      <c r="BL102" s="106">
        <v>25</v>
      </c>
      <c r="BM102" s="106">
        <v>48479.999999999993</v>
      </c>
      <c r="BN102" s="106">
        <v>29</v>
      </c>
      <c r="BO102" s="106">
        <v>56236.799999999996</v>
      </c>
      <c r="BP102" s="106">
        <v>24</v>
      </c>
      <c r="BQ102" s="106">
        <v>46540.799999999996</v>
      </c>
      <c r="BR102" s="106">
        <v>31</v>
      </c>
      <c r="BS102" s="106">
        <v>60115.199999999997</v>
      </c>
      <c r="BT102" s="106">
        <v>43</v>
      </c>
      <c r="BU102" s="106">
        <v>83385.599999999991</v>
      </c>
      <c r="BV102" s="106">
        <v>36</v>
      </c>
      <c r="BW102" s="106">
        <v>69811.199999999997</v>
      </c>
      <c r="BX102" s="106">
        <v>62</v>
      </c>
      <c r="BY102" s="106">
        <v>120230.39999999999</v>
      </c>
      <c r="BZ102" s="106">
        <v>89</v>
      </c>
      <c r="CA102" s="106">
        <v>172588.79999999999</v>
      </c>
      <c r="CB102" s="106">
        <v>79</v>
      </c>
      <c r="CC102" s="106">
        <v>153196.79999999999</v>
      </c>
      <c r="CD102" s="106">
        <v>53</v>
      </c>
      <c r="CE102" s="106">
        <v>102777.59999999999</v>
      </c>
      <c r="CF102" s="106">
        <v>16</v>
      </c>
      <c r="CG102" s="106">
        <v>31027.199999999997</v>
      </c>
      <c r="CH102" s="106">
        <v>10</v>
      </c>
      <c r="CI102" s="106">
        <v>19392</v>
      </c>
      <c r="CJ102" s="106">
        <v>11</v>
      </c>
      <c r="CK102" s="106">
        <v>21331.199999999997</v>
      </c>
      <c r="CL102" s="106">
        <v>12</v>
      </c>
      <c r="CM102" s="106">
        <v>23270.399999999998</v>
      </c>
      <c r="CN102" s="106">
        <v>52</v>
      </c>
      <c r="CO102" s="106">
        <v>100838.39999999999</v>
      </c>
      <c r="CP102" s="106">
        <v>34</v>
      </c>
      <c r="CQ102" s="106">
        <v>65932.799999999988</v>
      </c>
      <c r="CR102" s="106">
        <v>36</v>
      </c>
      <c r="CS102" s="106">
        <v>69811.199999999997</v>
      </c>
      <c r="CT102" s="106">
        <v>32</v>
      </c>
      <c r="CU102" s="106">
        <v>62054.399999999994</v>
      </c>
    </row>
    <row r="103" spans="2:99" x14ac:dyDescent="0.2">
      <c r="C103" s="105" t="s">
        <v>269</v>
      </c>
      <c r="D103" s="106">
        <v>49</v>
      </c>
      <c r="E103" s="106">
        <v>99372</v>
      </c>
      <c r="F103" s="106">
        <v>51</v>
      </c>
      <c r="G103" s="106">
        <v>103428</v>
      </c>
      <c r="H103" s="106">
        <v>31</v>
      </c>
      <c r="I103" s="106">
        <v>62868</v>
      </c>
      <c r="J103" s="106">
        <v>38</v>
      </c>
      <c r="K103" s="106">
        <v>77064</v>
      </c>
      <c r="L103" s="106">
        <v>27</v>
      </c>
      <c r="M103" s="106">
        <v>54756</v>
      </c>
      <c r="N103" s="106">
        <v>27</v>
      </c>
      <c r="O103" s="106">
        <v>54756</v>
      </c>
      <c r="P103" s="106">
        <v>26</v>
      </c>
      <c r="Q103" s="106">
        <v>52728</v>
      </c>
      <c r="R103" s="106">
        <v>27</v>
      </c>
      <c r="S103" s="106">
        <v>54756</v>
      </c>
      <c r="T103" s="106">
        <v>76</v>
      </c>
      <c r="U103" s="106">
        <v>154128</v>
      </c>
      <c r="V103" s="106">
        <v>71</v>
      </c>
      <c r="W103" s="106">
        <v>143988</v>
      </c>
      <c r="X103" s="106">
        <v>80</v>
      </c>
      <c r="Y103" s="106">
        <v>162240</v>
      </c>
      <c r="Z103" s="106">
        <v>49</v>
      </c>
      <c r="AA103" s="106">
        <v>99372</v>
      </c>
      <c r="AB103" s="106">
        <v>13</v>
      </c>
      <c r="AC103" s="106">
        <v>26364</v>
      </c>
      <c r="AD103" s="106">
        <v>12</v>
      </c>
      <c r="AE103" s="106">
        <v>24336</v>
      </c>
      <c r="AF103" s="106">
        <v>10</v>
      </c>
      <c r="AG103" s="106">
        <v>20280</v>
      </c>
      <c r="AH103" s="106">
        <v>12</v>
      </c>
      <c r="AI103" s="106">
        <v>24336</v>
      </c>
      <c r="AJ103" s="106">
        <v>34</v>
      </c>
      <c r="AK103" s="106">
        <v>68952</v>
      </c>
      <c r="AL103" s="106">
        <v>23</v>
      </c>
      <c r="AM103" s="106">
        <v>46644</v>
      </c>
      <c r="AN103" s="106">
        <v>27</v>
      </c>
      <c r="AO103" s="106">
        <v>54756</v>
      </c>
      <c r="AP103" s="106">
        <v>30</v>
      </c>
      <c r="AQ103" s="106">
        <v>60840</v>
      </c>
      <c r="AR103" s="106">
        <v>44</v>
      </c>
      <c r="AS103" s="106">
        <v>89232</v>
      </c>
      <c r="AT103" s="106">
        <v>28</v>
      </c>
      <c r="AU103" s="106">
        <v>56784</v>
      </c>
      <c r="AV103" s="106">
        <v>33</v>
      </c>
      <c r="AW103" s="106">
        <v>66924</v>
      </c>
      <c r="AX103" s="106">
        <v>27</v>
      </c>
      <c r="AY103" s="106">
        <v>54756</v>
      </c>
      <c r="AZ103" s="106">
        <v>18</v>
      </c>
      <c r="BA103" s="106">
        <v>36504</v>
      </c>
      <c r="BB103" s="106">
        <v>12</v>
      </c>
      <c r="BC103" s="106">
        <v>24336</v>
      </c>
      <c r="BD103" s="106">
        <v>22</v>
      </c>
      <c r="BE103" s="106">
        <v>44616</v>
      </c>
      <c r="BF103" s="106">
        <v>17</v>
      </c>
      <c r="BG103" s="106">
        <v>34476</v>
      </c>
      <c r="BH103" s="106">
        <v>27</v>
      </c>
      <c r="BI103" s="106">
        <v>54756</v>
      </c>
      <c r="BJ103" s="106">
        <v>23</v>
      </c>
      <c r="BK103" s="106">
        <v>46644</v>
      </c>
      <c r="BL103" s="106">
        <v>23</v>
      </c>
      <c r="BM103" s="106">
        <v>46644</v>
      </c>
      <c r="BN103" s="106">
        <v>28</v>
      </c>
      <c r="BO103" s="106">
        <v>56784</v>
      </c>
      <c r="BP103" s="106">
        <v>23</v>
      </c>
      <c r="BQ103" s="106">
        <v>46644</v>
      </c>
      <c r="BR103" s="106">
        <v>33</v>
      </c>
      <c r="BS103" s="106">
        <v>66924</v>
      </c>
      <c r="BT103" s="106">
        <v>42</v>
      </c>
      <c r="BU103" s="106">
        <v>85176</v>
      </c>
      <c r="BV103" s="106">
        <v>38</v>
      </c>
      <c r="BW103" s="106">
        <v>77064</v>
      </c>
      <c r="BX103" s="106">
        <v>62</v>
      </c>
      <c r="BY103" s="106">
        <v>125736</v>
      </c>
      <c r="BZ103" s="106">
        <v>87</v>
      </c>
      <c r="CA103" s="106">
        <v>176436</v>
      </c>
      <c r="CB103" s="106">
        <v>67</v>
      </c>
      <c r="CC103" s="106">
        <v>135876</v>
      </c>
      <c r="CD103" s="106">
        <v>53</v>
      </c>
      <c r="CE103" s="106">
        <v>107484</v>
      </c>
      <c r="CF103" s="106">
        <v>16</v>
      </c>
      <c r="CG103" s="106">
        <v>32448</v>
      </c>
      <c r="CH103" s="106">
        <v>10</v>
      </c>
      <c r="CI103" s="106">
        <v>20280</v>
      </c>
      <c r="CJ103" s="106">
        <v>12</v>
      </c>
      <c r="CK103" s="106">
        <v>24336</v>
      </c>
      <c r="CL103" s="106">
        <v>14</v>
      </c>
      <c r="CM103" s="106">
        <v>28392</v>
      </c>
      <c r="CN103" s="106">
        <v>47</v>
      </c>
      <c r="CO103" s="106">
        <v>95316</v>
      </c>
      <c r="CP103" s="106">
        <v>33</v>
      </c>
      <c r="CQ103" s="106">
        <v>66924</v>
      </c>
      <c r="CR103" s="106">
        <v>33</v>
      </c>
      <c r="CS103" s="106">
        <v>66924</v>
      </c>
      <c r="CT103" s="106">
        <v>28</v>
      </c>
      <c r="CU103" s="106">
        <v>56784</v>
      </c>
    </row>
    <row r="104" spans="2:99" x14ac:dyDescent="0.2">
      <c r="C104" s="105" t="s">
        <v>270</v>
      </c>
      <c r="D104" s="106">
        <v>52</v>
      </c>
      <c r="E104" s="106">
        <v>107764.8</v>
      </c>
      <c r="F104" s="106">
        <v>46</v>
      </c>
      <c r="G104" s="106">
        <v>95330.400000000009</v>
      </c>
      <c r="H104" s="106">
        <v>31</v>
      </c>
      <c r="I104" s="106">
        <v>64244.4</v>
      </c>
      <c r="J104" s="106">
        <v>41</v>
      </c>
      <c r="K104" s="106">
        <v>84968.400000000009</v>
      </c>
      <c r="L104" s="106">
        <v>26</v>
      </c>
      <c r="M104" s="106">
        <v>53882.400000000001</v>
      </c>
      <c r="N104" s="106">
        <v>26</v>
      </c>
      <c r="O104" s="106">
        <v>53882.400000000001</v>
      </c>
      <c r="P104" s="106">
        <v>26</v>
      </c>
      <c r="Q104" s="106">
        <v>53882.400000000001</v>
      </c>
      <c r="R104" s="106">
        <v>28</v>
      </c>
      <c r="S104" s="106">
        <v>58027.200000000004</v>
      </c>
      <c r="T104" s="106">
        <v>81</v>
      </c>
      <c r="U104" s="106">
        <v>167864.4</v>
      </c>
      <c r="V104" s="106">
        <v>79</v>
      </c>
      <c r="W104" s="106">
        <v>163719.6</v>
      </c>
      <c r="X104" s="106">
        <v>79</v>
      </c>
      <c r="Y104" s="106">
        <v>163719.6</v>
      </c>
      <c r="Z104" s="106">
        <v>43</v>
      </c>
      <c r="AA104" s="106">
        <v>89113.2</v>
      </c>
      <c r="AB104" s="106">
        <v>12</v>
      </c>
      <c r="AC104" s="106">
        <v>24868.800000000003</v>
      </c>
      <c r="AD104" s="106">
        <v>11</v>
      </c>
      <c r="AE104" s="106">
        <v>22796.400000000001</v>
      </c>
      <c r="AF104" s="106">
        <v>11</v>
      </c>
      <c r="AG104" s="106">
        <v>22796.400000000001</v>
      </c>
      <c r="AH104" s="106">
        <v>12</v>
      </c>
      <c r="AI104" s="106">
        <v>24868.800000000003</v>
      </c>
      <c r="AJ104" s="106">
        <v>36</v>
      </c>
      <c r="AK104" s="106">
        <v>74606.400000000009</v>
      </c>
      <c r="AL104" s="106">
        <v>27</v>
      </c>
      <c r="AM104" s="106">
        <v>55954.8</v>
      </c>
      <c r="AN104" s="106">
        <v>27</v>
      </c>
      <c r="AO104" s="106">
        <v>55954.8</v>
      </c>
      <c r="AP104" s="106">
        <v>31</v>
      </c>
      <c r="AQ104" s="106">
        <v>64244.4</v>
      </c>
      <c r="AR104" s="106">
        <v>45</v>
      </c>
      <c r="AS104" s="106">
        <v>93258</v>
      </c>
      <c r="AT104" s="106">
        <v>30</v>
      </c>
      <c r="AU104" s="106">
        <v>62172</v>
      </c>
      <c r="AV104" s="106">
        <v>36</v>
      </c>
      <c r="AW104" s="106">
        <v>74606.400000000009</v>
      </c>
      <c r="AX104" s="106">
        <v>25</v>
      </c>
      <c r="AY104" s="106">
        <v>51810</v>
      </c>
      <c r="AZ104" s="106">
        <v>20</v>
      </c>
      <c r="BA104" s="106">
        <v>41448</v>
      </c>
      <c r="BB104" s="106">
        <v>13</v>
      </c>
      <c r="BC104" s="106">
        <v>26941.200000000001</v>
      </c>
      <c r="BD104" s="106">
        <v>21</v>
      </c>
      <c r="BE104" s="106">
        <v>43520.4</v>
      </c>
      <c r="BF104" s="106">
        <v>17</v>
      </c>
      <c r="BG104" s="106">
        <v>35230.800000000003</v>
      </c>
      <c r="BH104" s="106">
        <v>28</v>
      </c>
      <c r="BI104" s="106">
        <v>58027.200000000004</v>
      </c>
      <c r="BJ104" s="106">
        <v>22</v>
      </c>
      <c r="BK104" s="106">
        <v>45592.800000000003</v>
      </c>
      <c r="BL104" s="106">
        <v>21</v>
      </c>
      <c r="BM104" s="106">
        <v>43520.4</v>
      </c>
      <c r="BN104" s="106">
        <v>30</v>
      </c>
      <c r="BO104" s="106">
        <v>62172</v>
      </c>
      <c r="BP104" s="106">
        <v>25</v>
      </c>
      <c r="BQ104" s="106">
        <v>51810</v>
      </c>
      <c r="BR104" s="106">
        <v>33</v>
      </c>
      <c r="BS104" s="106">
        <v>68389.2</v>
      </c>
      <c r="BT104" s="106">
        <v>44</v>
      </c>
      <c r="BU104" s="106">
        <v>91185.600000000006</v>
      </c>
      <c r="BV104" s="106">
        <v>36</v>
      </c>
      <c r="BW104" s="106">
        <v>74606.400000000009</v>
      </c>
      <c r="BX104" s="106">
        <v>56</v>
      </c>
      <c r="BY104" s="106">
        <v>116054.40000000001</v>
      </c>
      <c r="BZ104" s="106">
        <v>78</v>
      </c>
      <c r="CA104" s="106">
        <v>161647.20000000001</v>
      </c>
      <c r="CB104" s="106">
        <v>70</v>
      </c>
      <c r="CC104" s="106">
        <v>145068</v>
      </c>
      <c r="CD104" s="106">
        <v>51</v>
      </c>
      <c r="CE104" s="106">
        <v>105692.40000000001</v>
      </c>
      <c r="CF104" s="106">
        <v>16</v>
      </c>
      <c r="CG104" s="106">
        <v>33158.400000000001</v>
      </c>
      <c r="CH104" s="106">
        <v>10</v>
      </c>
      <c r="CI104" s="106">
        <v>20724</v>
      </c>
      <c r="CJ104" s="106">
        <v>12</v>
      </c>
      <c r="CK104" s="106">
        <v>24868.800000000003</v>
      </c>
      <c r="CL104" s="106">
        <v>12</v>
      </c>
      <c r="CM104" s="106">
        <v>24868.800000000003</v>
      </c>
      <c r="CN104" s="106">
        <v>47</v>
      </c>
      <c r="CO104" s="106">
        <v>97402.8</v>
      </c>
      <c r="CP104" s="106">
        <v>30</v>
      </c>
      <c r="CQ104" s="106">
        <v>62172</v>
      </c>
      <c r="CR104" s="106">
        <v>32</v>
      </c>
      <c r="CS104" s="106">
        <v>66316.800000000003</v>
      </c>
      <c r="CT104" s="106">
        <v>32</v>
      </c>
      <c r="CU104" s="106">
        <v>66316.800000000003</v>
      </c>
    </row>
    <row r="105" spans="2:99" x14ac:dyDescent="0.2">
      <c r="C105" s="105" t="s">
        <v>271</v>
      </c>
      <c r="D105" s="106">
        <v>49</v>
      </c>
      <c r="E105" s="106">
        <v>97902</v>
      </c>
      <c r="F105" s="106">
        <v>51</v>
      </c>
      <c r="G105" s="106">
        <v>101898</v>
      </c>
      <c r="H105" s="106">
        <v>35</v>
      </c>
      <c r="I105" s="106">
        <v>69930</v>
      </c>
      <c r="J105" s="106">
        <v>38</v>
      </c>
      <c r="K105" s="106">
        <v>75924</v>
      </c>
      <c r="L105" s="106">
        <v>28</v>
      </c>
      <c r="M105" s="106">
        <v>55944</v>
      </c>
      <c r="N105" s="106">
        <v>23</v>
      </c>
      <c r="O105" s="106">
        <v>45954</v>
      </c>
      <c r="P105" s="106">
        <v>28</v>
      </c>
      <c r="Q105" s="106">
        <v>55944</v>
      </c>
      <c r="R105" s="106">
        <v>31</v>
      </c>
      <c r="S105" s="106">
        <v>61938</v>
      </c>
      <c r="T105" s="106">
        <v>81</v>
      </c>
      <c r="U105" s="106">
        <v>161838</v>
      </c>
      <c r="V105" s="106">
        <v>81</v>
      </c>
      <c r="W105" s="106">
        <v>161838</v>
      </c>
      <c r="X105" s="106">
        <v>75</v>
      </c>
      <c r="Y105" s="106">
        <v>149850</v>
      </c>
      <c r="Z105" s="106">
        <v>48</v>
      </c>
      <c r="AA105" s="106">
        <v>95904</v>
      </c>
      <c r="AB105" s="106">
        <v>12</v>
      </c>
      <c r="AC105" s="106">
        <v>23976</v>
      </c>
      <c r="AD105" s="106">
        <v>11</v>
      </c>
      <c r="AE105" s="106">
        <v>21978</v>
      </c>
      <c r="AF105" s="106">
        <v>11</v>
      </c>
      <c r="AG105" s="106">
        <v>21978</v>
      </c>
      <c r="AH105" s="106">
        <v>14</v>
      </c>
      <c r="AI105" s="106">
        <v>27972</v>
      </c>
      <c r="AJ105" s="106">
        <v>38</v>
      </c>
      <c r="AK105" s="106">
        <v>75924</v>
      </c>
      <c r="AL105" s="106">
        <v>26</v>
      </c>
      <c r="AM105" s="106">
        <v>51948</v>
      </c>
      <c r="AN105" s="106">
        <v>32</v>
      </c>
      <c r="AO105" s="106">
        <v>63936</v>
      </c>
      <c r="AP105" s="106">
        <v>30</v>
      </c>
      <c r="AQ105" s="106">
        <v>59940</v>
      </c>
      <c r="AR105" s="106">
        <v>52</v>
      </c>
      <c r="AS105" s="106">
        <v>103896</v>
      </c>
      <c r="AT105" s="106">
        <v>30</v>
      </c>
      <c r="AU105" s="106">
        <v>59940</v>
      </c>
      <c r="AV105" s="106">
        <v>38</v>
      </c>
      <c r="AW105" s="106">
        <v>75924</v>
      </c>
      <c r="AX105" s="106">
        <v>26</v>
      </c>
      <c r="AY105" s="106">
        <v>51948</v>
      </c>
      <c r="AZ105" s="106">
        <v>20</v>
      </c>
      <c r="BA105" s="106">
        <v>39960</v>
      </c>
      <c r="BB105" s="106">
        <v>15</v>
      </c>
      <c r="BC105" s="106">
        <v>29970</v>
      </c>
      <c r="BD105" s="106">
        <v>21</v>
      </c>
      <c r="BE105" s="106">
        <v>41958</v>
      </c>
      <c r="BF105" s="106">
        <v>17</v>
      </c>
      <c r="BG105" s="106">
        <v>33966</v>
      </c>
      <c r="BH105" s="106">
        <v>27</v>
      </c>
      <c r="BI105" s="106">
        <v>53946</v>
      </c>
      <c r="BJ105" s="106">
        <v>23</v>
      </c>
      <c r="BK105" s="106">
        <v>45954</v>
      </c>
      <c r="BL105" s="106">
        <v>21</v>
      </c>
      <c r="BM105" s="106">
        <v>41958</v>
      </c>
      <c r="BN105" s="106">
        <v>33</v>
      </c>
      <c r="BO105" s="106">
        <v>65934</v>
      </c>
      <c r="BP105" s="106">
        <v>26</v>
      </c>
      <c r="BQ105" s="106">
        <v>51948</v>
      </c>
      <c r="BR105" s="106">
        <v>32</v>
      </c>
      <c r="BS105" s="106">
        <v>63936</v>
      </c>
      <c r="BT105" s="106">
        <v>48</v>
      </c>
      <c r="BU105" s="106">
        <v>95904</v>
      </c>
      <c r="BV105" s="106">
        <v>33</v>
      </c>
      <c r="BW105" s="106">
        <v>65934</v>
      </c>
      <c r="BX105" s="106">
        <v>54</v>
      </c>
      <c r="BY105" s="106">
        <v>107892</v>
      </c>
      <c r="BZ105" s="106">
        <v>89</v>
      </c>
      <c r="CA105" s="106">
        <v>177822</v>
      </c>
      <c r="CB105" s="106">
        <v>71</v>
      </c>
      <c r="CC105" s="106">
        <v>141858</v>
      </c>
      <c r="CD105" s="106">
        <v>52</v>
      </c>
      <c r="CE105" s="106">
        <v>103896</v>
      </c>
      <c r="CF105" s="106">
        <v>18</v>
      </c>
      <c r="CG105" s="106">
        <v>35964</v>
      </c>
      <c r="CH105" s="106">
        <v>11</v>
      </c>
      <c r="CI105" s="106">
        <v>21978</v>
      </c>
      <c r="CJ105" s="106">
        <v>12</v>
      </c>
      <c r="CK105" s="106">
        <v>23976</v>
      </c>
      <c r="CL105" s="106">
        <v>13</v>
      </c>
      <c r="CM105" s="106">
        <v>25974</v>
      </c>
      <c r="CN105" s="106">
        <v>45</v>
      </c>
      <c r="CO105" s="106">
        <v>89910</v>
      </c>
      <c r="CP105" s="106">
        <v>30</v>
      </c>
      <c r="CQ105" s="106">
        <v>59940</v>
      </c>
      <c r="CR105" s="106">
        <v>33</v>
      </c>
      <c r="CS105" s="106">
        <v>65934</v>
      </c>
      <c r="CT105" s="106">
        <v>30</v>
      </c>
      <c r="CU105" s="106">
        <v>59940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527</v>
      </c>
      <c r="E112" s="106">
        <f>SUM(L$49:L$70)+SUM(N$49:N$70)+SUM(P$49:P$70)+SUM(R$49:R$70)</f>
        <v>128</v>
      </c>
      <c r="F112" s="106">
        <f>SUM(T$49:T$70)+SUM(V$49:V$70)+SUM(X$49:X$70)+SUM(Z$49:Z$70)</f>
        <v>113</v>
      </c>
      <c r="G112" s="106">
        <f>SUM(AB$49:AB$70)+SUM(AD$49:AD$70)+SUM(AF$49:AF$70)+SUM(AH$49:AH$70)</f>
        <v>89</v>
      </c>
      <c r="H112" s="106">
        <f>SUM(AJ$49:AJ$70)+SUM(AL$49:AL$70)+SUM(AN$49:AN$70)+SUM(AP$49:AP$70)</f>
        <v>266</v>
      </c>
      <c r="I112" s="106">
        <f>SUM(AR$49:AR$70)+SUM(AT$49:AT$70)+SUM(AV$49:AV$70)+SUM(AX$49:AX$70)</f>
        <v>259</v>
      </c>
      <c r="J112" s="106">
        <f>SUM(AZ$49:AZ$70)+SUM(BB$49:BB$70)+SUM(BD$49:BD$70)+SUM(BF$49:BF$70)</f>
        <v>173</v>
      </c>
      <c r="K112" s="106">
        <f>SUM(BH$49:BH$70)+SUM(BJ$49:BJ$70)+SUM(BL$49:BL$70)+SUM(BN$49:BN$70)</f>
        <v>288</v>
      </c>
      <c r="L112" s="106">
        <f>SUM(BP$49:BP$70)+SUM(BR$49:BR$70)+SUM(BT$49:BT$70)+SUM(BV$49:BV$70)</f>
        <v>194</v>
      </c>
      <c r="M112" s="106">
        <f>SUM(BX$49:BX$70)+SUM(BZ$49:BZ$70)+SUM(CB$49:CB$70)+SUM(CD$49:CD$70)</f>
        <v>368</v>
      </c>
      <c r="N112" s="106">
        <f>SUM(CF$49:CF$70)+SUM(CH$49:CH$70)+SUM(CJ$49:CJ$70)+SUM(CL$49:CL$70)</f>
        <v>242</v>
      </c>
      <c r="O112" s="106">
        <f>SUM(CN$49:CN$70)+SUM(CP$49:CP$70)+SUM(CR$49:CR$70)+SUM(CT$49:CT$70)</f>
        <v>153</v>
      </c>
    </row>
    <row r="113" spans="2:15" x14ac:dyDescent="0.2">
      <c r="C113" s="105" t="s">
        <v>130</v>
      </c>
      <c r="D113" s="106">
        <f>SUM(D$71:D$86)+SUM(F$71:F$86)+SUM(H$71:H$86)+SUM(J$71:J$86)</f>
        <v>1209</v>
      </c>
      <c r="E113" s="106">
        <f>SUM(L$71:L$86)+SUM(N$71:N$86)+SUM(P$71:P$86)+SUM(R$71:R$86)</f>
        <v>1920</v>
      </c>
      <c r="F113" s="106">
        <f>SUM(T$71:T$86)+SUM(V$71:V$86)+SUM(X$71:X$86)+SUM(Z$71:Z$86)</f>
        <v>1301</v>
      </c>
      <c r="G113" s="106">
        <f>SUM(AB$71:AB$86)+SUM(AD$71:AD$86)+SUM(AF$71:AF$86)+SUM(AH$71:AH$86)</f>
        <v>1021</v>
      </c>
      <c r="H113" s="106">
        <f>SUM(AJ$71:AJ$86)+SUM(AL$71:AL$86)+SUM(AN$71:AN$86)+SUM(AP$71:AP$86)</f>
        <v>741</v>
      </c>
      <c r="I113" s="106">
        <f>SUM(AR$71:AR$86)+SUM(AT$71:AT$86)+SUM(AV$71:AV$86)+SUM(AX$71:AX$86)</f>
        <v>4858</v>
      </c>
      <c r="J113" s="106">
        <f>SUM(AZ$71:AZ$86)+SUM(BB$71:BB$86)+SUM(BD$71:BD$86)+SUM(BF$71:BF$86)</f>
        <v>654</v>
      </c>
      <c r="K113" s="106">
        <f>SUM(BH$71:BH$86)+SUM(BJ$71:BJ$86)+SUM(BL$71:BL$86)+SUM(BN$71:BN$86)</f>
        <v>3061</v>
      </c>
      <c r="L113" s="106">
        <f>SUM(BP$71:BP$86)+SUM(BR$71:BR$86)+SUM(BT$71:BT$86)+SUM(BV$71:BV$86)</f>
        <v>744</v>
      </c>
      <c r="M113" s="106">
        <f>SUM(BX$71:BX$86)+SUM(BZ$71:BZ$86)+SUM(CB$71:CB$86)+SUM(CD$71:CD$86)</f>
        <v>1022</v>
      </c>
      <c r="N113" s="106">
        <f>SUM(CF$71:CF$86)+SUM(CH$71:CH$86)+SUM(CJ$71:CJ$86)+SUM(CL$71:CL$86)</f>
        <v>687</v>
      </c>
      <c r="O113" s="106">
        <f>SUM(CN$71:CN$86)+SUM(CP$71:CP$86)+SUM(CR$71:CR$86)+SUM(CT$71:CT$86)</f>
        <v>793</v>
      </c>
    </row>
    <row r="114" spans="2:15" x14ac:dyDescent="0.2">
      <c r="C114" s="105" t="s">
        <v>131</v>
      </c>
      <c r="D114" s="106">
        <f>SUM(D$87:D$94)+SUM(F$87:F$94)+SUM(H$87:H$94)+SUM(J$87:J$94)</f>
        <v>392</v>
      </c>
      <c r="E114" s="106">
        <f>SUM(L$87:L$94)+SUM(N$87:N$94)+SUM(P$87:P$94)+SUM(R$87:R$94)</f>
        <v>1159</v>
      </c>
      <c r="F114" s="106">
        <f>SUM(T$87:T$94)+SUM(V$87:V$94)+SUM(X$87:X$94)+SUM(Z$87:Z$94)</f>
        <v>1705</v>
      </c>
      <c r="G114" s="106">
        <f>SUM(AB$87:AB$94)+SUM(AD$87:AD$94)+SUM(AF$87:AF$94)+SUM(AH$87:AH$94)</f>
        <v>753</v>
      </c>
      <c r="H114" s="106">
        <f>SUM(AJ$87:AJ$94)+SUM(AL$87:AL$94)+SUM(AN$87:AN$94)+SUM(AP$87:AP$94)</f>
        <v>1941</v>
      </c>
      <c r="I114" s="106">
        <f>SUM(AR$87:AR$94)+SUM(AT$87:AT$94)+SUM(AV$87:AV$94)+SUM(AX$87:AX$94)</f>
        <v>375</v>
      </c>
      <c r="J114" s="106">
        <f>SUM(AZ$87:AZ$94)+SUM(BB$87:BB$94)+SUM(BD$87:BD$94)+SUM(BF$87:BF$94)</f>
        <v>801</v>
      </c>
      <c r="K114" s="106">
        <f>SUM(BH$87:BH$94)+SUM(BJ$87:BJ$94)+SUM(BL$87:BL$94)+SUM(BN$87:BN$94)</f>
        <v>740</v>
      </c>
      <c r="L114" s="106">
        <f>SUM(BP$87:BP$94)+SUM(BR$87:BR$94)+SUM(BT$87:BT$94)+SUM(BV$87:BV$94)</f>
        <v>1375</v>
      </c>
      <c r="M114" s="106">
        <f>SUM(BX$87:BX$94)+SUM(BZ$87:BZ$94)+SUM(CB$87:CB$94)+SUM(CD$87:CD$94)</f>
        <v>548</v>
      </c>
      <c r="N114" s="106">
        <f>SUM(CF$87:CF$94)+SUM(CH$87:CH$94)+SUM(CJ$87:CJ$94)+SUM(CL$87:CL$94)</f>
        <v>954</v>
      </c>
      <c r="O114" s="106">
        <f>SUM(CN$87:CN$94)+SUM(CP$87:CP$94)+SUM(CR$87:CR$94)+SUM(CT$87:CT$94)</f>
        <v>295</v>
      </c>
    </row>
    <row r="115" spans="2:15" x14ac:dyDescent="0.2">
      <c r="C115" s="105" t="s">
        <v>132</v>
      </c>
      <c r="D115" s="106">
        <f>SUM(D$95:D$105)+SUM(F$95:F$105)+SUM(H$95:H$105)+SUM(J$95:J$105)</f>
        <v>1891</v>
      </c>
      <c r="E115" s="106">
        <f>SUM(L$95:L$105)+SUM(N$95:N$105)+SUM(P$95:P$105)+SUM(R$95:R$105)</f>
        <v>1226</v>
      </c>
      <c r="F115" s="106">
        <f>SUM(T$95:T$105)+SUM(V$95:V$105)+SUM(X$95:X$105)+SUM(Z$95:Z$105)</f>
        <v>3203</v>
      </c>
      <c r="G115" s="106">
        <f>SUM(AB$95:AB$105)+SUM(AD$95:AD$105)+SUM(AF$95:AF$105)+SUM(AH$95:AH$105)</f>
        <v>531</v>
      </c>
      <c r="H115" s="106">
        <f>SUM(AJ$95:AJ$105)+SUM(AL$95:AL$105)+SUM(AN$95:AN$105)+SUM(AP$95:AP$105)</f>
        <v>1352</v>
      </c>
      <c r="I115" s="106">
        <f>SUM(AR$95:AR$105)+SUM(AT$95:AT$105)+SUM(AV$95:AV$105)+SUM(AX$95:AX$105)</f>
        <v>1562</v>
      </c>
      <c r="J115" s="106">
        <f>SUM(AZ$95:AZ$105)+SUM(BB$95:BB$105)+SUM(BD$95:BD$105)+SUM(BF$95:BF$105)</f>
        <v>783</v>
      </c>
      <c r="K115" s="106">
        <f>SUM(BH$95:BH$105)+SUM(BJ$95:BJ$105)+SUM(BL$95:BL$105)+SUM(BN$95:BN$105)</f>
        <v>1148</v>
      </c>
      <c r="L115" s="106">
        <f>SUM(BP$95:BP$105)+SUM(BR$95:BR$105)+SUM(BT$95:BT$105)+SUM(BV$95:BV$105)</f>
        <v>1515</v>
      </c>
      <c r="M115" s="106">
        <f>SUM(BX$95:BX$105)+SUM(BZ$95:BZ$105)+SUM(CB$95:CB$105)+SUM(CD$95:CD$105)</f>
        <v>2983</v>
      </c>
      <c r="N115" s="106">
        <f>SUM(CF$95:CF$105)+SUM(CH$95:CH$105)+SUM(CJ$95:CJ$105)+SUM(CL$95:CL$105)</f>
        <v>563</v>
      </c>
      <c r="O115" s="106">
        <f>SUM(CN$95:CN$105)+SUM(CP$95:CP$105)+SUM(CR$95:CR$105)+SUM(CT$95:CT$105)</f>
        <v>1599</v>
      </c>
    </row>
    <row r="116" spans="2:15" x14ac:dyDescent="0.2">
      <c r="C116" s="105" t="s">
        <v>278</v>
      </c>
      <c r="D116" s="106">
        <f t="shared" ref="D116:O116" si="0">SUM(D$109:D$115)</f>
        <v>4019</v>
      </c>
      <c r="E116" s="106">
        <f t="shared" si="0"/>
        <v>4433</v>
      </c>
      <c r="F116" s="106">
        <f t="shared" si="0"/>
        <v>6322</v>
      </c>
      <c r="G116" s="106">
        <f t="shared" si="0"/>
        <v>2394</v>
      </c>
      <c r="H116" s="106">
        <f t="shared" si="0"/>
        <v>4300</v>
      </c>
      <c r="I116" s="106">
        <f t="shared" si="0"/>
        <v>7054</v>
      </c>
      <c r="J116" s="106">
        <f t="shared" si="0"/>
        <v>2411</v>
      </c>
      <c r="K116" s="106">
        <f t="shared" si="0"/>
        <v>5237</v>
      </c>
      <c r="L116" s="106">
        <f t="shared" si="0"/>
        <v>3828</v>
      </c>
      <c r="M116" s="106">
        <f t="shared" si="0"/>
        <v>4921</v>
      </c>
      <c r="N116" s="106">
        <f t="shared" si="0"/>
        <v>2446</v>
      </c>
      <c r="O116" s="106">
        <f t="shared" si="0"/>
        <v>2840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0</v>
      </c>
      <c r="E120" s="106">
        <f>E109*pricing!E15*2000</f>
        <v>0</v>
      </c>
      <c r="F120" s="106">
        <f>F109*pricing!F15*2000</f>
        <v>0</v>
      </c>
      <c r="G120" s="106">
        <f>G109*pricing!G15*2000</f>
        <v>0</v>
      </c>
      <c r="H120" s="106">
        <f>H109*pricing!H15*2000</f>
        <v>0</v>
      </c>
      <c r="I120" s="106">
        <f>I109*pricing!I15*2000</f>
        <v>0</v>
      </c>
      <c r="J120" s="106">
        <f>J109*pricing!J15*2000</f>
        <v>0</v>
      </c>
      <c r="K120" s="106">
        <f>K109*pricing!K15*2000</f>
        <v>0</v>
      </c>
      <c r="L120" s="106">
        <f>L109*pricing!L15*2000</f>
        <v>0</v>
      </c>
      <c r="M120" s="106">
        <f>M109*pricing!M15*2000</f>
        <v>0</v>
      </c>
      <c r="N120" s="106">
        <f>N109*pricing!N15*2000</f>
        <v>0</v>
      </c>
      <c r="O120" s="106">
        <f>O109*pricing!O15*2000</f>
        <v>0</v>
      </c>
    </row>
    <row r="121" spans="2:15" x14ac:dyDescent="0.2">
      <c r="C121" s="105" t="s">
        <v>127</v>
      </c>
      <c r="D121" s="106">
        <f>D110*pricing!D16*2000</f>
        <v>0</v>
      </c>
      <c r="E121" s="106">
        <f>E110*pricing!E16*2000</f>
        <v>0</v>
      </c>
      <c r="F121" s="106">
        <f>F110*pricing!F16*2000</f>
        <v>0</v>
      </c>
      <c r="G121" s="106">
        <f>G110*pricing!G16*2000</f>
        <v>0</v>
      </c>
      <c r="H121" s="106">
        <f>H110*pricing!H16*2000</f>
        <v>0</v>
      </c>
      <c r="I121" s="106">
        <f>I110*pricing!I16*2000</f>
        <v>0</v>
      </c>
      <c r="J121" s="106">
        <f>J110*pricing!J16*2000</f>
        <v>0</v>
      </c>
      <c r="K121" s="106">
        <f>K110*pricing!K16*2000</f>
        <v>0</v>
      </c>
      <c r="L121" s="106">
        <f>L110*pricing!L16*2000</f>
        <v>0</v>
      </c>
      <c r="M121" s="106">
        <f>M110*pricing!M16*2000</f>
        <v>0</v>
      </c>
      <c r="N121" s="106">
        <f>N110*pricing!N16*2000</f>
        <v>0</v>
      </c>
      <c r="O121" s="106">
        <f>O110*pricing!O16*2000</f>
        <v>0</v>
      </c>
    </row>
    <row r="122" spans="2:15" x14ac:dyDescent="0.2">
      <c r="C122" s="105" t="s">
        <v>128</v>
      </c>
      <c r="D122" s="106">
        <f>D111*pricing!D17*2000</f>
        <v>0</v>
      </c>
      <c r="E122" s="106">
        <f>E111*pricing!E17*2000</f>
        <v>0</v>
      </c>
      <c r="F122" s="106">
        <f>F111*pricing!F17*2000</f>
        <v>0</v>
      </c>
      <c r="G122" s="106">
        <f>G111*pricing!G17*2000</f>
        <v>0</v>
      </c>
      <c r="H122" s="106">
        <f>H111*pricing!H17*2000</f>
        <v>0</v>
      </c>
      <c r="I122" s="106">
        <f>I111*pricing!I17*2000</f>
        <v>0</v>
      </c>
      <c r="J122" s="106">
        <f>J111*pricing!J17*2000</f>
        <v>0</v>
      </c>
      <c r="K122" s="106">
        <f>K111*pricing!K17*2000</f>
        <v>0</v>
      </c>
      <c r="L122" s="106">
        <f>L111*pricing!L17*2000</f>
        <v>0</v>
      </c>
      <c r="M122" s="106">
        <f>M111*pricing!M17*2000</f>
        <v>0</v>
      </c>
      <c r="N122" s="106">
        <f>N111*pricing!N17*2000</f>
        <v>0</v>
      </c>
      <c r="O122" s="106">
        <f>O111*pricing!O17*2000</f>
        <v>0</v>
      </c>
    </row>
    <row r="123" spans="2:15" x14ac:dyDescent="0.2">
      <c r="C123" s="105" t="s">
        <v>129</v>
      </c>
      <c r="D123" s="106">
        <f>D112*pricing!D18*2000</f>
        <v>1458279.881739598</v>
      </c>
      <c r="E123" s="106">
        <f>E112*pricing!E18*2000</f>
        <v>691934.90589055454</v>
      </c>
      <c r="F123" s="106">
        <f>F112*pricing!F18*2000</f>
        <v>700609.16345986177</v>
      </c>
      <c r="G123" s="106">
        <f>G112*pricing!G18*2000</f>
        <v>622104.79057738069</v>
      </c>
      <c r="H123" s="106">
        <f>H112*pricing!H18*2000</f>
        <v>997498.00948422775</v>
      </c>
      <c r="I123" s="106">
        <f>I112*pricing!I18*2000</f>
        <v>993979.83274666476</v>
      </c>
      <c r="J123" s="106">
        <f>J112*pricing!J18*2000</f>
        <v>865685.0275230814</v>
      </c>
      <c r="K123" s="106">
        <f>K112*pricing!K18*2000</f>
        <v>1160735.2640421472</v>
      </c>
      <c r="L123" s="106">
        <f>L112*pricing!L18*2000</f>
        <v>886434.94664207229</v>
      </c>
      <c r="M123" s="106">
        <f>M112*pricing!M18*2000</f>
        <v>1264489.7581843305</v>
      </c>
      <c r="N123" s="106">
        <f>N112*pricing!N18*2000</f>
        <v>992833.84707525198</v>
      </c>
      <c r="O123" s="106">
        <f>O112*pricing!O18*2000</f>
        <v>766985.84347465762</v>
      </c>
    </row>
    <row r="124" spans="2:15" x14ac:dyDescent="0.2">
      <c r="C124" s="105" t="s">
        <v>130</v>
      </c>
      <c r="D124" s="106">
        <f>D113*pricing!D19*2000</f>
        <v>5919599.7026558425</v>
      </c>
      <c r="E124" s="106">
        <f>E113*pricing!E19*2000</f>
        <v>7985551.1819943413</v>
      </c>
      <c r="F124" s="106">
        <f>F113*pricing!F19*2000</f>
        <v>6674659.8795856079</v>
      </c>
      <c r="G124" s="106">
        <f>G113*pricing!G19*2000</f>
        <v>5954134.6406699307</v>
      </c>
      <c r="H124" s="106">
        <f>H113*pricing!H19*2000</f>
        <v>4551328.4915647041</v>
      </c>
      <c r="I124" s="106">
        <f>I113*pricing!I19*2000</f>
        <v>11660165.452863991</v>
      </c>
      <c r="J124" s="106">
        <f>J113*pricing!J19*2000</f>
        <v>4698642.7158961603</v>
      </c>
      <c r="K124" s="106">
        <f>K113*pricing!K19*2000</f>
        <v>10333330.925347261</v>
      </c>
      <c r="L124" s="106">
        <f>L113*pricing!L19*2000</f>
        <v>5068146.977024409</v>
      </c>
      <c r="M124" s="106">
        <f>M113*pricing!M19*2000</f>
        <v>5607182.6595470412</v>
      </c>
      <c r="N124" s="106">
        <f>N113*pricing!N19*2000</f>
        <v>4571632.8776090462</v>
      </c>
      <c r="O124" s="106">
        <f>O113*pricing!O19*2000</f>
        <v>4662717.1124613937</v>
      </c>
    </row>
    <row r="125" spans="2:15" x14ac:dyDescent="0.2">
      <c r="C125" s="105" t="s">
        <v>131</v>
      </c>
      <c r="D125" s="106">
        <f>D114*pricing!D20*2000</f>
        <v>1975877.7051745097</v>
      </c>
      <c r="E125" s="106">
        <f>E114*pricing!E20*2000</f>
        <v>3200796.3731251978</v>
      </c>
      <c r="F125" s="106">
        <f>F114*pricing!F20*2000</f>
        <v>3754829.4120399752</v>
      </c>
      <c r="G125" s="106">
        <f>G114*pricing!G20*2000</f>
        <v>2940125.3902445785</v>
      </c>
      <c r="H125" s="106">
        <f>H114*pricing!H20*2000</f>
        <v>4203825.5452578459</v>
      </c>
      <c r="I125" s="106">
        <f>I114*pricing!I20*2000</f>
        <v>1915052.9188263509</v>
      </c>
      <c r="J125" s="106">
        <f>J114*pricing!J20*2000</f>
        <v>2945605.9237110582</v>
      </c>
      <c r="K125" s="106">
        <f>K114*pricing!K20*2000</f>
        <v>2915844.513304532</v>
      </c>
      <c r="L125" s="106">
        <f>L114*pricing!L20*2000</f>
        <v>3694015.4621795565</v>
      </c>
      <c r="M125" s="106">
        <f>M114*pricing!M20*2000</f>
        <v>2502426.7130978554</v>
      </c>
      <c r="N125" s="106">
        <f>N114*pricing!N20*2000</f>
        <v>3002930.2109093042</v>
      </c>
      <c r="O125" s="106">
        <f>O114*pricing!O20*2000</f>
        <v>1772094.4185216103</v>
      </c>
    </row>
    <row r="126" spans="2:15" x14ac:dyDescent="0.2">
      <c r="C126" s="105" t="s">
        <v>132</v>
      </c>
      <c r="D126" s="106">
        <f>D115*pricing!D21*2000</f>
        <v>5760598.4669403657</v>
      </c>
      <c r="E126" s="106">
        <f>E115*pricing!E21*2000</f>
        <v>3865690.652862153</v>
      </c>
      <c r="F126" s="106">
        <f>F115*pricing!F21*2000</f>
        <v>7210281.6505916202</v>
      </c>
      <c r="G126" s="106">
        <f>G115*pricing!G21*2000</f>
        <v>3339423.5996690406</v>
      </c>
      <c r="H126" s="106">
        <f>H115*pricing!H21*2000</f>
        <v>4815810.2261179071</v>
      </c>
      <c r="I126" s="106">
        <f>I115*pricing!I21*2000</f>
        <v>4943445.595212264</v>
      </c>
      <c r="J126" s="106">
        <f>J115*pricing!J21*2000</f>
        <v>3867755.7829541634</v>
      </c>
      <c r="K126" s="106">
        <f>K115*pricing!K21*2000</f>
        <v>4589633.6648845738</v>
      </c>
      <c r="L126" s="106">
        <f>L115*pricing!L21*2000</f>
        <v>4899732.4031239264</v>
      </c>
      <c r="M126" s="106">
        <f>M115*pricing!M21*2000</f>
        <v>6628778.6386643322</v>
      </c>
      <c r="N126" s="106">
        <f>N115*pricing!N21*2000</f>
        <v>3210006.6522656223</v>
      </c>
      <c r="O126" s="106">
        <f>O115*pricing!O21*2000</f>
        <v>5117770.4887118805</v>
      </c>
    </row>
    <row r="127" spans="2:15" x14ac:dyDescent="0.2">
      <c r="C127" s="105" t="s">
        <v>278</v>
      </c>
      <c r="D127" s="106">
        <f t="shared" ref="D127:O127" si="1">SUM(D$120:D$126)</f>
        <v>15114355.756510315</v>
      </c>
      <c r="E127" s="106">
        <f t="shared" si="1"/>
        <v>15743973.113872245</v>
      </c>
      <c r="F127" s="106">
        <f t="shared" si="1"/>
        <v>18340380.105677065</v>
      </c>
      <c r="G127" s="106">
        <f t="shared" si="1"/>
        <v>12855788.421160931</v>
      </c>
      <c r="H127" s="106">
        <f t="shared" si="1"/>
        <v>14568462.272424685</v>
      </c>
      <c r="I127" s="106">
        <f t="shared" si="1"/>
        <v>19512643.799649268</v>
      </c>
      <c r="J127" s="106">
        <f t="shared" si="1"/>
        <v>12377689.450084465</v>
      </c>
      <c r="K127" s="106">
        <f t="shared" si="1"/>
        <v>18999544.367578514</v>
      </c>
      <c r="L127" s="106">
        <f t="shared" si="1"/>
        <v>14548329.788969964</v>
      </c>
      <c r="M127" s="106">
        <f t="shared" si="1"/>
        <v>16002877.769493558</v>
      </c>
      <c r="N127" s="106">
        <f t="shared" si="1"/>
        <v>11777403.587859225</v>
      </c>
      <c r="O127" s="106">
        <f t="shared" si="1"/>
        <v>12319567.863169542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581562</v>
      </c>
      <c r="E134" s="112">
        <f>SUM(M$49:M$70)+SUM(O$49:O$70)+SUM(Q$49:Q$70)+SUM(S$49:S$70)</f>
        <v>141343.20000000001</v>
      </c>
      <c r="F134" s="112">
        <f>SUM(U$49:U$70)+SUM(W$49:W$70)+SUM(Y$49:Y$70)+SUM(AA$49:AA$70)</f>
        <v>124558.8</v>
      </c>
      <c r="G134" s="112">
        <f>SUM(AC$49:AC$70)+SUM(AE$49:AE$70)+SUM(AG$49:AG$70)+SUM(AI$49:AI$70)</f>
        <v>98384.4</v>
      </c>
      <c r="H134" s="112">
        <f>SUM(AK$49:AK$70)+SUM(AM$49:AM$70)+SUM(AO$49:AO$70)+SUM(AQ$49:AQ$70)</f>
        <v>293532</v>
      </c>
      <c r="I134" s="112">
        <f>SUM(AS$49:AS$70)+SUM(AU$49:AU$70)+SUM(AW$49:AW$70)+SUM(AY$49:AY$70)</f>
        <v>285370.8</v>
      </c>
      <c r="J134" s="112">
        <f>SUM(BA$49:BA$70)+SUM(BC$49:BC$70)+SUM(BE$49:BE$70)+SUM(BG$49:BG$70)</f>
        <v>191346</v>
      </c>
      <c r="K134" s="112">
        <f>SUM(BI$49:BI$70)+SUM(BK$49:BK$70)+SUM(BM$49:BM$70)+SUM(BO$49:BO$70)</f>
        <v>318146.40000000002</v>
      </c>
      <c r="L134" s="112">
        <f>SUM(BQ$49:BQ$70)+SUM(BS$49:BS$70)+SUM(BU$49:BU$70)+SUM(BW$49:BW$70)</f>
        <v>213876</v>
      </c>
      <c r="M134" s="112">
        <f>SUM(BY$49:BY$70)+SUM(CA$49:CA$70)+SUM(CC$49:CC$70)+SUM(CE$49:CE$70)</f>
        <v>405412.8</v>
      </c>
      <c r="N134" s="112">
        <f>SUM(CG$49:CG$70)+SUM(CI$49:CI$70)+SUM(CK$49:CK$70)+SUM(CM$49:CM$70)</f>
        <v>266808</v>
      </c>
      <c r="O134" s="112">
        <f>SUM(CO$49:CO$70)+SUM(CQ$49:CQ$70)+SUM(CS$49:CS$70)+SUM(CU$49:CU$70)</f>
        <v>168668.4</v>
      </c>
    </row>
    <row r="135" spans="2:15" x14ac:dyDescent="0.2">
      <c r="C135" s="111" t="s">
        <v>130</v>
      </c>
      <c r="D135" s="112">
        <f>SUM(E$71:E$86)+SUM(G$71:G$86)+SUM(I$71:I$86)+SUM(K$71:K$86)</f>
        <v>675033.59999999998</v>
      </c>
      <c r="E135" s="112">
        <f>SUM(M$71:M$86)+SUM(O$71:O$86)+SUM(Q$71:Q$86)+SUM(S$71:S$86)</f>
        <v>1070973.5999999999</v>
      </c>
      <c r="F135" s="112">
        <f>SUM(U$71:U$86)+SUM(W$71:W$86)+SUM(Y$71:Y$86)+SUM(AA$71:AA$86)</f>
        <v>732949.2</v>
      </c>
      <c r="G135" s="112">
        <f>SUM(AC$71:AC$86)+SUM(AE$71:AE$86)+SUM(AG$71:AG$86)+SUM(AI$71:AI$86)</f>
        <v>571372.80000000005</v>
      </c>
      <c r="H135" s="112">
        <f>SUM(AK$71:AK$86)+SUM(AM$71:AM$86)+SUM(AO$71:AO$86)+SUM(AQ$71:AQ$86)</f>
        <v>415593.6</v>
      </c>
      <c r="I135" s="112">
        <f>SUM(AS$71:AS$86)+SUM(AU$71:AU$86)+SUM(AW$71:AW$86)+SUM(AY$71:AY$86)</f>
        <v>2680045.1999999993</v>
      </c>
      <c r="J135" s="112">
        <f>SUM(BA$71:BA$86)+SUM(BC$71:BC$86)+SUM(BE$71:BE$86)+SUM(BG$71:BG$86)</f>
        <v>366090</v>
      </c>
      <c r="K135" s="112">
        <f>SUM(BI$71:BI$86)+SUM(BK$71:BK$86)+SUM(BM$71:BM$86)+SUM(BO$71:BO$86)</f>
        <v>1701260.4</v>
      </c>
      <c r="L135" s="112">
        <f>SUM(BQ$71:BQ$86)+SUM(BS$71:BS$86)+SUM(BU$71:BU$86)+SUM(BW$71:BW$86)</f>
        <v>416887.19999999995</v>
      </c>
      <c r="M135" s="112">
        <f>SUM(BY$71:BY$86)+SUM(CA$71:CA$86)+SUM(CC$71:CC$86)+SUM(CE$71:CE$86)</f>
        <v>573433.19999999995</v>
      </c>
      <c r="N135" s="112">
        <f>SUM(CG$71:CG$86)+SUM(CI$71:CI$86)+SUM(CK$71:CK$86)+SUM(CM$71:CM$86)</f>
        <v>383196</v>
      </c>
      <c r="O135" s="112">
        <f>SUM(CO$71:CO$86)+SUM(CQ$71:CQ$86)+SUM(CS$71:CS$86)+SUM(CU$71:CU$86)</f>
        <v>443523.6</v>
      </c>
    </row>
    <row r="136" spans="2:15" x14ac:dyDescent="0.2">
      <c r="C136" s="111" t="s">
        <v>131</v>
      </c>
      <c r="D136" s="112">
        <f>SUM(E$87:E$94)+SUM(G$87:G$94)+SUM(I$87:I$94)+SUM(K$87:K$94)</f>
        <v>795603.6</v>
      </c>
      <c r="E136" s="112">
        <f>SUM(M$87:M$94)+SUM(O$87:O$94)+SUM(Q$87:Q$94)+SUM(S$87:S$94)</f>
        <v>2348469.5999999996</v>
      </c>
      <c r="F136" s="112">
        <f>SUM(U$87:U$94)+SUM(W$87:W$94)+SUM(Y$87:Y$94)+SUM(AA$87:AA$94)</f>
        <v>3443908.8</v>
      </c>
      <c r="G136" s="112">
        <f>SUM(AC$87:AC$94)+SUM(AE$87:AE$94)+SUM(AG$87:AG$94)+SUM(AI$87:AI$94)</f>
        <v>1528894.8</v>
      </c>
      <c r="H136" s="112">
        <f>SUM(AK$87:AK$94)+SUM(AM$87:AM$94)+SUM(AO$87:AO$94)+SUM(AQ$87:AQ$94)</f>
        <v>3929949.5999999996</v>
      </c>
      <c r="I136" s="112">
        <f>SUM(AS$87:AS$94)+SUM(AU$87:AU$94)+SUM(AW$87:AW$94)+SUM(AY$87:AY$94)</f>
        <v>761968.79999999981</v>
      </c>
      <c r="J136" s="112">
        <f>SUM(BA$87:BA$94)+SUM(BC$87:BC$94)+SUM(BE$87:BE$94)+SUM(BG$87:BG$94)</f>
        <v>1630994.4</v>
      </c>
      <c r="K136" s="112">
        <f>SUM(BI$87:BI$94)+SUM(BK$87:BK$94)+SUM(BM$87:BM$94)+SUM(BO$87:BO$94)</f>
        <v>1507000.7999999998</v>
      </c>
      <c r="L136" s="112">
        <f>SUM(BQ$87:BQ$94)+SUM(BS$87:BS$94)+SUM(BU$87:BU$94)+SUM(BW$87:BW$94)</f>
        <v>2798536.8</v>
      </c>
      <c r="M136" s="112">
        <f>SUM(BY$87:BY$94)+SUM(CA$87:CA$94)+SUM(CC$87:CC$94)+SUM(CE$87:CE$94)</f>
        <v>1111144.7999999998</v>
      </c>
      <c r="N136" s="112">
        <f>SUM(CG$87:CG$94)+SUM(CI$87:CI$94)+SUM(CK$87:CK$94)+SUM(CM$87:CM$94)</f>
        <v>1931367.5999999999</v>
      </c>
      <c r="O136" s="112">
        <f>SUM(CO$87:CO$94)+SUM(CQ$87:CQ$94)+SUM(CS$87:CS$94)+SUM(CU$87:CU$94)</f>
        <v>600556.79999999993</v>
      </c>
    </row>
    <row r="137" spans="2:15" x14ac:dyDescent="0.2">
      <c r="C137" s="111" t="s">
        <v>132</v>
      </c>
      <c r="D137" s="112">
        <f>SUM(E$95:E$105)+SUM(G$95:G$105)+SUM(I$95:I$105)+SUM(K$95:K$105)</f>
        <v>3542476.7999999993</v>
      </c>
      <c r="E137" s="112">
        <f>SUM(M$95:M$105)+SUM(O$95:O$105)+SUM(Q$95:Q$105)+SUM(S$95:S$105)</f>
        <v>2289210</v>
      </c>
      <c r="F137" s="112">
        <f>SUM(U$95:U$105)+SUM(W$95:W$105)+SUM(Y$95:Y$105)+SUM(AA$95:AA$105)</f>
        <v>5888698.7999999989</v>
      </c>
      <c r="G137" s="112">
        <f>SUM(AC$95:AC$105)+SUM(AE$95:AE$105)+SUM(AG$95:AG$105)+SUM(AI$95:AI$105)</f>
        <v>1022991.5999999999</v>
      </c>
      <c r="H137" s="112">
        <f>SUM(AK$95:AK$105)+SUM(AM$95:AM$105)+SUM(AO$95:AO$105)+SUM(AQ$95:AQ$105)</f>
        <v>2530442.4</v>
      </c>
      <c r="I137" s="112">
        <f>SUM(AS$95:AS$105)+SUM(AU$95:AU$105)+SUM(AW$95:AW$105)+SUM(AY$95:AY$105)</f>
        <v>2925098.4</v>
      </c>
      <c r="J137" s="112">
        <f>SUM(BA$95:BA$105)+SUM(BC$95:BC$105)+SUM(BE$95:BE$105)+SUM(BG$95:BG$105)</f>
        <v>1509284.4</v>
      </c>
      <c r="K137" s="112">
        <f>SUM(BI$95:BI$105)+SUM(BK$95:BK$105)+SUM(BM$95:BM$105)+SUM(BO$95:BO$105)</f>
        <v>2167870.7999999998</v>
      </c>
      <c r="L137" s="112">
        <f>SUM(BQ$95:BQ$105)+SUM(BS$95:BS$105)+SUM(BU$95:BU$105)+SUM(BW$95:BW$105)</f>
        <v>2851765.1999999997</v>
      </c>
      <c r="M137" s="112">
        <f>SUM(BY$95:BY$105)+SUM(CA$95:CA$105)+SUM(CC$95:CC$105)+SUM(CE$95:CE$105)</f>
        <v>5509079.9999999991</v>
      </c>
      <c r="N137" s="112">
        <f>SUM(CG$95:CG$105)+SUM(CI$95:CI$105)+SUM(CK$95:CK$105)+SUM(CM$95:CM$105)</f>
        <v>1083369.5999999999</v>
      </c>
      <c r="O137" s="112">
        <f>SUM(CO$95:CO$105)+SUM(CQ$95:CQ$105)+SUM(CS$95:CS$105)+SUM(CU$95:CU$105)</f>
        <v>3025255.1999999997</v>
      </c>
    </row>
    <row r="138" spans="2:15" x14ac:dyDescent="0.2">
      <c r="C138" s="111" t="s">
        <v>278</v>
      </c>
      <c r="D138" s="106">
        <f t="shared" ref="D138:O138" si="2">SUM(D$131:D$137)</f>
        <v>5594676</v>
      </c>
      <c r="E138" s="106">
        <f t="shared" si="2"/>
        <v>5849996.3999999994</v>
      </c>
      <c r="F138" s="106">
        <f t="shared" si="2"/>
        <v>10190115.599999998</v>
      </c>
      <c r="G138" s="106">
        <f t="shared" si="2"/>
        <v>3221643.5999999996</v>
      </c>
      <c r="H138" s="106">
        <f t="shared" si="2"/>
        <v>7169517.5999999996</v>
      </c>
      <c r="I138" s="106">
        <f t="shared" si="2"/>
        <v>6652483.1999999993</v>
      </c>
      <c r="J138" s="106">
        <f t="shared" si="2"/>
        <v>3697714.8</v>
      </c>
      <c r="K138" s="106">
        <f t="shared" si="2"/>
        <v>5694278.3999999994</v>
      </c>
      <c r="L138" s="106">
        <f t="shared" si="2"/>
        <v>6281065.1999999993</v>
      </c>
      <c r="M138" s="106">
        <f t="shared" si="2"/>
        <v>7599070.7999999989</v>
      </c>
      <c r="N138" s="106">
        <f t="shared" si="2"/>
        <v>3664741.1999999993</v>
      </c>
      <c r="O138" s="106">
        <f t="shared" si="2"/>
        <v>4238004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281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16</v>
      </c>
      <c r="E49" s="106">
        <v>15763.199999999999</v>
      </c>
      <c r="F49" s="106">
        <v>21</v>
      </c>
      <c r="G49" s="106">
        <v>20689.199999999997</v>
      </c>
      <c r="H49" s="106">
        <v>14</v>
      </c>
      <c r="I49" s="106">
        <v>13792.8</v>
      </c>
      <c r="J49" s="106">
        <v>18</v>
      </c>
      <c r="K49" s="106">
        <v>17733.599999999999</v>
      </c>
      <c r="L49" s="106">
        <v>28</v>
      </c>
      <c r="M49" s="106">
        <v>27585.599999999999</v>
      </c>
      <c r="N49" s="106">
        <v>38</v>
      </c>
      <c r="O49" s="106">
        <v>37437.599999999999</v>
      </c>
      <c r="P49" s="106">
        <v>31</v>
      </c>
      <c r="Q49" s="106">
        <v>30541.199999999997</v>
      </c>
      <c r="R49" s="106">
        <v>21</v>
      </c>
      <c r="S49" s="106">
        <v>20689.199999999997</v>
      </c>
      <c r="T49" s="106">
        <v>22</v>
      </c>
      <c r="U49" s="106">
        <v>21674.399999999998</v>
      </c>
      <c r="V49" s="106">
        <v>13</v>
      </c>
      <c r="W49" s="106">
        <v>12807.599999999999</v>
      </c>
      <c r="X49" s="106">
        <v>13</v>
      </c>
      <c r="Y49" s="106">
        <v>12807.599999999999</v>
      </c>
      <c r="Z49" s="106">
        <v>14</v>
      </c>
      <c r="AA49" s="106">
        <v>13792.8</v>
      </c>
      <c r="AB49" s="106">
        <v>5</v>
      </c>
      <c r="AC49" s="106">
        <v>4926</v>
      </c>
      <c r="AD49" s="106">
        <v>5</v>
      </c>
      <c r="AE49" s="106">
        <v>4926</v>
      </c>
      <c r="AF49" s="106">
        <v>3</v>
      </c>
      <c r="AG49" s="106">
        <v>2955.6</v>
      </c>
      <c r="AH49" s="106">
        <v>4</v>
      </c>
      <c r="AI49" s="106">
        <v>3940.7999999999997</v>
      </c>
      <c r="AJ49" s="106">
        <v>5</v>
      </c>
      <c r="AK49" s="106">
        <v>4926</v>
      </c>
      <c r="AL49" s="106">
        <v>7</v>
      </c>
      <c r="AM49" s="106">
        <v>6896.4</v>
      </c>
      <c r="AN49" s="106">
        <v>8</v>
      </c>
      <c r="AO49" s="106">
        <v>7881.5999999999995</v>
      </c>
      <c r="AP49" s="106">
        <v>8</v>
      </c>
      <c r="AQ49" s="106">
        <v>7881.5999999999995</v>
      </c>
      <c r="AR49" s="106">
        <v>8</v>
      </c>
      <c r="AS49" s="106">
        <v>7881.5999999999995</v>
      </c>
      <c r="AT49" s="106">
        <v>6</v>
      </c>
      <c r="AU49" s="106">
        <v>5911.2</v>
      </c>
      <c r="AV49" s="106">
        <v>7</v>
      </c>
      <c r="AW49" s="106">
        <v>6896.4</v>
      </c>
      <c r="AX49" s="106">
        <v>5</v>
      </c>
      <c r="AY49" s="106">
        <v>4926</v>
      </c>
      <c r="AZ49" s="106">
        <v>31</v>
      </c>
      <c r="BA49" s="106">
        <v>30541.199999999997</v>
      </c>
      <c r="BB49" s="106">
        <v>51</v>
      </c>
      <c r="BC49" s="106">
        <v>50245.2</v>
      </c>
      <c r="BD49" s="106">
        <v>48</v>
      </c>
      <c r="BE49" s="106">
        <v>47289.599999999999</v>
      </c>
      <c r="BF49" s="106">
        <v>43</v>
      </c>
      <c r="BG49" s="106">
        <v>42363.6</v>
      </c>
      <c r="BH49" s="106">
        <v>4</v>
      </c>
      <c r="BI49" s="106">
        <v>3940.7999999999997</v>
      </c>
      <c r="BJ49" s="106">
        <v>5</v>
      </c>
      <c r="BK49" s="106">
        <v>4926</v>
      </c>
      <c r="BL49" s="106">
        <v>4</v>
      </c>
      <c r="BM49" s="106">
        <v>3940.7999999999997</v>
      </c>
      <c r="BN49" s="106">
        <v>6</v>
      </c>
      <c r="BO49" s="106">
        <v>5911.2</v>
      </c>
      <c r="BP49" s="106">
        <v>6</v>
      </c>
      <c r="BQ49" s="106">
        <v>5911.2</v>
      </c>
      <c r="BR49" s="106">
        <v>5</v>
      </c>
      <c r="BS49" s="106">
        <v>4926</v>
      </c>
      <c r="BT49" s="106">
        <v>6</v>
      </c>
      <c r="BU49" s="106">
        <v>5911.2</v>
      </c>
      <c r="BV49" s="106">
        <v>6</v>
      </c>
      <c r="BW49" s="106">
        <v>5911.2</v>
      </c>
      <c r="BX49" s="106">
        <v>9</v>
      </c>
      <c r="BY49" s="106">
        <v>8866.7999999999993</v>
      </c>
      <c r="BZ49" s="106">
        <v>9</v>
      </c>
      <c r="CA49" s="106">
        <v>8866.7999999999993</v>
      </c>
      <c r="CB49" s="106">
        <v>5</v>
      </c>
      <c r="CC49" s="106">
        <v>4926</v>
      </c>
      <c r="CD49" s="106">
        <v>6</v>
      </c>
      <c r="CE49" s="106">
        <v>5911.2</v>
      </c>
      <c r="CF49" s="106">
        <v>8</v>
      </c>
      <c r="CG49" s="106">
        <v>7881.5999999999995</v>
      </c>
      <c r="CH49" s="106">
        <v>9</v>
      </c>
      <c r="CI49" s="106">
        <v>8866.7999999999993</v>
      </c>
      <c r="CJ49" s="106">
        <v>12</v>
      </c>
      <c r="CK49" s="106">
        <v>11822.4</v>
      </c>
      <c r="CL49" s="106">
        <v>7</v>
      </c>
      <c r="CM49" s="106">
        <v>6896.4</v>
      </c>
      <c r="CN49" s="106">
        <v>24</v>
      </c>
      <c r="CO49" s="106">
        <v>23644.799999999999</v>
      </c>
      <c r="CP49" s="106">
        <v>33</v>
      </c>
      <c r="CQ49" s="106">
        <v>32511.599999999999</v>
      </c>
      <c r="CR49" s="106">
        <v>31</v>
      </c>
      <c r="CS49" s="106">
        <v>30541.199999999997</v>
      </c>
      <c r="CT49" s="106">
        <v>36</v>
      </c>
      <c r="CU49" s="106">
        <v>35467.199999999997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18</v>
      </c>
      <c r="E56" s="106">
        <v>20714.399999999998</v>
      </c>
      <c r="F56" s="106">
        <v>22</v>
      </c>
      <c r="G56" s="106">
        <v>25317.599999999999</v>
      </c>
      <c r="H56" s="106">
        <v>14</v>
      </c>
      <c r="I56" s="106">
        <v>16111.199999999999</v>
      </c>
      <c r="J56" s="106">
        <v>20</v>
      </c>
      <c r="K56" s="106">
        <v>23016</v>
      </c>
      <c r="L56" s="106">
        <v>27</v>
      </c>
      <c r="M56" s="106">
        <v>31071.599999999999</v>
      </c>
      <c r="N56" s="106">
        <v>32</v>
      </c>
      <c r="O56" s="106">
        <v>36825.599999999999</v>
      </c>
      <c r="P56" s="106">
        <v>28</v>
      </c>
      <c r="Q56" s="106">
        <v>32222.399999999998</v>
      </c>
      <c r="R56" s="106">
        <v>21</v>
      </c>
      <c r="S56" s="106">
        <v>24166.799999999999</v>
      </c>
      <c r="T56" s="106">
        <v>22</v>
      </c>
      <c r="U56" s="106">
        <v>25317.599999999999</v>
      </c>
      <c r="V56" s="106">
        <v>13</v>
      </c>
      <c r="W56" s="106">
        <v>14960.4</v>
      </c>
      <c r="X56" s="106">
        <v>13</v>
      </c>
      <c r="Y56" s="106">
        <v>14960.4</v>
      </c>
      <c r="Z56" s="106">
        <v>16</v>
      </c>
      <c r="AA56" s="106">
        <v>18412.8</v>
      </c>
      <c r="AB56" s="106">
        <v>5</v>
      </c>
      <c r="AC56" s="106">
        <v>5754</v>
      </c>
      <c r="AD56" s="106">
        <v>4</v>
      </c>
      <c r="AE56" s="106">
        <v>4603.2</v>
      </c>
      <c r="AF56" s="106">
        <v>3</v>
      </c>
      <c r="AG56" s="106">
        <v>3452.3999999999996</v>
      </c>
      <c r="AH56" s="106">
        <v>5</v>
      </c>
      <c r="AI56" s="106">
        <v>5754</v>
      </c>
      <c r="AJ56" s="106">
        <v>4</v>
      </c>
      <c r="AK56" s="106">
        <v>4603.2</v>
      </c>
      <c r="AL56" s="106">
        <v>7</v>
      </c>
      <c r="AM56" s="106">
        <v>8055.5999999999995</v>
      </c>
      <c r="AN56" s="106">
        <v>7</v>
      </c>
      <c r="AO56" s="106">
        <v>8055.5999999999995</v>
      </c>
      <c r="AP56" s="106">
        <v>7</v>
      </c>
      <c r="AQ56" s="106">
        <v>8055.5999999999995</v>
      </c>
      <c r="AR56" s="106">
        <v>7</v>
      </c>
      <c r="AS56" s="106">
        <v>8055.5999999999995</v>
      </c>
      <c r="AT56" s="106">
        <v>6</v>
      </c>
      <c r="AU56" s="106">
        <v>6904.7999999999993</v>
      </c>
      <c r="AV56" s="106">
        <v>7</v>
      </c>
      <c r="AW56" s="106">
        <v>8055.5999999999995</v>
      </c>
      <c r="AX56" s="106">
        <v>5</v>
      </c>
      <c r="AY56" s="106">
        <v>5754</v>
      </c>
      <c r="AZ56" s="106">
        <v>32</v>
      </c>
      <c r="BA56" s="106">
        <v>36825.599999999999</v>
      </c>
      <c r="BB56" s="106">
        <v>46</v>
      </c>
      <c r="BC56" s="106">
        <v>52936.799999999996</v>
      </c>
      <c r="BD56" s="106">
        <v>45</v>
      </c>
      <c r="BE56" s="106">
        <v>51786</v>
      </c>
      <c r="BF56" s="106">
        <v>49</v>
      </c>
      <c r="BG56" s="106">
        <v>56389.2</v>
      </c>
      <c r="BH56" s="106">
        <v>4</v>
      </c>
      <c r="BI56" s="106">
        <v>4603.2</v>
      </c>
      <c r="BJ56" s="106">
        <v>5</v>
      </c>
      <c r="BK56" s="106">
        <v>5754</v>
      </c>
      <c r="BL56" s="106">
        <v>4</v>
      </c>
      <c r="BM56" s="106">
        <v>4603.2</v>
      </c>
      <c r="BN56" s="106">
        <v>6</v>
      </c>
      <c r="BO56" s="106">
        <v>6904.7999999999993</v>
      </c>
      <c r="BP56" s="106">
        <v>6</v>
      </c>
      <c r="BQ56" s="106">
        <v>6904.7999999999993</v>
      </c>
      <c r="BR56" s="106">
        <v>4</v>
      </c>
      <c r="BS56" s="106">
        <v>4603.2</v>
      </c>
      <c r="BT56" s="106">
        <v>7</v>
      </c>
      <c r="BU56" s="106">
        <v>8055.5999999999995</v>
      </c>
      <c r="BV56" s="106">
        <v>5</v>
      </c>
      <c r="BW56" s="106">
        <v>5754</v>
      </c>
      <c r="BX56" s="106">
        <v>8</v>
      </c>
      <c r="BY56" s="106">
        <v>9206.4</v>
      </c>
      <c r="BZ56" s="106">
        <v>9</v>
      </c>
      <c r="CA56" s="106">
        <v>10357.199999999999</v>
      </c>
      <c r="CB56" s="106">
        <v>5</v>
      </c>
      <c r="CC56" s="106">
        <v>5754</v>
      </c>
      <c r="CD56" s="106">
        <v>6</v>
      </c>
      <c r="CE56" s="106">
        <v>6904.7999999999993</v>
      </c>
      <c r="CF56" s="106">
        <v>8</v>
      </c>
      <c r="CG56" s="106">
        <v>9206.4</v>
      </c>
      <c r="CH56" s="106">
        <v>10</v>
      </c>
      <c r="CI56" s="106">
        <v>11508</v>
      </c>
      <c r="CJ56" s="106">
        <v>11</v>
      </c>
      <c r="CK56" s="106">
        <v>12658.8</v>
      </c>
      <c r="CL56" s="106">
        <v>7</v>
      </c>
      <c r="CM56" s="106">
        <v>8055.5999999999995</v>
      </c>
      <c r="CN56" s="106">
        <v>23</v>
      </c>
      <c r="CO56" s="106">
        <v>26468.399999999998</v>
      </c>
      <c r="CP56" s="106">
        <v>32</v>
      </c>
      <c r="CQ56" s="106">
        <v>36825.599999999999</v>
      </c>
      <c r="CR56" s="106">
        <v>30</v>
      </c>
      <c r="CS56" s="106">
        <v>34524</v>
      </c>
      <c r="CT56" s="106">
        <v>33</v>
      </c>
      <c r="CU56" s="106">
        <v>37976.400000000001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16</v>
      </c>
      <c r="E58" s="106">
        <v>18835.2</v>
      </c>
      <c r="F58" s="106">
        <v>22</v>
      </c>
      <c r="G58" s="106">
        <v>25898.400000000001</v>
      </c>
      <c r="H58" s="106">
        <v>12</v>
      </c>
      <c r="I58" s="106">
        <v>14126.400000000001</v>
      </c>
      <c r="J58" s="106">
        <v>18</v>
      </c>
      <c r="K58" s="106">
        <v>21189.600000000002</v>
      </c>
      <c r="L58" s="106">
        <v>25</v>
      </c>
      <c r="M58" s="106">
        <v>29430</v>
      </c>
      <c r="N58" s="106">
        <v>37</v>
      </c>
      <c r="O58" s="106">
        <v>43556.4</v>
      </c>
      <c r="P58" s="106">
        <v>31</v>
      </c>
      <c r="Q58" s="106">
        <v>36493.200000000004</v>
      </c>
      <c r="R58" s="106">
        <v>20</v>
      </c>
      <c r="S58" s="106">
        <v>23544</v>
      </c>
      <c r="T58" s="106">
        <v>21</v>
      </c>
      <c r="U58" s="106">
        <v>24721.200000000001</v>
      </c>
      <c r="V58" s="106">
        <v>14</v>
      </c>
      <c r="W58" s="106">
        <v>16480.8</v>
      </c>
      <c r="X58" s="106">
        <v>14</v>
      </c>
      <c r="Y58" s="106">
        <v>16480.8</v>
      </c>
      <c r="Z58" s="106">
        <v>15</v>
      </c>
      <c r="AA58" s="106">
        <v>17658</v>
      </c>
      <c r="AB58" s="106">
        <v>5</v>
      </c>
      <c r="AC58" s="106">
        <v>5886</v>
      </c>
      <c r="AD58" s="106">
        <v>4</v>
      </c>
      <c r="AE58" s="106">
        <v>4708.8</v>
      </c>
      <c r="AF58" s="106">
        <v>3</v>
      </c>
      <c r="AG58" s="106">
        <v>3531.6000000000004</v>
      </c>
      <c r="AH58" s="106">
        <v>5</v>
      </c>
      <c r="AI58" s="106">
        <v>5886</v>
      </c>
      <c r="AJ58" s="106">
        <v>4</v>
      </c>
      <c r="AK58" s="106">
        <v>4708.8</v>
      </c>
      <c r="AL58" s="106">
        <v>7</v>
      </c>
      <c r="AM58" s="106">
        <v>8240.4</v>
      </c>
      <c r="AN58" s="106">
        <v>7</v>
      </c>
      <c r="AO58" s="106">
        <v>8240.4</v>
      </c>
      <c r="AP58" s="106">
        <v>7</v>
      </c>
      <c r="AQ58" s="106">
        <v>8240.4</v>
      </c>
      <c r="AR58" s="106">
        <v>7</v>
      </c>
      <c r="AS58" s="106">
        <v>8240.4</v>
      </c>
      <c r="AT58" s="106">
        <v>6</v>
      </c>
      <c r="AU58" s="106">
        <v>7063.2000000000007</v>
      </c>
      <c r="AV58" s="106">
        <v>7</v>
      </c>
      <c r="AW58" s="106">
        <v>8240.4</v>
      </c>
      <c r="AX58" s="106">
        <v>5</v>
      </c>
      <c r="AY58" s="106">
        <v>5886</v>
      </c>
      <c r="AZ58" s="106">
        <v>32</v>
      </c>
      <c r="BA58" s="106">
        <v>37670.400000000001</v>
      </c>
      <c r="BB58" s="106">
        <v>52</v>
      </c>
      <c r="BC58" s="106">
        <v>61214.400000000001</v>
      </c>
      <c r="BD58" s="106">
        <v>46</v>
      </c>
      <c r="BE58" s="106">
        <v>54151.200000000004</v>
      </c>
      <c r="BF58" s="106">
        <v>45</v>
      </c>
      <c r="BG58" s="106">
        <v>52974</v>
      </c>
      <c r="BH58" s="106">
        <v>4</v>
      </c>
      <c r="BI58" s="106">
        <v>4708.8</v>
      </c>
      <c r="BJ58" s="106">
        <v>6</v>
      </c>
      <c r="BK58" s="106">
        <v>7063.2000000000007</v>
      </c>
      <c r="BL58" s="106">
        <v>4</v>
      </c>
      <c r="BM58" s="106">
        <v>4708.8</v>
      </c>
      <c r="BN58" s="106">
        <v>6</v>
      </c>
      <c r="BO58" s="106">
        <v>7063.2000000000007</v>
      </c>
      <c r="BP58" s="106">
        <v>6</v>
      </c>
      <c r="BQ58" s="106">
        <v>7063.2000000000007</v>
      </c>
      <c r="BR58" s="106">
        <v>4</v>
      </c>
      <c r="BS58" s="106">
        <v>4708.8</v>
      </c>
      <c r="BT58" s="106">
        <v>7</v>
      </c>
      <c r="BU58" s="106">
        <v>8240.4</v>
      </c>
      <c r="BV58" s="106">
        <v>5</v>
      </c>
      <c r="BW58" s="106">
        <v>5886</v>
      </c>
      <c r="BX58" s="106">
        <v>7</v>
      </c>
      <c r="BY58" s="106">
        <v>8240.4</v>
      </c>
      <c r="BZ58" s="106">
        <v>10</v>
      </c>
      <c r="CA58" s="106">
        <v>11772</v>
      </c>
      <c r="CB58" s="106">
        <v>5</v>
      </c>
      <c r="CC58" s="106">
        <v>5886</v>
      </c>
      <c r="CD58" s="106">
        <v>6</v>
      </c>
      <c r="CE58" s="106">
        <v>7063.2000000000007</v>
      </c>
      <c r="CF58" s="106">
        <v>9</v>
      </c>
      <c r="CG58" s="106">
        <v>10594.800000000001</v>
      </c>
      <c r="CH58" s="106">
        <v>9</v>
      </c>
      <c r="CI58" s="106">
        <v>10594.800000000001</v>
      </c>
      <c r="CJ58" s="106">
        <v>11</v>
      </c>
      <c r="CK58" s="106">
        <v>12949.2</v>
      </c>
      <c r="CL58" s="106">
        <v>7</v>
      </c>
      <c r="CM58" s="106">
        <v>8240.4</v>
      </c>
      <c r="CN58" s="106">
        <v>26</v>
      </c>
      <c r="CO58" s="106">
        <v>30607.200000000001</v>
      </c>
      <c r="CP58" s="106">
        <v>32</v>
      </c>
      <c r="CQ58" s="106">
        <v>37670.400000000001</v>
      </c>
      <c r="CR58" s="106">
        <v>27</v>
      </c>
      <c r="CS58" s="106">
        <v>31784.400000000001</v>
      </c>
      <c r="CT58" s="106">
        <v>30</v>
      </c>
      <c r="CU58" s="106">
        <v>35316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7</v>
      </c>
      <c r="E71" s="106">
        <v>3948</v>
      </c>
      <c r="F71" s="106">
        <v>10</v>
      </c>
      <c r="G71" s="106">
        <v>5640</v>
      </c>
      <c r="H71" s="106">
        <v>6</v>
      </c>
      <c r="I71" s="106">
        <v>3384</v>
      </c>
      <c r="J71" s="106">
        <v>8</v>
      </c>
      <c r="K71" s="106">
        <v>4512</v>
      </c>
      <c r="L71" s="106">
        <v>4</v>
      </c>
      <c r="M71" s="106">
        <v>2256</v>
      </c>
      <c r="N71" s="106">
        <v>5</v>
      </c>
      <c r="O71" s="106">
        <v>2820</v>
      </c>
      <c r="P71" s="106">
        <v>3</v>
      </c>
      <c r="Q71" s="106">
        <v>1692</v>
      </c>
      <c r="R71" s="106">
        <v>5</v>
      </c>
      <c r="S71" s="106">
        <v>2820</v>
      </c>
      <c r="T71" s="106">
        <v>23</v>
      </c>
      <c r="U71" s="106">
        <v>12972</v>
      </c>
      <c r="V71" s="106">
        <v>33</v>
      </c>
      <c r="W71" s="106">
        <v>18612</v>
      </c>
      <c r="X71" s="106">
        <v>28</v>
      </c>
      <c r="Y71" s="106">
        <v>15792</v>
      </c>
      <c r="Z71" s="106">
        <v>27</v>
      </c>
      <c r="AA71" s="106">
        <v>15228</v>
      </c>
      <c r="AB71" s="106">
        <v>14</v>
      </c>
      <c r="AC71" s="106">
        <v>7896</v>
      </c>
      <c r="AD71" s="106">
        <v>14</v>
      </c>
      <c r="AE71" s="106">
        <v>7896</v>
      </c>
      <c r="AF71" s="106">
        <v>13</v>
      </c>
      <c r="AG71" s="106">
        <v>7332</v>
      </c>
      <c r="AH71" s="106">
        <v>10</v>
      </c>
      <c r="AI71" s="106">
        <v>5640</v>
      </c>
      <c r="AJ71" s="106">
        <v>15</v>
      </c>
      <c r="AK71" s="106">
        <v>8460</v>
      </c>
      <c r="AL71" s="106">
        <v>14</v>
      </c>
      <c r="AM71" s="106">
        <v>7896</v>
      </c>
      <c r="AN71" s="106">
        <v>13</v>
      </c>
      <c r="AO71" s="106">
        <v>7332</v>
      </c>
      <c r="AP71" s="106">
        <v>15</v>
      </c>
      <c r="AQ71" s="106">
        <v>8460</v>
      </c>
      <c r="AR71" s="106">
        <v>15</v>
      </c>
      <c r="AS71" s="106">
        <v>8460</v>
      </c>
      <c r="AT71" s="106">
        <v>17</v>
      </c>
      <c r="AU71" s="106">
        <v>9588</v>
      </c>
      <c r="AV71" s="106">
        <v>17</v>
      </c>
      <c r="AW71" s="106">
        <v>9588</v>
      </c>
      <c r="AX71" s="106">
        <v>21</v>
      </c>
      <c r="AY71" s="106">
        <v>11844</v>
      </c>
      <c r="AZ71" s="106">
        <v>4</v>
      </c>
      <c r="BA71" s="106">
        <v>2256</v>
      </c>
      <c r="BB71" s="106">
        <v>5</v>
      </c>
      <c r="BC71" s="106">
        <v>2820</v>
      </c>
      <c r="BD71" s="106">
        <v>5</v>
      </c>
      <c r="BE71" s="106">
        <v>2820</v>
      </c>
      <c r="BF71" s="106">
        <v>3</v>
      </c>
      <c r="BG71" s="106">
        <v>1692</v>
      </c>
      <c r="BH71" s="106">
        <v>20</v>
      </c>
      <c r="BI71" s="106">
        <v>11280</v>
      </c>
      <c r="BJ71" s="106">
        <v>14</v>
      </c>
      <c r="BK71" s="106">
        <v>7896</v>
      </c>
      <c r="BL71" s="106">
        <v>11</v>
      </c>
      <c r="BM71" s="106">
        <v>6204</v>
      </c>
      <c r="BN71" s="106">
        <v>17</v>
      </c>
      <c r="BO71" s="106">
        <v>9588</v>
      </c>
      <c r="BP71" s="106">
        <v>9</v>
      </c>
      <c r="BQ71" s="106">
        <v>5076</v>
      </c>
      <c r="BR71" s="106">
        <v>8</v>
      </c>
      <c r="BS71" s="106">
        <v>4512</v>
      </c>
      <c r="BT71" s="106">
        <v>8</v>
      </c>
      <c r="BU71" s="106">
        <v>4512</v>
      </c>
      <c r="BV71" s="106">
        <v>6</v>
      </c>
      <c r="BW71" s="106">
        <v>3384</v>
      </c>
      <c r="BX71" s="106">
        <v>8</v>
      </c>
      <c r="BY71" s="106">
        <v>4512</v>
      </c>
      <c r="BZ71" s="106">
        <v>6</v>
      </c>
      <c r="CA71" s="106">
        <v>3384</v>
      </c>
      <c r="CB71" s="106">
        <v>6</v>
      </c>
      <c r="CC71" s="106">
        <v>3384</v>
      </c>
      <c r="CD71" s="106">
        <v>6</v>
      </c>
      <c r="CE71" s="106">
        <v>3384</v>
      </c>
      <c r="CF71" s="106">
        <v>15</v>
      </c>
      <c r="CG71" s="106">
        <v>8460</v>
      </c>
      <c r="CH71" s="106">
        <v>13</v>
      </c>
      <c r="CI71" s="106">
        <v>7332</v>
      </c>
      <c r="CJ71" s="106">
        <v>17</v>
      </c>
      <c r="CK71" s="106">
        <v>9588</v>
      </c>
      <c r="CL71" s="106">
        <v>16</v>
      </c>
      <c r="CM71" s="106">
        <v>9024</v>
      </c>
      <c r="CN71" s="106">
        <v>4</v>
      </c>
      <c r="CO71" s="106">
        <v>2256</v>
      </c>
      <c r="CP71" s="106">
        <v>7</v>
      </c>
      <c r="CQ71" s="106">
        <v>3948</v>
      </c>
      <c r="CR71" s="106">
        <v>5</v>
      </c>
      <c r="CS71" s="106">
        <v>2820</v>
      </c>
      <c r="CT71" s="106">
        <v>7</v>
      </c>
      <c r="CU71" s="106">
        <v>3948</v>
      </c>
    </row>
    <row r="72" spans="2:99" x14ac:dyDescent="0.2">
      <c r="C72" s="105" t="s">
        <v>238</v>
      </c>
      <c r="D72" s="106">
        <v>9</v>
      </c>
      <c r="E72" s="106">
        <v>669.59999999999991</v>
      </c>
      <c r="F72" s="106">
        <v>10</v>
      </c>
      <c r="G72" s="106">
        <v>743.99999999999989</v>
      </c>
      <c r="H72" s="106">
        <v>7</v>
      </c>
      <c r="I72" s="106">
        <v>520.79999999999995</v>
      </c>
      <c r="J72" s="106">
        <v>9</v>
      </c>
      <c r="K72" s="106">
        <v>669.59999999999991</v>
      </c>
      <c r="L72" s="106">
        <v>4</v>
      </c>
      <c r="M72" s="106">
        <v>297.59999999999997</v>
      </c>
      <c r="N72" s="106">
        <v>6</v>
      </c>
      <c r="O72" s="106">
        <v>446.4</v>
      </c>
      <c r="P72" s="106">
        <v>3</v>
      </c>
      <c r="Q72" s="106">
        <v>223.2</v>
      </c>
      <c r="R72" s="106">
        <v>5</v>
      </c>
      <c r="S72" s="106">
        <v>371.99999999999994</v>
      </c>
      <c r="T72" s="106">
        <v>25</v>
      </c>
      <c r="U72" s="106">
        <v>1859.9999999999998</v>
      </c>
      <c r="V72" s="106">
        <v>34</v>
      </c>
      <c r="W72" s="106">
        <v>2529.6</v>
      </c>
      <c r="X72" s="106">
        <v>28</v>
      </c>
      <c r="Y72" s="106">
        <v>2083.1999999999998</v>
      </c>
      <c r="Z72" s="106">
        <v>29</v>
      </c>
      <c r="AA72" s="106">
        <v>2157.6</v>
      </c>
      <c r="AB72" s="106">
        <v>15</v>
      </c>
      <c r="AC72" s="106">
        <v>1115.9999999999998</v>
      </c>
      <c r="AD72" s="106">
        <v>14</v>
      </c>
      <c r="AE72" s="106">
        <v>1041.5999999999999</v>
      </c>
      <c r="AF72" s="106">
        <v>13</v>
      </c>
      <c r="AG72" s="106">
        <v>967.19999999999993</v>
      </c>
      <c r="AH72" s="106">
        <v>12</v>
      </c>
      <c r="AI72" s="106">
        <v>892.8</v>
      </c>
      <c r="AJ72" s="106">
        <v>16</v>
      </c>
      <c r="AK72" s="106">
        <v>1190.3999999999999</v>
      </c>
      <c r="AL72" s="106">
        <v>15</v>
      </c>
      <c r="AM72" s="106">
        <v>1115.9999999999998</v>
      </c>
      <c r="AN72" s="106">
        <v>13</v>
      </c>
      <c r="AO72" s="106">
        <v>967.19999999999993</v>
      </c>
      <c r="AP72" s="106">
        <v>15</v>
      </c>
      <c r="AQ72" s="106">
        <v>1115.9999999999998</v>
      </c>
      <c r="AR72" s="106">
        <v>16</v>
      </c>
      <c r="AS72" s="106">
        <v>1190.3999999999999</v>
      </c>
      <c r="AT72" s="106">
        <v>22</v>
      </c>
      <c r="AU72" s="106">
        <v>1636.7999999999997</v>
      </c>
      <c r="AV72" s="106">
        <v>20</v>
      </c>
      <c r="AW72" s="106">
        <v>1487.9999999999998</v>
      </c>
      <c r="AX72" s="106">
        <v>22</v>
      </c>
      <c r="AY72" s="106">
        <v>1636.7999999999997</v>
      </c>
      <c r="AZ72" s="106">
        <v>4</v>
      </c>
      <c r="BA72" s="106">
        <v>297.59999999999997</v>
      </c>
      <c r="BB72" s="106">
        <v>5</v>
      </c>
      <c r="BC72" s="106">
        <v>371.99999999999994</v>
      </c>
      <c r="BD72" s="106">
        <v>6</v>
      </c>
      <c r="BE72" s="106">
        <v>446.4</v>
      </c>
      <c r="BF72" s="106">
        <v>4</v>
      </c>
      <c r="BG72" s="106">
        <v>297.59999999999997</v>
      </c>
      <c r="BH72" s="106">
        <v>19</v>
      </c>
      <c r="BI72" s="106">
        <v>1413.6</v>
      </c>
      <c r="BJ72" s="106">
        <v>16</v>
      </c>
      <c r="BK72" s="106">
        <v>1190.3999999999999</v>
      </c>
      <c r="BL72" s="106">
        <v>11</v>
      </c>
      <c r="BM72" s="106">
        <v>818.39999999999986</v>
      </c>
      <c r="BN72" s="106">
        <v>17</v>
      </c>
      <c r="BO72" s="106">
        <v>1264.8</v>
      </c>
      <c r="BP72" s="106">
        <v>10</v>
      </c>
      <c r="BQ72" s="106">
        <v>743.99999999999989</v>
      </c>
      <c r="BR72" s="106">
        <v>8</v>
      </c>
      <c r="BS72" s="106">
        <v>595.19999999999993</v>
      </c>
      <c r="BT72" s="106">
        <v>8</v>
      </c>
      <c r="BU72" s="106">
        <v>595.19999999999993</v>
      </c>
      <c r="BV72" s="106">
        <v>5</v>
      </c>
      <c r="BW72" s="106">
        <v>371.99999999999994</v>
      </c>
      <c r="BX72" s="106">
        <v>9</v>
      </c>
      <c r="BY72" s="106">
        <v>669.59999999999991</v>
      </c>
      <c r="BZ72" s="106">
        <v>6</v>
      </c>
      <c r="CA72" s="106">
        <v>446.4</v>
      </c>
      <c r="CB72" s="106">
        <v>6</v>
      </c>
      <c r="CC72" s="106">
        <v>446.4</v>
      </c>
      <c r="CD72" s="106">
        <v>6</v>
      </c>
      <c r="CE72" s="106">
        <v>446.4</v>
      </c>
      <c r="CF72" s="106">
        <v>15</v>
      </c>
      <c r="CG72" s="106">
        <v>1115.9999999999998</v>
      </c>
      <c r="CH72" s="106">
        <v>14</v>
      </c>
      <c r="CI72" s="106">
        <v>1041.5999999999999</v>
      </c>
      <c r="CJ72" s="106">
        <v>18</v>
      </c>
      <c r="CK72" s="106">
        <v>1339.1999999999998</v>
      </c>
      <c r="CL72" s="106">
        <v>19</v>
      </c>
      <c r="CM72" s="106">
        <v>1413.6</v>
      </c>
      <c r="CN72" s="106">
        <v>4</v>
      </c>
      <c r="CO72" s="106">
        <v>297.59999999999997</v>
      </c>
      <c r="CP72" s="106">
        <v>7</v>
      </c>
      <c r="CQ72" s="106">
        <v>520.79999999999995</v>
      </c>
      <c r="CR72" s="106">
        <v>5</v>
      </c>
      <c r="CS72" s="106">
        <v>371.99999999999994</v>
      </c>
      <c r="CT72" s="106">
        <v>7</v>
      </c>
      <c r="CU72" s="106">
        <v>520.79999999999995</v>
      </c>
    </row>
    <row r="73" spans="2:99" x14ac:dyDescent="0.2">
      <c r="C73" s="105" t="s">
        <v>239</v>
      </c>
      <c r="D73" s="106">
        <v>8</v>
      </c>
      <c r="E73" s="106">
        <v>4473.5999999999995</v>
      </c>
      <c r="F73" s="106">
        <v>9</v>
      </c>
      <c r="G73" s="106">
        <v>5032.7999999999993</v>
      </c>
      <c r="H73" s="106">
        <v>6</v>
      </c>
      <c r="I73" s="106">
        <v>3355.2</v>
      </c>
      <c r="J73" s="106">
        <v>9</v>
      </c>
      <c r="K73" s="106">
        <v>5032.7999999999993</v>
      </c>
      <c r="L73" s="106">
        <v>4</v>
      </c>
      <c r="M73" s="106">
        <v>2236.7999999999997</v>
      </c>
      <c r="N73" s="106">
        <v>6</v>
      </c>
      <c r="O73" s="106">
        <v>3355.2</v>
      </c>
      <c r="P73" s="106">
        <v>3</v>
      </c>
      <c r="Q73" s="106">
        <v>1677.6</v>
      </c>
      <c r="R73" s="106">
        <v>5</v>
      </c>
      <c r="S73" s="106">
        <v>2795.9999999999995</v>
      </c>
      <c r="T73" s="106">
        <v>21</v>
      </c>
      <c r="U73" s="106">
        <v>11743.199999999999</v>
      </c>
      <c r="V73" s="106">
        <v>35</v>
      </c>
      <c r="W73" s="106">
        <v>19571.999999999996</v>
      </c>
      <c r="X73" s="106">
        <v>28</v>
      </c>
      <c r="Y73" s="106">
        <v>15657.599999999999</v>
      </c>
      <c r="Z73" s="106">
        <v>31</v>
      </c>
      <c r="AA73" s="106">
        <v>17335.199999999997</v>
      </c>
      <c r="AB73" s="106">
        <v>15</v>
      </c>
      <c r="AC73" s="106">
        <v>8387.9999999999982</v>
      </c>
      <c r="AD73" s="106">
        <v>14</v>
      </c>
      <c r="AE73" s="106">
        <v>7828.7999999999993</v>
      </c>
      <c r="AF73" s="106">
        <v>13</v>
      </c>
      <c r="AG73" s="106">
        <v>7269.5999999999995</v>
      </c>
      <c r="AH73" s="106">
        <v>10</v>
      </c>
      <c r="AI73" s="106">
        <v>5591.9999999999991</v>
      </c>
      <c r="AJ73" s="106">
        <v>15</v>
      </c>
      <c r="AK73" s="106">
        <v>8387.9999999999982</v>
      </c>
      <c r="AL73" s="106">
        <v>13</v>
      </c>
      <c r="AM73" s="106">
        <v>7269.5999999999995</v>
      </c>
      <c r="AN73" s="106">
        <v>14</v>
      </c>
      <c r="AO73" s="106">
        <v>7828.7999999999993</v>
      </c>
      <c r="AP73" s="106">
        <v>14</v>
      </c>
      <c r="AQ73" s="106">
        <v>7828.7999999999993</v>
      </c>
      <c r="AR73" s="106">
        <v>16</v>
      </c>
      <c r="AS73" s="106">
        <v>8947.1999999999989</v>
      </c>
      <c r="AT73" s="106">
        <v>17</v>
      </c>
      <c r="AU73" s="106">
        <v>9506.4</v>
      </c>
      <c r="AV73" s="106">
        <v>16</v>
      </c>
      <c r="AW73" s="106">
        <v>8947.1999999999989</v>
      </c>
      <c r="AX73" s="106">
        <v>19</v>
      </c>
      <c r="AY73" s="106">
        <v>10624.8</v>
      </c>
      <c r="AZ73" s="106">
        <v>4</v>
      </c>
      <c r="BA73" s="106">
        <v>2236.7999999999997</v>
      </c>
      <c r="BB73" s="106">
        <v>5</v>
      </c>
      <c r="BC73" s="106">
        <v>2795.9999999999995</v>
      </c>
      <c r="BD73" s="106">
        <v>5</v>
      </c>
      <c r="BE73" s="106">
        <v>2795.9999999999995</v>
      </c>
      <c r="BF73" s="106">
        <v>4</v>
      </c>
      <c r="BG73" s="106">
        <v>2236.7999999999997</v>
      </c>
      <c r="BH73" s="106">
        <v>19</v>
      </c>
      <c r="BI73" s="106">
        <v>10624.8</v>
      </c>
      <c r="BJ73" s="106">
        <v>14</v>
      </c>
      <c r="BK73" s="106">
        <v>7828.7999999999993</v>
      </c>
      <c r="BL73" s="106">
        <v>12</v>
      </c>
      <c r="BM73" s="106">
        <v>6710.4</v>
      </c>
      <c r="BN73" s="106">
        <v>17</v>
      </c>
      <c r="BO73" s="106">
        <v>9506.4</v>
      </c>
      <c r="BP73" s="106">
        <v>9</v>
      </c>
      <c r="BQ73" s="106">
        <v>5032.7999999999993</v>
      </c>
      <c r="BR73" s="106">
        <v>8</v>
      </c>
      <c r="BS73" s="106">
        <v>4473.5999999999995</v>
      </c>
      <c r="BT73" s="106">
        <v>9</v>
      </c>
      <c r="BU73" s="106">
        <v>5032.7999999999993</v>
      </c>
      <c r="BV73" s="106">
        <v>5</v>
      </c>
      <c r="BW73" s="106">
        <v>2795.9999999999995</v>
      </c>
      <c r="BX73" s="106">
        <v>8</v>
      </c>
      <c r="BY73" s="106">
        <v>4473.5999999999995</v>
      </c>
      <c r="BZ73" s="106">
        <v>6</v>
      </c>
      <c r="CA73" s="106">
        <v>3355.2</v>
      </c>
      <c r="CB73" s="106">
        <v>7</v>
      </c>
      <c r="CC73" s="106">
        <v>3914.3999999999996</v>
      </c>
      <c r="CD73" s="106">
        <v>6</v>
      </c>
      <c r="CE73" s="106">
        <v>3355.2</v>
      </c>
      <c r="CF73" s="106">
        <v>15</v>
      </c>
      <c r="CG73" s="106">
        <v>8387.9999999999982</v>
      </c>
      <c r="CH73" s="106">
        <v>16</v>
      </c>
      <c r="CI73" s="106">
        <v>8947.1999999999989</v>
      </c>
      <c r="CJ73" s="106">
        <v>18</v>
      </c>
      <c r="CK73" s="106">
        <v>10065.599999999999</v>
      </c>
      <c r="CL73" s="106">
        <v>18</v>
      </c>
      <c r="CM73" s="106">
        <v>10065.599999999999</v>
      </c>
      <c r="CN73" s="106">
        <v>4</v>
      </c>
      <c r="CO73" s="106">
        <v>2236.7999999999997</v>
      </c>
      <c r="CP73" s="106">
        <v>7</v>
      </c>
      <c r="CQ73" s="106">
        <v>3914.3999999999996</v>
      </c>
      <c r="CR73" s="106">
        <v>5</v>
      </c>
      <c r="CS73" s="106">
        <v>2795.9999999999995</v>
      </c>
      <c r="CT73" s="106">
        <v>7</v>
      </c>
      <c r="CU73" s="106">
        <v>3914.3999999999996</v>
      </c>
    </row>
    <row r="74" spans="2:99" x14ac:dyDescent="0.2">
      <c r="C74" s="105" t="s">
        <v>240</v>
      </c>
      <c r="D74" s="106">
        <v>8</v>
      </c>
      <c r="E74" s="106">
        <v>3225.6</v>
      </c>
      <c r="F74" s="106">
        <v>9</v>
      </c>
      <c r="G74" s="106">
        <v>3628.7999999999997</v>
      </c>
      <c r="H74" s="106">
        <v>6</v>
      </c>
      <c r="I74" s="106">
        <v>2419.1999999999998</v>
      </c>
      <c r="J74" s="106">
        <v>8</v>
      </c>
      <c r="K74" s="106">
        <v>3225.6</v>
      </c>
      <c r="L74" s="106">
        <v>4</v>
      </c>
      <c r="M74" s="106">
        <v>1612.8</v>
      </c>
      <c r="N74" s="106">
        <v>5</v>
      </c>
      <c r="O74" s="106">
        <v>2016</v>
      </c>
      <c r="P74" s="106">
        <v>3</v>
      </c>
      <c r="Q74" s="106">
        <v>1209.5999999999999</v>
      </c>
      <c r="R74" s="106">
        <v>5</v>
      </c>
      <c r="S74" s="106">
        <v>2016</v>
      </c>
      <c r="T74" s="106">
        <v>21</v>
      </c>
      <c r="U74" s="106">
        <v>8467.1999999999989</v>
      </c>
      <c r="V74" s="106">
        <v>35</v>
      </c>
      <c r="W74" s="106">
        <v>14112</v>
      </c>
      <c r="X74" s="106">
        <v>27</v>
      </c>
      <c r="Y74" s="106">
        <v>10886.4</v>
      </c>
      <c r="Z74" s="106">
        <v>29</v>
      </c>
      <c r="AA74" s="106">
        <v>11692.8</v>
      </c>
      <c r="AB74" s="106">
        <v>15</v>
      </c>
      <c r="AC74" s="106">
        <v>6048</v>
      </c>
      <c r="AD74" s="106">
        <v>15</v>
      </c>
      <c r="AE74" s="106">
        <v>6048</v>
      </c>
      <c r="AF74" s="106">
        <v>13</v>
      </c>
      <c r="AG74" s="106">
        <v>5241.5999999999995</v>
      </c>
      <c r="AH74" s="106">
        <v>12</v>
      </c>
      <c r="AI74" s="106">
        <v>4838.3999999999996</v>
      </c>
      <c r="AJ74" s="106">
        <v>14</v>
      </c>
      <c r="AK74" s="106">
        <v>5644.8</v>
      </c>
      <c r="AL74" s="106">
        <v>14</v>
      </c>
      <c r="AM74" s="106">
        <v>5644.8</v>
      </c>
      <c r="AN74" s="106">
        <v>14</v>
      </c>
      <c r="AO74" s="106">
        <v>5644.8</v>
      </c>
      <c r="AP74" s="106">
        <v>15</v>
      </c>
      <c r="AQ74" s="106">
        <v>6048</v>
      </c>
      <c r="AR74" s="106">
        <v>14</v>
      </c>
      <c r="AS74" s="106">
        <v>5644.8</v>
      </c>
      <c r="AT74" s="106">
        <v>18</v>
      </c>
      <c r="AU74" s="106">
        <v>7257.5999999999995</v>
      </c>
      <c r="AV74" s="106">
        <v>19</v>
      </c>
      <c r="AW74" s="106">
        <v>7660.8</v>
      </c>
      <c r="AX74" s="106">
        <v>20</v>
      </c>
      <c r="AY74" s="106">
        <v>8064</v>
      </c>
      <c r="AZ74" s="106">
        <v>4</v>
      </c>
      <c r="BA74" s="106">
        <v>1612.8</v>
      </c>
      <c r="BB74" s="106">
        <v>5</v>
      </c>
      <c r="BC74" s="106">
        <v>2016</v>
      </c>
      <c r="BD74" s="106">
        <v>5</v>
      </c>
      <c r="BE74" s="106">
        <v>2016</v>
      </c>
      <c r="BF74" s="106">
        <v>4</v>
      </c>
      <c r="BG74" s="106">
        <v>1612.8</v>
      </c>
      <c r="BH74" s="106">
        <v>19</v>
      </c>
      <c r="BI74" s="106">
        <v>7660.8</v>
      </c>
      <c r="BJ74" s="106">
        <v>17</v>
      </c>
      <c r="BK74" s="106">
        <v>6854.4</v>
      </c>
      <c r="BL74" s="106">
        <v>13</v>
      </c>
      <c r="BM74" s="106">
        <v>5241.5999999999995</v>
      </c>
      <c r="BN74" s="106">
        <v>16</v>
      </c>
      <c r="BO74" s="106">
        <v>6451.2</v>
      </c>
      <c r="BP74" s="106">
        <v>8</v>
      </c>
      <c r="BQ74" s="106">
        <v>3225.6</v>
      </c>
      <c r="BR74" s="106">
        <v>8</v>
      </c>
      <c r="BS74" s="106">
        <v>3225.6</v>
      </c>
      <c r="BT74" s="106">
        <v>8</v>
      </c>
      <c r="BU74" s="106">
        <v>3225.6</v>
      </c>
      <c r="BV74" s="106">
        <v>5</v>
      </c>
      <c r="BW74" s="106">
        <v>2016</v>
      </c>
      <c r="BX74" s="106">
        <v>9</v>
      </c>
      <c r="BY74" s="106">
        <v>3628.7999999999997</v>
      </c>
      <c r="BZ74" s="106">
        <v>6</v>
      </c>
      <c r="CA74" s="106">
        <v>2419.1999999999998</v>
      </c>
      <c r="CB74" s="106">
        <v>6</v>
      </c>
      <c r="CC74" s="106">
        <v>2419.1999999999998</v>
      </c>
      <c r="CD74" s="106">
        <v>6</v>
      </c>
      <c r="CE74" s="106">
        <v>2419.1999999999998</v>
      </c>
      <c r="CF74" s="106">
        <v>16</v>
      </c>
      <c r="CG74" s="106">
        <v>6451.2</v>
      </c>
      <c r="CH74" s="106">
        <v>15</v>
      </c>
      <c r="CI74" s="106">
        <v>6048</v>
      </c>
      <c r="CJ74" s="106">
        <v>15</v>
      </c>
      <c r="CK74" s="106">
        <v>6048</v>
      </c>
      <c r="CL74" s="106">
        <v>16</v>
      </c>
      <c r="CM74" s="106">
        <v>6451.2</v>
      </c>
      <c r="CN74" s="106">
        <v>4</v>
      </c>
      <c r="CO74" s="106">
        <v>1612.8</v>
      </c>
      <c r="CP74" s="106">
        <v>6</v>
      </c>
      <c r="CQ74" s="106">
        <v>2419.1999999999998</v>
      </c>
      <c r="CR74" s="106">
        <v>5</v>
      </c>
      <c r="CS74" s="106">
        <v>2016</v>
      </c>
      <c r="CT74" s="106">
        <v>6</v>
      </c>
      <c r="CU74" s="106">
        <v>2419.1999999999998</v>
      </c>
    </row>
    <row r="75" spans="2:99" x14ac:dyDescent="0.2">
      <c r="C75" s="105" t="s">
        <v>241</v>
      </c>
      <c r="D75" s="106">
        <v>8</v>
      </c>
      <c r="E75" s="106">
        <v>5145.5999999999995</v>
      </c>
      <c r="F75" s="106">
        <v>9</v>
      </c>
      <c r="G75" s="106">
        <v>5788.7999999999993</v>
      </c>
      <c r="H75" s="106">
        <v>6</v>
      </c>
      <c r="I75" s="106">
        <v>3859.2</v>
      </c>
      <c r="J75" s="106">
        <v>9</v>
      </c>
      <c r="K75" s="106">
        <v>5788.7999999999993</v>
      </c>
      <c r="L75" s="106">
        <v>4</v>
      </c>
      <c r="M75" s="106">
        <v>2572.7999999999997</v>
      </c>
      <c r="N75" s="106">
        <v>6</v>
      </c>
      <c r="O75" s="106">
        <v>3859.2</v>
      </c>
      <c r="P75" s="106">
        <v>3</v>
      </c>
      <c r="Q75" s="106">
        <v>1929.6</v>
      </c>
      <c r="R75" s="106">
        <v>5</v>
      </c>
      <c r="S75" s="106">
        <v>3215.9999999999995</v>
      </c>
      <c r="T75" s="106">
        <v>20</v>
      </c>
      <c r="U75" s="106">
        <v>12863.999999999998</v>
      </c>
      <c r="V75" s="106">
        <v>36</v>
      </c>
      <c r="W75" s="106">
        <v>23155.199999999997</v>
      </c>
      <c r="X75" s="106">
        <v>27</v>
      </c>
      <c r="Y75" s="106">
        <v>17366.399999999998</v>
      </c>
      <c r="Z75" s="106">
        <v>30</v>
      </c>
      <c r="AA75" s="106">
        <v>19295.999999999996</v>
      </c>
      <c r="AB75" s="106">
        <v>15</v>
      </c>
      <c r="AC75" s="106">
        <v>9647.9999999999982</v>
      </c>
      <c r="AD75" s="106">
        <v>13</v>
      </c>
      <c r="AE75" s="106">
        <v>8361.5999999999985</v>
      </c>
      <c r="AF75" s="106">
        <v>12</v>
      </c>
      <c r="AG75" s="106">
        <v>7718.4</v>
      </c>
      <c r="AH75" s="106">
        <v>11</v>
      </c>
      <c r="AI75" s="106">
        <v>7075.1999999999989</v>
      </c>
      <c r="AJ75" s="106">
        <v>16</v>
      </c>
      <c r="AK75" s="106">
        <v>10291.199999999999</v>
      </c>
      <c r="AL75" s="106">
        <v>12</v>
      </c>
      <c r="AM75" s="106">
        <v>7718.4</v>
      </c>
      <c r="AN75" s="106">
        <v>12</v>
      </c>
      <c r="AO75" s="106">
        <v>7718.4</v>
      </c>
      <c r="AP75" s="106">
        <v>15</v>
      </c>
      <c r="AQ75" s="106">
        <v>9647.9999999999982</v>
      </c>
      <c r="AR75" s="106">
        <v>15</v>
      </c>
      <c r="AS75" s="106">
        <v>9647.9999999999982</v>
      </c>
      <c r="AT75" s="106">
        <v>19</v>
      </c>
      <c r="AU75" s="106">
        <v>12220.8</v>
      </c>
      <c r="AV75" s="106">
        <v>18</v>
      </c>
      <c r="AW75" s="106">
        <v>11577.599999999999</v>
      </c>
      <c r="AX75" s="106">
        <v>18</v>
      </c>
      <c r="AY75" s="106">
        <v>11577.599999999999</v>
      </c>
      <c r="AZ75" s="106">
        <v>4</v>
      </c>
      <c r="BA75" s="106">
        <v>2572.7999999999997</v>
      </c>
      <c r="BB75" s="106">
        <v>5</v>
      </c>
      <c r="BC75" s="106">
        <v>3215.9999999999995</v>
      </c>
      <c r="BD75" s="106">
        <v>5</v>
      </c>
      <c r="BE75" s="106">
        <v>3215.9999999999995</v>
      </c>
      <c r="BF75" s="106">
        <v>4</v>
      </c>
      <c r="BG75" s="106">
        <v>2572.7999999999997</v>
      </c>
      <c r="BH75" s="106">
        <v>20</v>
      </c>
      <c r="BI75" s="106">
        <v>12863.999999999998</v>
      </c>
      <c r="BJ75" s="106">
        <v>15</v>
      </c>
      <c r="BK75" s="106">
        <v>9647.9999999999982</v>
      </c>
      <c r="BL75" s="106">
        <v>12</v>
      </c>
      <c r="BM75" s="106">
        <v>7718.4</v>
      </c>
      <c r="BN75" s="106">
        <v>17</v>
      </c>
      <c r="BO75" s="106">
        <v>10934.4</v>
      </c>
      <c r="BP75" s="106">
        <v>8</v>
      </c>
      <c r="BQ75" s="106">
        <v>5145.5999999999995</v>
      </c>
      <c r="BR75" s="106">
        <v>8</v>
      </c>
      <c r="BS75" s="106">
        <v>5145.5999999999995</v>
      </c>
      <c r="BT75" s="106">
        <v>8</v>
      </c>
      <c r="BU75" s="106">
        <v>5145.5999999999995</v>
      </c>
      <c r="BV75" s="106">
        <v>6</v>
      </c>
      <c r="BW75" s="106">
        <v>3859.2</v>
      </c>
      <c r="BX75" s="106">
        <v>8</v>
      </c>
      <c r="BY75" s="106">
        <v>5145.5999999999995</v>
      </c>
      <c r="BZ75" s="106">
        <v>6</v>
      </c>
      <c r="CA75" s="106">
        <v>3859.2</v>
      </c>
      <c r="CB75" s="106">
        <v>7</v>
      </c>
      <c r="CC75" s="106">
        <v>4502.3999999999996</v>
      </c>
      <c r="CD75" s="106">
        <v>6</v>
      </c>
      <c r="CE75" s="106">
        <v>3859.2</v>
      </c>
      <c r="CF75" s="106">
        <v>14</v>
      </c>
      <c r="CG75" s="106">
        <v>9004.7999999999993</v>
      </c>
      <c r="CH75" s="106">
        <v>15</v>
      </c>
      <c r="CI75" s="106">
        <v>9647.9999999999982</v>
      </c>
      <c r="CJ75" s="106">
        <v>18</v>
      </c>
      <c r="CK75" s="106">
        <v>11577.599999999999</v>
      </c>
      <c r="CL75" s="106">
        <v>17</v>
      </c>
      <c r="CM75" s="106">
        <v>10934.4</v>
      </c>
      <c r="CN75" s="106">
        <v>4</v>
      </c>
      <c r="CO75" s="106">
        <v>2572.7999999999997</v>
      </c>
      <c r="CP75" s="106">
        <v>6</v>
      </c>
      <c r="CQ75" s="106">
        <v>3859.2</v>
      </c>
      <c r="CR75" s="106">
        <v>5</v>
      </c>
      <c r="CS75" s="106">
        <v>3215.9999999999995</v>
      </c>
      <c r="CT75" s="106">
        <v>6</v>
      </c>
      <c r="CU75" s="106">
        <v>3859.2</v>
      </c>
    </row>
    <row r="76" spans="2:99" x14ac:dyDescent="0.2">
      <c r="C76" s="105" t="s">
        <v>242</v>
      </c>
      <c r="D76" s="106">
        <v>7</v>
      </c>
      <c r="E76" s="106">
        <v>5451.5999999999995</v>
      </c>
      <c r="F76" s="106">
        <v>10</v>
      </c>
      <c r="G76" s="106">
        <v>7788</v>
      </c>
      <c r="H76" s="106">
        <v>6</v>
      </c>
      <c r="I76" s="106">
        <v>4672.7999999999993</v>
      </c>
      <c r="J76" s="106">
        <v>9</v>
      </c>
      <c r="K76" s="106">
        <v>7009.2</v>
      </c>
      <c r="L76" s="106">
        <v>4</v>
      </c>
      <c r="M76" s="106">
        <v>3115.2</v>
      </c>
      <c r="N76" s="106">
        <v>5</v>
      </c>
      <c r="O76" s="106">
        <v>3894</v>
      </c>
      <c r="P76" s="106">
        <v>3</v>
      </c>
      <c r="Q76" s="106">
        <v>2336.3999999999996</v>
      </c>
      <c r="R76" s="106">
        <v>5</v>
      </c>
      <c r="S76" s="106">
        <v>3894</v>
      </c>
      <c r="T76" s="106">
        <v>21</v>
      </c>
      <c r="U76" s="106">
        <v>16354.8</v>
      </c>
      <c r="V76" s="106">
        <v>35</v>
      </c>
      <c r="W76" s="106">
        <v>27258</v>
      </c>
      <c r="X76" s="106">
        <v>27</v>
      </c>
      <c r="Y76" s="106">
        <v>21027.599999999999</v>
      </c>
      <c r="Z76" s="106">
        <v>27</v>
      </c>
      <c r="AA76" s="106">
        <v>21027.599999999999</v>
      </c>
      <c r="AB76" s="106">
        <v>14</v>
      </c>
      <c r="AC76" s="106">
        <v>10903.199999999999</v>
      </c>
      <c r="AD76" s="106">
        <v>14</v>
      </c>
      <c r="AE76" s="106">
        <v>10903.199999999999</v>
      </c>
      <c r="AF76" s="106">
        <v>12</v>
      </c>
      <c r="AG76" s="106">
        <v>9345.5999999999985</v>
      </c>
      <c r="AH76" s="106">
        <v>10</v>
      </c>
      <c r="AI76" s="106">
        <v>7788</v>
      </c>
      <c r="AJ76" s="106">
        <v>15</v>
      </c>
      <c r="AK76" s="106">
        <v>11682</v>
      </c>
      <c r="AL76" s="106">
        <v>14</v>
      </c>
      <c r="AM76" s="106">
        <v>10903.199999999999</v>
      </c>
      <c r="AN76" s="106">
        <v>14</v>
      </c>
      <c r="AO76" s="106">
        <v>10903.199999999999</v>
      </c>
      <c r="AP76" s="106">
        <v>14</v>
      </c>
      <c r="AQ76" s="106">
        <v>10903.199999999999</v>
      </c>
      <c r="AR76" s="106">
        <v>16</v>
      </c>
      <c r="AS76" s="106">
        <v>12460.8</v>
      </c>
      <c r="AT76" s="106">
        <v>18</v>
      </c>
      <c r="AU76" s="106">
        <v>14018.4</v>
      </c>
      <c r="AV76" s="106">
        <v>17</v>
      </c>
      <c r="AW76" s="106">
        <v>13239.599999999999</v>
      </c>
      <c r="AX76" s="106">
        <v>18</v>
      </c>
      <c r="AY76" s="106">
        <v>14018.4</v>
      </c>
      <c r="AZ76" s="106">
        <v>4</v>
      </c>
      <c r="BA76" s="106">
        <v>3115.2</v>
      </c>
      <c r="BB76" s="106">
        <v>5</v>
      </c>
      <c r="BC76" s="106">
        <v>3894</v>
      </c>
      <c r="BD76" s="106">
        <v>5</v>
      </c>
      <c r="BE76" s="106">
        <v>3894</v>
      </c>
      <c r="BF76" s="106">
        <v>4</v>
      </c>
      <c r="BG76" s="106">
        <v>3115.2</v>
      </c>
      <c r="BH76" s="106">
        <v>20</v>
      </c>
      <c r="BI76" s="106">
        <v>15576</v>
      </c>
      <c r="BJ76" s="106">
        <v>16</v>
      </c>
      <c r="BK76" s="106">
        <v>12460.8</v>
      </c>
      <c r="BL76" s="106">
        <v>10</v>
      </c>
      <c r="BM76" s="106">
        <v>7788</v>
      </c>
      <c r="BN76" s="106">
        <v>14</v>
      </c>
      <c r="BO76" s="106">
        <v>10903.199999999999</v>
      </c>
      <c r="BP76" s="106">
        <v>8</v>
      </c>
      <c r="BQ76" s="106">
        <v>6230.4</v>
      </c>
      <c r="BR76" s="106">
        <v>7</v>
      </c>
      <c r="BS76" s="106">
        <v>5451.5999999999995</v>
      </c>
      <c r="BT76" s="106">
        <v>8</v>
      </c>
      <c r="BU76" s="106">
        <v>6230.4</v>
      </c>
      <c r="BV76" s="106">
        <v>5</v>
      </c>
      <c r="BW76" s="106">
        <v>3894</v>
      </c>
      <c r="BX76" s="106">
        <v>8</v>
      </c>
      <c r="BY76" s="106">
        <v>6230.4</v>
      </c>
      <c r="BZ76" s="106">
        <v>6</v>
      </c>
      <c r="CA76" s="106">
        <v>4672.7999999999993</v>
      </c>
      <c r="CB76" s="106">
        <v>6</v>
      </c>
      <c r="CC76" s="106">
        <v>4672.7999999999993</v>
      </c>
      <c r="CD76" s="106">
        <v>7</v>
      </c>
      <c r="CE76" s="106">
        <v>5451.5999999999995</v>
      </c>
      <c r="CF76" s="106">
        <v>14</v>
      </c>
      <c r="CG76" s="106">
        <v>10903.199999999999</v>
      </c>
      <c r="CH76" s="106">
        <v>14</v>
      </c>
      <c r="CI76" s="106">
        <v>10903.199999999999</v>
      </c>
      <c r="CJ76" s="106">
        <v>18</v>
      </c>
      <c r="CK76" s="106">
        <v>14018.4</v>
      </c>
      <c r="CL76" s="106">
        <v>16</v>
      </c>
      <c r="CM76" s="106">
        <v>12460.8</v>
      </c>
      <c r="CN76" s="106">
        <v>4</v>
      </c>
      <c r="CO76" s="106">
        <v>3115.2</v>
      </c>
      <c r="CP76" s="106">
        <v>7</v>
      </c>
      <c r="CQ76" s="106">
        <v>5451.5999999999995</v>
      </c>
      <c r="CR76" s="106">
        <v>5</v>
      </c>
      <c r="CS76" s="106">
        <v>3894</v>
      </c>
      <c r="CT76" s="106">
        <v>6</v>
      </c>
      <c r="CU76" s="106">
        <v>4672.7999999999993</v>
      </c>
    </row>
    <row r="77" spans="2:99" x14ac:dyDescent="0.2">
      <c r="C77" s="105" t="s">
        <v>243</v>
      </c>
      <c r="D77" s="106">
        <v>8</v>
      </c>
      <c r="E77" s="106">
        <v>2227.1999999999998</v>
      </c>
      <c r="F77" s="106">
        <v>10</v>
      </c>
      <c r="G77" s="106">
        <v>2784</v>
      </c>
      <c r="H77" s="106">
        <v>6</v>
      </c>
      <c r="I77" s="106">
        <v>1670.3999999999999</v>
      </c>
      <c r="J77" s="106">
        <v>9</v>
      </c>
      <c r="K77" s="106">
        <v>2505.6</v>
      </c>
      <c r="L77" s="106">
        <v>4</v>
      </c>
      <c r="M77" s="106">
        <v>1113.5999999999999</v>
      </c>
      <c r="N77" s="106">
        <v>5</v>
      </c>
      <c r="O77" s="106">
        <v>1392</v>
      </c>
      <c r="P77" s="106">
        <v>3</v>
      </c>
      <c r="Q77" s="106">
        <v>835.19999999999993</v>
      </c>
      <c r="R77" s="106">
        <v>5</v>
      </c>
      <c r="S77" s="106">
        <v>1392</v>
      </c>
      <c r="T77" s="106">
        <v>24</v>
      </c>
      <c r="U77" s="106">
        <v>6681.5999999999995</v>
      </c>
      <c r="V77" s="106">
        <v>32</v>
      </c>
      <c r="W77" s="106">
        <v>8908.7999999999993</v>
      </c>
      <c r="X77" s="106">
        <v>29</v>
      </c>
      <c r="Y77" s="106">
        <v>8073.5999999999995</v>
      </c>
      <c r="Z77" s="106">
        <v>28</v>
      </c>
      <c r="AA77" s="106">
        <v>7795.1999999999989</v>
      </c>
      <c r="AB77" s="106">
        <v>14</v>
      </c>
      <c r="AC77" s="106">
        <v>3897.5999999999995</v>
      </c>
      <c r="AD77" s="106">
        <v>15</v>
      </c>
      <c r="AE77" s="106">
        <v>4176</v>
      </c>
      <c r="AF77" s="106">
        <v>13</v>
      </c>
      <c r="AG77" s="106">
        <v>3619.2</v>
      </c>
      <c r="AH77" s="106">
        <v>11</v>
      </c>
      <c r="AI77" s="106">
        <v>3062.3999999999996</v>
      </c>
      <c r="AJ77" s="106">
        <v>16</v>
      </c>
      <c r="AK77" s="106">
        <v>4454.3999999999996</v>
      </c>
      <c r="AL77" s="106">
        <v>14</v>
      </c>
      <c r="AM77" s="106">
        <v>3897.5999999999995</v>
      </c>
      <c r="AN77" s="106">
        <v>13</v>
      </c>
      <c r="AO77" s="106">
        <v>3619.2</v>
      </c>
      <c r="AP77" s="106">
        <v>15</v>
      </c>
      <c r="AQ77" s="106">
        <v>4176</v>
      </c>
      <c r="AR77" s="106">
        <v>17</v>
      </c>
      <c r="AS77" s="106">
        <v>4732.7999999999993</v>
      </c>
      <c r="AT77" s="106">
        <v>19</v>
      </c>
      <c r="AU77" s="106">
        <v>5289.5999999999995</v>
      </c>
      <c r="AV77" s="106">
        <v>19</v>
      </c>
      <c r="AW77" s="106">
        <v>5289.5999999999995</v>
      </c>
      <c r="AX77" s="106">
        <v>18</v>
      </c>
      <c r="AY77" s="106">
        <v>5011.2</v>
      </c>
      <c r="AZ77" s="106">
        <v>4</v>
      </c>
      <c r="BA77" s="106">
        <v>1113.5999999999999</v>
      </c>
      <c r="BB77" s="106">
        <v>6</v>
      </c>
      <c r="BC77" s="106">
        <v>1670.3999999999999</v>
      </c>
      <c r="BD77" s="106">
        <v>5</v>
      </c>
      <c r="BE77" s="106">
        <v>1392</v>
      </c>
      <c r="BF77" s="106">
        <v>4</v>
      </c>
      <c r="BG77" s="106">
        <v>1113.5999999999999</v>
      </c>
      <c r="BH77" s="106">
        <v>20</v>
      </c>
      <c r="BI77" s="106">
        <v>5568</v>
      </c>
      <c r="BJ77" s="106">
        <v>14</v>
      </c>
      <c r="BK77" s="106">
        <v>3897.5999999999995</v>
      </c>
      <c r="BL77" s="106">
        <v>11</v>
      </c>
      <c r="BM77" s="106">
        <v>3062.3999999999996</v>
      </c>
      <c r="BN77" s="106">
        <v>17</v>
      </c>
      <c r="BO77" s="106">
        <v>4732.7999999999993</v>
      </c>
      <c r="BP77" s="106">
        <v>10</v>
      </c>
      <c r="BQ77" s="106">
        <v>2784</v>
      </c>
      <c r="BR77" s="106">
        <v>7</v>
      </c>
      <c r="BS77" s="106">
        <v>1948.7999999999997</v>
      </c>
      <c r="BT77" s="106">
        <v>9</v>
      </c>
      <c r="BU77" s="106">
        <v>2505.6</v>
      </c>
      <c r="BV77" s="106">
        <v>5</v>
      </c>
      <c r="BW77" s="106">
        <v>1392</v>
      </c>
      <c r="BX77" s="106">
        <v>8</v>
      </c>
      <c r="BY77" s="106">
        <v>2227.1999999999998</v>
      </c>
      <c r="BZ77" s="106">
        <v>6</v>
      </c>
      <c r="CA77" s="106">
        <v>1670.3999999999999</v>
      </c>
      <c r="CB77" s="106">
        <v>7</v>
      </c>
      <c r="CC77" s="106">
        <v>1948.7999999999997</v>
      </c>
      <c r="CD77" s="106">
        <v>6</v>
      </c>
      <c r="CE77" s="106">
        <v>1670.3999999999999</v>
      </c>
      <c r="CF77" s="106">
        <v>15</v>
      </c>
      <c r="CG77" s="106">
        <v>4176</v>
      </c>
      <c r="CH77" s="106">
        <v>14</v>
      </c>
      <c r="CI77" s="106">
        <v>3897.5999999999995</v>
      </c>
      <c r="CJ77" s="106">
        <v>16</v>
      </c>
      <c r="CK77" s="106">
        <v>4454.3999999999996</v>
      </c>
      <c r="CL77" s="106">
        <v>18</v>
      </c>
      <c r="CM77" s="106">
        <v>5011.2</v>
      </c>
      <c r="CN77" s="106">
        <v>4</v>
      </c>
      <c r="CO77" s="106">
        <v>1113.5999999999999</v>
      </c>
      <c r="CP77" s="106">
        <v>7</v>
      </c>
      <c r="CQ77" s="106">
        <v>1948.7999999999997</v>
      </c>
      <c r="CR77" s="106">
        <v>5</v>
      </c>
      <c r="CS77" s="106">
        <v>1392</v>
      </c>
      <c r="CT77" s="106">
        <v>7</v>
      </c>
      <c r="CU77" s="106">
        <v>1948.7999999999997</v>
      </c>
    </row>
    <row r="78" spans="2:99" x14ac:dyDescent="0.2">
      <c r="C78" s="105" t="s">
        <v>244</v>
      </c>
      <c r="D78" s="106">
        <v>8</v>
      </c>
      <c r="E78" s="106">
        <v>4416</v>
      </c>
      <c r="F78" s="106">
        <v>8</v>
      </c>
      <c r="G78" s="106">
        <v>4416</v>
      </c>
      <c r="H78" s="106">
        <v>6</v>
      </c>
      <c r="I78" s="106">
        <v>3312</v>
      </c>
      <c r="J78" s="106">
        <v>8</v>
      </c>
      <c r="K78" s="106">
        <v>4416</v>
      </c>
      <c r="L78" s="106">
        <v>4</v>
      </c>
      <c r="M78" s="106">
        <v>2208</v>
      </c>
      <c r="N78" s="106">
        <v>5</v>
      </c>
      <c r="O78" s="106">
        <v>2760</v>
      </c>
      <c r="P78" s="106">
        <v>3</v>
      </c>
      <c r="Q78" s="106">
        <v>1656</v>
      </c>
      <c r="R78" s="106">
        <v>5</v>
      </c>
      <c r="S78" s="106">
        <v>2760</v>
      </c>
      <c r="T78" s="106">
        <v>22</v>
      </c>
      <c r="U78" s="106">
        <v>12144</v>
      </c>
      <c r="V78" s="106">
        <v>31</v>
      </c>
      <c r="W78" s="106">
        <v>17112</v>
      </c>
      <c r="X78" s="106">
        <v>26</v>
      </c>
      <c r="Y78" s="106">
        <v>14352</v>
      </c>
      <c r="Z78" s="106">
        <v>32</v>
      </c>
      <c r="AA78" s="106">
        <v>17664</v>
      </c>
      <c r="AB78" s="106">
        <v>14</v>
      </c>
      <c r="AC78" s="106">
        <v>7728</v>
      </c>
      <c r="AD78" s="106">
        <v>15</v>
      </c>
      <c r="AE78" s="106">
        <v>8280</v>
      </c>
      <c r="AF78" s="106">
        <v>11</v>
      </c>
      <c r="AG78" s="106">
        <v>6072</v>
      </c>
      <c r="AH78" s="106">
        <v>11</v>
      </c>
      <c r="AI78" s="106">
        <v>6072</v>
      </c>
      <c r="AJ78" s="106">
        <v>14</v>
      </c>
      <c r="AK78" s="106">
        <v>7728</v>
      </c>
      <c r="AL78" s="106">
        <v>14</v>
      </c>
      <c r="AM78" s="106">
        <v>7728</v>
      </c>
      <c r="AN78" s="106">
        <v>14</v>
      </c>
      <c r="AO78" s="106">
        <v>7728</v>
      </c>
      <c r="AP78" s="106">
        <v>15</v>
      </c>
      <c r="AQ78" s="106">
        <v>8280</v>
      </c>
      <c r="AR78" s="106">
        <v>16</v>
      </c>
      <c r="AS78" s="106">
        <v>8832</v>
      </c>
      <c r="AT78" s="106">
        <v>21</v>
      </c>
      <c r="AU78" s="106">
        <v>11592</v>
      </c>
      <c r="AV78" s="106">
        <v>16</v>
      </c>
      <c r="AW78" s="106">
        <v>8832</v>
      </c>
      <c r="AX78" s="106">
        <v>18</v>
      </c>
      <c r="AY78" s="106">
        <v>9936</v>
      </c>
      <c r="AZ78" s="106">
        <v>4</v>
      </c>
      <c r="BA78" s="106">
        <v>2208</v>
      </c>
      <c r="BB78" s="106">
        <v>5</v>
      </c>
      <c r="BC78" s="106">
        <v>2760</v>
      </c>
      <c r="BD78" s="106">
        <v>6</v>
      </c>
      <c r="BE78" s="106">
        <v>3312</v>
      </c>
      <c r="BF78" s="106">
        <v>4</v>
      </c>
      <c r="BG78" s="106">
        <v>2208</v>
      </c>
      <c r="BH78" s="106">
        <v>19</v>
      </c>
      <c r="BI78" s="106">
        <v>10488</v>
      </c>
      <c r="BJ78" s="106">
        <v>15</v>
      </c>
      <c r="BK78" s="106">
        <v>8280</v>
      </c>
      <c r="BL78" s="106">
        <v>13</v>
      </c>
      <c r="BM78" s="106">
        <v>7176</v>
      </c>
      <c r="BN78" s="106">
        <v>16</v>
      </c>
      <c r="BO78" s="106">
        <v>8832</v>
      </c>
      <c r="BP78" s="106">
        <v>9</v>
      </c>
      <c r="BQ78" s="106">
        <v>4968</v>
      </c>
      <c r="BR78" s="106">
        <v>9</v>
      </c>
      <c r="BS78" s="106">
        <v>4968</v>
      </c>
      <c r="BT78" s="106">
        <v>9</v>
      </c>
      <c r="BU78" s="106">
        <v>4968</v>
      </c>
      <c r="BV78" s="106">
        <v>5</v>
      </c>
      <c r="BW78" s="106">
        <v>2760</v>
      </c>
      <c r="BX78" s="106">
        <v>8</v>
      </c>
      <c r="BY78" s="106">
        <v>4416</v>
      </c>
      <c r="BZ78" s="106">
        <v>6</v>
      </c>
      <c r="CA78" s="106">
        <v>3312</v>
      </c>
      <c r="CB78" s="106">
        <v>6</v>
      </c>
      <c r="CC78" s="106">
        <v>3312</v>
      </c>
      <c r="CD78" s="106">
        <v>6</v>
      </c>
      <c r="CE78" s="106">
        <v>3312</v>
      </c>
      <c r="CF78" s="106">
        <v>15</v>
      </c>
      <c r="CG78" s="106">
        <v>8280</v>
      </c>
      <c r="CH78" s="106">
        <v>16</v>
      </c>
      <c r="CI78" s="106">
        <v>8832</v>
      </c>
      <c r="CJ78" s="106">
        <v>16</v>
      </c>
      <c r="CK78" s="106">
        <v>8832</v>
      </c>
      <c r="CL78" s="106">
        <v>18</v>
      </c>
      <c r="CM78" s="106">
        <v>9936</v>
      </c>
      <c r="CN78" s="106">
        <v>4</v>
      </c>
      <c r="CO78" s="106">
        <v>2208</v>
      </c>
      <c r="CP78" s="106">
        <v>7</v>
      </c>
      <c r="CQ78" s="106">
        <v>3864</v>
      </c>
      <c r="CR78" s="106">
        <v>5</v>
      </c>
      <c r="CS78" s="106">
        <v>2760</v>
      </c>
      <c r="CT78" s="106">
        <v>6</v>
      </c>
      <c r="CU78" s="106">
        <v>3312</v>
      </c>
    </row>
    <row r="79" spans="2:99" x14ac:dyDescent="0.2">
      <c r="C79" s="105" t="s">
        <v>245</v>
      </c>
      <c r="D79" s="106">
        <v>8</v>
      </c>
      <c r="E79" s="106">
        <v>6057.5999999999995</v>
      </c>
      <c r="F79" s="106">
        <v>9</v>
      </c>
      <c r="G79" s="106">
        <v>6814.7999999999993</v>
      </c>
      <c r="H79" s="106">
        <v>6</v>
      </c>
      <c r="I79" s="106">
        <v>4543.2</v>
      </c>
      <c r="J79" s="106">
        <v>8</v>
      </c>
      <c r="K79" s="106">
        <v>6057.5999999999995</v>
      </c>
      <c r="L79" s="106">
        <v>4</v>
      </c>
      <c r="M79" s="106">
        <v>3028.7999999999997</v>
      </c>
      <c r="N79" s="106">
        <v>5</v>
      </c>
      <c r="O79" s="106">
        <v>3785.9999999999995</v>
      </c>
      <c r="P79" s="106">
        <v>3</v>
      </c>
      <c r="Q79" s="106">
        <v>2271.6</v>
      </c>
      <c r="R79" s="106">
        <v>5</v>
      </c>
      <c r="S79" s="106">
        <v>3785.9999999999995</v>
      </c>
      <c r="T79" s="106">
        <v>21</v>
      </c>
      <c r="U79" s="106">
        <v>15901.199999999999</v>
      </c>
      <c r="V79" s="106">
        <v>32</v>
      </c>
      <c r="W79" s="106">
        <v>24230.399999999998</v>
      </c>
      <c r="X79" s="106">
        <v>26</v>
      </c>
      <c r="Y79" s="106">
        <v>19687.199999999997</v>
      </c>
      <c r="Z79" s="106">
        <v>28</v>
      </c>
      <c r="AA79" s="106">
        <v>21201.599999999999</v>
      </c>
      <c r="AB79" s="106">
        <v>13</v>
      </c>
      <c r="AC79" s="106">
        <v>9843.5999999999985</v>
      </c>
      <c r="AD79" s="106">
        <v>14</v>
      </c>
      <c r="AE79" s="106">
        <v>10600.8</v>
      </c>
      <c r="AF79" s="106">
        <v>12</v>
      </c>
      <c r="AG79" s="106">
        <v>9086.4</v>
      </c>
      <c r="AH79" s="106">
        <v>11</v>
      </c>
      <c r="AI79" s="106">
        <v>8329.1999999999989</v>
      </c>
      <c r="AJ79" s="106">
        <v>14</v>
      </c>
      <c r="AK79" s="106">
        <v>10600.8</v>
      </c>
      <c r="AL79" s="106">
        <v>13</v>
      </c>
      <c r="AM79" s="106">
        <v>9843.5999999999985</v>
      </c>
      <c r="AN79" s="106">
        <v>13</v>
      </c>
      <c r="AO79" s="106">
        <v>9843.5999999999985</v>
      </c>
      <c r="AP79" s="106">
        <v>15</v>
      </c>
      <c r="AQ79" s="106">
        <v>11357.999999999998</v>
      </c>
      <c r="AR79" s="106">
        <v>14</v>
      </c>
      <c r="AS79" s="106">
        <v>10600.8</v>
      </c>
      <c r="AT79" s="106">
        <v>18</v>
      </c>
      <c r="AU79" s="106">
        <v>13629.599999999999</v>
      </c>
      <c r="AV79" s="106">
        <v>18</v>
      </c>
      <c r="AW79" s="106">
        <v>13629.599999999999</v>
      </c>
      <c r="AX79" s="106">
        <v>18</v>
      </c>
      <c r="AY79" s="106">
        <v>13629.599999999999</v>
      </c>
      <c r="AZ79" s="106">
        <v>4</v>
      </c>
      <c r="BA79" s="106">
        <v>3028.7999999999997</v>
      </c>
      <c r="BB79" s="106">
        <v>6</v>
      </c>
      <c r="BC79" s="106">
        <v>4543.2</v>
      </c>
      <c r="BD79" s="106">
        <v>5</v>
      </c>
      <c r="BE79" s="106">
        <v>3785.9999999999995</v>
      </c>
      <c r="BF79" s="106">
        <v>4</v>
      </c>
      <c r="BG79" s="106">
        <v>3028.7999999999997</v>
      </c>
      <c r="BH79" s="106">
        <v>19</v>
      </c>
      <c r="BI79" s="106">
        <v>14386.8</v>
      </c>
      <c r="BJ79" s="106">
        <v>14</v>
      </c>
      <c r="BK79" s="106">
        <v>10600.8</v>
      </c>
      <c r="BL79" s="106">
        <v>13</v>
      </c>
      <c r="BM79" s="106">
        <v>9843.5999999999985</v>
      </c>
      <c r="BN79" s="106">
        <v>15</v>
      </c>
      <c r="BO79" s="106">
        <v>11357.999999999998</v>
      </c>
      <c r="BP79" s="106">
        <v>8</v>
      </c>
      <c r="BQ79" s="106">
        <v>6057.5999999999995</v>
      </c>
      <c r="BR79" s="106">
        <v>8</v>
      </c>
      <c r="BS79" s="106">
        <v>6057.5999999999995</v>
      </c>
      <c r="BT79" s="106">
        <v>9</v>
      </c>
      <c r="BU79" s="106">
        <v>6814.7999999999993</v>
      </c>
      <c r="BV79" s="106">
        <v>5</v>
      </c>
      <c r="BW79" s="106">
        <v>3785.9999999999995</v>
      </c>
      <c r="BX79" s="106">
        <v>8</v>
      </c>
      <c r="BY79" s="106">
        <v>6057.5999999999995</v>
      </c>
      <c r="BZ79" s="106">
        <v>6</v>
      </c>
      <c r="CA79" s="106">
        <v>4543.2</v>
      </c>
      <c r="CB79" s="106">
        <v>7</v>
      </c>
      <c r="CC79" s="106">
        <v>5300.4</v>
      </c>
      <c r="CD79" s="106">
        <v>6</v>
      </c>
      <c r="CE79" s="106">
        <v>4543.2</v>
      </c>
      <c r="CF79" s="106">
        <v>13</v>
      </c>
      <c r="CG79" s="106">
        <v>9843.5999999999985</v>
      </c>
      <c r="CH79" s="106">
        <v>15</v>
      </c>
      <c r="CI79" s="106">
        <v>11357.999999999998</v>
      </c>
      <c r="CJ79" s="106">
        <v>17</v>
      </c>
      <c r="CK79" s="106">
        <v>12872.4</v>
      </c>
      <c r="CL79" s="106">
        <v>16</v>
      </c>
      <c r="CM79" s="106">
        <v>12115.199999999999</v>
      </c>
      <c r="CN79" s="106">
        <v>4</v>
      </c>
      <c r="CO79" s="106">
        <v>3028.7999999999997</v>
      </c>
      <c r="CP79" s="106">
        <v>6</v>
      </c>
      <c r="CQ79" s="106">
        <v>4543.2</v>
      </c>
      <c r="CR79" s="106">
        <v>5</v>
      </c>
      <c r="CS79" s="106">
        <v>3785.9999999999995</v>
      </c>
      <c r="CT79" s="106">
        <v>7</v>
      </c>
      <c r="CU79" s="106">
        <v>5300.4</v>
      </c>
    </row>
    <row r="80" spans="2:99" x14ac:dyDescent="0.2">
      <c r="C80" s="105" t="s">
        <v>246</v>
      </c>
      <c r="D80" s="106">
        <v>8</v>
      </c>
      <c r="E80" s="106">
        <v>6441.5999999999995</v>
      </c>
      <c r="F80" s="106">
        <v>8</v>
      </c>
      <c r="G80" s="106">
        <v>6441.5999999999995</v>
      </c>
      <c r="H80" s="106">
        <v>7</v>
      </c>
      <c r="I80" s="106">
        <v>5636.4</v>
      </c>
      <c r="J80" s="106">
        <v>9</v>
      </c>
      <c r="K80" s="106">
        <v>7246.7999999999993</v>
      </c>
      <c r="L80" s="106">
        <v>4</v>
      </c>
      <c r="M80" s="106">
        <v>3220.7999999999997</v>
      </c>
      <c r="N80" s="106">
        <v>5</v>
      </c>
      <c r="O80" s="106">
        <v>4025.9999999999995</v>
      </c>
      <c r="P80" s="106">
        <v>3</v>
      </c>
      <c r="Q80" s="106">
        <v>2415.6</v>
      </c>
      <c r="R80" s="106">
        <v>5</v>
      </c>
      <c r="S80" s="106">
        <v>4025.9999999999995</v>
      </c>
      <c r="T80" s="106">
        <v>21</v>
      </c>
      <c r="U80" s="106">
        <v>16909.199999999997</v>
      </c>
      <c r="V80" s="106">
        <v>29</v>
      </c>
      <c r="W80" s="106">
        <v>23350.799999999999</v>
      </c>
      <c r="X80" s="106">
        <v>24</v>
      </c>
      <c r="Y80" s="106">
        <v>19324.8</v>
      </c>
      <c r="Z80" s="106">
        <v>27</v>
      </c>
      <c r="AA80" s="106">
        <v>21740.399999999998</v>
      </c>
      <c r="AB80" s="106">
        <v>14</v>
      </c>
      <c r="AC80" s="106">
        <v>11272.8</v>
      </c>
      <c r="AD80" s="106">
        <v>13</v>
      </c>
      <c r="AE80" s="106">
        <v>10467.599999999999</v>
      </c>
      <c r="AF80" s="106">
        <v>11</v>
      </c>
      <c r="AG80" s="106">
        <v>8857.1999999999989</v>
      </c>
      <c r="AH80" s="106">
        <v>10</v>
      </c>
      <c r="AI80" s="106">
        <v>8051.9999999999991</v>
      </c>
      <c r="AJ80" s="106">
        <v>15</v>
      </c>
      <c r="AK80" s="106">
        <v>12077.999999999998</v>
      </c>
      <c r="AL80" s="106">
        <v>14</v>
      </c>
      <c r="AM80" s="106">
        <v>11272.8</v>
      </c>
      <c r="AN80" s="106">
        <v>13</v>
      </c>
      <c r="AO80" s="106">
        <v>10467.599999999999</v>
      </c>
      <c r="AP80" s="106">
        <v>13</v>
      </c>
      <c r="AQ80" s="106">
        <v>10467.599999999999</v>
      </c>
      <c r="AR80" s="106">
        <v>16</v>
      </c>
      <c r="AS80" s="106">
        <v>12883.199999999999</v>
      </c>
      <c r="AT80" s="106">
        <v>17</v>
      </c>
      <c r="AU80" s="106">
        <v>13688.4</v>
      </c>
      <c r="AV80" s="106">
        <v>17</v>
      </c>
      <c r="AW80" s="106">
        <v>13688.4</v>
      </c>
      <c r="AX80" s="106">
        <v>20</v>
      </c>
      <c r="AY80" s="106">
        <v>16103.999999999998</v>
      </c>
      <c r="AZ80" s="106">
        <v>4</v>
      </c>
      <c r="BA80" s="106">
        <v>3220.7999999999997</v>
      </c>
      <c r="BB80" s="106">
        <v>6</v>
      </c>
      <c r="BC80" s="106">
        <v>4831.2</v>
      </c>
      <c r="BD80" s="106">
        <v>5</v>
      </c>
      <c r="BE80" s="106">
        <v>4025.9999999999995</v>
      </c>
      <c r="BF80" s="106">
        <v>3</v>
      </c>
      <c r="BG80" s="106">
        <v>2415.6</v>
      </c>
      <c r="BH80" s="106">
        <v>18</v>
      </c>
      <c r="BI80" s="106">
        <v>14493.599999999999</v>
      </c>
      <c r="BJ80" s="106">
        <v>16</v>
      </c>
      <c r="BK80" s="106">
        <v>12883.199999999999</v>
      </c>
      <c r="BL80" s="106">
        <v>11</v>
      </c>
      <c r="BM80" s="106">
        <v>8857.1999999999989</v>
      </c>
      <c r="BN80" s="106">
        <v>15</v>
      </c>
      <c r="BO80" s="106">
        <v>12077.999999999998</v>
      </c>
      <c r="BP80" s="106">
        <v>8</v>
      </c>
      <c r="BQ80" s="106">
        <v>6441.5999999999995</v>
      </c>
      <c r="BR80" s="106">
        <v>7</v>
      </c>
      <c r="BS80" s="106">
        <v>5636.4</v>
      </c>
      <c r="BT80" s="106">
        <v>9</v>
      </c>
      <c r="BU80" s="106">
        <v>7246.7999999999993</v>
      </c>
      <c r="BV80" s="106">
        <v>5</v>
      </c>
      <c r="BW80" s="106">
        <v>4025.9999999999995</v>
      </c>
      <c r="BX80" s="106">
        <v>8</v>
      </c>
      <c r="BY80" s="106">
        <v>6441.5999999999995</v>
      </c>
      <c r="BZ80" s="106">
        <v>6</v>
      </c>
      <c r="CA80" s="106">
        <v>4831.2</v>
      </c>
      <c r="CB80" s="106">
        <v>6</v>
      </c>
      <c r="CC80" s="106">
        <v>4831.2</v>
      </c>
      <c r="CD80" s="106">
        <v>6</v>
      </c>
      <c r="CE80" s="106">
        <v>4831.2</v>
      </c>
      <c r="CF80" s="106">
        <v>15</v>
      </c>
      <c r="CG80" s="106">
        <v>12077.999999999998</v>
      </c>
      <c r="CH80" s="106">
        <v>14</v>
      </c>
      <c r="CI80" s="106">
        <v>11272.8</v>
      </c>
      <c r="CJ80" s="106">
        <v>16</v>
      </c>
      <c r="CK80" s="106">
        <v>12883.199999999999</v>
      </c>
      <c r="CL80" s="106">
        <v>16</v>
      </c>
      <c r="CM80" s="106">
        <v>12883.199999999999</v>
      </c>
      <c r="CN80" s="106">
        <v>4</v>
      </c>
      <c r="CO80" s="106">
        <v>3220.7999999999997</v>
      </c>
      <c r="CP80" s="106">
        <v>7</v>
      </c>
      <c r="CQ80" s="106">
        <v>5636.4</v>
      </c>
      <c r="CR80" s="106">
        <v>5</v>
      </c>
      <c r="CS80" s="106">
        <v>4025.9999999999995</v>
      </c>
      <c r="CT80" s="106">
        <v>6</v>
      </c>
      <c r="CU80" s="106">
        <v>4831.2</v>
      </c>
    </row>
    <row r="81" spans="2:99" x14ac:dyDescent="0.2">
      <c r="C81" s="105" t="s">
        <v>247</v>
      </c>
      <c r="D81" s="106">
        <v>7</v>
      </c>
      <c r="E81" s="106">
        <v>5275.2</v>
      </c>
      <c r="F81" s="106">
        <v>9</v>
      </c>
      <c r="G81" s="106">
        <v>6782.4000000000005</v>
      </c>
      <c r="H81" s="106">
        <v>7</v>
      </c>
      <c r="I81" s="106">
        <v>5275.2</v>
      </c>
      <c r="J81" s="106">
        <v>8</v>
      </c>
      <c r="K81" s="106">
        <v>6028.8</v>
      </c>
      <c r="L81" s="106">
        <v>4</v>
      </c>
      <c r="M81" s="106">
        <v>3014.4</v>
      </c>
      <c r="N81" s="106">
        <v>5</v>
      </c>
      <c r="O81" s="106">
        <v>3768</v>
      </c>
      <c r="P81" s="106">
        <v>3</v>
      </c>
      <c r="Q81" s="106">
        <v>2260.8000000000002</v>
      </c>
      <c r="R81" s="106">
        <v>5</v>
      </c>
      <c r="S81" s="106">
        <v>3768</v>
      </c>
      <c r="T81" s="106">
        <v>21</v>
      </c>
      <c r="U81" s="106">
        <v>15825.6</v>
      </c>
      <c r="V81" s="106">
        <v>34</v>
      </c>
      <c r="W81" s="106">
        <v>25622.400000000001</v>
      </c>
      <c r="X81" s="106">
        <v>26</v>
      </c>
      <c r="Y81" s="106">
        <v>19593.600000000002</v>
      </c>
      <c r="Z81" s="106">
        <v>30</v>
      </c>
      <c r="AA81" s="106">
        <v>22608</v>
      </c>
      <c r="AB81" s="106">
        <v>13</v>
      </c>
      <c r="AC81" s="106">
        <v>9796.8000000000011</v>
      </c>
      <c r="AD81" s="106">
        <v>14</v>
      </c>
      <c r="AE81" s="106">
        <v>10550.4</v>
      </c>
      <c r="AF81" s="106">
        <v>11</v>
      </c>
      <c r="AG81" s="106">
        <v>8289.6</v>
      </c>
      <c r="AH81" s="106">
        <v>11</v>
      </c>
      <c r="AI81" s="106">
        <v>8289.6</v>
      </c>
      <c r="AJ81" s="106">
        <v>13</v>
      </c>
      <c r="AK81" s="106">
        <v>9796.8000000000011</v>
      </c>
      <c r="AL81" s="106">
        <v>13</v>
      </c>
      <c r="AM81" s="106">
        <v>9796.8000000000011</v>
      </c>
      <c r="AN81" s="106">
        <v>12</v>
      </c>
      <c r="AO81" s="106">
        <v>9043.2000000000007</v>
      </c>
      <c r="AP81" s="106">
        <v>13</v>
      </c>
      <c r="AQ81" s="106">
        <v>9796.8000000000011</v>
      </c>
      <c r="AR81" s="106">
        <v>16</v>
      </c>
      <c r="AS81" s="106">
        <v>12057.6</v>
      </c>
      <c r="AT81" s="106">
        <v>19</v>
      </c>
      <c r="AU81" s="106">
        <v>14318.4</v>
      </c>
      <c r="AV81" s="106">
        <v>16</v>
      </c>
      <c r="AW81" s="106">
        <v>12057.6</v>
      </c>
      <c r="AX81" s="106">
        <v>19</v>
      </c>
      <c r="AY81" s="106">
        <v>14318.4</v>
      </c>
      <c r="AZ81" s="106">
        <v>4</v>
      </c>
      <c r="BA81" s="106">
        <v>3014.4</v>
      </c>
      <c r="BB81" s="106">
        <v>5</v>
      </c>
      <c r="BC81" s="106">
        <v>3768</v>
      </c>
      <c r="BD81" s="106">
        <v>5</v>
      </c>
      <c r="BE81" s="106">
        <v>3768</v>
      </c>
      <c r="BF81" s="106">
        <v>4</v>
      </c>
      <c r="BG81" s="106">
        <v>3014.4</v>
      </c>
      <c r="BH81" s="106">
        <v>20</v>
      </c>
      <c r="BI81" s="106">
        <v>15072</v>
      </c>
      <c r="BJ81" s="106">
        <v>15</v>
      </c>
      <c r="BK81" s="106">
        <v>11304</v>
      </c>
      <c r="BL81" s="106">
        <v>13</v>
      </c>
      <c r="BM81" s="106">
        <v>9796.8000000000011</v>
      </c>
      <c r="BN81" s="106">
        <v>17</v>
      </c>
      <c r="BO81" s="106">
        <v>12811.2</v>
      </c>
      <c r="BP81" s="106">
        <v>9</v>
      </c>
      <c r="BQ81" s="106">
        <v>6782.4000000000005</v>
      </c>
      <c r="BR81" s="106">
        <v>8</v>
      </c>
      <c r="BS81" s="106">
        <v>6028.8</v>
      </c>
      <c r="BT81" s="106">
        <v>8</v>
      </c>
      <c r="BU81" s="106">
        <v>6028.8</v>
      </c>
      <c r="BV81" s="106">
        <v>6</v>
      </c>
      <c r="BW81" s="106">
        <v>4521.6000000000004</v>
      </c>
      <c r="BX81" s="106">
        <v>8</v>
      </c>
      <c r="BY81" s="106">
        <v>6028.8</v>
      </c>
      <c r="BZ81" s="106">
        <v>5</v>
      </c>
      <c r="CA81" s="106">
        <v>3768</v>
      </c>
      <c r="CB81" s="106">
        <v>6</v>
      </c>
      <c r="CC81" s="106">
        <v>4521.6000000000004</v>
      </c>
      <c r="CD81" s="106">
        <v>6</v>
      </c>
      <c r="CE81" s="106">
        <v>4521.6000000000004</v>
      </c>
      <c r="CF81" s="106">
        <v>13</v>
      </c>
      <c r="CG81" s="106">
        <v>9796.8000000000011</v>
      </c>
      <c r="CH81" s="106">
        <v>13</v>
      </c>
      <c r="CI81" s="106">
        <v>9796.8000000000011</v>
      </c>
      <c r="CJ81" s="106">
        <v>17</v>
      </c>
      <c r="CK81" s="106">
        <v>12811.2</v>
      </c>
      <c r="CL81" s="106">
        <v>17</v>
      </c>
      <c r="CM81" s="106">
        <v>12811.2</v>
      </c>
      <c r="CN81" s="106">
        <v>4</v>
      </c>
      <c r="CO81" s="106">
        <v>3014.4</v>
      </c>
      <c r="CP81" s="106">
        <v>7</v>
      </c>
      <c r="CQ81" s="106">
        <v>5275.2</v>
      </c>
      <c r="CR81" s="106">
        <v>5</v>
      </c>
      <c r="CS81" s="106">
        <v>3768</v>
      </c>
      <c r="CT81" s="106">
        <v>6</v>
      </c>
      <c r="CU81" s="106">
        <v>4521.6000000000004</v>
      </c>
    </row>
    <row r="82" spans="2:99" x14ac:dyDescent="0.2">
      <c r="C82" s="105" t="s">
        <v>248</v>
      </c>
      <c r="D82" s="106">
        <v>8</v>
      </c>
      <c r="E82" s="106">
        <v>4070.3999999999992</v>
      </c>
      <c r="F82" s="106">
        <v>9</v>
      </c>
      <c r="G82" s="106">
        <v>4579.1999999999989</v>
      </c>
      <c r="H82" s="106">
        <v>7</v>
      </c>
      <c r="I82" s="106">
        <v>3561.5999999999995</v>
      </c>
      <c r="J82" s="106">
        <v>8</v>
      </c>
      <c r="K82" s="106">
        <v>4070.3999999999992</v>
      </c>
      <c r="L82" s="106">
        <v>4</v>
      </c>
      <c r="M82" s="106">
        <v>2035.1999999999996</v>
      </c>
      <c r="N82" s="106">
        <v>6</v>
      </c>
      <c r="O82" s="106">
        <v>3052.7999999999993</v>
      </c>
      <c r="P82" s="106">
        <v>3</v>
      </c>
      <c r="Q82" s="106">
        <v>1526.3999999999996</v>
      </c>
      <c r="R82" s="106">
        <v>5</v>
      </c>
      <c r="S82" s="106">
        <v>2543.9999999999995</v>
      </c>
      <c r="T82" s="106">
        <v>23</v>
      </c>
      <c r="U82" s="106">
        <v>11702.399999999998</v>
      </c>
      <c r="V82" s="106">
        <v>33</v>
      </c>
      <c r="W82" s="106">
        <v>16790.399999999998</v>
      </c>
      <c r="X82" s="106">
        <v>30</v>
      </c>
      <c r="Y82" s="106">
        <v>15263.999999999996</v>
      </c>
      <c r="Z82" s="106">
        <v>31</v>
      </c>
      <c r="AA82" s="106">
        <v>15772.799999999997</v>
      </c>
      <c r="AB82" s="106">
        <v>13</v>
      </c>
      <c r="AC82" s="106">
        <v>6614.3999999999987</v>
      </c>
      <c r="AD82" s="106">
        <v>14</v>
      </c>
      <c r="AE82" s="106">
        <v>7123.1999999999989</v>
      </c>
      <c r="AF82" s="106">
        <v>13</v>
      </c>
      <c r="AG82" s="106">
        <v>6614.3999999999987</v>
      </c>
      <c r="AH82" s="106">
        <v>10</v>
      </c>
      <c r="AI82" s="106">
        <v>5087.9999999999991</v>
      </c>
      <c r="AJ82" s="106">
        <v>16</v>
      </c>
      <c r="AK82" s="106">
        <v>8140.7999999999984</v>
      </c>
      <c r="AL82" s="106">
        <v>15</v>
      </c>
      <c r="AM82" s="106">
        <v>7631.9999999999982</v>
      </c>
      <c r="AN82" s="106">
        <v>13</v>
      </c>
      <c r="AO82" s="106">
        <v>6614.3999999999987</v>
      </c>
      <c r="AP82" s="106">
        <v>14</v>
      </c>
      <c r="AQ82" s="106">
        <v>7123.1999999999989</v>
      </c>
      <c r="AR82" s="106">
        <v>16</v>
      </c>
      <c r="AS82" s="106">
        <v>8140.7999999999984</v>
      </c>
      <c r="AT82" s="106">
        <v>20</v>
      </c>
      <c r="AU82" s="106">
        <v>10175.999999999998</v>
      </c>
      <c r="AV82" s="106">
        <v>17</v>
      </c>
      <c r="AW82" s="106">
        <v>8649.5999999999985</v>
      </c>
      <c r="AX82" s="106">
        <v>20</v>
      </c>
      <c r="AY82" s="106">
        <v>10175.999999999998</v>
      </c>
      <c r="AZ82" s="106">
        <v>4</v>
      </c>
      <c r="BA82" s="106">
        <v>2035.1999999999996</v>
      </c>
      <c r="BB82" s="106">
        <v>5</v>
      </c>
      <c r="BC82" s="106">
        <v>2543.9999999999995</v>
      </c>
      <c r="BD82" s="106">
        <v>5</v>
      </c>
      <c r="BE82" s="106">
        <v>2543.9999999999995</v>
      </c>
      <c r="BF82" s="106">
        <v>4</v>
      </c>
      <c r="BG82" s="106">
        <v>2035.1999999999996</v>
      </c>
      <c r="BH82" s="106">
        <v>18</v>
      </c>
      <c r="BI82" s="106">
        <v>9158.3999999999978</v>
      </c>
      <c r="BJ82" s="106">
        <v>15</v>
      </c>
      <c r="BK82" s="106">
        <v>7631.9999999999982</v>
      </c>
      <c r="BL82" s="106">
        <v>13</v>
      </c>
      <c r="BM82" s="106">
        <v>6614.3999999999987</v>
      </c>
      <c r="BN82" s="106">
        <v>15</v>
      </c>
      <c r="BO82" s="106">
        <v>7631.9999999999982</v>
      </c>
      <c r="BP82" s="106">
        <v>10</v>
      </c>
      <c r="BQ82" s="106">
        <v>5087.9999999999991</v>
      </c>
      <c r="BR82" s="106">
        <v>8</v>
      </c>
      <c r="BS82" s="106">
        <v>4070.3999999999992</v>
      </c>
      <c r="BT82" s="106">
        <v>9</v>
      </c>
      <c r="BU82" s="106">
        <v>4579.1999999999989</v>
      </c>
      <c r="BV82" s="106">
        <v>5</v>
      </c>
      <c r="BW82" s="106">
        <v>2543.9999999999995</v>
      </c>
      <c r="BX82" s="106">
        <v>8</v>
      </c>
      <c r="BY82" s="106">
        <v>4070.3999999999992</v>
      </c>
      <c r="BZ82" s="106">
        <v>6</v>
      </c>
      <c r="CA82" s="106">
        <v>3052.7999999999993</v>
      </c>
      <c r="CB82" s="106">
        <v>6</v>
      </c>
      <c r="CC82" s="106">
        <v>3052.7999999999993</v>
      </c>
      <c r="CD82" s="106">
        <v>6</v>
      </c>
      <c r="CE82" s="106">
        <v>3052.7999999999993</v>
      </c>
      <c r="CF82" s="106">
        <v>15</v>
      </c>
      <c r="CG82" s="106">
        <v>7631.9999999999982</v>
      </c>
      <c r="CH82" s="106">
        <v>14</v>
      </c>
      <c r="CI82" s="106">
        <v>7123.1999999999989</v>
      </c>
      <c r="CJ82" s="106">
        <v>17</v>
      </c>
      <c r="CK82" s="106">
        <v>8649.5999999999985</v>
      </c>
      <c r="CL82" s="106">
        <v>18</v>
      </c>
      <c r="CM82" s="106">
        <v>9158.3999999999978</v>
      </c>
      <c r="CN82" s="106">
        <v>4</v>
      </c>
      <c r="CO82" s="106">
        <v>2035.1999999999996</v>
      </c>
      <c r="CP82" s="106">
        <v>7</v>
      </c>
      <c r="CQ82" s="106">
        <v>3561.5999999999995</v>
      </c>
      <c r="CR82" s="106">
        <v>5</v>
      </c>
      <c r="CS82" s="106">
        <v>2543.9999999999995</v>
      </c>
      <c r="CT82" s="106">
        <v>6</v>
      </c>
      <c r="CU82" s="106">
        <v>3052.7999999999993</v>
      </c>
    </row>
    <row r="83" spans="2:99" x14ac:dyDescent="0.2">
      <c r="C83" s="105" t="s">
        <v>249</v>
      </c>
      <c r="D83" s="106">
        <v>8</v>
      </c>
      <c r="E83" s="106">
        <v>6883.2</v>
      </c>
      <c r="F83" s="106">
        <v>9</v>
      </c>
      <c r="G83" s="106">
        <v>7743.5999999999995</v>
      </c>
      <c r="H83" s="106">
        <v>6</v>
      </c>
      <c r="I83" s="106">
        <v>5162.3999999999996</v>
      </c>
      <c r="J83" s="106">
        <v>8</v>
      </c>
      <c r="K83" s="106">
        <v>6883.2</v>
      </c>
      <c r="L83" s="106">
        <v>4</v>
      </c>
      <c r="M83" s="106">
        <v>3441.6</v>
      </c>
      <c r="N83" s="106">
        <v>5</v>
      </c>
      <c r="O83" s="106">
        <v>4302</v>
      </c>
      <c r="P83" s="106">
        <v>3</v>
      </c>
      <c r="Q83" s="106">
        <v>2581.1999999999998</v>
      </c>
      <c r="R83" s="106">
        <v>5</v>
      </c>
      <c r="S83" s="106">
        <v>4302</v>
      </c>
      <c r="T83" s="106">
        <v>22</v>
      </c>
      <c r="U83" s="106">
        <v>18928.8</v>
      </c>
      <c r="V83" s="106">
        <v>34</v>
      </c>
      <c r="W83" s="106">
        <v>29253.599999999999</v>
      </c>
      <c r="X83" s="106">
        <v>25</v>
      </c>
      <c r="Y83" s="106">
        <v>21510</v>
      </c>
      <c r="Z83" s="106">
        <v>29</v>
      </c>
      <c r="AA83" s="106">
        <v>24951.599999999999</v>
      </c>
      <c r="AB83" s="106">
        <v>14</v>
      </c>
      <c r="AC83" s="106">
        <v>12045.6</v>
      </c>
      <c r="AD83" s="106">
        <v>13</v>
      </c>
      <c r="AE83" s="106">
        <v>11185.199999999999</v>
      </c>
      <c r="AF83" s="106">
        <v>12</v>
      </c>
      <c r="AG83" s="106">
        <v>10324.799999999999</v>
      </c>
      <c r="AH83" s="106">
        <v>11</v>
      </c>
      <c r="AI83" s="106">
        <v>9464.4</v>
      </c>
      <c r="AJ83" s="106">
        <v>14</v>
      </c>
      <c r="AK83" s="106">
        <v>12045.6</v>
      </c>
      <c r="AL83" s="106">
        <v>12</v>
      </c>
      <c r="AM83" s="106">
        <v>10324.799999999999</v>
      </c>
      <c r="AN83" s="106">
        <v>11</v>
      </c>
      <c r="AO83" s="106">
        <v>9464.4</v>
      </c>
      <c r="AP83" s="106">
        <v>15</v>
      </c>
      <c r="AQ83" s="106">
        <v>12906</v>
      </c>
      <c r="AR83" s="106">
        <v>14</v>
      </c>
      <c r="AS83" s="106">
        <v>12045.6</v>
      </c>
      <c r="AT83" s="106">
        <v>17</v>
      </c>
      <c r="AU83" s="106">
        <v>14626.8</v>
      </c>
      <c r="AV83" s="106">
        <v>17</v>
      </c>
      <c r="AW83" s="106">
        <v>14626.8</v>
      </c>
      <c r="AX83" s="106">
        <v>19</v>
      </c>
      <c r="AY83" s="106">
        <v>16347.6</v>
      </c>
      <c r="AZ83" s="106">
        <v>4</v>
      </c>
      <c r="BA83" s="106">
        <v>3441.6</v>
      </c>
      <c r="BB83" s="106">
        <v>5</v>
      </c>
      <c r="BC83" s="106">
        <v>4302</v>
      </c>
      <c r="BD83" s="106">
        <v>5</v>
      </c>
      <c r="BE83" s="106">
        <v>4302</v>
      </c>
      <c r="BF83" s="106">
        <v>4</v>
      </c>
      <c r="BG83" s="106">
        <v>3441.6</v>
      </c>
      <c r="BH83" s="106">
        <v>19</v>
      </c>
      <c r="BI83" s="106">
        <v>16347.6</v>
      </c>
      <c r="BJ83" s="106">
        <v>14</v>
      </c>
      <c r="BK83" s="106">
        <v>12045.6</v>
      </c>
      <c r="BL83" s="106">
        <v>11</v>
      </c>
      <c r="BM83" s="106">
        <v>9464.4</v>
      </c>
      <c r="BN83" s="106">
        <v>15</v>
      </c>
      <c r="BO83" s="106">
        <v>12906</v>
      </c>
      <c r="BP83" s="106">
        <v>9</v>
      </c>
      <c r="BQ83" s="106">
        <v>7743.5999999999995</v>
      </c>
      <c r="BR83" s="106">
        <v>7</v>
      </c>
      <c r="BS83" s="106">
        <v>6022.8</v>
      </c>
      <c r="BT83" s="106">
        <v>8</v>
      </c>
      <c r="BU83" s="106">
        <v>6883.2</v>
      </c>
      <c r="BV83" s="106">
        <v>5</v>
      </c>
      <c r="BW83" s="106">
        <v>4302</v>
      </c>
      <c r="BX83" s="106">
        <v>7</v>
      </c>
      <c r="BY83" s="106">
        <v>6022.8</v>
      </c>
      <c r="BZ83" s="106">
        <v>6</v>
      </c>
      <c r="CA83" s="106">
        <v>5162.3999999999996</v>
      </c>
      <c r="CB83" s="106">
        <v>6</v>
      </c>
      <c r="CC83" s="106">
        <v>5162.3999999999996</v>
      </c>
      <c r="CD83" s="106">
        <v>7</v>
      </c>
      <c r="CE83" s="106">
        <v>6022.8</v>
      </c>
      <c r="CF83" s="106">
        <v>14</v>
      </c>
      <c r="CG83" s="106">
        <v>12045.6</v>
      </c>
      <c r="CH83" s="106">
        <v>14</v>
      </c>
      <c r="CI83" s="106">
        <v>12045.6</v>
      </c>
      <c r="CJ83" s="106">
        <v>16</v>
      </c>
      <c r="CK83" s="106">
        <v>13766.4</v>
      </c>
      <c r="CL83" s="106">
        <v>17</v>
      </c>
      <c r="CM83" s="106">
        <v>14626.8</v>
      </c>
      <c r="CN83" s="106">
        <v>4</v>
      </c>
      <c r="CO83" s="106">
        <v>3441.6</v>
      </c>
      <c r="CP83" s="106">
        <v>6</v>
      </c>
      <c r="CQ83" s="106">
        <v>5162.3999999999996</v>
      </c>
      <c r="CR83" s="106">
        <v>5</v>
      </c>
      <c r="CS83" s="106">
        <v>4302</v>
      </c>
      <c r="CT83" s="106">
        <v>6</v>
      </c>
      <c r="CU83" s="106">
        <v>5162.3999999999996</v>
      </c>
    </row>
    <row r="84" spans="2:99" x14ac:dyDescent="0.2">
      <c r="C84" s="105" t="s">
        <v>250</v>
      </c>
      <c r="D84" s="106">
        <v>8</v>
      </c>
      <c r="E84" s="106">
        <v>6249.5999999999995</v>
      </c>
      <c r="F84" s="106">
        <v>9</v>
      </c>
      <c r="G84" s="106">
        <v>7030.7999999999993</v>
      </c>
      <c r="H84" s="106">
        <v>6</v>
      </c>
      <c r="I84" s="106">
        <v>4687.2</v>
      </c>
      <c r="J84" s="106">
        <v>8</v>
      </c>
      <c r="K84" s="106">
        <v>6249.5999999999995</v>
      </c>
      <c r="L84" s="106">
        <v>4</v>
      </c>
      <c r="M84" s="106">
        <v>3124.7999999999997</v>
      </c>
      <c r="N84" s="106">
        <v>6</v>
      </c>
      <c r="O84" s="106">
        <v>4687.2</v>
      </c>
      <c r="P84" s="106">
        <v>3</v>
      </c>
      <c r="Q84" s="106">
        <v>2343.6</v>
      </c>
      <c r="R84" s="106">
        <v>5</v>
      </c>
      <c r="S84" s="106">
        <v>3905.9999999999995</v>
      </c>
      <c r="T84" s="106">
        <v>22</v>
      </c>
      <c r="U84" s="106">
        <v>17186.399999999998</v>
      </c>
      <c r="V84" s="106">
        <v>30</v>
      </c>
      <c r="W84" s="106">
        <v>23435.999999999996</v>
      </c>
      <c r="X84" s="106">
        <v>28</v>
      </c>
      <c r="Y84" s="106">
        <v>21873.599999999999</v>
      </c>
      <c r="Z84" s="106">
        <v>30</v>
      </c>
      <c r="AA84" s="106">
        <v>23435.999999999996</v>
      </c>
      <c r="AB84" s="106">
        <v>13</v>
      </c>
      <c r="AC84" s="106">
        <v>10155.599999999999</v>
      </c>
      <c r="AD84" s="106">
        <v>13</v>
      </c>
      <c r="AE84" s="106">
        <v>10155.599999999999</v>
      </c>
      <c r="AF84" s="106">
        <v>12</v>
      </c>
      <c r="AG84" s="106">
        <v>9374.4</v>
      </c>
      <c r="AH84" s="106">
        <v>10</v>
      </c>
      <c r="AI84" s="106">
        <v>7811.9999999999991</v>
      </c>
      <c r="AJ84" s="106">
        <v>15</v>
      </c>
      <c r="AK84" s="106">
        <v>11717.999999999998</v>
      </c>
      <c r="AL84" s="106">
        <v>12</v>
      </c>
      <c r="AM84" s="106">
        <v>9374.4</v>
      </c>
      <c r="AN84" s="106">
        <v>12</v>
      </c>
      <c r="AO84" s="106">
        <v>9374.4</v>
      </c>
      <c r="AP84" s="106">
        <v>14</v>
      </c>
      <c r="AQ84" s="106">
        <v>10936.8</v>
      </c>
      <c r="AR84" s="106">
        <v>14</v>
      </c>
      <c r="AS84" s="106">
        <v>10936.8</v>
      </c>
      <c r="AT84" s="106">
        <v>20</v>
      </c>
      <c r="AU84" s="106">
        <v>15623.999999999998</v>
      </c>
      <c r="AV84" s="106">
        <v>16</v>
      </c>
      <c r="AW84" s="106">
        <v>12499.199999999999</v>
      </c>
      <c r="AX84" s="106">
        <v>18</v>
      </c>
      <c r="AY84" s="106">
        <v>14061.599999999999</v>
      </c>
      <c r="AZ84" s="106">
        <v>4</v>
      </c>
      <c r="BA84" s="106">
        <v>3124.7999999999997</v>
      </c>
      <c r="BB84" s="106">
        <v>5</v>
      </c>
      <c r="BC84" s="106">
        <v>3905.9999999999995</v>
      </c>
      <c r="BD84" s="106">
        <v>5</v>
      </c>
      <c r="BE84" s="106">
        <v>3905.9999999999995</v>
      </c>
      <c r="BF84" s="106">
        <v>3</v>
      </c>
      <c r="BG84" s="106">
        <v>2343.6</v>
      </c>
      <c r="BH84" s="106">
        <v>20</v>
      </c>
      <c r="BI84" s="106">
        <v>15623.999999999998</v>
      </c>
      <c r="BJ84" s="106">
        <v>16</v>
      </c>
      <c r="BK84" s="106">
        <v>12499.199999999999</v>
      </c>
      <c r="BL84" s="106">
        <v>11</v>
      </c>
      <c r="BM84" s="106">
        <v>8593.1999999999989</v>
      </c>
      <c r="BN84" s="106">
        <v>16</v>
      </c>
      <c r="BO84" s="106">
        <v>12499.199999999999</v>
      </c>
      <c r="BP84" s="106">
        <v>8</v>
      </c>
      <c r="BQ84" s="106">
        <v>6249.5999999999995</v>
      </c>
      <c r="BR84" s="106">
        <v>8</v>
      </c>
      <c r="BS84" s="106">
        <v>6249.5999999999995</v>
      </c>
      <c r="BT84" s="106">
        <v>8</v>
      </c>
      <c r="BU84" s="106">
        <v>6249.5999999999995</v>
      </c>
      <c r="BV84" s="106">
        <v>5</v>
      </c>
      <c r="BW84" s="106">
        <v>3905.9999999999995</v>
      </c>
      <c r="BX84" s="106">
        <v>8</v>
      </c>
      <c r="BY84" s="106">
        <v>6249.5999999999995</v>
      </c>
      <c r="BZ84" s="106">
        <v>6</v>
      </c>
      <c r="CA84" s="106">
        <v>4687.2</v>
      </c>
      <c r="CB84" s="106">
        <v>7</v>
      </c>
      <c r="CC84" s="106">
        <v>5468.4</v>
      </c>
      <c r="CD84" s="106">
        <v>7</v>
      </c>
      <c r="CE84" s="106">
        <v>5468.4</v>
      </c>
      <c r="CF84" s="106">
        <v>14</v>
      </c>
      <c r="CG84" s="106">
        <v>10936.8</v>
      </c>
      <c r="CH84" s="106">
        <v>13</v>
      </c>
      <c r="CI84" s="106">
        <v>10155.599999999999</v>
      </c>
      <c r="CJ84" s="106">
        <v>17</v>
      </c>
      <c r="CK84" s="106">
        <v>13280.4</v>
      </c>
      <c r="CL84" s="106">
        <v>16</v>
      </c>
      <c r="CM84" s="106">
        <v>12499.199999999999</v>
      </c>
      <c r="CN84" s="106">
        <v>4</v>
      </c>
      <c r="CO84" s="106">
        <v>3124.7999999999997</v>
      </c>
      <c r="CP84" s="106">
        <v>7</v>
      </c>
      <c r="CQ84" s="106">
        <v>5468.4</v>
      </c>
      <c r="CR84" s="106">
        <v>5</v>
      </c>
      <c r="CS84" s="106">
        <v>3905.9999999999995</v>
      </c>
      <c r="CT84" s="106">
        <v>6</v>
      </c>
      <c r="CU84" s="106">
        <v>4687.2</v>
      </c>
    </row>
    <row r="85" spans="2:99" x14ac:dyDescent="0.2">
      <c r="C85" s="105" t="s">
        <v>251</v>
      </c>
      <c r="D85" s="106">
        <v>9</v>
      </c>
      <c r="E85" s="106">
        <v>1350</v>
      </c>
      <c r="F85" s="106">
        <v>10</v>
      </c>
      <c r="G85" s="106">
        <v>1500</v>
      </c>
      <c r="H85" s="106">
        <v>7</v>
      </c>
      <c r="I85" s="106">
        <v>1050</v>
      </c>
      <c r="J85" s="106">
        <v>8</v>
      </c>
      <c r="K85" s="106">
        <v>1200</v>
      </c>
      <c r="L85" s="106">
        <v>4</v>
      </c>
      <c r="M85" s="106">
        <v>600</v>
      </c>
      <c r="N85" s="106">
        <v>6</v>
      </c>
      <c r="O85" s="106">
        <v>900</v>
      </c>
      <c r="P85" s="106">
        <v>3</v>
      </c>
      <c r="Q85" s="106">
        <v>450</v>
      </c>
      <c r="R85" s="106">
        <v>5</v>
      </c>
      <c r="S85" s="106">
        <v>750</v>
      </c>
      <c r="T85" s="106">
        <v>22</v>
      </c>
      <c r="U85" s="106">
        <v>3300</v>
      </c>
      <c r="V85" s="106">
        <v>33</v>
      </c>
      <c r="W85" s="106">
        <v>4950</v>
      </c>
      <c r="X85" s="106">
        <v>29</v>
      </c>
      <c r="Y85" s="106">
        <v>4350</v>
      </c>
      <c r="Z85" s="106">
        <v>31</v>
      </c>
      <c r="AA85" s="106">
        <v>4650</v>
      </c>
      <c r="AB85" s="106">
        <v>16</v>
      </c>
      <c r="AC85" s="106">
        <v>2400</v>
      </c>
      <c r="AD85" s="106">
        <v>16</v>
      </c>
      <c r="AE85" s="106">
        <v>2400</v>
      </c>
      <c r="AF85" s="106">
        <v>12</v>
      </c>
      <c r="AG85" s="106">
        <v>1800</v>
      </c>
      <c r="AH85" s="106">
        <v>11</v>
      </c>
      <c r="AI85" s="106">
        <v>1650</v>
      </c>
      <c r="AJ85" s="106">
        <v>14</v>
      </c>
      <c r="AK85" s="106">
        <v>2100</v>
      </c>
      <c r="AL85" s="106">
        <v>15</v>
      </c>
      <c r="AM85" s="106">
        <v>2250</v>
      </c>
      <c r="AN85" s="106">
        <v>13</v>
      </c>
      <c r="AO85" s="106">
        <v>1950</v>
      </c>
      <c r="AP85" s="106">
        <v>15</v>
      </c>
      <c r="AQ85" s="106">
        <v>2250</v>
      </c>
      <c r="AR85" s="106">
        <v>18</v>
      </c>
      <c r="AS85" s="106">
        <v>2700</v>
      </c>
      <c r="AT85" s="106">
        <v>18</v>
      </c>
      <c r="AU85" s="106">
        <v>2700</v>
      </c>
      <c r="AV85" s="106">
        <v>19</v>
      </c>
      <c r="AW85" s="106">
        <v>2850</v>
      </c>
      <c r="AX85" s="106">
        <v>20</v>
      </c>
      <c r="AY85" s="106">
        <v>3000</v>
      </c>
      <c r="AZ85" s="106">
        <v>4</v>
      </c>
      <c r="BA85" s="106">
        <v>600</v>
      </c>
      <c r="BB85" s="106">
        <v>5</v>
      </c>
      <c r="BC85" s="106">
        <v>750</v>
      </c>
      <c r="BD85" s="106">
        <v>6</v>
      </c>
      <c r="BE85" s="106">
        <v>900</v>
      </c>
      <c r="BF85" s="106">
        <v>4</v>
      </c>
      <c r="BG85" s="106">
        <v>600</v>
      </c>
      <c r="BH85" s="106">
        <v>20</v>
      </c>
      <c r="BI85" s="106">
        <v>3000</v>
      </c>
      <c r="BJ85" s="106">
        <v>18</v>
      </c>
      <c r="BK85" s="106">
        <v>2700</v>
      </c>
      <c r="BL85" s="106">
        <v>12</v>
      </c>
      <c r="BM85" s="106">
        <v>1800</v>
      </c>
      <c r="BN85" s="106">
        <v>16</v>
      </c>
      <c r="BO85" s="106">
        <v>2400</v>
      </c>
      <c r="BP85" s="106">
        <v>9</v>
      </c>
      <c r="BQ85" s="106">
        <v>1350</v>
      </c>
      <c r="BR85" s="106">
        <v>9</v>
      </c>
      <c r="BS85" s="106">
        <v>1350</v>
      </c>
      <c r="BT85" s="106">
        <v>8</v>
      </c>
      <c r="BU85" s="106">
        <v>1200</v>
      </c>
      <c r="BV85" s="106">
        <v>5</v>
      </c>
      <c r="BW85" s="106">
        <v>750</v>
      </c>
      <c r="BX85" s="106">
        <v>8</v>
      </c>
      <c r="BY85" s="106">
        <v>1200</v>
      </c>
      <c r="BZ85" s="106">
        <v>6</v>
      </c>
      <c r="CA85" s="106">
        <v>900</v>
      </c>
      <c r="CB85" s="106">
        <v>6</v>
      </c>
      <c r="CC85" s="106">
        <v>900</v>
      </c>
      <c r="CD85" s="106">
        <v>7</v>
      </c>
      <c r="CE85" s="106">
        <v>1050</v>
      </c>
      <c r="CF85" s="106">
        <v>14</v>
      </c>
      <c r="CG85" s="106">
        <v>2100</v>
      </c>
      <c r="CH85" s="106">
        <v>16</v>
      </c>
      <c r="CI85" s="106">
        <v>2400</v>
      </c>
      <c r="CJ85" s="106">
        <v>19</v>
      </c>
      <c r="CK85" s="106">
        <v>2850</v>
      </c>
      <c r="CL85" s="106">
        <v>17</v>
      </c>
      <c r="CM85" s="106">
        <v>2550</v>
      </c>
      <c r="CN85" s="106">
        <v>4</v>
      </c>
      <c r="CO85" s="106">
        <v>600</v>
      </c>
      <c r="CP85" s="106">
        <v>7</v>
      </c>
      <c r="CQ85" s="106">
        <v>1050</v>
      </c>
      <c r="CR85" s="106">
        <v>5</v>
      </c>
      <c r="CS85" s="106">
        <v>750</v>
      </c>
      <c r="CT85" s="106">
        <v>6</v>
      </c>
      <c r="CU85" s="106">
        <v>900</v>
      </c>
    </row>
    <row r="86" spans="2:99" x14ac:dyDescent="0.2">
      <c r="C86" s="105" t="s">
        <v>252</v>
      </c>
      <c r="D86" s="106">
        <v>7</v>
      </c>
      <c r="E86" s="106">
        <v>3780</v>
      </c>
      <c r="F86" s="106">
        <v>8</v>
      </c>
      <c r="G86" s="106">
        <v>4320</v>
      </c>
      <c r="H86" s="106">
        <v>7</v>
      </c>
      <c r="I86" s="106">
        <v>3780</v>
      </c>
      <c r="J86" s="106">
        <v>9</v>
      </c>
      <c r="K86" s="106">
        <v>4860</v>
      </c>
      <c r="L86" s="106">
        <v>4</v>
      </c>
      <c r="M86" s="106">
        <v>2160</v>
      </c>
      <c r="N86" s="106">
        <v>5</v>
      </c>
      <c r="O86" s="106">
        <v>2700</v>
      </c>
      <c r="P86" s="106">
        <v>3</v>
      </c>
      <c r="Q86" s="106">
        <v>1620</v>
      </c>
      <c r="R86" s="106">
        <v>5</v>
      </c>
      <c r="S86" s="106">
        <v>2700</v>
      </c>
      <c r="T86" s="106">
        <v>23</v>
      </c>
      <c r="U86" s="106">
        <v>12420</v>
      </c>
      <c r="V86" s="106">
        <v>36</v>
      </c>
      <c r="W86" s="106">
        <v>19440</v>
      </c>
      <c r="X86" s="106">
        <v>30</v>
      </c>
      <c r="Y86" s="106">
        <v>16200</v>
      </c>
      <c r="Z86" s="106">
        <v>27</v>
      </c>
      <c r="AA86" s="106">
        <v>14580</v>
      </c>
      <c r="AB86" s="106">
        <v>13</v>
      </c>
      <c r="AC86" s="106">
        <v>7020</v>
      </c>
      <c r="AD86" s="106">
        <v>14</v>
      </c>
      <c r="AE86" s="106">
        <v>7560</v>
      </c>
      <c r="AF86" s="106">
        <v>12</v>
      </c>
      <c r="AG86" s="106">
        <v>6480</v>
      </c>
      <c r="AH86" s="106">
        <v>10</v>
      </c>
      <c r="AI86" s="106">
        <v>5400</v>
      </c>
      <c r="AJ86" s="106">
        <v>13</v>
      </c>
      <c r="AK86" s="106">
        <v>7020</v>
      </c>
      <c r="AL86" s="106">
        <v>14</v>
      </c>
      <c r="AM86" s="106">
        <v>7560</v>
      </c>
      <c r="AN86" s="106">
        <v>13</v>
      </c>
      <c r="AO86" s="106">
        <v>7020</v>
      </c>
      <c r="AP86" s="106">
        <v>15</v>
      </c>
      <c r="AQ86" s="106">
        <v>8100</v>
      </c>
      <c r="AR86" s="106">
        <v>17</v>
      </c>
      <c r="AS86" s="106">
        <v>9180</v>
      </c>
      <c r="AT86" s="106">
        <v>19</v>
      </c>
      <c r="AU86" s="106">
        <v>10260</v>
      </c>
      <c r="AV86" s="106">
        <v>18</v>
      </c>
      <c r="AW86" s="106">
        <v>9720</v>
      </c>
      <c r="AX86" s="106">
        <v>21</v>
      </c>
      <c r="AY86" s="106">
        <v>11340</v>
      </c>
      <c r="AZ86" s="106">
        <v>4</v>
      </c>
      <c r="BA86" s="106">
        <v>2160</v>
      </c>
      <c r="BB86" s="106">
        <v>5</v>
      </c>
      <c r="BC86" s="106">
        <v>2700</v>
      </c>
      <c r="BD86" s="106">
        <v>6</v>
      </c>
      <c r="BE86" s="106">
        <v>3240</v>
      </c>
      <c r="BF86" s="106">
        <v>4</v>
      </c>
      <c r="BG86" s="106">
        <v>2160</v>
      </c>
      <c r="BH86" s="106">
        <v>17</v>
      </c>
      <c r="BI86" s="106">
        <v>9180</v>
      </c>
      <c r="BJ86" s="106">
        <v>15</v>
      </c>
      <c r="BK86" s="106">
        <v>8100</v>
      </c>
      <c r="BL86" s="106">
        <v>11</v>
      </c>
      <c r="BM86" s="106">
        <v>5940</v>
      </c>
      <c r="BN86" s="106">
        <v>16</v>
      </c>
      <c r="BO86" s="106">
        <v>8640</v>
      </c>
      <c r="BP86" s="106">
        <v>9</v>
      </c>
      <c r="BQ86" s="106">
        <v>4860</v>
      </c>
      <c r="BR86" s="106">
        <v>8</v>
      </c>
      <c r="BS86" s="106">
        <v>4320</v>
      </c>
      <c r="BT86" s="106">
        <v>7</v>
      </c>
      <c r="BU86" s="106">
        <v>3780</v>
      </c>
      <c r="BV86" s="106">
        <v>6</v>
      </c>
      <c r="BW86" s="106">
        <v>3240</v>
      </c>
      <c r="BX86" s="106">
        <v>8</v>
      </c>
      <c r="BY86" s="106">
        <v>4320</v>
      </c>
      <c r="BZ86" s="106">
        <v>5</v>
      </c>
      <c r="CA86" s="106">
        <v>2700</v>
      </c>
      <c r="CB86" s="106">
        <v>7</v>
      </c>
      <c r="CC86" s="106">
        <v>3780</v>
      </c>
      <c r="CD86" s="106">
        <v>7</v>
      </c>
      <c r="CE86" s="106">
        <v>3780</v>
      </c>
      <c r="CF86" s="106">
        <v>15</v>
      </c>
      <c r="CG86" s="106">
        <v>8100</v>
      </c>
      <c r="CH86" s="106">
        <v>13</v>
      </c>
      <c r="CI86" s="106">
        <v>7020</v>
      </c>
      <c r="CJ86" s="106">
        <v>17</v>
      </c>
      <c r="CK86" s="106">
        <v>9180</v>
      </c>
      <c r="CL86" s="106">
        <v>17</v>
      </c>
      <c r="CM86" s="106">
        <v>9180</v>
      </c>
      <c r="CN86" s="106">
        <v>4</v>
      </c>
      <c r="CO86" s="106">
        <v>2160</v>
      </c>
      <c r="CP86" s="106">
        <v>6</v>
      </c>
      <c r="CQ86" s="106">
        <v>3240</v>
      </c>
      <c r="CR86" s="106">
        <v>5</v>
      </c>
      <c r="CS86" s="106">
        <v>2700</v>
      </c>
      <c r="CT86" s="106">
        <v>6</v>
      </c>
      <c r="CU86" s="106">
        <v>3240</v>
      </c>
    </row>
    <row r="87" spans="2:99" x14ac:dyDescent="0.2">
      <c r="B87" s="105" t="s">
        <v>131</v>
      </c>
      <c r="C87" s="105" t="s">
        <v>253</v>
      </c>
      <c r="D87" s="106">
        <v>4</v>
      </c>
      <c r="E87" s="106">
        <v>7819.2</v>
      </c>
      <c r="F87" s="106">
        <v>5</v>
      </c>
      <c r="G87" s="106">
        <v>9774</v>
      </c>
      <c r="H87" s="106">
        <v>5</v>
      </c>
      <c r="I87" s="106">
        <v>9774</v>
      </c>
      <c r="J87" s="106">
        <v>4</v>
      </c>
      <c r="K87" s="106">
        <v>7819.2</v>
      </c>
      <c r="L87" s="106">
        <v>18</v>
      </c>
      <c r="M87" s="106">
        <v>35186.400000000001</v>
      </c>
      <c r="N87" s="106">
        <v>14</v>
      </c>
      <c r="O87" s="106">
        <v>27367.200000000001</v>
      </c>
      <c r="P87" s="106">
        <v>15</v>
      </c>
      <c r="Q87" s="106">
        <v>29322</v>
      </c>
      <c r="R87" s="106">
        <v>14</v>
      </c>
      <c r="S87" s="106">
        <v>27367.200000000001</v>
      </c>
      <c r="T87" s="106">
        <v>34</v>
      </c>
      <c r="U87" s="106">
        <v>66463.199999999997</v>
      </c>
      <c r="V87" s="106">
        <v>34</v>
      </c>
      <c r="W87" s="106">
        <v>66463.199999999997</v>
      </c>
      <c r="X87" s="106">
        <v>31</v>
      </c>
      <c r="Y87" s="106">
        <v>60598.799999999996</v>
      </c>
      <c r="Z87" s="106">
        <v>32</v>
      </c>
      <c r="AA87" s="106">
        <v>62553.599999999999</v>
      </c>
      <c r="AB87" s="106">
        <v>10</v>
      </c>
      <c r="AC87" s="106">
        <v>19548</v>
      </c>
      <c r="AD87" s="106">
        <v>10</v>
      </c>
      <c r="AE87" s="106">
        <v>19548</v>
      </c>
      <c r="AF87" s="106">
        <v>12</v>
      </c>
      <c r="AG87" s="106">
        <v>23457.599999999999</v>
      </c>
      <c r="AH87" s="106">
        <v>9</v>
      </c>
      <c r="AI87" s="106">
        <v>17593.2</v>
      </c>
      <c r="AJ87" s="106">
        <v>9</v>
      </c>
      <c r="AK87" s="106">
        <v>17593.2</v>
      </c>
      <c r="AL87" s="106">
        <v>15</v>
      </c>
      <c r="AM87" s="106">
        <v>29322</v>
      </c>
      <c r="AN87" s="106">
        <v>13</v>
      </c>
      <c r="AO87" s="106">
        <v>25412.399999999998</v>
      </c>
      <c r="AP87" s="106">
        <v>11</v>
      </c>
      <c r="AQ87" s="106">
        <v>21502.799999999999</v>
      </c>
      <c r="AR87" s="106">
        <v>5</v>
      </c>
      <c r="AS87" s="106">
        <v>9774</v>
      </c>
      <c r="AT87" s="106">
        <v>4</v>
      </c>
      <c r="AU87" s="106">
        <v>7819.2</v>
      </c>
      <c r="AV87" s="106">
        <v>7</v>
      </c>
      <c r="AW87" s="106">
        <v>13683.6</v>
      </c>
      <c r="AX87" s="106">
        <v>7</v>
      </c>
      <c r="AY87" s="106">
        <v>13683.6</v>
      </c>
      <c r="AZ87" s="106">
        <v>7</v>
      </c>
      <c r="BA87" s="106">
        <v>13683.6</v>
      </c>
      <c r="BB87" s="106">
        <v>8</v>
      </c>
      <c r="BC87" s="106">
        <v>15638.4</v>
      </c>
      <c r="BD87" s="106">
        <v>6</v>
      </c>
      <c r="BE87" s="106">
        <v>11728.8</v>
      </c>
      <c r="BF87" s="106">
        <v>9</v>
      </c>
      <c r="BG87" s="106">
        <v>17593.2</v>
      </c>
      <c r="BH87" s="106">
        <v>15</v>
      </c>
      <c r="BI87" s="106">
        <v>29322</v>
      </c>
      <c r="BJ87" s="106">
        <v>19</v>
      </c>
      <c r="BK87" s="106">
        <v>37141.199999999997</v>
      </c>
      <c r="BL87" s="106">
        <v>17</v>
      </c>
      <c r="BM87" s="106">
        <v>33231.599999999999</v>
      </c>
      <c r="BN87" s="106">
        <v>13</v>
      </c>
      <c r="BO87" s="106">
        <v>25412.399999999998</v>
      </c>
      <c r="BP87" s="106">
        <v>51</v>
      </c>
      <c r="BQ87" s="106">
        <v>99694.8</v>
      </c>
      <c r="BR87" s="106">
        <v>35</v>
      </c>
      <c r="BS87" s="106">
        <v>68418</v>
      </c>
      <c r="BT87" s="106">
        <v>34</v>
      </c>
      <c r="BU87" s="106">
        <v>66463.199999999997</v>
      </c>
      <c r="BV87" s="106">
        <v>39</v>
      </c>
      <c r="BW87" s="106">
        <v>76237.2</v>
      </c>
      <c r="BX87" s="106">
        <v>21</v>
      </c>
      <c r="BY87" s="106">
        <v>41050.799999999996</v>
      </c>
      <c r="BZ87" s="106">
        <v>29</v>
      </c>
      <c r="CA87" s="106">
        <v>56689.2</v>
      </c>
      <c r="CB87" s="106">
        <v>28</v>
      </c>
      <c r="CC87" s="106">
        <v>54734.400000000001</v>
      </c>
      <c r="CD87" s="106">
        <v>34</v>
      </c>
      <c r="CE87" s="106">
        <v>66463.199999999997</v>
      </c>
      <c r="CF87" s="106">
        <v>10</v>
      </c>
      <c r="CG87" s="106">
        <v>19548</v>
      </c>
      <c r="CH87" s="106">
        <v>12</v>
      </c>
      <c r="CI87" s="106">
        <v>23457.599999999999</v>
      </c>
      <c r="CJ87" s="106">
        <v>13</v>
      </c>
      <c r="CK87" s="106">
        <v>25412.399999999998</v>
      </c>
      <c r="CL87" s="106">
        <v>12</v>
      </c>
      <c r="CM87" s="106">
        <v>23457.599999999999</v>
      </c>
      <c r="CN87" s="106">
        <v>7</v>
      </c>
      <c r="CO87" s="106">
        <v>13683.6</v>
      </c>
      <c r="CP87" s="106">
        <v>5</v>
      </c>
      <c r="CQ87" s="106">
        <v>9774</v>
      </c>
      <c r="CR87" s="106">
        <v>4</v>
      </c>
      <c r="CS87" s="106">
        <v>7819.2</v>
      </c>
      <c r="CT87" s="106">
        <v>6</v>
      </c>
      <c r="CU87" s="106">
        <v>11728.8</v>
      </c>
    </row>
    <row r="88" spans="2:99" x14ac:dyDescent="0.2">
      <c r="C88" s="105" t="s">
        <v>254</v>
      </c>
      <c r="D88" s="106">
        <v>4</v>
      </c>
      <c r="E88" s="106">
        <v>7569.5999999999995</v>
      </c>
      <c r="F88" s="106">
        <v>4</v>
      </c>
      <c r="G88" s="106">
        <v>7569.5999999999995</v>
      </c>
      <c r="H88" s="106">
        <v>4</v>
      </c>
      <c r="I88" s="106">
        <v>7569.5999999999995</v>
      </c>
      <c r="J88" s="106">
        <v>4</v>
      </c>
      <c r="K88" s="106">
        <v>7569.5999999999995</v>
      </c>
      <c r="L88" s="106">
        <v>19</v>
      </c>
      <c r="M88" s="106">
        <v>35955.599999999999</v>
      </c>
      <c r="N88" s="106">
        <v>12</v>
      </c>
      <c r="O88" s="106">
        <v>22708.799999999999</v>
      </c>
      <c r="P88" s="106">
        <v>15</v>
      </c>
      <c r="Q88" s="106">
        <v>28385.999999999996</v>
      </c>
      <c r="R88" s="106">
        <v>14</v>
      </c>
      <c r="S88" s="106">
        <v>26493.599999999999</v>
      </c>
      <c r="T88" s="106">
        <v>33</v>
      </c>
      <c r="U88" s="106">
        <v>62449.2</v>
      </c>
      <c r="V88" s="106">
        <v>34</v>
      </c>
      <c r="W88" s="106">
        <v>64341.599999999999</v>
      </c>
      <c r="X88" s="106">
        <v>28</v>
      </c>
      <c r="Y88" s="106">
        <v>52987.199999999997</v>
      </c>
      <c r="Z88" s="106">
        <v>34</v>
      </c>
      <c r="AA88" s="106">
        <v>64341.599999999999</v>
      </c>
      <c r="AB88" s="106">
        <v>13</v>
      </c>
      <c r="AC88" s="106">
        <v>24601.199999999997</v>
      </c>
      <c r="AD88" s="106">
        <v>9</v>
      </c>
      <c r="AE88" s="106">
        <v>17031.599999999999</v>
      </c>
      <c r="AF88" s="106">
        <v>12</v>
      </c>
      <c r="AG88" s="106">
        <v>22708.799999999999</v>
      </c>
      <c r="AH88" s="106">
        <v>10</v>
      </c>
      <c r="AI88" s="106">
        <v>18924</v>
      </c>
      <c r="AJ88" s="106">
        <v>11</v>
      </c>
      <c r="AK88" s="106">
        <v>20816.399999999998</v>
      </c>
      <c r="AL88" s="106">
        <v>14</v>
      </c>
      <c r="AM88" s="106">
        <v>26493.599999999999</v>
      </c>
      <c r="AN88" s="106">
        <v>12</v>
      </c>
      <c r="AO88" s="106">
        <v>22708.799999999999</v>
      </c>
      <c r="AP88" s="106">
        <v>12</v>
      </c>
      <c r="AQ88" s="106">
        <v>22708.799999999999</v>
      </c>
      <c r="AR88" s="106">
        <v>5</v>
      </c>
      <c r="AS88" s="106">
        <v>9462</v>
      </c>
      <c r="AT88" s="106">
        <v>4</v>
      </c>
      <c r="AU88" s="106">
        <v>7569.5999999999995</v>
      </c>
      <c r="AV88" s="106">
        <v>8</v>
      </c>
      <c r="AW88" s="106">
        <v>15139.199999999999</v>
      </c>
      <c r="AX88" s="106">
        <v>7</v>
      </c>
      <c r="AY88" s="106">
        <v>13246.8</v>
      </c>
      <c r="AZ88" s="106">
        <v>7</v>
      </c>
      <c r="BA88" s="106">
        <v>13246.8</v>
      </c>
      <c r="BB88" s="106">
        <v>8</v>
      </c>
      <c r="BC88" s="106">
        <v>15139.199999999999</v>
      </c>
      <c r="BD88" s="106">
        <v>7</v>
      </c>
      <c r="BE88" s="106">
        <v>13246.8</v>
      </c>
      <c r="BF88" s="106">
        <v>11</v>
      </c>
      <c r="BG88" s="106">
        <v>20816.399999999998</v>
      </c>
      <c r="BH88" s="106">
        <v>18</v>
      </c>
      <c r="BI88" s="106">
        <v>34063.199999999997</v>
      </c>
      <c r="BJ88" s="106">
        <v>22</v>
      </c>
      <c r="BK88" s="106">
        <v>41632.799999999996</v>
      </c>
      <c r="BL88" s="106">
        <v>20</v>
      </c>
      <c r="BM88" s="106">
        <v>37848</v>
      </c>
      <c r="BN88" s="106">
        <v>15</v>
      </c>
      <c r="BO88" s="106">
        <v>28385.999999999996</v>
      </c>
      <c r="BP88" s="106">
        <v>49</v>
      </c>
      <c r="BQ88" s="106">
        <v>92727.599999999991</v>
      </c>
      <c r="BR88" s="106">
        <v>37</v>
      </c>
      <c r="BS88" s="106">
        <v>70018.799999999988</v>
      </c>
      <c r="BT88" s="106">
        <v>35</v>
      </c>
      <c r="BU88" s="106">
        <v>66234</v>
      </c>
      <c r="BV88" s="106">
        <v>43</v>
      </c>
      <c r="BW88" s="106">
        <v>81373.2</v>
      </c>
      <c r="BX88" s="106">
        <v>23</v>
      </c>
      <c r="BY88" s="106">
        <v>43525.2</v>
      </c>
      <c r="BZ88" s="106">
        <v>25</v>
      </c>
      <c r="CA88" s="106">
        <v>47310</v>
      </c>
      <c r="CB88" s="106">
        <v>30</v>
      </c>
      <c r="CC88" s="106">
        <v>56771.999999999993</v>
      </c>
      <c r="CD88" s="106">
        <v>34</v>
      </c>
      <c r="CE88" s="106">
        <v>64341.599999999999</v>
      </c>
      <c r="CF88" s="106">
        <v>10</v>
      </c>
      <c r="CG88" s="106">
        <v>18924</v>
      </c>
      <c r="CH88" s="106">
        <v>12</v>
      </c>
      <c r="CI88" s="106">
        <v>22708.799999999999</v>
      </c>
      <c r="CJ88" s="106">
        <v>14</v>
      </c>
      <c r="CK88" s="106">
        <v>26493.599999999999</v>
      </c>
      <c r="CL88" s="106">
        <v>11</v>
      </c>
      <c r="CM88" s="106">
        <v>20816.399999999998</v>
      </c>
      <c r="CN88" s="106">
        <v>7</v>
      </c>
      <c r="CO88" s="106">
        <v>13246.8</v>
      </c>
      <c r="CP88" s="106">
        <v>5</v>
      </c>
      <c r="CQ88" s="106">
        <v>9462</v>
      </c>
      <c r="CR88" s="106">
        <v>5</v>
      </c>
      <c r="CS88" s="106">
        <v>9462</v>
      </c>
      <c r="CT88" s="106">
        <v>6</v>
      </c>
      <c r="CU88" s="106">
        <v>11354.4</v>
      </c>
    </row>
    <row r="89" spans="2:99" x14ac:dyDescent="0.2">
      <c r="C89" s="105" t="s">
        <v>255</v>
      </c>
      <c r="D89" s="106">
        <v>4</v>
      </c>
      <c r="E89" s="106">
        <v>9590.4</v>
      </c>
      <c r="F89" s="106">
        <v>5</v>
      </c>
      <c r="G89" s="106">
        <v>11988</v>
      </c>
      <c r="H89" s="106">
        <v>4</v>
      </c>
      <c r="I89" s="106">
        <v>9590.4</v>
      </c>
      <c r="J89" s="106">
        <v>4</v>
      </c>
      <c r="K89" s="106">
        <v>9590.4</v>
      </c>
      <c r="L89" s="106">
        <v>18</v>
      </c>
      <c r="M89" s="106">
        <v>43156.799999999996</v>
      </c>
      <c r="N89" s="106">
        <v>13</v>
      </c>
      <c r="O89" s="106">
        <v>31168.799999999999</v>
      </c>
      <c r="P89" s="106">
        <v>14</v>
      </c>
      <c r="Q89" s="106">
        <v>33566.400000000001</v>
      </c>
      <c r="R89" s="106">
        <v>13</v>
      </c>
      <c r="S89" s="106">
        <v>31168.799999999999</v>
      </c>
      <c r="T89" s="106">
        <v>33</v>
      </c>
      <c r="U89" s="106">
        <v>79120.800000000003</v>
      </c>
      <c r="V89" s="106">
        <v>33</v>
      </c>
      <c r="W89" s="106">
        <v>79120.800000000003</v>
      </c>
      <c r="X89" s="106">
        <v>29</v>
      </c>
      <c r="Y89" s="106">
        <v>69530.399999999994</v>
      </c>
      <c r="Z89" s="106">
        <v>31</v>
      </c>
      <c r="AA89" s="106">
        <v>74325.599999999991</v>
      </c>
      <c r="AB89" s="106">
        <v>12</v>
      </c>
      <c r="AC89" s="106">
        <v>28771.199999999997</v>
      </c>
      <c r="AD89" s="106">
        <v>10</v>
      </c>
      <c r="AE89" s="106">
        <v>23976</v>
      </c>
      <c r="AF89" s="106">
        <v>11</v>
      </c>
      <c r="AG89" s="106">
        <v>26373.599999999999</v>
      </c>
      <c r="AH89" s="106">
        <v>9</v>
      </c>
      <c r="AI89" s="106">
        <v>21578.399999999998</v>
      </c>
      <c r="AJ89" s="106">
        <v>8</v>
      </c>
      <c r="AK89" s="106">
        <v>19180.8</v>
      </c>
      <c r="AL89" s="106">
        <v>13</v>
      </c>
      <c r="AM89" s="106">
        <v>31168.799999999999</v>
      </c>
      <c r="AN89" s="106">
        <v>11</v>
      </c>
      <c r="AO89" s="106">
        <v>26373.599999999999</v>
      </c>
      <c r="AP89" s="106">
        <v>11</v>
      </c>
      <c r="AQ89" s="106">
        <v>26373.599999999999</v>
      </c>
      <c r="AR89" s="106">
        <v>5</v>
      </c>
      <c r="AS89" s="106">
        <v>11988</v>
      </c>
      <c r="AT89" s="106">
        <v>4</v>
      </c>
      <c r="AU89" s="106">
        <v>9590.4</v>
      </c>
      <c r="AV89" s="106">
        <v>8</v>
      </c>
      <c r="AW89" s="106">
        <v>19180.8</v>
      </c>
      <c r="AX89" s="106">
        <v>6</v>
      </c>
      <c r="AY89" s="106">
        <v>14385.599999999999</v>
      </c>
      <c r="AZ89" s="106">
        <v>7</v>
      </c>
      <c r="BA89" s="106">
        <v>16783.2</v>
      </c>
      <c r="BB89" s="106">
        <v>8</v>
      </c>
      <c r="BC89" s="106">
        <v>19180.8</v>
      </c>
      <c r="BD89" s="106">
        <v>5</v>
      </c>
      <c r="BE89" s="106">
        <v>11988</v>
      </c>
      <c r="BF89" s="106">
        <v>9</v>
      </c>
      <c r="BG89" s="106">
        <v>21578.399999999998</v>
      </c>
      <c r="BH89" s="106">
        <v>15</v>
      </c>
      <c r="BI89" s="106">
        <v>35964</v>
      </c>
      <c r="BJ89" s="106">
        <v>20</v>
      </c>
      <c r="BK89" s="106">
        <v>47952</v>
      </c>
      <c r="BL89" s="106">
        <v>17</v>
      </c>
      <c r="BM89" s="106">
        <v>40759.199999999997</v>
      </c>
      <c r="BN89" s="106">
        <v>14</v>
      </c>
      <c r="BO89" s="106">
        <v>33566.400000000001</v>
      </c>
      <c r="BP89" s="106">
        <v>46</v>
      </c>
      <c r="BQ89" s="106">
        <v>110289.59999999999</v>
      </c>
      <c r="BR89" s="106">
        <v>29</v>
      </c>
      <c r="BS89" s="106">
        <v>69530.399999999994</v>
      </c>
      <c r="BT89" s="106">
        <v>31</v>
      </c>
      <c r="BU89" s="106">
        <v>74325.599999999991</v>
      </c>
      <c r="BV89" s="106">
        <v>41</v>
      </c>
      <c r="BW89" s="106">
        <v>98301.599999999991</v>
      </c>
      <c r="BX89" s="106">
        <v>18</v>
      </c>
      <c r="BY89" s="106">
        <v>43156.799999999996</v>
      </c>
      <c r="BZ89" s="106">
        <v>25</v>
      </c>
      <c r="CA89" s="106">
        <v>59940</v>
      </c>
      <c r="CB89" s="106">
        <v>28</v>
      </c>
      <c r="CC89" s="106">
        <v>67132.800000000003</v>
      </c>
      <c r="CD89" s="106">
        <v>29</v>
      </c>
      <c r="CE89" s="106">
        <v>69530.399999999994</v>
      </c>
      <c r="CF89" s="106">
        <v>10</v>
      </c>
      <c r="CG89" s="106">
        <v>23976</v>
      </c>
      <c r="CH89" s="106">
        <v>10</v>
      </c>
      <c r="CI89" s="106">
        <v>23976</v>
      </c>
      <c r="CJ89" s="106">
        <v>13</v>
      </c>
      <c r="CK89" s="106">
        <v>31168.799999999999</v>
      </c>
      <c r="CL89" s="106">
        <v>12</v>
      </c>
      <c r="CM89" s="106">
        <v>28771.199999999997</v>
      </c>
      <c r="CN89" s="106">
        <v>6</v>
      </c>
      <c r="CO89" s="106">
        <v>14385.599999999999</v>
      </c>
      <c r="CP89" s="106">
        <v>5</v>
      </c>
      <c r="CQ89" s="106">
        <v>11988</v>
      </c>
      <c r="CR89" s="106">
        <v>4</v>
      </c>
      <c r="CS89" s="106">
        <v>9590.4</v>
      </c>
      <c r="CT89" s="106">
        <v>6</v>
      </c>
      <c r="CU89" s="106">
        <v>14385.599999999999</v>
      </c>
    </row>
    <row r="90" spans="2:99" x14ac:dyDescent="0.2">
      <c r="C90" s="105" t="s">
        <v>256</v>
      </c>
      <c r="D90" s="106">
        <v>4</v>
      </c>
      <c r="E90" s="106">
        <v>8788.7999999999993</v>
      </c>
      <c r="F90" s="106">
        <v>4</v>
      </c>
      <c r="G90" s="106">
        <v>8788.7999999999993</v>
      </c>
      <c r="H90" s="106">
        <v>5</v>
      </c>
      <c r="I90" s="106">
        <v>10986</v>
      </c>
      <c r="J90" s="106">
        <v>5</v>
      </c>
      <c r="K90" s="106">
        <v>10986</v>
      </c>
      <c r="L90" s="106">
        <v>20</v>
      </c>
      <c r="M90" s="106">
        <v>43944</v>
      </c>
      <c r="N90" s="106">
        <v>12</v>
      </c>
      <c r="O90" s="106">
        <v>26366.399999999998</v>
      </c>
      <c r="P90" s="106">
        <v>13</v>
      </c>
      <c r="Q90" s="106">
        <v>28563.599999999999</v>
      </c>
      <c r="R90" s="106">
        <v>14</v>
      </c>
      <c r="S90" s="106">
        <v>30760.799999999996</v>
      </c>
      <c r="T90" s="106">
        <v>32</v>
      </c>
      <c r="U90" s="106">
        <v>70310.399999999994</v>
      </c>
      <c r="V90" s="106">
        <v>33</v>
      </c>
      <c r="W90" s="106">
        <v>72507.599999999991</v>
      </c>
      <c r="X90" s="106">
        <v>28</v>
      </c>
      <c r="Y90" s="106">
        <v>61521.599999999991</v>
      </c>
      <c r="Z90" s="106">
        <v>31</v>
      </c>
      <c r="AA90" s="106">
        <v>68113.2</v>
      </c>
      <c r="AB90" s="106">
        <v>10</v>
      </c>
      <c r="AC90" s="106">
        <v>21972</v>
      </c>
      <c r="AD90" s="106">
        <v>9</v>
      </c>
      <c r="AE90" s="106">
        <v>19774.8</v>
      </c>
      <c r="AF90" s="106">
        <v>11</v>
      </c>
      <c r="AG90" s="106">
        <v>24169.199999999997</v>
      </c>
      <c r="AH90" s="106">
        <v>9</v>
      </c>
      <c r="AI90" s="106">
        <v>19774.8</v>
      </c>
      <c r="AJ90" s="106">
        <v>10</v>
      </c>
      <c r="AK90" s="106">
        <v>21972</v>
      </c>
      <c r="AL90" s="106">
        <v>14</v>
      </c>
      <c r="AM90" s="106">
        <v>30760.799999999996</v>
      </c>
      <c r="AN90" s="106">
        <v>12</v>
      </c>
      <c r="AO90" s="106">
        <v>26366.399999999998</v>
      </c>
      <c r="AP90" s="106">
        <v>13</v>
      </c>
      <c r="AQ90" s="106">
        <v>28563.599999999999</v>
      </c>
      <c r="AR90" s="106">
        <v>4</v>
      </c>
      <c r="AS90" s="106">
        <v>8788.7999999999993</v>
      </c>
      <c r="AT90" s="106">
        <v>4</v>
      </c>
      <c r="AU90" s="106">
        <v>8788.7999999999993</v>
      </c>
      <c r="AV90" s="106">
        <v>7</v>
      </c>
      <c r="AW90" s="106">
        <v>15380.399999999998</v>
      </c>
      <c r="AX90" s="106">
        <v>7</v>
      </c>
      <c r="AY90" s="106">
        <v>15380.399999999998</v>
      </c>
      <c r="AZ90" s="106">
        <v>7</v>
      </c>
      <c r="BA90" s="106">
        <v>15380.399999999998</v>
      </c>
      <c r="BB90" s="106">
        <v>8</v>
      </c>
      <c r="BC90" s="106">
        <v>17577.599999999999</v>
      </c>
      <c r="BD90" s="106">
        <v>6</v>
      </c>
      <c r="BE90" s="106">
        <v>13183.199999999999</v>
      </c>
      <c r="BF90" s="106">
        <v>11</v>
      </c>
      <c r="BG90" s="106">
        <v>24169.199999999997</v>
      </c>
      <c r="BH90" s="106">
        <v>17</v>
      </c>
      <c r="BI90" s="106">
        <v>37352.399999999994</v>
      </c>
      <c r="BJ90" s="106">
        <v>22</v>
      </c>
      <c r="BK90" s="106">
        <v>48338.399999999994</v>
      </c>
      <c r="BL90" s="106">
        <v>17</v>
      </c>
      <c r="BM90" s="106">
        <v>37352.399999999994</v>
      </c>
      <c r="BN90" s="106">
        <v>14</v>
      </c>
      <c r="BO90" s="106">
        <v>30760.799999999996</v>
      </c>
      <c r="BP90" s="106">
        <v>47</v>
      </c>
      <c r="BQ90" s="106">
        <v>103268.4</v>
      </c>
      <c r="BR90" s="106">
        <v>36</v>
      </c>
      <c r="BS90" s="106">
        <v>79099.199999999997</v>
      </c>
      <c r="BT90" s="106">
        <v>31</v>
      </c>
      <c r="BU90" s="106">
        <v>68113.2</v>
      </c>
      <c r="BV90" s="106">
        <v>38</v>
      </c>
      <c r="BW90" s="106">
        <v>83493.599999999991</v>
      </c>
      <c r="BX90" s="106">
        <v>22</v>
      </c>
      <c r="BY90" s="106">
        <v>48338.399999999994</v>
      </c>
      <c r="BZ90" s="106">
        <v>26</v>
      </c>
      <c r="CA90" s="106">
        <v>57127.199999999997</v>
      </c>
      <c r="CB90" s="106">
        <v>31</v>
      </c>
      <c r="CC90" s="106">
        <v>68113.2</v>
      </c>
      <c r="CD90" s="106">
        <v>32</v>
      </c>
      <c r="CE90" s="106">
        <v>70310.399999999994</v>
      </c>
      <c r="CF90" s="106">
        <v>11</v>
      </c>
      <c r="CG90" s="106">
        <v>24169.199999999997</v>
      </c>
      <c r="CH90" s="106">
        <v>11</v>
      </c>
      <c r="CI90" s="106">
        <v>24169.199999999997</v>
      </c>
      <c r="CJ90" s="106">
        <v>12</v>
      </c>
      <c r="CK90" s="106">
        <v>26366.399999999998</v>
      </c>
      <c r="CL90" s="106">
        <v>12</v>
      </c>
      <c r="CM90" s="106">
        <v>26366.399999999998</v>
      </c>
      <c r="CN90" s="106">
        <v>7</v>
      </c>
      <c r="CO90" s="106">
        <v>15380.399999999998</v>
      </c>
      <c r="CP90" s="106">
        <v>5</v>
      </c>
      <c r="CQ90" s="106">
        <v>10986</v>
      </c>
      <c r="CR90" s="106">
        <v>5</v>
      </c>
      <c r="CS90" s="106">
        <v>10986</v>
      </c>
      <c r="CT90" s="106">
        <v>7</v>
      </c>
      <c r="CU90" s="106">
        <v>15380.399999999998</v>
      </c>
    </row>
    <row r="91" spans="2:99" x14ac:dyDescent="0.2">
      <c r="C91" s="105" t="s">
        <v>257</v>
      </c>
      <c r="D91" s="106">
        <v>4</v>
      </c>
      <c r="E91" s="106">
        <v>9187.1999999999989</v>
      </c>
      <c r="F91" s="106">
        <v>4</v>
      </c>
      <c r="G91" s="106">
        <v>9187.1999999999989</v>
      </c>
      <c r="H91" s="106">
        <v>5</v>
      </c>
      <c r="I91" s="106">
        <v>11483.999999999998</v>
      </c>
      <c r="J91" s="106">
        <v>4</v>
      </c>
      <c r="K91" s="106">
        <v>9187.1999999999989</v>
      </c>
      <c r="L91" s="106">
        <v>21</v>
      </c>
      <c r="M91" s="106">
        <v>48232.799999999996</v>
      </c>
      <c r="N91" s="106">
        <v>13</v>
      </c>
      <c r="O91" s="106">
        <v>29858.399999999998</v>
      </c>
      <c r="P91" s="106">
        <v>13</v>
      </c>
      <c r="Q91" s="106">
        <v>29858.399999999998</v>
      </c>
      <c r="R91" s="106">
        <v>14</v>
      </c>
      <c r="S91" s="106">
        <v>32155.199999999997</v>
      </c>
      <c r="T91" s="106">
        <v>32</v>
      </c>
      <c r="U91" s="106">
        <v>73497.599999999991</v>
      </c>
      <c r="V91" s="106">
        <v>29</v>
      </c>
      <c r="W91" s="106">
        <v>66607.199999999997</v>
      </c>
      <c r="X91" s="106">
        <v>26</v>
      </c>
      <c r="Y91" s="106">
        <v>59716.799999999996</v>
      </c>
      <c r="Z91" s="106">
        <v>29</v>
      </c>
      <c r="AA91" s="106">
        <v>66607.199999999997</v>
      </c>
      <c r="AB91" s="106">
        <v>10</v>
      </c>
      <c r="AC91" s="106">
        <v>22967.999999999996</v>
      </c>
      <c r="AD91" s="106">
        <v>10</v>
      </c>
      <c r="AE91" s="106">
        <v>22967.999999999996</v>
      </c>
      <c r="AF91" s="106">
        <v>11</v>
      </c>
      <c r="AG91" s="106">
        <v>25264.799999999996</v>
      </c>
      <c r="AH91" s="106">
        <v>10</v>
      </c>
      <c r="AI91" s="106">
        <v>22967.999999999996</v>
      </c>
      <c r="AJ91" s="106">
        <v>10</v>
      </c>
      <c r="AK91" s="106">
        <v>22967.999999999996</v>
      </c>
      <c r="AL91" s="106">
        <v>15</v>
      </c>
      <c r="AM91" s="106">
        <v>34451.999999999993</v>
      </c>
      <c r="AN91" s="106">
        <v>13</v>
      </c>
      <c r="AO91" s="106">
        <v>29858.399999999998</v>
      </c>
      <c r="AP91" s="106">
        <v>11</v>
      </c>
      <c r="AQ91" s="106">
        <v>25264.799999999996</v>
      </c>
      <c r="AR91" s="106">
        <v>5</v>
      </c>
      <c r="AS91" s="106">
        <v>11483.999999999998</v>
      </c>
      <c r="AT91" s="106">
        <v>4</v>
      </c>
      <c r="AU91" s="106">
        <v>9187.1999999999989</v>
      </c>
      <c r="AV91" s="106">
        <v>7</v>
      </c>
      <c r="AW91" s="106">
        <v>16077.599999999999</v>
      </c>
      <c r="AX91" s="106">
        <v>6</v>
      </c>
      <c r="AY91" s="106">
        <v>13780.8</v>
      </c>
      <c r="AZ91" s="106">
        <v>7</v>
      </c>
      <c r="BA91" s="106">
        <v>16077.599999999999</v>
      </c>
      <c r="BB91" s="106">
        <v>9</v>
      </c>
      <c r="BC91" s="106">
        <v>20671.199999999997</v>
      </c>
      <c r="BD91" s="106">
        <v>6</v>
      </c>
      <c r="BE91" s="106">
        <v>13780.8</v>
      </c>
      <c r="BF91" s="106">
        <v>11</v>
      </c>
      <c r="BG91" s="106">
        <v>25264.799999999996</v>
      </c>
      <c r="BH91" s="106">
        <v>14</v>
      </c>
      <c r="BI91" s="106">
        <v>32155.199999999997</v>
      </c>
      <c r="BJ91" s="106">
        <v>20</v>
      </c>
      <c r="BK91" s="106">
        <v>45935.999999999993</v>
      </c>
      <c r="BL91" s="106">
        <v>19</v>
      </c>
      <c r="BM91" s="106">
        <v>43639.199999999997</v>
      </c>
      <c r="BN91" s="106">
        <v>14</v>
      </c>
      <c r="BO91" s="106">
        <v>32155.199999999997</v>
      </c>
      <c r="BP91" s="106">
        <v>48</v>
      </c>
      <c r="BQ91" s="106">
        <v>110246.39999999999</v>
      </c>
      <c r="BR91" s="106">
        <v>35</v>
      </c>
      <c r="BS91" s="106">
        <v>80387.999999999985</v>
      </c>
      <c r="BT91" s="106">
        <v>30</v>
      </c>
      <c r="BU91" s="106">
        <v>68903.999999999985</v>
      </c>
      <c r="BV91" s="106">
        <v>37</v>
      </c>
      <c r="BW91" s="106">
        <v>84981.599999999991</v>
      </c>
      <c r="BX91" s="106">
        <v>19</v>
      </c>
      <c r="BY91" s="106">
        <v>43639.199999999997</v>
      </c>
      <c r="BZ91" s="106">
        <v>24</v>
      </c>
      <c r="CA91" s="106">
        <v>55123.199999999997</v>
      </c>
      <c r="CB91" s="106">
        <v>28</v>
      </c>
      <c r="CC91" s="106">
        <v>64310.399999999994</v>
      </c>
      <c r="CD91" s="106">
        <v>35</v>
      </c>
      <c r="CE91" s="106">
        <v>80387.999999999985</v>
      </c>
      <c r="CF91" s="106">
        <v>10</v>
      </c>
      <c r="CG91" s="106">
        <v>22967.999999999996</v>
      </c>
      <c r="CH91" s="106">
        <v>11</v>
      </c>
      <c r="CI91" s="106">
        <v>25264.799999999996</v>
      </c>
      <c r="CJ91" s="106">
        <v>14</v>
      </c>
      <c r="CK91" s="106">
        <v>32155.199999999997</v>
      </c>
      <c r="CL91" s="106">
        <v>11</v>
      </c>
      <c r="CM91" s="106">
        <v>25264.799999999996</v>
      </c>
      <c r="CN91" s="106">
        <v>7</v>
      </c>
      <c r="CO91" s="106">
        <v>16077.599999999999</v>
      </c>
      <c r="CP91" s="106">
        <v>5</v>
      </c>
      <c r="CQ91" s="106">
        <v>11483.999999999998</v>
      </c>
      <c r="CR91" s="106">
        <v>5</v>
      </c>
      <c r="CS91" s="106">
        <v>11483.999999999998</v>
      </c>
      <c r="CT91" s="106">
        <v>6</v>
      </c>
      <c r="CU91" s="106">
        <v>13780.8</v>
      </c>
    </row>
    <row r="92" spans="2:99" x14ac:dyDescent="0.2">
      <c r="C92" s="105" t="s">
        <v>258</v>
      </c>
      <c r="D92" s="106">
        <v>4</v>
      </c>
      <c r="E92" s="106">
        <v>5683.2</v>
      </c>
      <c r="F92" s="106">
        <v>4</v>
      </c>
      <c r="G92" s="106">
        <v>5683.2</v>
      </c>
      <c r="H92" s="106">
        <v>5</v>
      </c>
      <c r="I92" s="106">
        <v>7104</v>
      </c>
      <c r="J92" s="106">
        <v>5</v>
      </c>
      <c r="K92" s="106">
        <v>7104</v>
      </c>
      <c r="L92" s="106">
        <v>21</v>
      </c>
      <c r="M92" s="106">
        <v>29836.799999999999</v>
      </c>
      <c r="N92" s="106">
        <v>16</v>
      </c>
      <c r="O92" s="106">
        <v>22732.799999999999</v>
      </c>
      <c r="P92" s="106">
        <v>16</v>
      </c>
      <c r="Q92" s="106">
        <v>22732.799999999999</v>
      </c>
      <c r="R92" s="106">
        <v>16</v>
      </c>
      <c r="S92" s="106">
        <v>22732.799999999999</v>
      </c>
      <c r="T92" s="106">
        <v>33</v>
      </c>
      <c r="U92" s="106">
        <v>46886.400000000001</v>
      </c>
      <c r="V92" s="106">
        <v>38</v>
      </c>
      <c r="W92" s="106">
        <v>53990.400000000001</v>
      </c>
      <c r="X92" s="106">
        <v>31</v>
      </c>
      <c r="Y92" s="106">
        <v>44044.799999999996</v>
      </c>
      <c r="Z92" s="106">
        <v>36</v>
      </c>
      <c r="AA92" s="106">
        <v>51148.799999999996</v>
      </c>
      <c r="AB92" s="106">
        <v>13</v>
      </c>
      <c r="AC92" s="106">
        <v>18470.399999999998</v>
      </c>
      <c r="AD92" s="106">
        <v>10</v>
      </c>
      <c r="AE92" s="106">
        <v>14208</v>
      </c>
      <c r="AF92" s="106">
        <v>13</v>
      </c>
      <c r="AG92" s="106">
        <v>18470.399999999998</v>
      </c>
      <c r="AH92" s="106">
        <v>10</v>
      </c>
      <c r="AI92" s="106">
        <v>14208</v>
      </c>
      <c r="AJ92" s="106">
        <v>11</v>
      </c>
      <c r="AK92" s="106">
        <v>15628.8</v>
      </c>
      <c r="AL92" s="106">
        <v>14</v>
      </c>
      <c r="AM92" s="106">
        <v>19891.2</v>
      </c>
      <c r="AN92" s="106">
        <v>14</v>
      </c>
      <c r="AO92" s="106">
        <v>19891.2</v>
      </c>
      <c r="AP92" s="106">
        <v>13</v>
      </c>
      <c r="AQ92" s="106">
        <v>18470.399999999998</v>
      </c>
      <c r="AR92" s="106">
        <v>5</v>
      </c>
      <c r="AS92" s="106">
        <v>7104</v>
      </c>
      <c r="AT92" s="106">
        <v>4</v>
      </c>
      <c r="AU92" s="106">
        <v>5683.2</v>
      </c>
      <c r="AV92" s="106">
        <v>7</v>
      </c>
      <c r="AW92" s="106">
        <v>9945.6</v>
      </c>
      <c r="AX92" s="106">
        <v>7</v>
      </c>
      <c r="AY92" s="106">
        <v>9945.6</v>
      </c>
      <c r="AZ92" s="106">
        <v>7</v>
      </c>
      <c r="BA92" s="106">
        <v>9945.6</v>
      </c>
      <c r="BB92" s="106">
        <v>8</v>
      </c>
      <c r="BC92" s="106">
        <v>11366.4</v>
      </c>
      <c r="BD92" s="106">
        <v>6</v>
      </c>
      <c r="BE92" s="106">
        <v>8524.7999999999993</v>
      </c>
      <c r="BF92" s="106">
        <v>11</v>
      </c>
      <c r="BG92" s="106">
        <v>15628.8</v>
      </c>
      <c r="BH92" s="106">
        <v>18</v>
      </c>
      <c r="BI92" s="106">
        <v>25574.399999999998</v>
      </c>
      <c r="BJ92" s="106">
        <v>24</v>
      </c>
      <c r="BK92" s="106">
        <v>34099.199999999997</v>
      </c>
      <c r="BL92" s="106">
        <v>19</v>
      </c>
      <c r="BM92" s="106">
        <v>26995.200000000001</v>
      </c>
      <c r="BN92" s="106">
        <v>14</v>
      </c>
      <c r="BO92" s="106">
        <v>19891.2</v>
      </c>
      <c r="BP92" s="106">
        <v>48</v>
      </c>
      <c r="BQ92" s="106">
        <v>68198.399999999994</v>
      </c>
      <c r="BR92" s="106">
        <v>35</v>
      </c>
      <c r="BS92" s="106">
        <v>49728</v>
      </c>
      <c r="BT92" s="106">
        <v>35</v>
      </c>
      <c r="BU92" s="106">
        <v>49728</v>
      </c>
      <c r="BV92" s="106">
        <v>46</v>
      </c>
      <c r="BW92" s="106">
        <v>65356.799999999996</v>
      </c>
      <c r="BX92" s="106">
        <v>20</v>
      </c>
      <c r="BY92" s="106">
        <v>28416</v>
      </c>
      <c r="BZ92" s="106">
        <v>30</v>
      </c>
      <c r="CA92" s="106">
        <v>42624</v>
      </c>
      <c r="CB92" s="106">
        <v>30</v>
      </c>
      <c r="CC92" s="106">
        <v>42624</v>
      </c>
      <c r="CD92" s="106">
        <v>35</v>
      </c>
      <c r="CE92" s="106">
        <v>49728</v>
      </c>
      <c r="CF92" s="106">
        <v>12</v>
      </c>
      <c r="CG92" s="106">
        <v>17049.599999999999</v>
      </c>
      <c r="CH92" s="106">
        <v>12</v>
      </c>
      <c r="CI92" s="106">
        <v>17049.599999999999</v>
      </c>
      <c r="CJ92" s="106">
        <v>13</v>
      </c>
      <c r="CK92" s="106">
        <v>18470.399999999998</v>
      </c>
      <c r="CL92" s="106">
        <v>11</v>
      </c>
      <c r="CM92" s="106">
        <v>15628.8</v>
      </c>
      <c r="CN92" s="106">
        <v>7</v>
      </c>
      <c r="CO92" s="106">
        <v>9945.6</v>
      </c>
      <c r="CP92" s="106">
        <v>6</v>
      </c>
      <c r="CQ92" s="106">
        <v>8524.7999999999993</v>
      </c>
      <c r="CR92" s="106">
        <v>5</v>
      </c>
      <c r="CS92" s="106">
        <v>7104</v>
      </c>
      <c r="CT92" s="106">
        <v>6</v>
      </c>
      <c r="CU92" s="106">
        <v>8524.7999999999993</v>
      </c>
    </row>
    <row r="93" spans="2:99" x14ac:dyDescent="0.2">
      <c r="C93" s="105" t="s">
        <v>259</v>
      </c>
      <c r="D93" s="106">
        <v>4</v>
      </c>
      <c r="E93" s="106">
        <v>7089.5999999999995</v>
      </c>
      <c r="F93" s="106">
        <v>5</v>
      </c>
      <c r="G93" s="106">
        <v>8862</v>
      </c>
      <c r="H93" s="106">
        <v>4</v>
      </c>
      <c r="I93" s="106">
        <v>7089.5999999999995</v>
      </c>
      <c r="J93" s="106">
        <v>4</v>
      </c>
      <c r="K93" s="106">
        <v>7089.5999999999995</v>
      </c>
      <c r="L93" s="106">
        <v>20</v>
      </c>
      <c r="M93" s="106">
        <v>35448</v>
      </c>
      <c r="N93" s="106">
        <v>13</v>
      </c>
      <c r="O93" s="106">
        <v>23041.199999999997</v>
      </c>
      <c r="P93" s="106">
        <v>16</v>
      </c>
      <c r="Q93" s="106">
        <v>28358.399999999998</v>
      </c>
      <c r="R93" s="106">
        <v>14</v>
      </c>
      <c r="S93" s="106">
        <v>24813.599999999999</v>
      </c>
      <c r="T93" s="106">
        <v>33</v>
      </c>
      <c r="U93" s="106">
        <v>58489.2</v>
      </c>
      <c r="V93" s="106">
        <v>31</v>
      </c>
      <c r="W93" s="106">
        <v>54944.399999999994</v>
      </c>
      <c r="X93" s="106">
        <v>31</v>
      </c>
      <c r="Y93" s="106">
        <v>54944.399999999994</v>
      </c>
      <c r="Z93" s="106">
        <v>34</v>
      </c>
      <c r="AA93" s="106">
        <v>60261.599999999999</v>
      </c>
      <c r="AB93" s="106">
        <v>11</v>
      </c>
      <c r="AC93" s="106">
        <v>19496.399999999998</v>
      </c>
      <c r="AD93" s="106">
        <v>9</v>
      </c>
      <c r="AE93" s="106">
        <v>15951.599999999999</v>
      </c>
      <c r="AF93" s="106">
        <v>12</v>
      </c>
      <c r="AG93" s="106">
        <v>21268.799999999999</v>
      </c>
      <c r="AH93" s="106">
        <v>10</v>
      </c>
      <c r="AI93" s="106">
        <v>17724</v>
      </c>
      <c r="AJ93" s="106">
        <v>11</v>
      </c>
      <c r="AK93" s="106">
        <v>19496.399999999998</v>
      </c>
      <c r="AL93" s="106">
        <v>15</v>
      </c>
      <c r="AM93" s="106">
        <v>26585.999999999996</v>
      </c>
      <c r="AN93" s="106">
        <v>13</v>
      </c>
      <c r="AO93" s="106">
        <v>23041.199999999997</v>
      </c>
      <c r="AP93" s="106">
        <v>13</v>
      </c>
      <c r="AQ93" s="106">
        <v>23041.199999999997</v>
      </c>
      <c r="AR93" s="106">
        <v>5</v>
      </c>
      <c r="AS93" s="106">
        <v>8862</v>
      </c>
      <c r="AT93" s="106">
        <v>4</v>
      </c>
      <c r="AU93" s="106">
        <v>7089.5999999999995</v>
      </c>
      <c r="AV93" s="106">
        <v>8</v>
      </c>
      <c r="AW93" s="106">
        <v>14179.199999999999</v>
      </c>
      <c r="AX93" s="106">
        <v>7</v>
      </c>
      <c r="AY93" s="106">
        <v>12406.8</v>
      </c>
      <c r="AZ93" s="106">
        <v>7</v>
      </c>
      <c r="BA93" s="106">
        <v>12406.8</v>
      </c>
      <c r="BB93" s="106">
        <v>8</v>
      </c>
      <c r="BC93" s="106">
        <v>14179.199999999999</v>
      </c>
      <c r="BD93" s="106">
        <v>6</v>
      </c>
      <c r="BE93" s="106">
        <v>10634.4</v>
      </c>
      <c r="BF93" s="106">
        <v>10</v>
      </c>
      <c r="BG93" s="106">
        <v>17724</v>
      </c>
      <c r="BH93" s="106">
        <v>18</v>
      </c>
      <c r="BI93" s="106">
        <v>31903.199999999997</v>
      </c>
      <c r="BJ93" s="106">
        <v>20</v>
      </c>
      <c r="BK93" s="106">
        <v>35448</v>
      </c>
      <c r="BL93" s="106">
        <v>20</v>
      </c>
      <c r="BM93" s="106">
        <v>35448</v>
      </c>
      <c r="BN93" s="106">
        <v>16</v>
      </c>
      <c r="BO93" s="106">
        <v>28358.399999999998</v>
      </c>
      <c r="BP93" s="106">
        <v>47</v>
      </c>
      <c r="BQ93" s="106">
        <v>83302.799999999988</v>
      </c>
      <c r="BR93" s="106">
        <v>34</v>
      </c>
      <c r="BS93" s="106">
        <v>60261.599999999999</v>
      </c>
      <c r="BT93" s="106">
        <v>33</v>
      </c>
      <c r="BU93" s="106">
        <v>58489.2</v>
      </c>
      <c r="BV93" s="106">
        <v>43</v>
      </c>
      <c r="BW93" s="106">
        <v>76213.2</v>
      </c>
      <c r="BX93" s="106">
        <v>20</v>
      </c>
      <c r="BY93" s="106">
        <v>35448</v>
      </c>
      <c r="BZ93" s="106">
        <v>27</v>
      </c>
      <c r="CA93" s="106">
        <v>47854.799999999996</v>
      </c>
      <c r="CB93" s="106">
        <v>31</v>
      </c>
      <c r="CC93" s="106">
        <v>54944.399999999994</v>
      </c>
      <c r="CD93" s="106">
        <v>33</v>
      </c>
      <c r="CE93" s="106">
        <v>58489.2</v>
      </c>
      <c r="CF93" s="106">
        <v>12</v>
      </c>
      <c r="CG93" s="106">
        <v>21268.799999999999</v>
      </c>
      <c r="CH93" s="106">
        <v>11</v>
      </c>
      <c r="CI93" s="106">
        <v>19496.399999999998</v>
      </c>
      <c r="CJ93" s="106">
        <v>15</v>
      </c>
      <c r="CK93" s="106">
        <v>26585.999999999996</v>
      </c>
      <c r="CL93" s="106">
        <v>12</v>
      </c>
      <c r="CM93" s="106">
        <v>21268.799999999999</v>
      </c>
      <c r="CN93" s="106">
        <v>8</v>
      </c>
      <c r="CO93" s="106">
        <v>14179.199999999999</v>
      </c>
      <c r="CP93" s="106">
        <v>6</v>
      </c>
      <c r="CQ93" s="106">
        <v>10634.4</v>
      </c>
      <c r="CR93" s="106">
        <v>4</v>
      </c>
      <c r="CS93" s="106">
        <v>7089.5999999999995</v>
      </c>
      <c r="CT93" s="106">
        <v>6</v>
      </c>
      <c r="CU93" s="106">
        <v>10634.4</v>
      </c>
    </row>
    <row r="94" spans="2:99" x14ac:dyDescent="0.2">
      <c r="C94" s="105" t="s">
        <v>260</v>
      </c>
      <c r="D94" s="106">
        <v>4</v>
      </c>
      <c r="E94" s="106">
        <v>9580.7999999999993</v>
      </c>
      <c r="F94" s="106">
        <v>5</v>
      </c>
      <c r="G94" s="106">
        <v>11976</v>
      </c>
      <c r="H94" s="106">
        <v>5</v>
      </c>
      <c r="I94" s="106">
        <v>11976</v>
      </c>
      <c r="J94" s="106">
        <v>4</v>
      </c>
      <c r="K94" s="106">
        <v>9580.7999999999993</v>
      </c>
      <c r="L94" s="106">
        <v>21</v>
      </c>
      <c r="M94" s="106">
        <v>50299.199999999997</v>
      </c>
      <c r="N94" s="106">
        <v>13</v>
      </c>
      <c r="O94" s="106">
        <v>31137.599999999999</v>
      </c>
      <c r="P94" s="106">
        <v>15</v>
      </c>
      <c r="Q94" s="106">
        <v>35928</v>
      </c>
      <c r="R94" s="106">
        <v>15</v>
      </c>
      <c r="S94" s="106">
        <v>35928</v>
      </c>
      <c r="T94" s="106">
        <v>29</v>
      </c>
      <c r="U94" s="106">
        <v>69460.799999999988</v>
      </c>
      <c r="V94" s="106">
        <v>28</v>
      </c>
      <c r="W94" s="106">
        <v>67065.599999999991</v>
      </c>
      <c r="X94" s="106">
        <v>25</v>
      </c>
      <c r="Y94" s="106">
        <v>59879.999999999993</v>
      </c>
      <c r="Z94" s="106">
        <v>27</v>
      </c>
      <c r="AA94" s="106">
        <v>64670.399999999994</v>
      </c>
      <c r="AB94" s="106">
        <v>11</v>
      </c>
      <c r="AC94" s="106">
        <v>26347.199999999997</v>
      </c>
      <c r="AD94" s="106">
        <v>10</v>
      </c>
      <c r="AE94" s="106">
        <v>23952</v>
      </c>
      <c r="AF94" s="106">
        <v>12</v>
      </c>
      <c r="AG94" s="106">
        <v>28742.399999999998</v>
      </c>
      <c r="AH94" s="106">
        <v>9</v>
      </c>
      <c r="AI94" s="106">
        <v>21556.799999999999</v>
      </c>
      <c r="AJ94" s="106">
        <v>10</v>
      </c>
      <c r="AK94" s="106">
        <v>23952</v>
      </c>
      <c r="AL94" s="106">
        <v>14</v>
      </c>
      <c r="AM94" s="106">
        <v>33532.799999999996</v>
      </c>
      <c r="AN94" s="106">
        <v>11</v>
      </c>
      <c r="AO94" s="106">
        <v>26347.199999999997</v>
      </c>
      <c r="AP94" s="106">
        <v>12</v>
      </c>
      <c r="AQ94" s="106">
        <v>28742.399999999998</v>
      </c>
      <c r="AR94" s="106">
        <v>5</v>
      </c>
      <c r="AS94" s="106">
        <v>11976</v>
      </c>
      <c r="AT94" s="106">
        <v>4</v>
      </c>
      <c r="AU94" s="106">
        <v>9580.7999999999993</v>
      </c>
      <c r="AV94" s="106">
        <v>8</v>
      </c>
      <c r="AW94" s="106">
        <v>19161.599999999999</v>
      </c>
      <c r="AX94" s="106">
        <v>7</v>
      </c>
      <c r="AY94" s="106">
        <v>16766.399999999998</v>
      </c>
      <c r="AZ94" s="106">
        <v>8</v>
      </c>
      <c r="BA94" s="106">
        <v>19161.599999999999</v>
      </c>
      <c r="BB94" s="106">
        <v>8</v>
      </c>
      <c r="BC94" s="106">
        <v>19161.599999999999</v>
      </c>
      <c r="BD94" s="106">
        <v>6</v>
      </c>
      <c r="BE94" s="106">
        <v>14371.199999999999</v>
      </c>
      <c r="BF94" s="106">
        <v>11</v>
      </c>
      <c r="BG94" s="106">
        <v>26347.199999999997</v>
      </c>
      <c r="BH94" s="106">
        <v>17</v>
      </c>
      <c r="BI94" s="106">
        <v>40718.399999999994</v>
      </c>
      <c r="BJ94" s="106">
        <v>18</v>
      </c>
      <c r="BK94" s="106">
        <v>43113.599999999999</v>
      </c>
      <c r="BL94" s="106">
        <v>16</v>
      </c>
      <c r="BM94" s="106">
        <v>38323.199999999997</v>
      </c>
      <c r="BN94" s="106">
        <v>15</v>
      </c>
      <c r="BO94" s="106">
        <v>35928</v>
      </c>
      <c r="BP94" s="106">
        <v>47</v>
      </c>
      <c r="BQ94" s="106">
        <v>112574.39999999999</v>
      </c>
      <c r="BR94" s="106">
        <v>35</v>
      </c>
      <c r="BS94" s="106">
        <v>83832</v>
      </c>
      <c r="BT94" s="106">
        <v>33</v>
      </c>
      <c r="BU94" s="106">
        <v>79041.599999999991</v>
      </c>
      <c r="BV94" s="106">
        <v>40</v>
      </c>
      <c r="BW94" s="106">
        <v>95808</v>
      </c>
      <c r="BX94" s="106">
        <v>21</v>
      </c>
      <c r="BY94" s="106">
        <v>50299.199999999997</v>
      </c>
      <c r="BZ94" s="106">
        <v>26</v>
      </c>
      <c r="CA94" s="106">
        <v>62275.199999999997</v>
      </c>
      <c r="CB94" s="106">
        <v>30</v>
      </c>
      <c r="CC94" s="106">
        <v>71856</v>
      </c>
      <c r="CD94" s="106">
        <v>30</v>
      </c>
      <c r="CE94" s="106">
        <v>71856</v>
      </c>
      <c r="CF94" s="106">
        <v>10</v>
      </c>
      <c r="CG94" s="106">
        <v>23952</v>
      </c>
      <c r="CH94" s="106">
        <v>11</v>
      </c>
      <c r="CI94" s="106">
        <v>26347.199999999997</v>
      </c>
      <c r="CJ94" s="106">
        <v>13</v>
      </c>
      <c r="CK94" s="106">
        <v>31137.599999999999</v>
      </c>
      <c r="CL94" s="106">
        <v>12</v>
      </c>
      <c r="CM94" s="106">
        <v>28742.399999999998</v>
      </c>
      <c r="CN94" s="106">
        <v>7</v>
      </c>
      <c r="CO94" s="106">
        <v>16766.399999999998</v>
      </c>
      <c r="CP94" s="106">
        <v>5</v>
      </c>
      <c r="CQ94" s="106">
        <v>11976</v>
      </c>
      <c r="CR94" s="106">
        <v>5</v>
      </c>
      <c r="CS94" s="106">
        <v>11976</v>
      </c>
      <c r="CT94" s="106">
        <v>6</v>
      </c>
      <c r="CU94" s="106">
        <v>14371.199999999999</v>
      </c>
    </row>
    <row r="95" spans="2:99" x14ac:dyDescent="0.2">
      <c r="B95" s="105" t="s">
        <v>132</v>
      </c>
      <c r="C95" s="105" t="s">
        <v>261</v>
      </c>
      <c r="D95" s="106">
        <v>6</v>
      </c>
      <c r="E95" s="106">
        <v>10396.799999999999</v>
      </c>
      <c r="F95" s="106">
        <v>9</v>
      </c>
      <c r="G95" s="106">
        <v>15595.199999999999</v>
      </c>
      <c r="H95" s="106">
        <v>7</v>
      </c>
      <c r="I95" s="106">
        <v>12129.6</v>
      </c>
      <c r="J95" s="106">
        <v>6</v>
      </c>
      <c r="K95" s="106">
        <v>10396.799999999999</v>
      </c>
      <c r="L95" s="106">
        <v>16</v>
      </c>
      <c r="M95" s="106">
        <v>27724.799999999999</v>
      </c>
      <c r="N95" s="106">
        <v>13</v>
      </c>
      <c r="O95" s="106">
        <v>22526.399999999998</v>
      </c>
      <c r="P95" s="106">
        <v>11</v>
      </c>
      <c r="Q95" s="106">
        <v>19060.8</v>
      </c>
      <c r="R95" s="106">
        <v>11</v>
      </c>
      <c r="S95" s="106">
        <v>19060.8</v>
      </c>
      <c r="T95" s="106">
        <v>16</v>
      </c>
      <c r="U95" s="106">
        <v>27724.799999999999</v>
      </c>
      <c r="V95" s="106">
        <v>13</v>
      </c>
      <c r="W95" s="106">
        <v>22526.399999999998</v>
      </c>
      <c r="X95" s="106">
        <v>15</v>
      </c>
      <c r="Y95" s="106">
        <v>25992</v>
      </c>
      <c r="Z95" s="106">
        <v>9</v>
      </c>
      <c r="AA95" s="106">
        <v>15595.199999999999</v>
      </c>
      <c r="AB95" s="106">
        <v>41</v>
      </c>
      <c r="AC95" s="106">
        <v>71044.800000000003</v>
      </c>
      <c r="AD95" s="106">
        <v>44</v>
      </c>
      <c r="AE95" s="106">
        <v>76243.199999999997</v>
      </c>
      <c r="AF95" s="106">
        <v>55</v>
      </c>
      <c r="AG95" s="106">
        <v>95304</v>
      </c>
      <c r="AH95" s="106">
        <v>39</v>
      </c>
      <c r="AI95" s="106">
        <v>67579.199999999997</v>
      </c>
      <c r="AJ95" s="106">
        <v>7</v>
      </c>
      <c r="AK95" s="106">
        <v>12129.6</v>
      </c>
      <c r="AL95" s="106">
        <v>6</v>
      </c>
      <c r="AM95" s="106">
        <v>10396.799999999999</v>
      </c>
      <c r="AN95" s="106">
        <v>8</v>
      </c>
      <c r="AO95" s="106">
        <v>13862.4</v>
      </c>
      <c r="AP95" s="106">
        <v>9</v>
      </c>
      <c r="AQ95" s="106">
        <v>15595.199999999999</v>
      </c>
      <c r="AR95" s="106">
        <v>33</v>
      </c>
      <c r="AS95" s="106">
        <v>57182.400000000001</v>
      </c>
      <c r="AT95" s="106">
        <v>29</v>
      </c>
      <c r="AU95" s="106">
        <v>50251.199999999997</v>
      </c>
      <c r="AV95" s="106">
        <v>47</v>
      </c>
      <c r="AW95" s="106">
        <v>81441.599999999991</v>
      </c>
      <c r="AX95" s="106">
        <v>31</v>
      </c>
      <c r="AY95" s="106">
        <v>53716.799999999996</v>
      </c>
      <c r="AZ95" s="106">
        <v>23</v>
      </c>
      <c r="BA95" s="106">
        <v>39854.400000000001</v>
      </c>
      <c r="BB95" s="106">
        <v>18</v>
      </c>
      <c r="BC95" s="106">
        <v>31190.399999999998</v>
      </c>
      <c r="BD95" s="106">
        <v>29</v>
      </c>
      <c r="BE95" s="106">
        <v>50251.199999999997</v>
      </c>
      <c r="BF95" s="106">
        <v>29</v>
      </c>
      <c r="BG95" s="106">
        <v>50251.199999999997</v>
      </c>
      <c r="BH95" s="106">
        <v>37</v>
      </c>
      <c r="BI95" s="106">
        <v>64113.599999999999</v>
      </c>
      <c r="BJ95" s="106">
        <v>33</v>
      </c>
      <c r="BK95" s="106">
        <v>57182.400000000001</v>
      </c>
      <c r="BL95" s="106">
        <v>28</v>
      </c>
      <c r="BM95" s="106">
        <v>48518.400000000001</v>
      </c>
      <c r="BN95" s="106">
        <v>33</v>
      </c>
      <c r="BO95" s="106">
        <v>57182.400000000001</v>
      </c>
      <c r="BP95" s="106">
        <v>25</v>
      </c>
      <c r="BQ95" s="106">
        <v>43320</v>
      </c>
      <c r="BR95" s="106">
        <v>26</v>
      </c>
      <c r="BS95" s="106">
        <v>45052.799999999996</v>
      </c>
      <c r="BT95" s="106">
        <v>31</v>
      </c>
      <c r="BU95" s="106">
        <v>53716.799999999996</v>
      </c>
      <c r="BV95" s="106">
        <v>35</v>
      </c>
      <c r="BW95" s="106">
        <v>60648</v>
      </c>
      <c r="BX95" s="106">
        <v>28</v>
      </c>
      <c r="BY95" s="106">
        <v>48518.400000000001</v>
      </c>
      <c r="BZ95" s="106">
        <v>19</v>
      </c>
      <c r="CA95" s="106">
        <v>32923.199999999997</v>
      </c>
      <c r="CB95" s="106">
        <v>26</v>
      </c>
      <c r="CC95" s="106">
        <v>45052.799999999996</v>
      </c>
      <c r="CD95" s="106">
        <v>26</v>
      </c>
      <c r="CE95" s="106">
        <v>45052.799999999996</v>
      </c>
      <c r="CF95" s="106">
        <v>28</v>
      </c>
      <c r="CG95" s="106">
        <v>48518.400000000001</v>
      </c>
      <c r="CH95" s="106">
        <v>23</v>
      </c>
      <c r="CI95" s="106">
        <v>39854.400000000001</v>
      </c>
      <c r="CJ95" s="106">
        <v>23</v>
      </c>
      <c r="CK95" s="106">
        <v>39854.400000000001</v>
      </c>
      <c r="CL95" s="106">
        <v>17</v>
      </c>
      <c r="CM95" s="106">
        <v>29457.599999999999</v>
      </c>
      <c r="CN95" s="106">
        <v>61</v>
      </c>
      <c r="CO95" s="106">
        <v>105700.8</v>
      </c>
      <c r="CP95" s="106">
        <v>63</v>
      </c>
      <c r="CQ95" s="106">
        <v>109166.39999999999</v>
      </c>
      <c r="CR95" s="106">
        <v>111</v>
      </c>
      <c r="CS95" s="106">
        <v>192340.8</v>
      </c>
      <c r="CT95" s="106">
        <v>102</v>
      </c>
      <c r="CU95" s="106">
        <v>176745.60000000001</v>
      </c>
    </row>
    <row r="96" spans="2:99" x14ac:dyDescent="0.2">
      <c r="C96" s="105" t="s">
        <v>262</v>
      </c>
      <c r="D96" s="106">
        <v>8</v>
      </c>
      <c r="E96" s="106">
        <v>6585.5999999999995</v>
      </c>
      <c r="F96" s="106">
        <v>9</v>
      </c>
      <c r="G96" s="106">
        <v>7408.7999999999993</v>
      </c>
      <c r="H96" s="106">
        <v>8</v>
      </c>
      <c r="I96" s="106">
        <v>6585.5999999999995</v>
      </c>
      <c r="J96" s="106">
        <v>7</v>
      </c>
      <c r="K96" s="106">
        <v>5762.4</v>
      </c>
      <c r="L96" s="106">
        <v>16</v>
      </c>
      <c r="M96" s="106">
        <v>13171.199999999999</v>
      </c>
      <c r="N96" s="106">
        <v>16</v>
      </c>
      <c r="O96" s="106">
        <v>13171.199999999999</v>
      </c>
      <c r="P96" s="106">
        <v>13</v>
      </c>
      <c r="Q96" s="106">
        <v>10701.599999999999</v>
      </c>
      <c r="R96" s="106">
        <v>11</v>
      </c>
      <c r="S96" s="106">
        <v>9055.1999999999989</v>
      </c>
      <c r="T96" s="106">
        <v>17</v>
      </c>
      <c r="U96" s="106">
        <v>13994.4</v>
      </c>
      <c r="V96" s="106">
        <v>15</v>
      </c>
      <c r="W96" s="106">
        <v>12347.999999999998</v>
      </c>
      <c r="X96" s="106">
        <v>18</v>
      </c>
      <c r="Y96" s="106">
        <v>14817.599999999999</v>
      </c>
      <c r="Z96" s="106">
        <v>10</v>
      </c>
      <c r="AA96" s="106">
        <v>8232</v>
      </c>
      <c r="AB96" s="106">
        <v>51</v>
      </c>
      <c r="AC96" s="106">
        <v>41983.199999999997</v>
      </c>
      <c r="AD96" s="106">
        <v>46</v>
      </c>
      <c r="AE96" s="106">
        <v>37867.199999999997</v>
      </c>
      <c r="AF96" s="106">
        <v>66</v>
      </c>
      <c r="AG96" s="106">
        <v>54331.199999999997</v>
      </c>
      <c r="AH96" s="106">
        <v>47</v>
      </c>
      <c r="AI96" s="106">
        <v>38690.399999999994</v>
      </c>
      <c r="AJ96" s="106">
        <v>7</v>
      </c>
      <c r="AK96" s="106">
        <v>5762.4</v>
      </c>
      <c r="AL96" s="106">
        <v>7</v>
      </c>
      <c r="AM96" s="106">
        <v>5762.4</v>
      </c>
      <c r="AN96" s="106">
        <v>10</v>
      </c>
      <c r="AO96" s="106">
        <v>8232</v>
      </c>
      <c r="AP96" s="106">
        <v>9</v>
      </c>
      <c r="AQ96" s="106">
        <v>7408.7999999999993</v>
      </c>
      <c r="AR96" s="106">
        <v>33</v>
      </c>
      <c r="AS96" s="106">
        <v>27165.599999999999</v>
      </c>
      <c r="AT96" s="106">
        <v>29</v>
      </c>
      <c r="AU96" s="106">
        <v>23872.799999999999</v>
      </c>
      <c r="AV96" s="106">
        <v>61</v>
      </c>
      <c r="AW96" s="106">
        <v>50215.199999999997</v>
      </c>
      <c r="AX96" s="106">
        <v>34</v>
      </c>
      <c r="AY96" s="106">
        <v>27988.799999999999</v>
      </c>
      <c r="AZ96" s="106">
        <v>27</v>
      </c>
      <c r="BA96" s="106">
        <v>22226.399999999998</v>
      </c>
      <c r="BB96" s="106">
        <v>22</v>
      </c>
      <c r="BC96" s="106">
        <v>18110.399999999998</v>
      </c>
      <c r="BD96" s="106">
        <v>36</v>
      </c>
      <c r="BE96" s="106">
        <v>29635.199999999997</v>
      </c>
      <c r="BF96" s="106">
        <v>30</v>
      </c>
      <c r="BG96" s="106">
        <v>24695.999999999996</v>
      </c>
      <c r="BH96" s="106">
        <v>38</v>
      </c>
      <c r="BI96" s="106">
        <v>31281.599999999999</v>
      </c>
      <c r="BJ96" s="106">
        <v>35</v>
      </c>
      <c r="BK96" s="106">
        <v>28811.999999999996</v>
      </c>
      <c r="BL96" s="106">
        <v>33</v>
      </c>
      <c r="BM96" s="106">
        <v>27165.599999999999</v>
      </c>
      <c r="BN96" s="106">
        <v>35</v>
      </c>
      <c r="BO96" s="106">
        <v>28811.999999999996</v>
      </c>
      <c r="BP96" s="106">
        <v>24</v>
      </c>
      <c r="BQ96" s="106">
        <v>19756.8</v>
      </c>
      <c r="BR96" s="106">
        <v>30</v>
      </c>
      <c r="BS96" s="106">
        <v>24695.999999999996</v>
      </c>
      <c r="BT96" s="106">
        <v>32</v>
      </c>
      <c r="BU96" s="106">
        <v>26342.399999999998</v>
      </c>
      <c r="BV96" s="106">
        <v>37</v>
      </c>
      <c r="BW96" s="106">
        <v>30458.399999999998</v>
      </c>
      <c r="BX96" s="106">
        <v>31</v>
      </c>
      <c r="BY96" s="106">
        <v>25519.199999999997</v>
      </c>
      <c r="BZ96" s="106">
        <v>24</v>
      </c>
      <c r="CA96" s="106">
        <v>19756.8</v>
      </c>
      <c r="CB96" s="106">
        <v>29</v>
      </c>
      <c r="CC96" s="106">
        <v>23872.799999999999</v>
      </c>
      <c r="CD96" s="106">
        <v>28</v>
      </c>
      <c r="CE96" s="106">
        <v>23049.599999999999</v>
      </c>
      <c r="CF96" s="106">
        <v>33</v>
      </c>
      <c r="CG96" s="106">
        <v>27165.599999999999</v>
      </c>
      <c r="CH96" s="106">
        <v>22</v>
      </c>
      <c r="CI96" s="106">
        <v>18110.399999999998</v>
      </c>
      <c r="CJ96" s="106">
        <v>28</v>
      </c>
      <c r="CK96" s="106">
        <v>23049.599999999999</v>
      </c>
      <c r="CL96" s="106">
        <v>19</v>
      </c>
      <c r="CM96" s="106">
        <v>15640.8</v>
      </c>
      <c r="CN96" s="106">
        <v>72</v>
      </c>
      <c r="CO96" s="106">
        <v>59270.399999999994</v>
      </c>
      <c r="CP96" s="106">
        <v>77</v>
      </c>
      <c r="CQ96" s="106">
        <v>63386.399999999994</v>
      </c>
      <c r="CR96" s="106">
        <v>152</v>
      </c>
      <c r="CS96" s="106">
        <v>125126.39999999999</v>
      </c>
      <c r="CT96" s="106">
        <v>115</v>
      </c>
      <c r="CU96" s="106">
        <v>94667.999999999985</v>
      </c>
    </row>
    <row r="97" spans="2:99" x14ac:dyDescent="0.2">
      <c r="C97" s="105" t="s">
        <v>263</v>
      </c>
      <c r="D97" s="106">
        <v>7</v>
      </c>
      <c r="E97" s="106">
        <v>12801.6</v>
      </c>
      <c r="F97" s="106">
        <v>10</v>
      </c>
      <c r="G97" s="106">
        <v>18288</v>
      </c>
      <c r="H97" s="106">
        <v>7</v>
      </c>
      <c r="I97" s="106">
        <v>12801.6</v>
      </c>
      <c r="J97" s="106">
        <v>6</v>
      </c>
      <c r="K97" s="106">
        <v>10972.8</v>
      </c>
      <c r="L97" s="106">
        <v>14</v>
      </c>
      <c r="M97" s="106">
        <v>25603.200000000001</v>
      </c>
      <c r="N97" s="106">
        <v>14</v>
      </c>
      <c r="O97" s="106">
        <v>25603.200000000001</v>
      </c>
      <c r="P97" s="106">
        <v>11</v>
      </c>
      <c r="Q97" s="106">
        <v>20116.8</v>
      </c>
      <c r="R97" s="106">
        <v>10</v>
      </c>
      <c r="S97" s="106">
        <v>18288</v>
      </c>
      <c r="T97" s="106">
        <v>14</v>
      </c>
      <c r="U97" s="106">
        <v>25603.200000000001</v>
      </c>
      <c r="V97" s="106">
        <v>12</v>
      </c>
      <c r="W97" s="106">
        <v>21945.599999999999</v>
      </c>
      <c r="X97" s="106">
        <v>14</v>
      </c>
      <c r="Y97" s="106">
        <v>25603.200000000001</v>
      </c>
      <c r="Z97" s="106">
        <v>10</v>
      </c>
      <c r="AA97" s="106">
        <v>18288</v>
      </c>
      <c r="AB97" s="106">
        <v>43</v>
      </c>
      <c r="AC97" s="106">
        <v>78638.399999999994</v>
      </c>
      <c r="AD97" s="106">
        <v>39</v>
      </c>
      <c r="AE97" s="106">
        <v>71323.199999999997</v>
      </c>
      <c r="AF97" s="106">
        <v>55</v>
      </c>
      <c r="AG97" s="106">
        <v>100584</v>
      </c>
      <c r="AH97" s="106">
        <v>39</v>
      </c>
      <c r="AI97" s="106">
        <v>71323.199999999997</v>
      </c>
      <c r="AJ97" s="106">
        <v>7</v>
      </c>
      <c r="AK97" s="106">
        <v>12801.6</v>
      </c>
      <c r="AL97" s="106">
        <v>6</v>
      </c>
      <c r="AM97" s="106">
        <v>10972.8</v>
      </c>
      <c r="AN97" s="106">
        <v>9</v>
      </c>
      <c r="AO97" s="106">
        <v>16459.2</v>
      </c>
      <c r="AP97" s="106">
        <v>9</v>
      </c>
      <c r="AQ97" s="106">
        <v>16459.2</v>
      </c>
      <c r="AR97" s="106">
        <v>32</v>
      </c>
      <c r="AS97" s="106">
        <v>58521.599999999999</v>
      </c>
      <c r="AT97" s="106">
        <v>29</v>
      </c>
      <c r="AU97" s="106">
        <v>53035.199999999997</v>
      </c>
      <c r="AV97" s="106">
        <v>48</v>
      </c>
      <c r="AW97" s="106">
        <v>87782.399999999994</v>
      </c>
      <c r="AX97" s="106">
        <v>34</v>
      </c>
      <c r="AY97" s="106">
        <v>62179.199999999997</v>
      </c>
      <c r="AZ97" s="106">
        <v>23</v>
      </c>
      <c r="BA97" s="106">
        <v>42062.400000000001</v>
      </c>
      <c r="BB97" s="106">
        <v>19</v>
      </c>
      <c r="BC97" s="106">
        <v>34747.199999999997</v>
      </c>
      <c r="BD97" s="106">
        <v>32</v>
      </c>
      <c r="BE97" s="106">
        <v>58521.599999999999</v>
      </c>
      <c r="BF97" s="106">
        <v>27</v>
      </c>
      <c r="BG97" s="106">
        <v>49377.599999999999</v>
      </c>
      <c r="BH97" s="106">
        <v>38</v>
      </c>
      <c r="BI97" s="106">
        <v>69494.399999999994</v>
      </c>
      <c r="BJ97" s="106">
        <v>30</v>
      </c>
      <c r="BK97" s="106">
        <v>54864</v>
      </c>
      <c r="BL97" s="106">
        <v>33</v>
      </c>
      <c r="BM97" s="106">
        <v>60350.400000000001</v>
      </c>
      <c r="BN97" s="106">
        <v>28</v>
      </c>
      <c r="BO97" s="106">
        <v>51206.400000000001</v>
      </c>
      <c r="BP97" s="106">
        <v>25</v>
      </c>
      <c r="BQ97" s="106">
        <v>45720</v>
      </c>
      <c r="BR97" s="106">
        <v>23</v>
      </c>
      <c r="BS97" s="106">
        <v>42062.400000000001</v>
      </c>
      <c r="BT97" s="106">
        <v>31</v>
      </c>
      <c r="BU97" s="106">
        <v>56692.799999999996</v>
      </c>
      <c r="BV97" s="106">
        <v>33</v>
      </c>
      <c r="BW97" s="106">
        <v>60350.400000000001</v>
      </c>
      <c r="BX97" s="106">
        <v>30</v>
      </c>
      <c r="BY97" s="106">
        <v>54864</v>
      </c>
      <c r="BZ97" s="106">
        <v>20</v>
      </c>
      <c r="CA97" s="106">
        <v>36576</v>
      </c>
      <c r="CB97" s="106">
        <v>25</v>
      </c>
      <c r="CC97" s="106">
        <v>45720</v>
      </c>
      <c r="CD97" s="106">
        <v>27</v>
      </c>
      <c r="CE97" s="106">
        <v>49377.599999999999</v>
      </c>
      <c r="CF97" s="106">
        <v>31</v>
      </c>
      <c r="CG97" s="106">
        <v>56692.799999999996</v>
      </c>
      <c r="CH97" s="106">
        <v>24</v>
      </c>
      <c r="CI97" s="106">
        <v>43891.199999999997</v>
      </c>
      <c r="CJ97" s="106">
        <v>22</v>
      </c>
      <c r="CK97" s="106">
        <v>40233.599999999999</v>
      </c>
      <c r="CL97" s="106">
        <v>19</v>
      </c>
      <c r="CM97" s="106">
        <v>34747.199999999997</v>
      </c>
      <c r="CN97" s="106">
        <v>62</v>
      </c>
      <c r="CO97" s="106">
        <v>113385.59999999999</v>
      </c>
      <c r="CP97" s="106">
        <v>67</v>
      </c>
      <c r="CQ97" s="106">
        <v>122529.59999999999</v>
      </c>
      <c r="CR97" s="106">
        <v>124</v>
      </c>
      <c r="CS97" s="106">
        <v>226771.19999999998</v>
      </c>
      <c r="CT97" s="106">
        <v>98</v>
      </c>
      <c r="CU97" s="106">
        <v>179222.39999999999</v>
      </c>
    </row>
    <row r="98" spans="2:99" x14ac:dyDescent="0.2">
      <c r="C98" s="105" t="s">
        <v>264</v>
      </c>
      <c r="D98" s="106">
        <v>7</v>
      </c>
      <c r="E98" s="106">
        <v>8845.1999999999989</v>
      </c>
      <c r="F98" s="106">
        <v>10</v>
      </c>
      <c r="G98" s="106">
        <v>12636</v>
      </c>
      <c r="H98" s="106">
        <v>7</v>
      </c>
      <c r="I98" s="106">
        <v>8845.1999999999989</v>
      </c>
      <c r="J98" s="106">
        <v>6</v>
      </c>
      <c r="K98" s="106">
        <v>7581.5999999999995</v>
      </c>
      <c r="L98" s="106">
        <v>15</v>
      </c>
      <c r="M98" s="106">
        <v>18954</v>
      </c>
      <c r="N98" s="106">
        <v>16</v>
      </c>
      <c r="O98" s="106">
        <v>20217.599999999999</v>
      </c>
      <c r="P98" s="106">
        <v>13</v>
      </c>
      <c r="Q98" s="106">
        <v>16426.8</v>
      </c>
      <c r="R98" s="106">
        <v>12</v>
      </c>
      <c r="S98" s="106">
        <v>15163.199999999999</v>
      </c>
      <c r="T98" s="106">
        <v>16</v>
      </c>
      <c r="U98" s="106">
        <v>20217.599999999999</v>
      </c>
      <c r="V98" s="106">
        <v>13</v>
      </c>
      <c r="W98" s="106">
        <v>16426.8</v>
      </c>
      <c r="X98" s="106">
        <v>17</v>
      </c>
      <c r="Y98" s="106">
        <v>21481.199999999997</v>
      </c>
      <c r="Z98" s="106">
        <v>10</v>
      </c>
      <c r="AA98" s="106">
        <v>12636</v>
      </c>
      <c r="AB98" s="106">
        <v>46</v>
      </c>
      <c r="AC98" s="106">
        <v>58125.599999999999</v>
      </c>
      <c r="AD98" s="106">
        <v>51</v>
      </c>
      <c r="AE98" s="106">
        <v>64443.6</v>
      </c>
      <c r="AF98" s="106">
        <v>57</v>
      </c>
      <c r="AG98" s="106">
        <v>72025.2</v>
      </c>
      <c r="AH98" s="106">
        <v>43</v>
      </c>
      <c r="AI98" s="106">
        <v>54334.799999999996</v>
      </c>
      <c r="AJ98" s="106">
        <v>7</v>
      </c>
      <c r="AK98" s="106">
        <v>8845.1999999999989</v>
      </c>
      <c r="AL98" s="106">
        <v>7</v>
      </c>
      <c r="AM98" s="106">
        <v>8845.1999999999989</v>
      </c>
      <c r="AN98" s="106">
        <v>9</v>
      </c>
      <c r="AO98" s="106">
        <v>11372.4</v>
      </c>
      <c r="AP98" s="106">
        <v>9</v>
      </c>
      <c r="AQ98" s="106">
        <v>11372.4</v>
      </c>
      <c r="AR98" s="106">
        <v>34</v>
      </c>
      <c r="AS98" s="106">
        <v>42962.399999999994</v>
      </c>
      <c r="AT98" s="106">
        <v>32</v>
      </c>
      <c r="AU98" s="106">
        <v>40435.199999999997</v>
      </c>
      <c r="AV98" s="106">
        <v>51</v>
      </c>
      <c r="AW98" s="106">
        <v>64443.6</v>
      </c>
      <c r="AX98" s="106">
        <v>35</v>
      </c>
      <c r="AY98" s="106">
        <v>44226</v>
      </c>
      <c r="AZ98" s="106">
        <v>22</v>
      </c>
      <c r="BA98" s="106">
        <v>27799.199999999997</v>
      </c>
      <c r="BB98" s="106">
        <v>22</v>
      </c>
      <c r="BC98" s="106">
        <v>27799.199999999997</v>
      </c>
      <c r="BD98" s="106">
        <v>29</v>
      </c>
      <c r="BE98" s="106">
        <v>36644.399999999994</v>
      </c>
      <c r="BF98" s="106">
        <v>29</v>
      </c>
      <c r="BG98" s="106">
        <v>36644.399999999994</v>
      </c>
      <c r="BH98" s="106">
        <v>38</v>
      </c>
      <c r="BI98" s="106">
        <v>48016.799999999996</v>
      </c>
      <c r="BJ98" s="106">
        <v>35</v>
      </c>
      <c r="BK98" s="106">
        <v>44226</v>
      </c>
      <c r="BL98" s="106">
        <v>33</v>
      </c>
      <c r="BM98" s="106">
        <v>41698.799999999996</v>
      </c>
      <c r="BN98" s="106">
        <v>31</v>
      </c>
      <c r="BO98" s="106">
        <v>39171.599999999999</v>
      </c>
      <c r="BP98" s="106">
        <v>24</v>
      </c>
      <c r="BQ98" s="106">
        <v>30326.399999999998</v>
      </c>
      <c r="BR98" s="106">
        <v>28</v>
      </c>
      <c r="BS98" s="106">
        <v>35380.799999999996</v>
      </c>
      <c r="BT98" s="106">
        <v>35</v>
      </c>
      <c r="BU98" s="106">
        <v>44226</v>
      </c>
      <c r="BV98" s="106">
        <v>32</v>
      </c>
      <c r="BW98" s="106">
        <v>40435.199999999997</v>
      </c>
      <c r="BX98" s="106">
        <v>30</v>
      </c>
      <c r="BY98" s="106">
        <v>37908</v>
      </c>
      <c r="BZ98" s="106">
        <v>20</v>
      </c>
      <c r="CA98" s="106">
        <v>25272</v>
      </c>
      <c r="CB98" s="106">
        <v>27</v>
      </c>
      <c r="CC98" s="106">
        <v>34117.199999999997</v>
      </c>
      <c r="CD98" s="106">
        <v>26</v>
      </c>
      <c r="CE98" s="106">
        <v>32853.599999999999</v>
      </c>
      <c r="CF98" s="106">
        <v>34</v>
      </c>
      <c r="CG98" s="106">
        <v>42962.399999999994</v>
      </c>
      <c r="CH98" s="106">
        <v>25</v>
      </c>
      <c r="CI98" s="106">
        <v>31589.999999999996</v>
      </c>
      <c r="CJ98" s="106">
        <v>25</v>
      </c>
      <c r="CK98" s="106">
        <v>31589.999999999996</v>
      </c>
      <c r="CL98" s="106">
        <v>17</v>
      </c>
      <c r="CM98" s="106">
        <v>21481.199999999997</v>
      </c>
      <c r="CN98" s="106">
        <v>62</v>
      </c>
      <c r="CO98" s="106">
        <v>78343.199999999997</v>
      </c>
      <c r="CP98" s="106">
        <v>70</v>
      </c>
      <c r="CQ98" s="106">
        <v>88452</v>
      </c>
      <c r="CR98" s="106">
        <v>136</v>
      </c>
      <c r="CS98" s="106">
        <v>171849.59999999998</v>
      </c>
      <c r="CT98" s="106">
        <v>94</v>
      </c>
      <c r="CU98" s="106">
        <v>118778.4</v>
      </c>
    </row>
    <row r="99" spans="2:99" x14ac:dyDescent="0.2">
      <c r="C99" s="105" t="s">
        <v>265</v>
      </c>
      <c r="D99" s="106">
        <v>5</v>
      </c>
      <c r="E99" s="106">
        <v>27407.999999999996</v>
      </c>
      <c r="F99" s="106">
        <v>7</v>
      </c>
      <c r="G99" s="106">
        <v>38371.199999999997</v>
      </c>
      <c r="H99" s="106">
        <v>6</v>
      </c>
      <c r="I99" s="106">
        <v>32889.599999999999</v>
      </c>
      <c r="J99" s="106">
        <v>5</v>
      </c>
      <c r="K99" s="106">
        <v>27407.999999999996</v>
      </c>
      <c r="L99" s="106">
        <v>11</v>
      </c>
      <c r="M99" s="106">
        <v>60297.599999999991</v>
      </c>
      <c r="N99" s="106">
        <v>12</v>
      </c>
      <c r="O99" s="106">
        <v>65779.199999999997</v>
      </c>
      <c r="P99" s="106">
        <v>10</v>
      </c>
      <c r="Q99" s="106">
        <v>54815.999999999993</v>
      </c>
      <c r="R99" s="106">
        <v>9</v>
      </c>
      <c r="S99" s="106">
        <v>49334.399999999994</v>
      </c>
      <c r="T99" s="106">
        <v>12</v>
      </c>
      <c r="U99" s="106">
        <v>65779.199999999997</v>
      </c>
      <c r="V99" s="106">
        <v>10</v>
      </c>
      <c r="W99" s="106">
        <v>54815.999999999993</v>
      </c>
      <c r="X99" s="106">
        <v>12</v>
      </c>
      <c r="Y99" s="106">
        <v>65779.199999999997</v>
      </c>
      <c r="Z99" s="106">
        <v>7</v>
      </c>
      <c r="AA99" s="106">
        <v>38371.199999999997</v>
      </c>
      <c r="AB99" s="106">
        <v>29</v>
      </c>
      <c r="AC99" s="106">
        <v>158966.39999999999</v>
      </c>
      <c r="AD99" s="106">
        <v>26</v>
      </c>
      <c r="AE99" s="106">
        <v>142521.59999999998</v>
      </c>
      <c r="AF99" s="106">
        <v>39</v>
      </c>
      <c r="AG99" s="106">
        <v>213782.39999999997</v>
      </c>
      <c r="AH99" s="106">
        <v>22</v>
      </c>
      <c r="AI99" s="106">
        <v>120595.19999999998</v>
      </c>
      <c r="AJ99" s="106">
        <v>5</v>
      </c>
      <c r="AK99" s="106">
        <v>27407.999999999996</v>
      </c>
      <c r="AL99" s="106">
        <v>6</v>
      </c>
      <c r="AM99" s="106">
        <v>32889.599999999999</v>
      </c>
      <c r="AN99" s="106">
        <v>7</v>
      </c>
      <c r="AO99" s="106">
        <v>38371.199999999997</v>
      </c>
      <c r="AP99" s="106">
        <v>7</v>
      </c>
      <c r="AQ99" s="106">
        <v>38371.199999999997</v>
      </c>
      <c r="AR99" s="106">
        <v>21</v>
      </c>
      <c r="AS99" s="106">
        <v>115113.59999999999</v>
      </c>
      <c r="AT99" s="106">
        <v>19</v>
      </c>
      <c r="AU99" s="106">
        <v>104150.39999999999</v>
      </c>
      <c r="AV99" s="106">
        <v>32</v>
      </c>
      <c r="AW99" s="106">
        <v>175411.19999999998</v>
      </c>
      <c r="AX99" s="106">
        <v>21</v>
      </c>
      <c r="AY99" s="106">
        <v>115113.59999999999</v>
      </c>
      <c r="AZ99" s="106">
        <v>16</v>
      </c>
      <c r="BA99" s="106">
        <v>87705.599999999991</v>
      </c>
      <c r="BB99" s="106">
        <v>14</v>
      </c>
      <c r="BC99" s="106">
        <v>76742.399999999994</v>
      </c>
      <c r="BD99" s="106">
        <v>23</v>
      </c>
      <c r="BE99" s="106">
        <v>126076.79999999999</v>
      </c>
      <c r="BF99" s="106">
        <v>20</v>
      </c>
      <c r="BG99" s="106">
        <v>109631.99999999999</v>
      </c>
      <c r="BH99" s="106">
        <v>25</v>
      </c>
      <c r="BI99" s="106">
        <v>137040</v>
      </c>
      <c r="BJ99" s="106">
        <v>22</v>
      </c>
      <c r="BK99" s="106">
        <v>120595.19999999998</v>
      </c>
      <c r="BL99" s="106">
        <v>22</v>
      </c>
      <c r="BM99" s="106">
        <v>120595.19999999998</v>
      </c>
      <c r="BN99" s="106">
        <v>20</v>
      </c>
      <c r="BO99" s="106">
        <v>109631.99999999999</v>
      </c>
      <c r="BP99" s="106">
        <v>16</v>
      </c>
      <c r="BQ99" s="106">
        <v>87705.599999999991</v>
      </c>
      <c r="BR99" s="106">
        <v>16</v>
      </c>
      <c r="BS99" s="106">
        <v>87705.599999999991</v>
      </c>
      <c r="BT99" s="106">
        <v>21</v>
      </c>
      <c r="BU99" s="106">
        <v>115113.59999999999</v>
      </c>
      <c r="BV99" s="106">
        <v>24</v>
      </c>
      <c r="BW99" s="106">
        <v>131558.39999999999</v>
      </c>
      <c r="BX99" s="106">
        <v>19</v>
      </c>
      <c r="BY99" s="106">
        <v>104150.39999999999</v>
      </c>
      <c r="BZ99" s="106">
        <v>13</v>
      </c>
      <c r="CA99" s="106">
        <v>71260.799999999988</v>
      </c>
      <c r="CB99" s="106">
        <v>17</v>
      </c>
      <c r="CC99" s="106">
        <v>93187.199999999997</v>
      </c>
      <c r="CD99" s="106">
        <v>20</v>
      </c>
      <c r="CE99" s="106">
        <v>109631.99999999999</v>
      </c>
      <c r="CF99" s="106">
        <v>23</v>
      </c>
      <c r="CG99" s="106">
        <v>126076.79999999999</v>
      </c>
      <c r="CH99" s="106">
        <v>14</v>
      </c>
      <c r="CI99" s="106">
        <v>76742.399999999994</v>
      </c>
      <c r="CJ99" s="106">
        <v>16</v>
      </c>
      <c r="CK99" s="106">
        <v>87705.599999999991</v>
      </c>
      <c r="CL99" s="106">
        <v>13</v>
      </c>
      <c r="CM99" s="106">
        <v>71260.799999999988</v>
      </c>
      <c r="CN99" s="106">
        <v>31</v>
      </c>
      <c r="CO99" s="106">
        <v>169929.59999999998</v>
      </c>
      <c r="CP99" s="106">
        <v>35</v>
      </c>
      <c r="CQ99" s="106">
        <v>191855.99999999997</v>
      </c>
      <c r="CR99" s="106">
        <v>57</v>
      </c>
      <c r="CS99" s="106">
        <v>312451.19999999995</v>
      </c>
      <c r="CT99" s="106">
        <v>54</v>
      </c>
      <c r="CU99" s="106">
        <v>296006.39999999997</v>
      </c>
    </row>
    <row r="100" spans="2:99" x14ac:dyDescent="0.2">
      <c r="C100" s="105" t="s">
        <v>266</v>
      </c>
      <c r="D100" s="106">
        <v>7</v>
      </c>
      <c r="E100" s="106">
        <v>11356.8</v>
      </c>
      <c r="F100" s="106">
        <v>9</v>
      </c>
      <c r="G100" s="106">
        <v>14601.599999999999</v>
      </c>
      <c r="H100" s="106">
        <v>7</v>
      </c>
      <c r="I100" s="106">
        <v>11356.8</v>
      </c>
      <c r="J100" s="106">
        <v>5</v>
      </c>
      <c r="K100" s="106">
        <v>8111.9999999999991</v>
      </c>
      <c r="L100" s="106">
        <v>15</v>
      </c>
      <c r="M100" s="106">
        <v>24335.999999999996</v>
      </c>
      <c r="N100" s="106">
        <v>14</v>
      </c>
      <c r="O100" s="106">
        <v>22713.599999999999</v>
      </c>
      <c r="P100" s="106">
        <v>12</v>
      </c>
      <c r="Q100" s="106">
        <v>19468.8</v>
      </c>
      <c r="R100" s="106">
        <v>11</v>
      </c>
      <c r="S100" s="106">
        <v>17846.399999999998</v>
      </c>
      <c r="T100" s="106">
        <v>15</v>
      </c>
      <c r="U100" s="106">
        <v>24335.999999999996</v>
      </c>
      <c r="V100" s="106">
        <v>12</v>
      </c>
      <c r="W100" s="106">
        <v>19468.8</v>
      </c>
      <c r="X100" s="106">
        <v>15</v>
      </c>
      <c r="Y100" s="106">
        <v>24335.999999999996</v>
      </c>
      <c r="Z100" s="106">
        <v>9</v>
      </c>
      <c r="AA100" s="106">
        <v>14601.599999999999</v>
      </c>
      <c r="AB100" s="106">
        <v>45</v>
      </c>
      <c r="AC100" s="106">
        <v>73008</v>
      </c>
      <c r="AD100" s="106">
        <v>46</v>
      </c>
      <c r="AE100" s="106">
        <v>74630.399999999994</v>
      </c>
      <c r="AF100" s="106">
        <v>60</v>
      </c>
      <c r="AG100" s="106">
        <v>97343.999999999985</v>
      </c>
      <c r="AH100" s="106">
        <v>37</v>
      </c>
      <c r="AI100" s="106">
        <v>60028.799999999996</v>
      </c>
      <c r="AJ100" s="106">
        <v>7</v>
      </c>
      <c r="AK100" s="106">
        <v>11356.8</v>
      </c>
      <c r="AL100" s="106">
        <v>6</v>
      </c>
      <c r="AM100" s="106">
        <v>9734.4</v>
      </c>
      <c r="AN100" s="106">
        <v>9</v>
      </c>
      <c r="AO100" s="106">
        <v>14601.599999999999</v>
      </c>
      <c r="AP100" s="106">
        <v>9</v>
      </c>
      <c r="AQ100" s="106">
        <v>14601.599999999999</v>
      </c>
      <c r="AR100" s="106">
        <v>31</v>
      </c>
      <c r="AS100" s="106">
        <v>50294.399999999994</v>
      </c>
      <c r="AT100" s="106">
        <v>27</v>
      </c>
      <c r="AU100" s="106">
        <v>43804.799999999996</v>
      </c>
      <c r="AV100" s="106">
        <v>47</v>
      </c>
      <c r="AW100" s="106">
        <v>76252.799999999988</v>
      </c>
      <c r="AX100" s="106">
        <v>33</v>
      </c>
      <c r="AY100" s="106">
        <v>53539.199999999997</v>
      </c>
      <c r="AZ100" s="106">
        <v>23</v>
      </c>
      <c r="BA100" s="106">
        <v>37315.199999999997</v>
      </c>
      <c r="BB100" s="106">
        <v>20</v>
      </c>
      <c r="BC100" s="106">
        <v>32447.999999999996</v>
      </c>
      <c r="BD100" s="106">
        <v>29</v>
      </c>
      <c r="BE100" s="106">
        <v>47049.599999999999</v>
      </c>
      <c r="BF100" s="106">
        <v>27</v>
      </c>
      <c r="BG100" s="106">
        <v>43804.799999999996</v>
      </c>
      <c r="BH100" s="106">
        <v>40</v>
      </c>
      <c r="BI100" s="106">
        <v>64895.999999999993</v>
      </c>
      <c r="BJ100" s="106">
        <v>28</v>
      </c>
      <c r="BK100" s="106">
        <v>45427.199999999997</v>
      </c>
      <c r="BL100" s="106">
        <v>31</v>
      </c>
      <c r="BM100" s="106">
        <v>50294.399999999994</v>
      </c>
      <c r="BN100" s="106">
        <v>29</v>
      </c>
      <c r="BO100" s="106">
        <v>47049.599999999999</v>
      </c>
      <c r="BP100" s="106">
        <v>25</v>
      </c>
      <c r="BQ100" s="106">
        <v>40560</v>
      </c>
      <c r="BR100" s="106">
        <v>27</v>
      </c>
      <c r="BS100" s="106">
        <v>43804.799999999996</v>
      </c>
      <c r="BT100" s="106">
        <v>33</v>
      </c>
      <c r="BU100" s="106">
        <v>53539.199999999997</v>
      </c>
      <c r="BV100" s="106">
        <v>33</v>
      </c>
      <c r="BW100" s="106">
        <v>53539.199999999997</v>
      </c>
      <c r="BX100" s="106">
        <v>30</v>
      </c>
      <c r="BY100" s="106">
        <v>48671.999999999993</v>
      </c>
      <c r="BZ100" s="106">
        <v>21</v>
      </c>
      <c r="CA100" s="106">
        <v>34070.399999999994</v>
      </c>
      <c r="CB100" s="106">
        <v>27</v>
      </c>
      <c r="CC100" s="106">
        <v>43804.799999999996</v>
      </c>
      <c r="CD100" s="106">
        <v>27</v>
      </c>
      <c r="CE100" s="106">
        <v>43804.799999999996</v>
      </c>
      <c r="CF100" s="106">
        <v>29</v>
      </c>
      <c r="CG100" s="106">
        <v>47049.599999999999</v>
      </c>
      <c r="CH100" s="106">
        <v>21</v>
      </c>
      <c r="CI100" s="106">
        <v>34070.399999999994</v>
      </c>
      <c r="CJ100" s="106">
        <v>25</v>
      </c>
      <c r="CK100" s="106">
        <v>40560</v>
      </c>
      <c r="CL100" s="106">
        <v>17</v>
      </c>
      <c r="CM100" s="106">
        <v>27580.799999999999</v>
      </c>
      <c r="CN100" s="106">
        <v>57</v>
      </c>
      <c r="CO100" s="106">
        <v>92476.799999999988</v>
      </c>
      <c r="CP100" s="106">
        <v>73</v>
      </c>
      <c r="CQ100" s="106">
        <v>118435.2</v>
      </c>
      <c r="CR100" s="106">
        <v>108</v>
      </c>
      <c r="CS100" s="106">
        <v>175219.19999999998</v>
      </c>
      <c r="CT100" s="106">
        <v>96</v>
      </c>
      <c r="CU100" s="106">
        <v>155750.39999999999</v>
      </c>
    </row>
    <row r="101" spans="2:99" x14ac:dyDescent="0.2">
      <c r="C101" s="105" t="s">
        <v>267</v>
      </c>
      <c r="D101" s="106">
        <v>7</v>
      </c>
      <c r="E101" s="106">
        <v>8332.7999999999993</v>
      </c>
      <c r="F101" s="106">
        <v>11</v>
      </c>
      <c r="G101" s="106">
        <v>13094.399999999998</v>
      </c>
      <c r="H101" s="106">
        <v>7</v>
      </c>
      <c r="I101" s="106">
        <v>8332.7999999999993</v>
      </c>
      <c r="J101" s="106">
        <v>6</v>
      </c>
      <c r="K101" s="106">
        <v>7142.4</v>
      </c>
      <c r="L101" s="106">
        <v>16</v>
      </c>
      <c r="M101" s="106">
        <v>19046.399999999998</v>
      </c>
      <c r="N101" s="106">
        <v>14</v>
      </c>
      <c r="O101" s="106">
        <v>16665.599999999999</v>
      </c>
      <c r="P101" s="106">
        <v>11</v>
      </c>
      <c r="Q101" s="106">
        <v>13094.399999999998</v>
      </c>
      <c r="R101" s="106">
        <v>11</v>
      </c>
      <c r="S101" s="106">
        <v>13094.399999999998</v>
      </c>
      <c r="T101" s="106">
        <v>14</v>
      </c>
      <c r="U101" s="106">
        <v>16665.599999999999</v>
      </c>
      <c r="V101" s="106">
        <v>13</v>
      </c>
      <c r="W101" s="106">
        <v>15475.199999999999</v>
      </c>
      <c r="X101" s="106">
        <v>17</v>
      </c>
      <c r="Y101" s="106">
        <v>20236.8</v>
      </c>
      <c r="Z101" s="106">
        <v>10</v>
      </c>
      <c r="AA101" s="106">
        <v>11903.999999999998</v>
      </c>
      <c r="AB101" s="106">
        <v>46</v>
      </c>
      <c r="AC101" s="106">
        <v>54758.399999999994</v>
      </c>
      <c r="AD101" s="106">
        <v>47</v>
      </c>
      <c r="AE101" s="106">
        <v>55948.799999999996</v>
      </c>
      <c r="AF101" s="106">
        <v>62</v>
      </c>
      <c r="AG101" s="106">
        <v>73804.799999999988</v>
      </c>
      <c r="AH101" s="106">
        <v>40</v>
      </c>
      <c r="AI101" s="106">
        <v>47615.999999999993</v>
      </c>
      <c r="AJ101" s="106">
        <v>6</v>
      </c>
      <c r="AK101" s="106">
        <v>7142.4</v>
      </c>
      <c r="AL101" s="106">
        <v>7</v>
      </c>
      <c r="AM101" s="106">
        <v>8332.7999999999993</v>
      </c>
      <c r="AN101" s="106">
        <v>9</v>
      </c>
      <c r="AO101" s="106">
        <v>10713.599999999999</v>
      </c>
      <c r="AP101" s="106">
        <v>8</v>
      </c>
      <c r="AQ101" s="106">
        <v>9523.1999999999989</v>
      </c>
      <c r="AR101" s="106">
        <v>33</v>
      </c>
      <c r="AS101" s="106">
        <v>39283.199999999997</v>
      </c>
      <c r="AT101" s="106">
        <v>27</v>
      </c>
      <c r="AU101" s="106">
        <v>32140.799999999996</v>
      </c>
      <c r="AV101" s="106">
        <v>54</v>
      </c>
      <c r="AW101" s="106">
        <v>64281.599999999991</v>
      </c>
      <c r="AX101" s="106">
        <v>37</v>
      </c>
      <c r="AY101" s="106">
        <v>44044.799999999996</v>
      </c>
      <c r="AZ101" s="106">
        <v>27</v>
      </c>
      <c r="BA101" s="106">
        <v>32140.799999999996</v>
      </c>
      <c r="BB101" s="106">
        <v>23</v>
      </c>
      <c r="BC101" s="106">
        <v>27379.199999999997</v>
      </c>
      <c r="BD101" s="106">
        <v>35</v>
      </c>
      <c r="BE101" s="106">
        <v>41663.999999999993</v>
      </c>
      <c r="BF101" s="106">
        <v>34</v>
      </c>
      <c r="BG101" s="106">
        <v>40473.599999999999</v>
      </c>
      <c r="BH101" s="106">
        <v>36</v>
      </c>
      <c r="BI101" s="106">
        <v>42854.399999999994</v>
      </c>
      <c r="BJ101" s="106">
        <v>31</v>
      </c>
      <c r="BK101" s="106">
        <v>36902.399999999994</v>
      </c>
      <c r="BL101" s="106">
        <v>36</v>
      </c>
      <c r="BM101" s="106">
        <v>42854.399999999994</v>
      </c>
      <c r="BN101" s="106">
        <v>30</v>
      </c>
      <c r="BO101" s="106">
        <v>35711.999999999993</v>
      </c>
      <c r="BP101" s="106">
        <v>26</v>
      </c>
      <c r="BQ101" s="106">
        <v>30950.399999999998</v>
      </c>
      <c r="BR101" s="106">
        <v>25</v>
      </c>
      <c r="BS101" s="106">
        <v>29759.999999999996</v>
      </c>
      <c r="BT101" s="106">
        <v>33</v>
      </c>
      <c r="BU101" s="106">
        <v>39283.199999999997</v>
      </c>
      <c r="BV101" s="106">
        <v>36</v>
      </c>
      <c r="BW101" s="106">
        <v>42854.399999999994</v>
      </c>
      <c r="BX101" s="106">
        <v>29</v>
      </c>
      <c r="BY101" s="106">
        <v>34521.599999999999</v>
      </c>
      <c r="BZ101" s="106">
        <v>21</v>
      </c>
      <c r="CA101" s="106">
        <v>24998.399999999998</v>
      </c>
      <c r="CB101" s="106">
        <v>28</v>
      </c>
      <c r="CC101" s="106">
        <v>33331.199999999997</v>
      </c>
      <c r="CD101" s="106">
        <v>29</v>
      </c>
      <c r="CE101" s="106">
        <v>34521.599999999999</v>
      </c>
      <c r="CF101" s="106">
        <v>34</v>
      </c>
      <c r="CG101" s="106">
        <v>40473.599999999999</v>
      </c>
      <c r="CH101" s="106">
        <v>26</v>
      </c>
      <c r="CI101" s="106">
        <v>30950.399999999998</v>
      </c>
      <c r="CJ101" s="106">
        <v>28</v>
      </c>
      <c r="CK101" s="106">
        <v>33331.199999999997</v>
      </c>
      <c r="CL101" s="106">
        <v>19</v>
      </c>
      <c r="CM101" s="106">
        <v>22617.599999999999</v>
      </c>
      <c r="CN101" s="106">
        <v>69</v>
      </c>
      <c r="CO101" s="106">
        <v>82137.599999999991</v>
      </c>
      <c r="CP101" s="106">
        <v>74</v>
      </c>
      <c r="CQ101" s="106">
        <v>88089.599999999991</v>
      </c>
      <c r="CR101" s="106">
        <v>136</v>
      </c>
      <c r="CS101" s="106">
        <v>161894.39999999999</v>
      </c>
      <c r="CT101" s="106">
        <v>103</v>
      </c>
      <c r="CU101" s="106">
        <v>122611.19999999998</v>
      </c>
    </row>
    <row r="102" spans="2:99" x14ac:dyDescent="0.2">
      <c r="C102" s="105" t="s">
        <v>268</v>
      </c>
      <c r="D102" s="106">
        <v>7</v>
      </c>
      <c r="E102" s="106">
        <v>13574.399999999998</v>
      </c>
      <c r="F102" s="106">
        <v>9</v>
      </c>
      <c r="G102" s="106">
        <v>17452.8</v>
      </c>
      <c r="H102" s="106">
        <v>7</v>
      </c>
      <c r="I102" s="106">
        <v>13574.399999999998</v>
      </c>
      <c r="J102" s="106">
        <v>6</v>
      </c>
      <c r="K102" s="106">
        <v>11635.199999999999</v>
      </c>
      <c r="L102" s="106">
        <v>15</v>
      </c>
      <c r="M102" s="106">
        <v>29087.999999999996</v>
      </c>
      <c r="N102" s="106">
        <v>15</v>
      </c>
      <c r="O102" s="106">
        <v>29087.999999999996</v>
      </c>
      <c r="P102" s="106">
        <v>11</v>
      </c>
      <c r="Q102" s="106">
        <v>21331.199999999997</v>
      </c>
      <c r="R102" s="106">
        <v>11</v>
      </c>
      <c r="S102" s="106">
        <v>21331.199999999997</v>
      </c>
      <c r="T102" s="106">
        <v>13</v>
      </c>
      <c r="U102" s="106">
        <v>25209.599999999999</v>
      </c>
      <c r="V102" s="106">
        <v>13</v>
      </c>
      <c r="W102" s="106">
        <v>25209.599999999999</v>
      </c>
      <c r="X102" s="106">
        <v>14</v>
      </c>
      <c r="Y102" s="106">
        <v>27148.799999999996</v>
      </c>
      <c r="Z102" s="106">
        <v>9</v>
      </c>
      <c r="AA102" s="106">
        <v>17452.8</v>
      </c>
      <c r="AB102" s="106">
        <v>43</v>
      </c>
      <c r="AC102" s="106">
        <v>83385.599999999991</v>
      </c>
      <c r="AD102" s="106">
        <v>41</v>
      </c>
      <c r="AE102" s="106">
        <v>79507.199999999997</v>
      </c>
      <c r="AF102" s="106">
        <v>61</v>
      </c>
      <c r="AG102" s="106">
        <v>118291.19999999998</v>
      </c>
      <c r="AH102" s="106">
        <v>37</v>
      </c>
      <c r="AI102" s="106">
        <v>71750.399999999994</v>
      </c>
      <c r="AJ102" s="106">
        <v>7</v>
      </c>
      <c r="AK102" s="106">
        <v>13574.399999999998</v>
      </c>
      <c r="AL102" s="106">
        <v>6</v>
      </c>
      <c r="AM102" s="106">
        <v>11635.199999999999</v>
      </c>
      <c r="AN102" s="106">
        <v>8</v>
      </c>
      <c r="AO102" s="106">
        <v>15513.599999999999</v>
      </c>
      <c r="AP102" s="106">
        <v>8</v>
      </c>
      <c r="AQ102" s="106">
        <v>15513.599999999999</v>
      </c>
      <c r="AR102" s="106">
        <v>30</v>
      </c>
      <c r="AS102" s="106">
        <v>58175.999999999993</v>
      </c>
      <c r="AT102" s="106">
        <v>29</v>
      </c>
      <c r="AU102" s="106">
        <v>56236.799999999996</v>
      </c>
      <c r="AV102" s="106">
        <v>48</v>
      </c>
      <c r="AW102" s="106">
        <v>93081.599999999991</v>
      </c>
      <c r="AX102" s="106">
        <v>33</v>
      </c>
      <c r="AY102" s="106">
        <v>63993.599999999991</v>
      </c>
      <c r="AZ102" s="106">
        <v>23</v>
      </c>
      <c r="BA102" s="106">
        <v>44601.599999999999</v>
      </c>
      <c r="BB102" s="106">
        <v>21</v>
      </c>
      <c r="BC102" s="106">
        <v>40723.199999999997</v>
      </c>
      <c r="BD102" s="106">
        <v>30</v>
      </c>
      <c r="BE102" s="106">
        <v>58175.999999999993</v>
      </c>
      <c r="BF102" s="106">
        <v>27</v>
      </c>
      <c r="BG102" s="106">
        <v>52358.399999999994</v>
      </c>
      <c r="BH102" s="106">
        <v>36</v>
      </c>
      <c r="BI102" s="106">
        <v>69811.199999999997</v>
      </c>
      <c r="BJ102" s="106">
        <v>30</v>
      </c>
      <c r="BK102" s="106">
        <v>58175.999999999993</v>
      </c>
      <c r="BL102" s="106">
        <v>32</v>
      </c>
      <c r="BM102" s="106">
        <v>62054.399999999994</v>
      </c>
      <c r="BN102" s="106">
        <v>33</v>
      </c>
      <c r="BO102" s="106">
        <v>63993.599999999991</v>
      </c>
      <c r="BP102" s="106">
        <v>22</v>
      </c>
      <c r="BQ102" s="106">
        <v>42662.399999999994</v>
      </c>
      <c r="BR102" s="106">
        <v>27</v>
      </c>
      <c r="BS102" s="106">
        <v>52358.399999999994</v>
      </c>
      <c r="BT102" s="106">
        <v>33</v>
      </c>
      <c r="BU102" s="106">
        <v>63993.599999999991</v>
      </c>
      <c r="BV102" s="106">
        <v>35</v>
      </c>
      <c r="BW102" s="106">
        <v>67872</v>
      </c>
      <c r="BX102" s="106">
        <v>31</v>
      </c>
      <c r="BY102" s="106">
        <v>60115.199999999997</v>
      </c>
      <c r="BZ102" s="106">
        <v>18</v>
      </c>
      <c r="CA102" s="106">
        <v>34905.599999999999</v>
      </c>
      <c r="CB102" s="106">
        <v>25</v>
      </c>
      <c r="CC102" s="106">
        <v>48479.999999999993</v>
      </c>
      <c r="CD102" s="106">
        <v>26</v>
      </c>
      <c r="CE102" s="106">
        <v>50419.199999999997</v>
      </c>
      <c r="CF102" s="106">
        <v>28</v>
      </c>
      <c r="CG102" s="106">
        <v>54297.599999999991</v>
      </c>
      <c r="CH102" s="106">
        <v>23</v>
      </c>
      <c r="CI102" s="106">
        <v>44601.599999999999</v>
      </c>
      <c r="CJ102" s="106">
        <v>23</v>
      </c>
      <c r="CK102" s="106">
        <v>44601.599999999999</v>
      </c>
      <c r="CL102" s="106">
        <v>16</v>
      </c>
      <c r="CM102" s="106">
        <v>31027.199999999997</v>
      </c>
      <c r="CN102" s="106">
        <v>57</v>
      </c>
      <c r="CO102" s="106">
        <v>110534.39999999999</v>
      </c>
      <c r="CP102" s="106">
        <v>72</v>
      </c>
      <c r="CQ102" s="106">
        <v>139622.39999999999</v>
      </c>
      <c r="CR102" s="106">
        <v>103</v>
      </c>
      <c r="CS102" s="106">
        <v>199737.59999999998</v>
      </c>
      <c r="CT102" s="106">
        <v>97</v>
      </c>
      <c r="CU102" s="106">
        <v>188102.39999999999</v>
      </c>
    </row>
    <row r="103" spans="2:99" x14ac:dyDescent="0.2">
      <c r="C103" s="105" t="s">
        <v>269</v>
      </c>
      <c r="D103" s="106">
        <v>7</v>
      </c>
      <c r="E103" s="106">
        <v>14196</v>
      </c>
      <c r="F103" s="106">
        <v>9</v>
      </c>
      <c r="G103" s="106">
        <v>18252</v>
      </c>
      <c r="H103" s="106">
        <v>7</v>
      </c>
      <c r="I103" s="106">
        <v>14196</v>
      </c>
      <c r="J103" s="106">
        <v>5</v>
      </c>
      <c r="K103" s="106">
        <v>10140</v>
      </c>
      <c r="L103" s="106">
        <v>15</v>
      </c>
      <c r="M103" s="106">
        <v>30420</v>
      </c>
      <c r="N103" s="106">
        <v>14</v>
      </c>
      <c r="O103" s="106">
        <v>28392</v>
      </c>
      <c r="P103" s="106">
        <v>12</v>
      </c>
      <c r="Q103" s="106">
        <v>24336</v>
      </c>
      <c r="R103" s="106">
        <v>10</v>
      </c>
      <c r="S103" s="106">
        <v>20280</v>
      </c>
      <c r="T103" s="106">
        <v>13</v>
      </c>
      <c r="U103" s="106">
        <v>26364</v>
      </c>
      <c r="V103" s="106">
        <v>14</v>
      </c>
      <c r="W103" s="106">
        <v>28392</v>
      </c>
      <c r="X103" s="106">
        <v>14</v>
      </c>
      <c r="Y103" s="106">
        <v>28392</v>
      </c>
      <c r="Z103" s="106">
        <v>8</v>
      </c>
      <c r="AA103" s="106">
        <v>16224</v>
      </c>
      <c r="AB103" s="106">
        <v>45</v>
      </c>
      <c r="AC103" s="106">
        <v>91260</v>
      </c>
      <c r="AD103" s="106">
        <v>41</v>
      </c>
      <c r="AE103" s="106">
        <v>83148</v>
      </c>
      <c r="AF103" s="106">
        <v>60</v>
      </c>
      <c r="AG103" s="106">
        <v>121680</v>
      </c>
      <c r="AH103" s="106">
        <v>35</v>
      </c>
      <c r="AI103" s="106">
        <v>70980</v>
      </c>
      <c r="AJ103" s="106">
        <v>6</v>
      </c>
      <c r="AK103" s="106">
        <v>12168</v>
      </c>
      <c r="AL103" s="106">
        <v>7</v>
      </c>
      <c r="AM103" s="106">
        <v>14196</v>
      </c>
      <c r="AN103" s="106">
        <v>8</v>
      </c>
      <c r="AO103" s="106">
        <v>16224</v>
      </c>
      <c r="AP103" s="106">
        <v>7</v>
      </c>
      <c r="AQ103" s="106">
        <v>14196</v>
      </c>
      <c r="AR103" s="106">
        <v>28</v>
      </c>
      <c r="AS103" s="106">
        <v>56784</v>
      </c>
      <c r="AT103" s="106">
        <v>28</v>
      </c>
      <c r="AU103" s="106">
        <v>56784</v>
      </c>
      <c r="AV103" s="106">
        <v>51</v>
      </c>
      <c r="AW103" s="106">
        <v>103428</v>
      </c>
      <c r="AX103" s="106">
        <v>34</v>
      </c>
      <c r="AY103" s="106">
        <v>68952</v>
      </c>
      <c r="AZ103" s="106">
        <v>22</v>
      </c>
      <c r="BA103" s="106">
        <v>44616</v>
      </c>
      <c r="BB103" s="106">
        <v>20</v>
      </c>
      <c r="BC103" s="106">
        <v>40560</v>
      </c>
      <c r="BD103" s="106">
        <v>29</v>
      </c>
      <c r="BE103" s="106">
        <v>58812</v>
      </c>
      <c r="BF103" s="106">
        <v>30</v>
      </c>
      <c r="BG103" s="106">
        <v>60840</v>
      </c>
      <c r="BH103" s="106">
        <v>38</v>
      </c>
      <c r="BI103" s="106">
        <v>77064</v>
      </c>
      <c r="BJ103" s="106">
        <v>31</v>
      </c>
      <c r="BK103" s="106">
        <v>62868</v>
      </c>
      <c r="BL103" s="106">
        <v>29</v>
      </c>
      <c r="BM103" s="106">
        <v>58812</v>
      </c>
      <c r="BN103" s="106">
        <v>30</v>
      </c>
      <c r="BO103" s="106">
        <v>60840</v>
      </c>
      <c r="BP103" s="106">
        <v>21</v>
      </c>
      <c r="BQ103" s="106">
        <v>42588</v>
      </c>
      <c r="BR103" s="106">
        <v>23</v>
      </c>
      <c r="BS103" s="106">
        <v>46644</v>
      </c>
      <c r="BT103" s="106">
        <v>28</v>
      </c>
      <c r="BU103" s="106">
        <v>56784</v>
      </c>
      <c r="BV103" s="106">
        <v>32</v>
      </c>
      <c r="BW103" s="106">
        <v>64896</v>
      </c>
      <c r="BX103" s="106">
        <v>27</v>
      </c>
      <c r="BY103" s="106">
        <v>54756</v>
      </c>
      <c r="BZ103" s="106">
        <v>21</v>
      </c>
      <c r="CA103" s="106">
        <v>42588</v>
      </c>
      <c r="CB103" s="106">
        <v>24</v>
      </c>
      <c r="CC103" s="106">
        <v>48672</v>
      </c>
      <c r="CD103" s="106">
        <v>25</v>
      </c>
      <c r="CE103" s="106">
        <v>50700</v>
      </c>
      <c r="CF103" s="106">
        <v>26</v>
      </c>
      <c r="CG103" s="106">
        <v>52728</v>
      </c>
      <c r="CH103" s="106">
        <v>22</v>
      </c>
      <c r="CI103" s="106">
        <v>44616</v>
      </c>
      <c r="CJ103" s="106">
        <v>26</v>
      </c>
      <c r="CK103" s="106">
        <v>52728</v>
      </c>
      <c r="CL103" s="106">
        <v>17</v>
      </c>
      <c r="CM103" s="106">
        <v>34476</v>
      </c>
      <c r="CN103" s="106">
        <v>54</v>
      </c>
      <c r="CO103" s="106">
        <v>109512</v>
      </c>
      <c r="CP103" s="106">
        <v>68</v>
      </c>
      <c r="CQ103" s="106">
        <v>137904</v>
      </c>
      <c r="CR103" s="106">
        <v>116</v>
      </c>
      <c r="CS103" s="106">
        <v>235248</v>
      </c>
      <c r="CT103" s="106">
        <v>94</v>
      </c>
      <c r="CU103" s="106">
        <v>190632</v>
      </c>
    </row>
    <row r="104" spans="2:99" x14ac:dyDescent="0.2">
      <c r="C104" s="105" t="s">
        <v>270</v>
      </c>
      <c r="D104" s="106">
        <v>7</v>
      </c>
      <c r="E104" s="106">
        <v>14506.800000000001</v>
      </c>
      <c r="F104" s="106">
        <v>10</v>
      </c>
      <c r="G104" s="106">
        <v>20724</v>
      </c>
      <c r="H104" s="106">
        <v>7</v>
      </c>
      <c r="I104" s="106">
        <v>14506.800000000001</v>
      </c>
      <c r="J104" s="106">
        <v>6</v>
      </c>
      <c r="K104" s="106">
        <v>12434.400000000001</v>
      </c>
      <c r="L104" s="106">
        <v>15</v>
      </c>
      <c r="M104" s="106">
        <v>31086</v>
      </c>
      <c r="N104" s="106">
        <v>16</v>
      </c>
      <c r="O104" s="106">
        <v>33158.400000000001</v>
      </c>
      <c r="P104" s="106">
        <v>11</v>
      </c>
      <c r="Q104" s="106">
        <v>22796.400000000001</v>
      </c>
      <c r="R104" s="106">
        <v>11</v>
      </c>
      <c r="S104" s="106">
        <v>22796.400000000001</v>
      </c>
      <c r="T104" s="106">
        <v>15</v>
      </c>
      <c r="U104" s="106">
        <v>31086</v>
      </c>
      <c r="V104" s="106">
        <v>12</v>
      </c>
      <c r="W104" s="106">
        <v>24868.800000000003</v>
      </c>
      <c r="X104" s="106">
        <v>16</v>
      </c>
      <c r="Y104" s="106">
        <v>33158.400000000001</v>
      </c>
      <c r="Z104" s="106">
        <v>8</v>
      </c>
      <c r="AA104" s="106">
        <v>16579.2</v>
      </c>
      <c r="AB104" s="106">
        <v>45</v>
      </c>
      <c r="AC104" s="106">
        <v>93258</v>
      </c>
      <c r="AD104" s="106">
        <v>40</v>
      </c>
      <c r="AE104" s="106">
        <v>82896</v>
      </c>
      <c r="AF104" s="106">
        <v>50</v>
      </c>
      <c r="AG104" s="106">
        <v>103620</v>
      </c>
      <c r="AH104" s="106">
        <v>37</v>
      </c>
      <c r="AI104" s="106">
        <v>76678.8</v>
      </c>
      <c r="AJ104" s="106">
        <v>7</v>
      </c>
      <c r="AK104" s="106">
        <v>14506.800000000001</v>
      </c>
      <c r="AL104" s="106">
        <v>6</v>
      </c>
      <c r="AM104" s="106">
        <v>12434.400000000001</v>
      </c>
      <c r="AN104" s="106">
        <v>9</v>
      </c>
      <c r="AO104" s="106">
        <v>18651.600000000002</v>
      </c>
      <c r="AP104" s="106">
        <v>7</v>
      </c>
      <c r="AQ104" s="106">
        <v>14506.800000000001</v>
      </c>
      <c r="AR104" s="106">
        <v>28</v>
      </c>
      <c r="AS104" s="106">
        <v>58027.200000000004</v>
      </c>
      <c r="AT104" s="106">
        <v>25</v>
      </c>
      <c r="AU104" s="106">
        <v>51810</v>
      </c>
      <c r="AV104" s="106">
        <v>52</v>
      </c>
      <c r="AW104" s="106">
        <v>107764.8</v>
      </c>
      <c r="AX104" s="106">
        <v>31</v>
      </c>
      <c r="AY104" s="106">
        <v>64244.4</v>
      </c>
      <c r="AZ104" s="106">
        <v>25</v>
      </c>
      <c r="BA104" s="106">
        <v>51810</v>
      </c>
      <c r="BB104" s="106">
        <v>20</v>
      </c>
      <c r="BC104" s="106">
        <v>41448</v>
      </c>
      <c r="BD104" s="106">
        <v>31</v>
      </c>
      <c r="BE104" s="106">
        <v>64244.4</v>
      </c>
      <c r="BF104" s="106">
        <v>27</v>
      </c>
      <c r="BG104" s="106">
        <v>55954.8</v>
      </c>
      <c r="BH104" s="106">
        <v>38</v>
      </c>
      <c r="BI104" s="106">
        <v>78751.199999999997</v>
      </c>
      <c r="BJ104" s="106">
        <v>27</v>
      </c>
      <c r="BK104" s="106">
        <v>55954.8</v>
      </c>
      <c r="BL104" s="106">
        <v>29</v>
      </c>
      <c r="BM104" s="106">
        <v>60099.600000000006</v>
      </c>
      <c r="BN104" s="106">
        <v>29</v>
      </c>
      <c r="BO104" s="106">
        <v>60099.600000000006</v>
      </c>
      <c r="BP104" s="106">
        <v>25</v>
      </c>
      <c r="BQ104" s="106">
        <v>51810</v>
      </c>
      <c r="BR104" s="106">
        <v>26</v>
      </c>
      <c r="BS104" s="106">
        <v>53882.400000000001</v>
      </c>
      <c r="BT104" s="106">
        <v>29</v>
      </c>
      <c r="BU104" s="106">
        <v>60099.600000000006</v>
      </c>
      <c r="BV104" s="106">
        <v>34</v>
      </c>
      <c r="BW104" s="106">
        <v>70461.600000000006</v>
      </c>
      <c r="BX104" s="106">
        <v>31</v>
      </c>
      <c r="BY104" s="106">
        <v>64244.4</v>
      </c>
      <c r="BZ104" s="106">
        <v>18</v>
      </c>
      <c r="CA104" s="106">
        <v>37303.200000000004</v>
      </c>
      <c r="CB104" s="106">
        <v>23</v>
      </c>
      <c r="CC104" s="106">
        <v>47665.200000000004</v>
      </c>
      <c r="CD104" s="106">
        <v>25</v>
      </c>
      <c r="CE104" s="106">
        <v>51810</v>
      </c>
      <c r="CF104" s="106">
        <v>26</v>
      </c>
      <c r="CG104" s="106">
        <v>53882.400000000001</v>
      </c>
      <c r="CH104" s="106">
        <v>21</v>
      </c>
      <c r="CI104" s="106">
        <v>43520.4</v>
      </c>
      <c r="CJ104" s="106">
        <v>25</v>
      </c>
      <c r="CK104" s="106">
        <v>51810</v>
      </c>
      <c r="CL104" s="106">
        <v>16</v>
      </c>
      <c r="CM104" s="106">
        <v>33158.400000000001</v>
      </c>
      <c r="CN104" s="106">
        <v>57</v>
      </c>
      <c r="CO104" s="106">
        <v>118126.8</v>
      </c>
      <c r="CP104" s="106">
        <v>60</v>
      </c>
      <c r="CQ104" s="106">
        <v>124344</v>
      </c>
      <c r="CR104" s="106">
        <v>104</v>
      </c>
      <c r="CS104" s="106">
        <v>215529.60000000001</v>
      </c>
      <c r="CT104" s="106">
        <v>93</v>
      </c>
      <c r="CU104" s="106">
        <v>192733.2</v>
      </c>
    </row>
    <row r="105" spans="2:99" x14ac:dyDescent="0.2">
      <c r="C105" s="105" t="s">
        <v>271</v>
      </c>
      <c r="D105" s="106">
        <v>7</v>
      </c>
      <c r="E105" s="106">
        <v>13986</v>
      </c>
      <c r="F105" s="106">
        <v>10</v>
      </c>
      <c r="G105" s="106">
        <v>19980</v>
      </c>
      <c r="H105" s="106">
        <v>7</v>
      </c>
      <c r="I105" s="106">
        <v>13986</v>
      </c>
      <c r="J105" s="106">
        <v>6</v>
      </c>
      <c r="K105" s="106">
        <v>11988</v>
      </c>
      <c r="L105" s="106">
        <v>15</v>
      </c>
      <c r="M105" s="106">
        <v>29970</v>
      </c>
      <c r="N105" s="106">
        <v>15</v>
      </c>
      <c r="O105" s="106">
        <v>29970</v>
      </c>
      <c r="P105" s="106">
        <v>12</v>
      </c>
      <c r="Q105" s="106">
        <v>23976</v>
      </c>
      <c r="R105" s="106">
        <v>10</v>
      </c>
      <c r="S105" s="106">
        <v>19980</v>
      </c>
      <c r="T105" s="106">
        <v>15</v>
      </c>
      <c r="U105" s="106">
        <v>29970</v>
      </c>
      <c r="V105" s="106">
        <v>13</v>
      </c>
      <c r="W105" s="106">
        <v>25974</v>
      </c>
      <c r="X105" s="106">
        <v>15</v>
      </c>
      <c r="Y105" s="106">
        <v>29970</v>
      </c>
      <c r="Z105" s="106">
        <v>9</v>
      </c>
      <c r="AA105" s="106">
        <v>17982</v>
      </c>
      <c r="AB105" s="106">
        <v>40</v>
      </c>
      <c r="AC105" s="106">
        <v>79920</v>
      </c>
      <c r="AD105" s="106">
        <v>45</v>
      </c>
      <c r="AE105" s="106">
        <v>89910</v>
      </c>
      <c r="AF105" s="106">
        <v>51</v>
      </c>
      <c r="AG105" s="106">
        <v>101898</v>
      </c>
      <c r="AH105" s="106">
        <v>40</v>
      </c>
      <c r="AI105" s="106">
        <v>79920</v>
      </c>
      <c r="AJ105" s="106">
        <v>7</v>
      </c>
      <c r="AK105" s="106">
        <v>13986</v>
      </c>
      <c r="AL105" s="106">
        <v>6</v>
      </c>
      <c r="AM105" s="106">
        <v>11988</v>
      </c>
      <c r="AN105" s="106">
        <v>8</v>
      </c>
      <c r="AO105" s="106">
        <v>15984</v>
      </c>
      <c r="AP105" s="106">
        <v>8</v>
      </c>
      <c r="AQ105" s="106">
        <v>15984</v>
      </c>
      <c r="AR105" s="106">
        <v>31</v>
      </c>
      <c r="AS105" s="106">
        <v>61938</v>
      </c>
      <c r="AT105" s="106">
        <v>25</v>
      </c>
      <c r="AU105" s="106">
        <v>49950</v>
      </c>
      <c r="AV105" s="106">
        <v>49</v>
      </c>
      <c r="AW105" s="106">
        <v>97902</v>
      </c>
      <c r="AX105" s="106">
        <v>32</v>
      </c>
      <c r="AY105" s="106">
        <v>63936</v>
      </c>
      <c r="AZ105" s="106">
        <v>23</v>
      </c>
      <c r="BA105" s="106">
        <v>45954</v>
      </c>
      <c r="BB105" s="106">
        <v>20</v>
      </c>
      <c r="BC105" s="106">
        <v>39960</v>
      </c>
      <c r="BD105" s="106">
        <v>32</v>
      </c>
      <c r="BE105" s="106">
        <v>63936</v>
      </c>
      <c r="BF105" s="106">
        <v>26</v>
      </c>
      <c r="BG105" s="106">
        <v>51948</v>
      </c>
      <c r="BH105" s="106">
        <v>39</v>
      </c>
      <c r="BI105" s="106">
        <v>77922</v>
      </c>
      <c r="BJ105" s="106">
        <v>29</v>
      </c>
      <c r="BK105" s="106">
        <v>57942</v>
      </c>
      <c r="BL105" s="106">
        <v>28</v>
      </c>
      <c r="BM105" s="106">
        <v>55944</v>
      </c>
      <c r="BN105" s="106">
        <v>29</v>
      </c>
      <c r="BO105" s="106">
        <v>57942</v>
      </c>
      <c r="BP105" s="106">
        <v>23</v>
      </c>
      <c r="BQ105" s="106">
        <v>45954</v>
      </c>
      <c r="BR105" s="106">
        <v>27</v>
      </c>
      <c r="BS105" s="106">
        <v>53946</v>
      </c>
      <c r="BT105" s="106">
        <v>32</v>
      </c>
      <c r="BU105" s="106">
        <v>63936</v>
      </c>
      <c r="BV105" s="106">
        <v>29</v>
      </c>
      <c r="BW105" s="106">
        <v>57942</v>
      </c>
      <c r="BX105" s="106">
        <v>29</v>
      </c>
      <c r="BY105" s="106">
        <v>57942</v>
      </c>
      <c r="BZ105" s="106">
        <v>18</v>
      </c>
      <c r="CA105" s="106">
        <v>35964</v>
      </c>
      <c r="CB105" s="106">
        <v>24</v>
      </c>
      <c r="CC105" s="106">
        <v>47952</v>
      </c>
      <c r="CD105" s="106">
        <v>27</v>
      </c>
      <c r="CE105" s="106">
        <v>53946</v>
      </c>
      <c r="CF105" s="106">
        <v>26</v>
      </c>
      <c r="CG105" s="106">
        <v>51948</v>
      </c>
      <c r="CH105" s="106">
        <v>22</v>
      </c>
      <c r="CI105" s="106">
        <v>43956</v>
      </c>
      <c r="CJ105" s="106">
        <v>25</v>
      </c>
      <c r="CK105" s="106">
        <v>49950</v>
      </c>
      <c r="CL105" s="106">
        <v>16</v>
      </c>
      <c r="CM105" s="106">
        <v>31968</v>
      </c>
      <c r="CN105" s="106">
        <v>56</v>
      </c>
      <c r="CO105" s="106">
        <v>111888</v>
      </c>
      <c r="CP105" s="106">
        <v>67</v>
      </c>
      <c r="CQ105" s="106">
        <v>133866</v>
      </c>
      <c r="CR105" s="106">
        <v>122</v>
      </c>
      <c r="CS105" s="106">
        <v>243756</v>
      </c>
      <c r="CT105" s="106">
        <v>97</v>
      </c>
      <c r="CU105" s="106">
        <v>193806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211</v>
      </c>
      <c r="E112" s="106">
        <f>SUM(L$49:L$70)+SUM(N$49:N$70)+SUM(P$49:P$70)+SUM(R$49:R$70)</f>
        <v>339</v>
      </c>
      <c r="F112" s="106">
        <f>SUM(T$49:T$70)+SUM(V$49:V$70)+SUM(X$49:X$70)+SUM(Z$49:Z$70)</f>
        <v>190</v>
      </c>
      <c r="G112" s="106">
        <f>SUM(AB$49:AB$70)+SUM(AD$49:AD$70)+SUM(AF$49:AF$70)+SUM(AH$49:AH$70)</f>
        <v>51</v>
      </c>
      <c r="H112" s="106">
        <f>SUM(AJ$49:AJ$70)+SUM(AL$49:AL$70)+SUM(AN$49:AN$70)+SUM(AP$49:AP$70)</f>
        <v>78</v>
      </c>
      <c r="I112" s="106">
        <f>SUM(AR$49:AR$70)+SUM(AT$49:AT$70)+SUM(AV$49:AV$70)+SUM(AX$49:AX$70)</f>
        <v>76</v>
      </c>
      <c r="J112" s="106">
        <f>SUM(AZ$49:AZ$70)+SUM(BB$49:BB$70)+SUM(BD$49:BD$70)+SUM(BF$49:BF$70)</f>
        <v>520</v>
      </c>
      <c r="K112" s="106">
        <f>SUM(BH$49:BH$70)+SUM(BJ$49:BJ$70)+SUM(BL$49:BL$70)+SUM(BN$49:BN$70)</f>
        <v>58</v>
      </c>
      <c r="L112" s="106">
        <f>SUM(BP$49:BP$70)+SUM(BR$49:BR$70)+SUM(BT$49:BT$70)+SUM(BV$49:BV$70)</f>
        <v>67</v>
      </c>
      <c r="M112" s="106">
        <f>SUM(BX$49:BX$70)+SUM(BZ$49:BZ$70)+SUM(CB$49:CB$70)+SUM(CD$49:CD$70)</f>
        <v>85</v>
      </c>
      <c r="N112" s="106">
        <f>SUM(CF$49:CF$70)+SUM(CH$49:CH$70)+SUM(CJ$49:CJ$70)+SUM(CL$49:CL$70)</f>
        <v>108</v>
      </c>
      <c r="O112" s="106">
        <f>SUM(CN$49:CN$70)+SUM(CP$49:CP$70)+SUM(CR$49:CR$70)+SUM(CT$49:CT$70)</f>
        <v>357</v>
      </c>
    </row>
    <row r="113" spans="2:15" x14ac:dyDescent="0.2">
      <c r="C113" s="105" t="s">
        <v>130</v>
      </c>
      <c r="D113" s="106">
        <f>SUM(D$71:D$86)+SUM(F$71:F$86)+SUM(H$71:H$86)+SUM(J$71:J$86)</f>
        <v>509</v>
      </c>
      <c r="E113" s="106">
        <f>SUM(L$71:L$86)+SUM(N$71:N$86)+SUM(P$71:P$86)+SUM(R$71:R$86)</f>
        <v>278</v>
      </c>
      <c r="F113" s="106">
        <f>SUM(T$71:T$86)+SUM(V$71:V$86)+SUM(X$71:X$86)+SUM(Z$71:Z$86)</f>
        <v>1788</v>
      </c>
      <c r="G113" s="106">
        <f>SUM(AB$71:AB$86)+SUM(AD$71:AD$86)+SUM(AF$71:AF$86)+SUM(AH$71:AH$86)</f>
        <v>816</v>
      </c>
      <c r="H113" s="106">
        <f>SUM(AJ$71:AJ$86)+SUM(AL$71:AL$86)+SUM(AN$71:AN$86)+SUM(AP$71:AP$86)</f>
        <v>892</v>
      </c>
      <c r="I113" s="106">
        <f>SUM(AR$71:AR$86)+SUM(AT$71:AT$86)+SUM(AV$71:AV$86)+SUM(AX$71:AX$86)</f>
        <v>1138</v>
      </c>
      <c r="J113" s="106">
        <f>SUM(AZ$71:AZ$86)+SUM(BB$71:BB$86)+SUM(BD$71:BD$86)+SUM(BF$71:BF$86)</f>
        <v>292</v>
      </c>
      <c r="K113" s="106">
        <f>SUM(BH$71:BH$86)+SUM(BJ$71:BJ$86)+SUM(BL$71:BL$86)+SUM(BN$71:BN$86)</f>
        <v>995</v>
      </c>
      <c r="L113" s="106">
        <f>SUM(BP$71:BP$86)+SUM(BR$71:BR$86)+SUM(BT$71:BT$86)+SUM(BV$71:BV$86)</f>
        <v>484</v>
      </c>
      <c r="M113" s="106">
        <f>SUM(BX$71:BX$86)+SUM(BZ$71:BZ$86)+SUM(CB$71:CB$86)+SUM(CD$71:CD$86)</f>
        <v>426</v>
      </c>
      <c r="N113" s="106">
        <f>SUM(CF$71:CF$86)+SUM(CH$71:CH$86)+SUM(CJ$71:CJ$86)+SUM(CL$71:CL$86)</f>
        <v>1005</v>
      </c>
      <c r="O113" s="106">
        <f>SUM(CN$71:CN$86)+SUM(CP$71:CP$86)+SUM(CR$71:CR$86)+SUM(CT$71:CT$86)</f>
        <v>352</v>
      </c>
    </row>
    <row r="114" spans="2:15" x14ac:dyDescent="0.2">
      <c r="C114" s="105" t="s">
        <v>131</v>
      </c>
      <c r="D114" s="106">
        <f>SUM(D$87:D$94)+SUM(F$87:F$94)+SUM(H$87:H$94)+SUM(J$87:J$94)</f>
        <v>139</v>
      </c>
      <c r="E114" s="106">
        <f>SUM(L$87:L$94)+SUM(N$87:N$94)+SUM(P$87:P$94)+SUM(R$87:R$94)</f>
        <v>495</v>
      </c>
      <c r="F114" s="106">
        <f>SUM(T$87:T$94)+SUM(V$87:V$94)+SUM(X$87:X$94)+SUM(Z$87:Z$94)</f>
        <v>1002</v>
      </c>
      <c r="G114" s="106">
        <f>SUM(AB$87:AB$94)+SUM(AD$87:AD$94)+SUM(AF$87:AF$94)+SUM(AH$87:AH$94)</f>
        <v>337</v>
      </c>
      <c r="H114" s="106">
        <f>SUM(AJ$87:AJ$94)+SUM(AL$87:AL$94)+SUM(AN$87:AN$94)+SUM(AP$87:AP$94)</f>
        <v>389</v>
      </c>
      <c r="I114" s="106">
        <f>SUM(AR$87:AR$94)+SUM(AT$87:AT$94)+SUM(AV$87:AV$94)+SUM(AX$87:AX$94)</f>
        <v>185</v>
      </c>
      <c r="J114" s="106">
        <f>SUM(AZ$87:AZ$94)+SUM(BB$87:BB$94)+SUM(BD$87:BD$94)+SUM(BF$87:BF$94)</f>
        <v>253</v>
      </c>
      <c r="K114" s="106">
        <f>SUM(BH$87:BH$94)+SUM(BJ$87:BJ$94)+SUM(BL$87:BL$94)+SUM(BN$87:BN$94)</f>
        <v>557</v>
      </c>
      <c r="L114" s="106">
        <f>SUM(BP$87:BP$94)+SUM(BR$87:BR$94)+SUM(BT$87:BT$94)+SUM(BV$87:BV$94)</f>
        <v>1248</v>
      </c>
      <c r="M114" s="106">
        <f>SUM(BX$87:BX$94)+SUM(BZ$87:BZ$94)+SUM(CB$87:CB$94)+SUM(CD$87:CD$94)</f>
        <v>874</v>
      </c>
      <c r="N114" s="106">
        <f>SUM(CF$87:CF$94)+SUM(CH$87:CH$94)+SUM(CJ$87:CJ$94)+SUM(CL$87:CL$94)</f>
        <v>375</v>
      </c>
      <c r="O114" s="106">
        <f>SUM(CN$87:CN$94)+SUM(CP$87:CP$94)+SUM(CR$87:CR$94)+SUM(CT$87:CT$94)</f>
        <v>184</v>
      </c>
    </row>
    <row r="115" spans="2:15" x14ac:dyDescent="0.2">
      <c r="C115" s="105" t="s">
        <v>132</v>
      </c>
      <c r="D115" s="106">
        <f>SUM(D$95:D$105)+SUM(F$95:F$105)+SUM(H$95:H$105)+SUM(J$95:J$105)</f>
        <v>319</v>
      </c>
      <c r="E115" s="106">
        <f>SUM(L$95:L$105)+SUM(N$95:N$105)+SUM(P$95:P$105)+SUM(R$95:R$105)</f>
        <v>566</v>
      </c>
      <c r="F115" s="106">
        <f>SUM(T$95:T$105)+SUM(V$95:V$105)+SUM(X$95:X$105)+SUM(Z$95:Z$105)</f>
        <v>566</v>
      </c>
      <c r="G115" s="106">
        <f>SUM(AB$95:AB$105)+SUM(AD$95:AD$105)+SUM(AF$95:AF$105)+SUM(AH$95:AH$105)</f>
        <v>1972</v>
      </c>
      <c r="H115" s="106">
        <f>SUM(AJ$95:AJ$105)+SUM(AL$95:AL$105)+SUM(AN$95:AN$105)+SUM(AP$95:AP$105)</f>
        <v>327</v>
      </c>
      <c r="I115" s="106">
        <f>SUM(AR$95:AR$105)+SUM(AT$95:AT$105)+SUM(AV$95:AV$105)+SUM(AX$95:AX$105)</f>
        <v>1528</v>
      </c>
      <c r="J115" s="106">
        <f>SUM(AZ$95:AZ$105)+SUM(BB$95:BB$105)+SUM(BD$95:BD$105)+SUM(BF$95:BF$105)</f>
        <v>1114</v>
      </c>
      <c r="K115" s="106">
        <f>SUM(BH$95:BH$105)+SUM(BJ$95:BJ$105)+SUM(BL$95:BL$105)+SUM(BN$95:BN$105)</f>
        <v>1395</v>
      </c>
      <c r="L115" s="106">
        <f>SUM(BP$95:BP$105)+SUM(BR$95:BR$105)+SUM(BT$95:BT$105)+SUM(BV$95:BV$105)</f>
        <v>1232</v>
      </c>
      <c r="M115" s="106">
        <f>SUM(BX$95:BX$105)+SUM(BZ$95:BZ$105)+SUM(CB$95:CB$105)+SUM(CD$95:CD$105)</f>
        <v>1089</v>
      </c>
      <c r="N115" s="106">
        <f>SUM(CF$95:CF$105)+SUM(CH$95:CH$105)+SUM(CJ$95:CJ$105)+SUM(CL$95:CL$105)</f>
        <v>1013</v>
      </c>
      <c r="O115" s="106">
        <f>SUM(CN$95:CN$105)+SUM(CP$95:CP$105)+SUM(CR$95:CR$105)+SUM(CT$95:CT$105)</f>
        <v>3676</v>
      </c>
    </row>
    <row r="116" spans="2:15" x14ac:dyDescent="0.2">
      <c r="C116" s="105" t="s">
        <v>278</v>
      </c>
      <c r="D116" s="106">
        <f t="shared" ref="D116:O116" si="0">SUM(D$109:D$115)</f>
        <v>1178</v>
      </c>
      <c r="E116" s="106">
        <f t="shared" si="0"/>
        <v>1678</v>
      </c>
      <c r="F116" s="106">
        <f t="shared" si="0"/>
        <v>3546</v>
      </c>
      <c r="G116" s="106">
        <f t="shared" si="0"/>
        <v>3176</v>
      </c>
      <c r="H116" s="106">
        <f t="shared" si="0"/>
        <v>1686</v>
      </c>
      <c r="I116" s="106">
        <f t="shared" si="0"/>
        <v>2927</v>
      </c>
      <c r="J116" s="106">
        <f t="shared" si="0"/>
        <v>2179</v>
      </c>
      <c r="K116" s="106">
        <f t="shared" si="0"/>
        <v>3005</v>
      </c>
      <c r="L116" s="106">
        <f t="shared" si="0"/>
        <v>3031</v>
      </c>
      <c r="M116" s="106">
        <f t="shared" si="0"/>
        <v>2474</v>
      </c>
      <c r="N116" s="106">
        <f t="shared" si="0"/>
        <v>2501</v>
      </c>
      <c r="O116" s="106">
        <f t="shared" si="0"/>
        <v>4569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0</v>
      </c>
      <c r="E120" s="106">
        <f>E109*pricing!E24*2000</f>
        <v>0</v>
      </c>
      <c r="F120" s="106">
        <f>F109*pricing!F24*2000</f>
        <v>0</v>
      </c>
      <c r="G120" s="106">
        <f>G109*pricing!G24*2000</f>
        <v>0</v>
      </c>
      <c r="H120" s="106">
        <f>H109*pricing!H24*2000</f>
        <v>0</v>
      </c>
      <c r="I120" s="106">
        <f>I109*pricing!I24*2000</f>
        <v>0</v>
      </c>
      <c r="J120" s="106">
        <f>J109*pricing!J24*2000</f>
        <v>0</v>
      </c>
      <c r="K120" s="106">
        <f>K109*pricing!K24*2000</f>
        <v>0</v>
      </c>
      <c r="L120" s="106">
        <f>L109*pricing!L24*2000</f>
        <v>0</v>
      </c>
      <c r="M120" s="106">
        <f>M109*pricing!M24*2000</f>
        <v>0</v>
      </c>
      <c r="N120" s="106">
        <f>N109*pricing!N24*2000</f>
        <v>0</v>
      </c>
      <c r="O120" s="106">
        <f>O109*pricing!O24*2000</f>
        <v>0</v>
      </c>
    </row>
    <row r="121" spans="2:15" x14ac:dyDescent="0.2">
      <c r="C121" s="105" t="s">
        <v>127</v>
      </c>
      <c r="D121" s="106">
        <f>D110*pricing!D25*2000</f>
        <v>0</v>
      </c>
      <c r="E121" s="106">
        <f>E110*pricing!E25*2000</f>
        <v>0</v>
      </c>
      <c r="F121" s="106">
        <f>F110*pricing!F25*2000</f>
        <v>0</v>
      </c>
      <c r="G121" s="106">
        <f>G110*pricing!G25*2000</f>
        <v>0</v>
      </c>
      <c r="H121" s="106">
        <f>H110*pricing!H25*2000</f>
        <v>0</v>
      </c>
      <c r="I121" s="106">
        <f>I110*pricing!I25*2000</f>
        <v>0</v>
      </c>
      <c r="J121" s="106">
        <f>J110*pricing!J25*2000</f>
        <v>0</v>
      </c>
      <c r="K121" s="106">
        <f>K110*pricing!K25*2000</f>
        <v>0</v>
      </c>
      <c r="L121" s="106">
        <f>L110*pricing!L25*2000</f>
        <v>0</v>
      </c>
      <c r="M121" s="106">
        <f>M110*pricing!M25*2000</f>
        <v>0</v>
      </c>
      <c r="N121" s="106">
        <f>N110*pricing!N25*2000</f>
        <v>0</v>
      </c>
      <c r="O121" s="106">
        <f>O110*pricing!O25*2000</f>
        <v>0</v>
      </c>
    </row>
    <row r="122" spans="2:15" x14ac:dyDescent="0.2">
      <c r="C122" s="105" t="s">
        <v>128</v>
      </c>
      <c r="D122" s="106">
        <f>D111*pricing!D26*2000</f>
        <v>0</v>
      </c>
      <c r="E122" s="106">
        <f>E111*pricing!E26*2000</f>
        <v>0</v>
      </c>
      <c r="F122" s="106">
        <f>F111*pricing!F26*2000</f>
        <v>0</v>
      </c>
      <c r="G122" s="106">
        <f>G111*pricing!G26*2000</f>
        <v>0</v>
      </c>
      <c r="H122" s="106">
        <f>H111*pricing!H26*2000</f>
        <v>0</v>
      </c>
      <c r="I122" s="106">
        <f>I111*pricing!I26*2000</f>
        <v>0</v>
      </c>
      <c r="J122" s="106">
        <f>J111*pricing!J26*2000</f>
        <v>0</v>
      </c>
      <c r="K122" s="106">
        <f>K111*pricing!K26*2000</f>
        <v>0</v>
      </c>
      <c r="L122" s="106">
        <f>L111*pricing!L26*2000</f>
        <v>0</v>
      </c>
      <c r="M122" s="106">
        <f>M111*pricing!M26*2000</f>
        <v>0</v>
      </c>
      <c r="N122" s="106">
        <f>N111*pricing!N26*2000</f>
        <v>0</v>
      </c>
      <c r="O122" s="106">
        <f>O111*pricing!O26*2000</f>
        <v>0</v>
      </c>
    </row>
    <row r="123" spans="2:15" x14ac:dyDescent="0.2">
      <c r="C123" s="105" t="s">
        <v>129</v>
      </c>
      <c r="D123" s="106">
        <f>D112*pricing!D27*2000</f>
        <v>789252.42631792382</v>
      </c>
      <c r="E123" s="106">
        <f>E112*pricing!E27*2000</f>
        <v>1037992.6564000937</v>
      </c>
      <c r="F123" s="106">
        <f>F112*pricing!F27*2000</f>
        <v>738614.56065177603</v>
      </c>
      <c r="G123" s="106">
        <f>G112*pricing!G27*2000</f>
        <v>341738.3315440361</v>
      </c>
      <c r="H123" s="106">
        <f>H112*pricing!H27*2000</f>
        <v>491416.36382081819</v>
      </c>
      <c r="I123" s="106">
        <f>I112*pricing!I27*2000</f>
        <v>431465.16163967451</v>
      </c>
      <c r="J123" s="106">
        <f>J112*pricing!J27*2000</f>
        <v>1322049.3112546934</v>
      </c>
      <c r="K123" s="106">
        <f>K112*pricing!K27*2000</f>
        <v>375396.05452238751</v>
      </c>
      <c r="L123" s="106">
        <f>L112*pricing!L27*2000</f>
        <v>443014.02474374534</v>
      </c>
      <c r="M123" s="106">
        <f>M112*pricing!M27*2000</f>
        <v>472439.90911236516</v>
      </c>
      <c r="N123" s="106">
        <f>N112*pricing!N27*2000</f>
        <v>563752.08835615055</v>
      </c>
      <c r="O123" s="106">
        <f>O112*pricing!O27*2000</f>
        <v>1098237.5466017607</v>
      </c>
    </row>
    <row r="124" spans="2:15" x14ac:dyDescent="0.2">
      <c r="C124" s="105" t="s">
        <v>130</v>
      </c>
      <c r="D124" s="106">
        <f>D113*pricing!D28*2000</f>
        <v>2599353.2245891467</v>
      </c>
      <c r="E124" s="106">
        <f>E113*pricing!E28*2000</f>
        <v>1962846.0837660611</v>
      </c>
      <c r="F124" s="106">
        <f>F113*pricing!F28*2000</f>
        <v>5118246.7432879787</v>
      </c>
      <c r="G124" s="106">
        <f>G113*pricing!G28*2000</f>
        <v>3256808.9316535108</v>
      </c>
      <c r="H124" s="106">
        <f>H113*pricing!H28*2000</f>
        <v>3677440.6922736759</v>
      </c>
      <c r="I124" s="106">
        <f>I113*pricing!I28*2000</f>
        <v>4102132.6672327216</v>
      </c>
      <c r="J124" s="106">
        <f>J113*pricing!J28*2000</f>
        <v>1918041.5307841382</v>
      </c>
      <c r="K124" s="106">
        <f>K113*pricing!K28*2000</f>
        <v>3908295.165225198</v>
      </c>
      <c r="L124" s="106">
        <f>L113*pricing!L28*2000</f>
        <v>2754487.7406426705</v>
      </c>
      <c r="M124" s="106">
        <f>M113*pricing!M28*2000</f>
        <v>2517093.779352895</v>
      </c>
      <c r="N124" s="106">
        <f>N113*pricing!N28*2000</f>
        <v>3836758.0814078697</v>
      </c>
      <c r="O124" s="106">
        <f>O113*pricing!O28*2000</f>
        <v>2217761.9009957486</v>
      </c>
    </row>
    <row r="125" spans="2:15" x14ac:dyDescent="0.2">
      <c r="C125" s="105" t="s">
        <v>131</v>
      </c>
      <c r="D125" s="106">
        <f>D114*pricing!D29*2000</f>
        <v>945051.49134359125</v>
      </c>
      <c r="E125" s="106">
        <f>E114*pricing!E29*2000</f>
        <v>1763816.0623580285</v>
      </c>
      <c r="F125" s="106">
        <f>F114*pricing!F29*2000</f>
        <v>2580442.9729340966</v>
      </c>
      <c r="G125" s="106">
        <f>G114*pricing!G29*2000</f>
        <v>1625348.4692146895</v>
      </c>
      <c r="H125" s="106">
        <f>H114*pricing!H29*2000</f>
        <v>1627409.6518929284</v>
      </c>
      <c r="I125" s="106">
        <f>I114*pricing!I29*2000</f>
        <v>1122910.9733179114</v>
      </c>
      <c r="J125" s="106">
        <f>J114*pricing!J29*2000</f>
        <v>1331779.0284273576</v>
      </c>
      <c r="K125" s="106">
        <f>K114*pricing!K29*2000</f>
        <v>1992968.9056284842</v>
      </c>
      <c r="L125" s="106">
        <f>L114*pricing!L29*2000</f>
        <v>3077836.350870661</v>
      </c>
      <c r="M125" s="106">
        <f>M114*pricing!M29*2000</f>
        <v>2511095.5078585641</v>
      </c>
      <c r="N125" s="106">
        <f>N114*pricing!N29*2000</f>
        <v>1721749.4504757405</v>
      </c>
      <c r="O125" s="106">
        <f>O114*pricing!O29*2000</f>
        <v>1191458.0150074882</v>
      </c>
    </row>
    <row r="126" spans="2:15" x14ac:dyDescent="0.2">
      <c r="C126" s="105" t="s">
        <v>132</v>
      </c>
      <c r="D126" s="106">
        <f>D115*pricing!D30*2000</f>
        <v>2029456.896081666</v>
      </c>
      <c r="E126" s="106">
        <f>E115*pricing!E30*2000</f>
        <v>3088596.3806393687</v>
      </c>
      <c r="F126" s="106">
        <f>F115*pricing!F30*2000</f>
        <v>2918507.2503023036</v>
      </c>
      <c r="G126" s="106">
        <f>G115*pricing!G30*2000</f>
        <v>5393295.1542130541</v>
      </c>
      <c r="H126" s="106">
        <f>H115*pricing!H30*2000</f>
        <v>2251257.0584596796</v>
      </c>
      <c r="I126" s="106">
        <f>I115*pricing!I30*2000</f>
        <v>4683977.1540069329</v>
      </c>
      <c r="J126" s="106">
        <f>J115*pricing!J30*2000</f>
        <v>4181010.9200935951</v>
      </c>
      <c r="K126" s="106">
        <f>K115*pricing!K30*2000</f>
        <v>4660547.2027950129</v>
      </c>
      <c r="L126" s="106">
        <f>L115*pricing!L30*2000</f>
        <v>4788033.6104814587</v>
      </c>
      <c r="M126" s="106">
        <f>M115*pricing!M30*2000</f>
        <v>4012980.8723355755</v>
      </c>
      <c r="N126" s="106">
        <f>N115*pricing!N30*2000</f>
        <v>4070305.9307662658</v>
      </c>
      <c r="O126" s="106">
        <f>O115*pricing!O30*2000</f>
        <v>7407859.9953132086</v>
      </c>
    </row>
    <row r="127" spans="2:15" x14ac:dyDescent="0.2">
      <c r="C127" s="105" t="s">
        <v>278</v>
      </c>
      <c r="D127" s="106">
        <f t="shared" ref="D127:O127" si="1">SUM(D$120:D$126)</f>
        <v>6363114.0383323282</v>
      </c>
      <c r="E127" s="106">
        <f t="shared" si="1"/>
        <v>7853251.1831635516</v>
      </c>
      <c r="F127" s="106">
        <f t="shared" si="1"/>
        <v>11355811.527176155</v>
      </c>
      <c r="G127" s="106">
        <f t="shared" si="1"/>
        <v>10617190.88662529</v>
      </c>
      <c r="H127" s="106">
        <f t="shared" si="1"/>
        <v>8047523.7664471017</v>
      </c>
      <c r="I127" s="106">
        <f t="shared" si="1"/>
        <v>10340485.956197239</v>
      </c>
      <c r="J127" s="106">
        <f t="shared" si="1"/>
        <v>8752880.7905597836</v>
      </c>
      <c r="K127" s="106">
        <f t="shared" si="1"/>
        <v>10937207.328171082</v>
      </c>
      <c r="L127" s="106">
        <f t="shared" si="1"/>
        <v>11063371.726738535</v>
      </c>
      <c r="M127" s="106">
        <f t="shared" si="1"/>
        <v>9513610.0686593987</v>
      </c>
      <c r="N127" s="106">
        <f t="shared" si="1"/>
        <v>10192565.551006027</v>
      </c>
      <c r="O127" s="106">
        <f t="shared" si="1"/>
        <v>11915317.457918206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233187.59999999998</v>
      </c>
      <c r="E134" s="112">
        <f>SUM(M$49:M$70)+SUM(O$49:O$70)+SUM(Q$49:Q$70)+SUM(S$49:S$70)</f>
        <v>373563.6</v>
      </c>
      <c r="F134" s="112">
        <f>SUM(U$49:U$70)+SUM(W$49:W$70)+SUM(Y$49:Y$70)+SUM(AA$49:AA$70)</f>
        <v>210074.4</v>
      </c>
      <c r="G134" s="112">
        <f>SUM(AC$49:AC$70)+SUM(AE$49:AE$70)+SUM(AG$49:AG$70)+SUM(AI$49:AI$70)</f>
        <v>56324.399999999994</v>
      </c>
      <c r="H134" s="112">
        <f>SUM(AK$49:AK$70)+SUM(AM$49:AM$70)+SUM(AO$49:AO$70)+SUM(AQ$49:AQ$70)</f>
        <v>85785.600000000006</v>
      </c>
      <c r="I134" s="112">
        <f>SUM(AS$49:AS$70)+SUM(AU$49:AU$70)+SUM(AW$49:AW$70)+SUM(AY$49:AY$70)</f>
        <v>83815.200000000012</v>
      </c>
      <c r="J134" s="112">
        <f>SUM(BA$49:BA$70)+SUM(BC$49:BC$70)+SUM(BE$49:BE$70)+SUM(BG$49:BG$70)</f>
        <v>574387.19999999995</v>
      </c>
      <c r="K134" s="112">
        <f>SUM(BI$49:BI$70)+SUM(BK$49:BK$70)+SUM(BM$49:BM$70)+SUM(BO$49:BO$70)</f>
        <v>64128</v>
      </c>
      <c r="L134" s="112">
        <f>SUM(BQ$49:BQ$70)+SUM(BS$49:BS$70)+SUM(BU$49:BU$70)+SUM(BW$49:BW$70)</f>
        <v>73875.599999999991</v>
      </c>
      <c r="M134" s="112">
        <f>SUM(BY$49:BY$70)+SUM(CA$49:CA$70)+SUM(CC$49:CC$70)+SUM(CE$49:CE$70)</f>
        <v>93754.8</v>
      </c>
      <c r="N134" s="112">
        <f>SUM(CG$49:CG$70)+SUM(CI$49:CI$70)+SUM(CK$49:CK$70)+SUM(CM$49:CM$70)</f>
        <v>119275.19999999998</v>
      </c>
      <c r="O134" s="112">
        <f>SUM(CO$49:CO$70)+SUM(CQ$49:CQ$70)+SUM(CS$49:CS$70)+SUM(CU$49:CU$70)</f>
        <v>393337.19999999995</v>
      </c>
    </row>
    <row r="135" spans="2:15" x14ac:dyDescent="0.2">
      <c r="C135" s="111" t="s">
        <v>130</v>
      </c>
      <c r="D135" s="112">
        <f>SUM(E$71:E$86)+SUM(G$71:G$86)+SUM(I$71:I$86)+SUM(K$71:K$86)</f>
        <v>283345.19999999995</v>
      </c>
      <c r="E135" s="112">
        <f>SUM(M$71:M$86)+SUM(O$71:O$86)+SUM(Q$71:Q$86)+SUM(S$71:S$86)</f>
        <v>155880</v>
      </c>
      <c r="F135" s="112">
        <f>SUM(U$71:U$86)+SUM(W$71:W$86)+SUM(Y$71:Y$86)+SUM(AA$71:AA$86)</f>
        <v>997772.39999999991</v>
      </c>
      <c r="G135" s="112">
        <f>SUM(AC$71:AC$86)+SUM(AE$71:AE$86)+SUM(AG$71:AG$86)+SUM(AI$71:AI$86)</f>
        <v>452790</v>
      </c>
      <c r="H135" s="112">
        <f>SUM(AK$71:AK$86)+SUM(AM$71:AM$86)+SUM(AO$71:AO$86)+SUM(AQ$71:AQ$86)</f>
        <v>496484.39999999991</v>
      </c>
      <c r="I135" s="112">
        <f>SUM(AS$71:AS$86)+SUM(AU$71:AU$86)+SUM(AW$71:AW$86)+SUM(AY$71:AY$86)</f>
        <v>630627.6</v>
      </c>
      <c r="J135" s="112">
        <f>SUM(BA$71:BA$86)+SUM(BC$71:BC$86)+SUM(BE$71:BE$86)+SUM(BG$71:BG$86)</f>
        <v>163179.6</v>
      </c>
      <c r="K135" s="112">
        <f>SUM(BI$71:BI$86)+SUM(BK$71:BK$86)+SUM(BM$71:BM$86)+SUM(BO$71:BO$86)</f>
        <v>556724.4</v>
      </c>
      <c r="L135" s="112">
        <f>SUM(BQ$71:BQ$86)+SUM(BS$71:BS$86)+SUM(BU$71:BU$86)+SUM(BW$71:BW$86)</f>
        <v>270381.60000000003</v>
      </c>
      <c r="M135" s="112">
        <f>SUM(BY$71:BY$86)+SUM(CA$71:CA$86)+SUM(CC$71:CC$86)+SUM(CE$71:CE$86)</f>
        <v>239242.80000000002</v>
      </c>
      <c r="N135" s="112">
        <f>SUM(CG$71:CG$86)+SUM(CI$71:CI$86)+SUM(CK$71:CK$86)+SUM(CM$71:CM$86)</f>
        <v>560470.80000000005</v>
      </c>
      <c r="O135" s="112">
        <f>SUM(CO$71:CO$86)+SUM(CQ$71:CQ$86)+SUM(CS$71:CS$86)+SUM(CU$71:CU$86)</f>
        <v>197240.4</v>
      </c>
    </row>
    <row r="136" spans="2:15" x14ac:dyDescent="0.2">
      <c r="C136" s="111" t="s">
        <v>131</v>
      </c>
      <c r="D136" s="112">
        <f>SUM(E$87:E$94)+SUM(G$87:G$94)+SUM(I$87:I$94)+SUM(K$87:K$94)</f>
        <v>283638</v>
      </c>
      <c r="E136" s="112">
        <f>SUM(M$87:M$94)+SUM(O$87:O$94)+SUM(Q$87:Q$94)+SUM(S$87:S$94)</f>
        <v>1004576.3999999999</v>
      </c>
      <c r="F136" s="112">
        <f>SUM(U$87:U$94)+SUM(W$87:W$94)+SUM(Y$87:Y$94)+SUM(AA$87:AA$94)</f>
        <v>2026964.4</v>
      </c>
      <c r="G136" s="112">
        <f>SUM(AC$87:AC$94)+SUM(AE$87:AE$94)+SUM(AG$87:AG$94)+SUM(AI$87:AI$94)</f>
        <v>684367.2</v>
      </c>
      <c r="H136" s="112">
        <f>SUM(AK$87:AK$94)+SUM(AM$87:AM$94)+SUM(AO$87:AO$94)+SUM(AQ$87:AQ$94)</f>
        <v>788481.6</v>
      </c>
      <c r="I136" s="112">
        <f>SUM(AS$87:AS$94)+SUM(AU$87:AU$94)+SUM(AW$87:AW$94)+SUM(AY$87:AY$94)</f>
        <v>377091.6</v>
      </c>
      <c r="J136" s="112">
        <f>SUM(BA$87:BA$94)+SUM(BC$87:BC$94)+SUM(BE$87:BE$94)+SUM(BG$87:BG$94)</f>
        <v>516180</v>
      </c>
      <c r="K136" s="112">
        <f>SUM(BI$87:BI$94)+SUM(BK$87:BK$94)+SUM(BM$87:BM$94)+SUM(BO$87:BO$94)</f>
        <v>1128769.2</v>
      </c>
      <c r="L136" s="112">
        <f>SUM(BQ$87:BQ$94)+SUM(BS$87:BS$94)+SUM(BU$87:BU$94)+SUM(BW$87:BW$94)</f>
        <v>2534642.4</v>
      </c>
      <c r="M136" s="112">
        <f>SUM(BY$87:BY$94)+SUM(CA$87:CA$94)+SUM(CC$87:CC$94)+SUM(CE$87:CE$94)</f>
        <v>1774411.2</v>
      </c>
      <c r="N136" s="112">
        <f>SUM(CG$87:CG$94)+SUM(CI$87:CI$94)+SUM(CK$87:CK$94)+SUM(CM$87:CM$94)</f>
        <v>762432</v>
      </c>
      <c r="O136" s="112">
        <f>SUM(CO$87:CO$94)+SUM(CQ$87:CQ$94)+SUM(CS$87:CS$94)+SUM(CU$87:CU$94)</f>
        <v>374166</v>
      </c>
    </row>
    <row r="137" spans="2:15" x14ac:dyDescent="0.2">
      <c r="C137" s="111" t="s">
        <v>132</v>
      </c>
      <c r="D137" s="112">
        <f>SUM(E$95:E$105)+SUM(G$95:G$105)+SUM(I$95:I$105)+SUM(K$95:K$105)</f>
        <v>611172</v>
      </c>
      <c r="E137" s="112">
        <f>SUM(M$95:M$105)+SUM(O$95:O$105)+SUM(Q$95:Q$105)+SUM(S$95:S$105)</f>
        <v>1089337.1999999997</v>
      </c>
      <c r="F137" s="112">
        <f>SUM(U$95:U$105)+SUM(W$95:W$105)+SUM(Y$95:Y$105)+SUM(AA$95:AA$105)</f>
        <v>1079182.8</v>
      </c>
      <c r="G137" s="112">
        <f>SUM(AC$95:AC$105)+SUM(AE$95:AE$105)+SUM(AG$95:AG$105)+SUM(AI$95:AI$105)</f>
        <v>3654949.2</v>
      </c>
      <c r="H137" s="112">
        <f>SUM(AK$95:AK$105)+SUM(AM$95:AM$105)+SUM(AO$95:AO$105)+SUM(AQ$95:AQ$105)</f>
        <v>630386.39999999991</v>
      </c>
      <c r="I137" s="112">
        <f>SUM(AS$95:AS$105)+SUM(AU$95:AU$105)+SUM(AW$95:AW$105)+SUM(AY$95:AY$105)</f>
        <v>2851858.8000000003</v>
      </c>
      <c r="J137" s="112">
        <f>SUM(BA$95:BA$105)+SUM(BC$95:BC$105)+SUM(BE$95:BE$105)+SUM(BG$95:BG$105)</f>
        <v>2098185.5999999996</v>
      </c>
      <c r="K137" s="112">
        <f>SUM(BI$95:BI$105)+SUM(BK$95:BK$105)+SUM(BM$95:BM$105)+SUM(BO$95:BO$105)</f>
        <v>2624223.5999999996</v>
      </c>
      <c r="L137" s="112">
        <f>SUM(BQ$95:BQ$105)+SUM(BS$95:BS$105)+SUM(BU$95:BU$105)+SUM(BW$95:BW$105)</f>
        <v>2311389.6</v>
      </c>
      <c r="M137" s="112">
        <f>SUM(BY$95:BY$105)+SUM(CA$95:CA$105)+SUM(CC$95:CC$105)+SUM(CE$95:CE$105)</f>
        <v>2043851.9999999998</v>
      </c>
      <c r="N137" s="112">
        <f>SUM(CG$95:CG$105)+SUM(CI$95:CI$105)+SUM(CK$95:CK$105)+SUM(CM$95:CM$105)</f>
        <v>1902528</v>
      </c>
      <c r="O137" s="112">
        <f>SUM(CO$95:CO$105)+SUM(CQ$95:CQ$105)+SUM(CS$95:CS$105)+SUM(CU$95:CU$105)</f>
        <v>6637936.7999999998</v>
      </c>
    </row>
    <row r="138" spans="2:15" x14ac:dyDescent="0.2">
      <c r="C138" s="111" t="s">
        <v>278</v>
      </c>
      <c r="D138" s="106">
        <f t="shared" ref="D138:O138" si="2">SUM(D$131:D$137)</f>
        <v>1411342.7999999998</v>
      </c>
      <c r="E138" s="106">
        <f t="shared" si="2"/>
        <v>2623357.1999999997</v>
      </c>
      <c r="F138" s="106">
        <f t="shared" si="2"/>
        <v>4313994</v>
      </c>
      <c r="G138" s="106">
        <f t="shared" si="2"/>
        <v>4848430.8000000007</v>
      </c>
      <c r="H138" s="106">
        <f t="shared" si="2"/>
        <v>2001137.9999999998</v>
      </c>
      <c r="I138" s="106">
        <f t="shared" si="2"/>
        <v>3943393.2</v>
      </c>
      <c r="J138" s="106">
        <f t="shared" si="2"/>
        <v>3351932.3999999994</v>
      </c>
      <c r="K138" s="106">
        <f t="shared" si="2"/>
        <v>4373845.1999999993</v>
      </c>
      <c r="L138" s="106">
        <f t="shared" si="2"/>
        <v>5190289.2</v>
      </c>
      <c r="M138" s="106">
        <f t="shared" si="2"/>
        <v>4151260.8</v>
      </c>
      <c r="N138" s="106">
        <f t="shared" si="2"/>
        <v>3344706</v>
      </c>
      <c r="O138" s="106">
        <f t="shared" si="2"/>
        <v>7602680.3999999994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272</v>
      </c>
    </row>
    <row r="3" spans="1:99" x14ac:dyDescent="0.2">
      <c r="B3" s="109" t="s">
        <v>273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3</v>
      </c>
      <c r="E6" s="106">
        <v>1735.1999999999998</v>
      </c>
      <c r="F6" s="106">
        <v>3</v>
      </c>
      <c r="G6" s="106">
        <v>1735.1999999999998</v>
      </c>
      <c r="H6" s="106">
        <v>3</v>
      </c>
      <c r="I6" s="106">
        <v>1735.1999999999998</v>
      </c>
      <c r="J6" s="106">
        <v>3</v>
      </c>
      <c r="K6" s="106">
        <v>1735.1999999999998</v>
      </c>
      <c r="L6" s="106">
        <v>2</v>
      </c>
      <c r="M6" s="106">
        <v>1156.8</v>
      </c>
      <c r="N6" s="106">
        <v>3</v>
      </c>
      <c r="O6" s="106">
        <v>1735.1999999999998</v>
      </c>
      <c r="P6" s="106">
        <v>4</v>
      </c>
      <c r="Q6" s="106">
        <v>2313.6</v>
      </c>
      <c r="R6" s="106">
        <v>3</v>
      </c>
      <c r="S6" s="106">
        <v>1735.1999999999998</v>
      </c>
      <c r="T6" s="106">
        <v>6</v>
      </c>
      <c r="U6" s="106">
        <v>3470.3999999999996</v>
      </c>
      <c r="V6" s="106">
        <v>6</v>
      </c>
      <c r="W6" s="106">
        <v>3470.3999999999996</v>
      </c>
      <c r="X6" s="106">
        <v>5</v>
      </c>
      <c r="Y6" s="106">
        <v>2892</v>
      </c>
      <c r="Z6" s="106">
        <v>4</v>
      </c>
      <c r="AA6" s="106">
        <v>2313.6</v>
      </c>
      <c r="AB6" s="106">
        <v>24</v>
      </c>
      <c r="AC6" s="106">
        <v>13881.599999999999</v>
      </c>
      <c r="AD6" s="106">
        <v>32</v>
      </c>
      <c r="AE6" s="106">
        <v>18508.8</v>
      </c>
      <c r="AF6" s="106">
        <v>38</v>
      </c>
      <c r="AG6" s="106">
        <v>21979.200000000001</v>
      </c>
      <c r="AH6" s="106">
        <v>20</v>
      </c>
      <c r="AI6" s="106">
        <v>11568</v>
      </c>
      <c r="AJ6" s="106">
        <v>4</v>
      </c>
      <c r="AK6" s="106">
        <v>2313.6</v>
      </c>
      <c r="AL6" s="106">
        <v>5</v>
      </c>
      <c r="AM6" s="106">
        <v>2892</v>
      </c>
      <c r="AN6" s="106">
        <v>4</v>
      </c>
      <c r="AO6" s="106">
        <v>2313.6</v>
      </c>
      <c r="AP6" s="106">
        <v>4</v>
      </c>
      <c r="AQ6" s="106">
        <v>2313.6</v>
      </c>
      <c r="AR6" s="106">
        <v>14</v>
      </c>
      <c r="AS6" s="106">
        <v>8097.5999999999995</v>
      </c>
      <c r="AT6" s="106">
        <v>8</v>
      </c>
      <c r="AU6" s="106">
        <v>4627.2</v>
      </c>
      <c r="AV6" s="106">
        <v>9</v>
      </c>
      <c r="AW6" s="106">
        <v>5205.5999999999995</v>
      </c>
      <c r="AX6" s="106">
        <v>9</v>
      </c>
      <c r="AY6" s="106">
        <v>5205.5999999999995</v>
      </c>
      <c r="AZ6" s="106">
        <v>3</v>
      </c>
      <c r="BA6" s="106">
        <v>1735.1999999999998</v>
      </c>
      <c r="BB6" s="106">
        <v>5</v>
      </c>
      <c r="BC6" s="106">
        <v>2892</v>
      </c>
      <c r="BD6" s="106">
        <v>4</v>
      </c>
      <c r="BE6" s="106">
        <v>2313.6</v>
      </c>
      <c r="BF6" s="106">
        <v>4</v>
      </c>
      <c r="BG6" s="106">
        <v>2313.6</v>
      </c>
      <c r="BH6" s="106">
        <v>7</v>
      </c>
      <c r="BI6" s="106">
        <v>4048.7999999999997</v>
      </c>
      <c r="BJ6" s="106">
        <v>6</v>
      </c>
      <c r="BK6" s="106">
        <v>3470.3999999999996</v>
      </c>
      <c r="BL6" s="106">
        <v>8</v>
      </c>
      <c r="BM6" s="106">
        <v>4627.2</v>
      </c>
      <c r="BN6" s="106">
        <v>6</v>
      </c>
      <c r="BO6" s="106">
        <v>3470.3999999999996</v>
      </c>
      <c r="BP6" s="106">
        <v>33</v>
      </c>
      <c r="BQ6" s="106">
        <v>19087.2</v>
      </c>
      <c r="BR6" s="106">
        <v>45</v>
      </c>
      <c r="BS6" s="106">
        <v>26028</v>
      </c>
      <c r="BT6" s="106">
        <v>41</v>
      </c>
      <c r="BU6" s="106">
        <v>23714.399999999998</v>
      </c>
      <c r="BV6" s="106">
        <v>36</v>
      </c>
      <c r="BW6" s="106">
        <v>20822.399999999998</v>
      </c>
      <c r="BX6" s="106">
        <v>3</v>
      </c>
      <c r="BY6" s="106">
        <v>1735.1999999999998</v>
      </c>
      <c r="BZ6" s="106">
        <v>4</v>
      </c>
      <c r="CA6" s="106">
        <v>2313.6</v>
      </c>
      <c r="CB6" s="106">
        <v>3</v>
      </c>
      <c r="CC6" s="106">
        <v>1735.1999999999998</v>
      </c>
      <c r="CD6" s="106">
        <v>4</v>
      </c>
      <c r="CE6" s="106">
        <v>2313.6</v>
      </c>
      <c r="CF6" s="106">
        <v>22</v>
      </c>
      <c r="CG6" s="106">
        <v>12724.8</v>
      </c>
      <c r="CH6" s="106">
        <v>27</v>
      </c>
      <c r="CI6" s="106">
        <v>15616.8</v>
      </c>
      <c r="CJ6" s="106">
        <v>29</v>
      </c>
      <c r="CK6" s="106">
        <v>16773.599999999999</v>
      </c>
      <c r="CL6" s="106">
        <v>38</v>
      </c>
      <c r="CM6" s="106">
        <v>21979.200000000001</v>
      </c>
      <c r="CN6" s="106">
        <v>12</v>
      </c>
      <c r="CO6" s="106">
        <v>6940.7999999999993</v>
      </c>
      <c r="CP6" s="106">
        <v>9</v>
      </c>
      <c r="CQ6" s="106">
        <v>5205.5999999999995</v>
      </c>
      <c r="CR6" s="106">
        <v>6</v>
      </c>
      <c r="CS6" s="106">
        <v>3470.3999999999996</v>
      </c>
      <c r="CT6" s="106">
        <v>7</v>
      </c>
      <c r="CU6" s="106">
        <v>4048.7999999999997</v>
      </c>
    </row>
    <row r="7" spans="1:99" x14ac:dyDescent="0.2">
      <c r="C7" s="105" t="s">
        <v>173</v>
      </c>
      <c r="D7" s="106">
        <v>4</v>
      </c>
      <c r="E7" s="106">
        <v>3153.6</v>
      </c>
      <c r="F7" s="106">
        <v>3</v>
      </c>
      <c r="G7" s="106">
        <v>2365.1999999999998</v>
      </c>
      <c r="H7" s="106">
        <v>3</v>
      </c>
      <c r="I7" s="106">
        <v>2365.1999999999998</v>
      </c>
      <c r="J7" s="106">
        <v>3</v>
      </c>
      <c r="K7" s="106">
        <v>2365.1999999999998</v>
      </c>
      <c r="L7" s="106">
        <v>2</v>
      </c>
      <c r="M7" s="106">
        <v>1576.8</v>
      </c>
      <c r="N7" s="106">
        <v>3</v>
      </c>
      <c r="O7" s="106">
        <v>2365.1999999999998</v>
      </c>
      <c r="P7" s="106">
        <v>3</v>
      </c>
      <c r="Q7" s="106">
        <v>2365.1999999999998</v>
      </c>
      <c r="R7" s="106">
        <v>3</v>
      </c>
      <c r="S7" s="106">
        <v>2365.1999999999998</v>
      </c>
      <c r="T7" s="106">
        <v>5</v>
      </c>
      <c r="U7" s="106">
        <v>3942</v>
      </c>
      <c r="V7" s="106">
        <v>5</v>
      </c>
      <c r="W7" s="106">
        <v>3942</v>
      </c>
      <c r="X7" s="106">
        <v>5</v>
      </c>
      <c r="Y7" s="106">
        <v>3942</v>
      </c>
      <c r="Z7" s="106">
        <v>4</v>
      </c>
      <c r="AA7" s="106">
        <v>3153.6</v>
      </c>
      <c r="AB7" s="106">
        <v>25</v>
      </c>
      <c r="AC7" s="106">
        <v>19710</v>
      </c>
      <c r="AD7" s="106">
        <v>32</v>
      </c>
      <c r="AE7" s="106">
        <v>25228.799999999999</v>
      </c>
      <c r="AF7" s="106">
        <v>34</v>
      </c>
      <c r="AG7" s="106">
        <v>26805.599999999999</v>
      </c>
      <c r="AH7" s="106">
        <v>19</v>
      </c>
      <c r="AI7" s="106">
        <v>14979.6</v>
      </c>
      <c r="AJ7" s="106">
        <v>4</v>
      </c>
      <c r="AK7" s="106">
        <v>3153.6</v>
      </c>
      <c r="AL7" s="106">
        <v>5</v>
      </c>
      <c r="AM7" s="106">
        <v>3942</v>
      </c>
      <c r="AN7" s="106">
        <v>4</v>
      </c>
      <c r="AO7" s="106">
        <v>3153.6</v>
      </c>
      <c r="AP7" s="106">
        <v>3</v>
      </c>
      <c r="AQ7" s="106">
        <v>2365.1999999999998</v>
      </c>
      <c r="AR7" s="106">
        <v>14</v>
      </c>
      <c r="AS7" s="106">
        <v>11037.6</v>
      </c>
      <c r="AT7" s="106">
        <v>7</v>
      </c>
      <c r="AU7" s="106">
        <v>5518.8</v>
      </c>
      <c r="AV7" s="106">
        <v>8</v>
      </c>
      <c r="AW7" s="106">
        <v>6307.2</v>
      </c>
      <c r="AX7" s="106">
        <v>8</v>
      </c>
      <c r="AY7" s="106">
        <v>6307.2</v>
      </c>
      <c r="AZ7" s="106">
        <v>3</v>
      </c>
      <c r="BA7" s="106">
        <v>2365.1999999999998</v>
      </c>
      <c r="BB7" s="106">
        <v>5</v>
      </c>
      <c r="BC7" s="106">
        <v>3942</v>
      </c>
      <c r="BD7" s="106">
        <v>4</v>
      </c>
      <c r="BE7" s="106">
        <v>3153.6</v>
      </c>
      <c r="BF7" s="106">
        <v>4</v>
      </c>
      <c r="BG7" s="106">
        <v>3153.6</v>
      </c>
      <c r="BH7" s="106">
        <v>7</v>
      </c>
      <c r="BI7" s="106">
        <v>5518.8</v>
      </c>
      <c r="BJ7" s="106">
        <v>6</v>
      </c>
      <c r="BK7" s="106">
        <v>4730.3999999999996</v>
      </c>
      <c r="BL7" s="106">
        <v>7</v>
      </c>
      <c r="BM7" s="106">
        <v>5518.8</v>
      </c>
      <c r="BN7" s="106">
        <v>6</v>
      </c>
      <c r="BO7" s="106">
        <v>4730.3999999999996</v>
      </c>
      <c r="BP7" s="106">
        <v>37</v>
      </c>
      <c r="BQ7" s="106">
        <v>29170.799999999999</v>
      </c>
      <c r="BR7" s="106">
        <v>41</v>
      </c>
      <c r="BS7" s="106">
        <v>32324.399999999998</v>
      </c>
      <c r="BT7" s="106">
        <v>36</v>
      </c>
      <c r="BU7" s="106">
        <v>28382.399999999998</v>
      </c>
      <c r="BV7" s="106">
        <v>33</v>
      </c>
      <c r="BW7" s="106">
        <v>26017.200000000001</v>
      </c>
      <c r="BX7" s="106">
        <v>3</v>
      </c>
      <c r="BY7" s="106">
        <v>2365.1999999999998</v>
      </c>
      <c r="BZ7" s="106">
        <v>4</v>
      </c>
      <c r="CA7" s="106">
        <v>3153.6</v>
      </c>
      <c r="CB7" s="106">
        <v>3</v>
      </c>
      <c r="CC7" s="106">
        <v>2365.1999999999998</v>
      </c>
      <c r="CD7" s="106">
        <v>3</v>
      </c>
      <c r="CE7" s="106">
        <v>2365.1999999999998</v>
      </c>
      <c r="CF7" s="106">
        <v>20</v>
      </c>
      <c r="CG7" s="106">
        <v>15768</v>
      </c>
      <c r="CH7" s="106">
        <v>25</v>
      </c>
      <c r="CI7" s="106">
        <v>19710</v>
      </c>
      <c r="CJ7" s="106">
        <v>30</v>
      </c>
      <c r="CK7" s="106">
        <v>23652</v>
      </c>
      <c r="CL7" s="106">
        <v>34</v>
      </c>
      <c r="CM7" s="106">
        <v>26805.599999999999</v>
      </c>
      <c r="CN7" s="106">
        <v>11</v>
      </c>
      <c r="CO7" s="106">
        <v>8672.4</v>
      </c>
      <c r="CP7" s="106">
        <v>10</v>
      </c>
      <c r="CQ7" s="106">
        <v>7884</v>
      </c>
      <c r="CR7" s="106">
        <v>6</v>
      </c>
      <c r="CS7" s="106">
        <v>4730.3999999999996</v>
      </c>
      <c r="CT7" s="106">
        <v>6</v>
      </c>
      <c r="CU7" s="106">
        <v>4730.3999999999996</v>
      </c>
    </row>
    <row r="8" spans="1:99" x14ac:dyDescent="0.2">
      <c r="C8" s="105" t="s">
        <v>174</v>
      </c>
      <c r="D8" s="106">
        <v>4</v>
      </c>
      <c r="E8" s="106">
        <v>1238.3999999999999</v>
      </c>
      <c r="F8" s="106">
        <v>3</v>
      </c>
      <c r="G8" s="106">
        <v>928.8</v>
      </c>
      <c r="H8" s="106">
        <v>3</v>
      </c>
      <c r="I8" s="106">
        <v>928.8</v>
      </c>
      <c r="J8" s="106">
        <v>3</v>
      </c>
      <c r="K8" s="106">
        <v>928.8</v>
      </c>
      <c r="L8" s="106">
        <v>2</v>
      </c>
      <c r="M8" s="106">
        <v>619.19999999999993</v>
      </c>
      <c r="N8" s="106">
        <v>3</v>
      </c>
      <c r="O8" s="106">
        <v>928.8</v>
      </c>
      <c r="P8" s="106">
        <v>3</v>
      </c>
      <c r="Q8" s="106">
        <v>928.8</v>
      </c>
      <c r="R8" s="106">
        <v>3</v>
      </c>
      <c r="S8" s="106">
        <v>928.8</v>
      </c>
      <c r="T8" s="106">
        <v>6</v>
      </c>
      <c r="U8" s="106">
        <v>1857.6</v>
      </c>
      <c r="V8" s="106">
        <v>6</v>
      </c>
      <c r="W8" s="106">
        <v>1857.6</v>
      </c>
      <c r="X8" s="106">
        <v>6</v>
      </c>
      <c r="Y8" s="106">
        <v>1857.6</v>
      </c>
      <c r="Z8" s="106">
        <v>4</v>
      </c>
      <c r="AA8" s="106">
        <v>1238.3999999999999</v>
      </c>
      <c r="AB8" s="106">
        <v>26</v>
      </c>
      <c r="AC8" s="106">
        <v>8049.5999999999995</v>
      </c>
      <c r="AD8" s="106">
        <v>35</v>
      </c>
      <c r="AE8" s="106">
        <v>10835.999999999998</v>
      </c>
      <c r="AF8" s="106">
        <v>40</v>
      </c>
      <c r="AG8" s="106">
        <v>12383.999999999998</v>
      </c>
      <c r="AH8" s="106">
        <v>18</v>
      </c>
      <c r="AI8" s="106">
        <v>5572.7999999999993</v>
      </c>
      <c r="AJ8" s="106">
        <v>3</v>
      </c>
      <c r="AK8" s="106">
        <v>928.8</v>
      </c>
      <c r="AL8" s="106">
        <v>4</v>
      </c>
      <c r="AM8" s="106">
        <v>1238.3999999999999</v>
      </c>
      <c r="AN8" s="106">
        <v>4</v>
      </c>
      <c r="AO8" s="106">
        <v>1238.3999999999999</v>
      </c>
      <c r="AP8" s="106">
        <v>4</v>
      </c>
      <c r="AQ8" s="106">
        <v>1238.3999999999999</v>
      </c>
      <c r="AR8" s="106">
        <v>14</v>
      </c>
      <c r="AS8" s="106">
        <v>4334.3999999999996</v>
      </c>
      <c r="AT8" s="106">
        <v>8</v>
      </c>
      <c r="AU8" s="106">
        <v>2476.7999999999997</v>
      </c>
      <c r="AV8" s="106">
        <v>10</v>
      </c>
      <c r="AW8" s="106">
        <v>3095.9999999999995</v>
      </c>
      <c r="AX8" s="106">
        <v>9</v>
      </c>
      <c r="AY8" s="106">
        <v>2786.3999999999996</v>
      </c>
      <c r="AZ8" s="106">
        <v>4</v>
      </c>
      <c r="BA8" s="106">
        <v>1238.3999999999999</v>
      </c>
      <c r="BB8" s="106">
        <v>5</v>
      </c>
      <c r="BC8" s="106">
        <v>1547.9999999999998</v>
      </c>
      <c r="BD8" s="106">
        <v>3</v>
      </c>
      <c r="BE8" s="106">
        <v>928.8</v>
      </c>
      <c r="BF8" s="106">
        <v>4</v>
      </c>
      <c r="BG8" s="106">
        <v>1238.3999999999999</v>
      </c>
      <c r="BH8" s="106">
        <v>8</v>
      </c>
      <c r="BI8" s="106">
        <v>2476.7999999999997</v>
      </c>
      <c r="BJ8" s="106">
        <v>7</v>
      </c>
      <c r="BK8" s="106">
        <v>2167.1999999999998</v>
      </c>
      <c r="BL8" s="106">
        <v>9</v>
      </c>
      <c r="BM8" s="106">
        <v>2786.3999999999996</v>
      </c>
      <c r="BN8" s="106">
        <v>6</v>
      </c>
      <c r="BO8" s="106">
        <v>1857.6</v>
      </c>
      <c r="BP8" s="106">
        <v>36</v>
      </c>
      <c r="BQ8" s="106">
        <v>11145.599999999999</v>
      </c>
      <c r="BR8" s="106">
        <v>42</v>
      </c>
      <c r="BS8" s="106">
        <v>13003.199999999999</v>
      </c>
      <c r="BT8" s="106">
        <v>40</v>
      </c>
      <c r="BU8" s="106">
        <v>12383.999999999998</v>
      </c>
      <c r="BV8" s="106">
        <v>33</v>
      </c>
      <c r="BW8" s="106">
        <v>10216.799999999999</v>
      </c>
      <c r="BX8" s="106">
        <v>3</v>
      </c>
      <c r="BY8" s="106">
        <v>928.8</v>
      </c>
      <c r="BZ8" s="106">
        <v>5</v>
      </c>
      <c r="CA8" s="106">
        <v>1547.9999999999998</v>
      </c>
      <c r="CB8" s="106">
        <v>3</v>
      </c>
      <c r="CC8" s="106">
        <v>928.8</v>
      </c>
      <c r="CD8" s="106">
        <v>4</v>
      </c>
      <c r="CE8" s="106">
        <v>1238.3999999999999</v>
      </c>
      <c r="CF8" s="106">
        <v>25</v>
      </c>
      <c r="CG8" s="106">
        <v>7739.9999999999991</v>
      </c>
      <c r="CH8" s="106">
        <v>27</v>
      </c>
      <c r="CI8" s="106">
        <v>8359.1999999999989</v>
      </c>
      <c r="CJ8" s="106">
        <v>34</v>
      </c>
      <c r="CK8" s="106">
        <v>10526.4</v>
      </c>
      <c r="CL8" s="106">
        <v>42</v>
      </c>
      <c r="CM8" s="106">
        <v>13003.199999999999</v>
      </c>
      <c r="CN8" s="106">
        <v>11</v>
      </c>
      <c r="CO8" s="106">
        <v>3405.5999999999995</v>
      </c>
      <c r="CP8" s="106">
        <v>10</v>
      </c>
      <c r="CQ8" s="106">
        <v>3095.9999999999995</v>
      </c>
      <c r="CR8" s="106">
        <v>6</v>
      </c>
      <c r="CS8" s="106">
        <v>1857.6</v>
      </c>
      <c r="CT8" s="106">
        <v>7</v>
      </c>
      <c r="CU8" s="106">
        <v>2167.1999999999998</v>
      </c>
    </row>
    <row r="9" spans="1:99" x14ac:dyDescent="0.2">
      <c r="C9" s="105" t="s">
        <v>175</v>
      </c>
      <c r="D9" s="106">
        <v>4</v>
      </c>
      <c r="E9" s="106">
        <v>2808</v>
      </c>
      <c r="F9" s="106">
        <v>3</v>
      </c>
      <c r="G9" s="106">
        <v>2106</v>
      </c>
      <c r="H9" s="106">
        <v>3</v>
      </c>
      <c r="I9" s="106">
        <v>2106</v>
      </c>
      <c r="J9" s="106">
        <v>3</v>
      </c>
      <c r="K9" s="106">
        <v>2106</v>
      </c>
      <c r="L9" s="106">
        <v>2</v>
      </c>
      <c r="M9" s="106">
        <v>1404</v>
      </c>
      <c r="N9" s="106">
        <v>3</v>
      </c>
      <c r="O9" s="106">
        <v>2106</v>
      </c>
      <c r="P9" s="106">
        <v>4</v>
      </c>
      <c r="Q9" s="106">
        <v>2808</v>
      </c>
      <c r="R9" s="106">
        <v>3</v>
      </c>
      <c r="S9" s="106">
        <v>2106</v>
      </c>
      <c r="T9" s="106">
        <v>6</v>
      </c>
      <c r="U9" s="106">
        <v>4212</v>
      </c>
      <c r="V9" s="106">
        <v>6</v>
      </c>
      <c r="W9" s="106">
        <v>4212</v>
      </c>
      <c r="X9" s="106">
        <v>6</v>
      </c>
      <c r="Y9" s="106">
        <v>4212</v>
      </c>
      <c r="Z9" s="106">
        <v>4</v>
      </c>
      <c r="AA9" s="106">
        <v>2808</v>
      </c>
      <c r="AB9" s="106">
        <v>27</v>
      </c>
      <c r="AC9" s="106">
        <v>18954</v>
      </c>
      <c r="AD9" s="106">
        <v>35</v>
      </c>
      <c r="AE9" s="106">
        <v>24570</v>
      </c>
      <c r="AF9" s="106">
        <v>37</v>
      </c>
      <c r="AG9" s="106">
        <v>25974</v>
      </c>
      <c r="AH9" s="106">
        <v>19</v>
      </c>
      <c r="AI9" s="106">
        <v>13338</v>
      </c>
      <c r="AJ9" s="106">
        <v>3</v>
      </c>
      <c r="AK9" s="106">
        <v>2106</v>
      </c>
      <c r="AL9" s="106">
        <v>5</v>
      </c>
      <c r="AM9" s="106">
        <v>3510</v>
      </c>
      <c r="AN9" s="106">
        <v>4</v>
      </c>
      <c r="AO9" s="106">
        <v>2808</v>
      </c>
      <c r="AP9" s="106">
        <v>4</v>
      </c>
      <c r="AQ9" s="106">
        <v>2808</v>
      </c>
      <c r="AR9" s="106">
        <v>14</v>
      </c>
      <c r="AS9" s="106">
        <v>9828</v>
      </c>
      <c r="AT9" s="106">
        <v>7</v>
      </c>
      <c r="AU9" s="106">
        <v>4914</v>
      </c>
      <c r="AV9" s="106">
        <v>10</v>
      </c>
      <c r="AW9" s="106">
        <v>7020</v>
      </c>
      <c r="AX9" s="106">
        <v>8</v>
      </c>
      <c r="AY9" s="106">
        <v>5616</v>
      </c>
      <c r="AZ9" s="106">
        <v>3</v>
      </c>
      <c r="BA9" s="106">
        <v>2106</v>
      </c>
      <c r="BB9" s="106">
        <v>5</v>
      </c>
      <c r="BC9" s="106">
        <v>3510</v>
      </c>
      <c r="BD9" s="106">
        <v>4</v>
      </c>
      <c r="BE9" s="106">
        <v>2808</v>
      </c>
      <c r="BF9" s="106">
        <v>5</v>
      </c>
      <c r="BG9" s="106">
        <v>3510</v>
      </c>
      <c r="BH9" s="106">
        <v>7</v>
      </c>
      <c r="BI9" s="106">
        <v>4914</v>
      </c>
      <c r="BJ9" s="106">
        <v>7</v>
      </c>
      <c r="BK9" s="106">
        <v>4914</v>
      </c>
      <c r="BL9" s="106">
        <v>7</v>
      </c>
      <c r="BM9" s="106">
        <v>4914</v>
      </c>
      <c r="BN9" s="106">
        <v>6</v>
      </c>
      <c r="BO9" s="106">
        <v>4212</v>
      </c>
      <c r="BP9" s="106">
        <v>38</v>
      </c>
      <c r="BQ9" s="106">
        <v>26676</v>
      </c>
      <c r="BR9" s="106">
        <v>43</v>
      </c>
      <c r="BS9" s="106">
        <v>30186</v>
      </c>
      <c r="BT9" s="106">
        <v>35</v>
      </c>
      <c r="BU9" s="106">
        <v>24570</v>
      </c>
      <c r="BV9" s="106">
        <v>35</v>
      </c>
      <c r="BW9" s="106">
        <v>24570</v>
      </c>
      <c r="BX9" s="106">
        <v>3</v>
      </c>
      <c r="BY9" s="106">
        <v>2106</v>
      </c>
      <c r="BZ9" s="106">
        <v>4</v>
      </c>
      <c r="CA9" s="106">
        <v>2808</v>
      </c>
      <c r="CB9" s="106">
        <v>3</v>
      </c>
      <c r="CC9" s="106">
        <v>2106</v>
      </c>
      <c r="CD9" s="106">
        <v>4</v>
      </c>
      <c r="CE9" s="106">
        <v>2808</v>
      </c>
      <c r="CF9" s="106">
        <v>22</v>
      </c>
      <c r="CG9" s="106">
        <v>15444</v>
      </c>
      <c r="CH9" s="106">
        <v>28</v>
      </c>
      <c r="CI9" s="106">
        <v>19656</v>
      </c>
      <c r="CJ9" s="106">
        <v>30</v>
      </c>
      <c r="CK9" s="106">
        <v>21060</v>
      </c>
      <c r="CL9" s="106">
        <v>40</v>
      </c>
      <c r="CM9" s="106">
        <v>28080</v>
      </c>
      <c r="CN9" s="106">
        <v>11</v>
      </c>
      <c r="CO9" s="106">
        <v>7722</v>
      </c>
      <c r="CP9" s="106">
        <v>9</v>
      </c>
      <c r="CQ9" s="106">
        <v>6318</v>
      </c>
      <c r="CR9" s="106">
        <v>7</v>
      </c>
      <c r="CS9" s="106">
        <v>4914</v>
      </c>
      <c r="CT9" s="106">
        <v>7</v>
      </c>
      <c r="CU9" s="106">
        <v>4914</v>
      </c>
    </row>
    <row r="10" spans="1:99" x14ac:dyDescent="0.2">
      <c r="C10" s="105" t="s">
        <v>176</v>
      </c>
      <c r="D10" s="106">
        <v>3</v>
      </c>
      <c r="E10" s="106">
        <v>1634.3999999999999</v>
      </c>
      <c r="F10" s="106">
        <v>3</v>
      </c>
      <c r="G10" s="106">
        <v>1634.3999999999999</v>
      </c>
      <c r="H10" s="106">
        <v>4</v>
      </c>
      <c r="I10" s="106">
        <v>2179.1999999999998</v>
      </c>
      <c r="J10" s="106">
        <v>3</v>
      </c>
      <c r="K10" s="106">
        <v>1634.3999999999999</v>
      </c>
      <c r="L10" s="106">
        <v>2</v>
      </c>
      <c r="M10" s="106">
        <v>1089.5999999999999</v>
      </c>
      <c r="N10" s="106">
        <v>2</v>
      </c>
      <c r="O10" s="106">
        <v>1089.5999999999999</v>
      </c>
      <c r="P10" s="106">
        <v>4</v>
      </c>
      <c r="Q10" s="106">
        <v>2179.1999999999998</v>
      </c>
      <c r="R10" s="106">
        <v>3</v>
      </c>
      <c r="S10" s="106">
        <v>1634.3999999999999</v>
      </c>
      <c r="T10" s="106">
        <v>6</v>
      </c>
      <c r="U10" s="106">
        <v>3268.7999999999997</v>
      </c>
      <c r="V10" s="106">
        <v>6</v>
      </c>
      <c r="W10" s="106">
        <v>3268.7999999999997</v>
      </c>
      <c r="X10" s="106">
        <v>6</v>
      </c>
      <c r="Y10" s="106">
        <v>3268.7999999999997</v>
      </c>
      <c r="Z10" s="106">
        <v>4</v>
      </c>
      <c r="AA10" s="106">
        <v>2179.1999999999998</v>
      </c>
      <c r="AB10" s="106">
        <v>24</v>
      </c>
      <c r="AC10" s="106">
        <v>13075.199999999999</v>
      </c>
      <c r="AD10" s="106">
        <v>32</v>
      </c>
      <c r="AE10" s="106">
        <v>17433.599999999999</v>
      </c>
      <c r="AF10" s="106">
        <v>38</v>
      </c>
      <c r="AG10" s="106">
        <v>20702.399999999998</v>
      </c>
      <c r="AH10" s="106">
        <v>17</v>
      </c>
      <c r="AI10" s="106">
        <v>9261.5999999999985</v>
      </c>
      <c r="AJ10" s="106">
        <v>4</v>
      </c>
      <c r="AK10" s="106">
        <v>2179.1999999999998</v>
      </c>
      <c r="AL10" s="106">
        <v>5</v>
      </c>
      <c r="AM10" s="106">
        <v>2724</v>
      </c>
      <c r="AN10" s="106">
        <v>4</v>
      </c>
      <c r="AO10" s="106">
        <v>2179.1999999999998</v>
      </c>
      <c r="AP10" s="106">
        <v>4</v>
      </c>
      <c r="AQ10" s="106">
        <v>2179.1999999999998</v>
      </c>
      <c r="AR10" s="106">
        <v>13</v>
      </c>
      <c r="AS10" s="106">
        <v>7082.4</v>
      </c>
      <c r="AT10" s="106">
        <v>7</v>
      </c>
      <c r="AU10" s="106">
        <v>3813.5999999999995</v>
      </c>
      <c r="AV10" s="106">
        <v>9</v>
      </c>
      <c r="AW10" s="106">
        <v>4903.2</v>
      </c>
      <c r="AX10" s="106">
        <v>9</v>
      </c>
      <c r="AY10" s="106">
        <v>4903.2</v>
      </c>
      <c r="AZ10" s="106">
        <v>4</v>
      </c>
      <c r="BA10" s="106">
        <v>2179.1999999999998</v>
      </c>
      <c r="BB10" s="106">
        <v>5</v>
      </c>
      <c r="BC10" s="106">
        <v>2724</v>
      </c>
      <c r="BD10" s="106">
        <v>4</v>
      </c>
      <c r="BE10" s="106">
        <v>2179.1999999999998</v>
      </c>
      <c r="BF10" s="106">
        <v>5</v>
      </c>
      <c r="BG10" s="106">
        <v>2724</v>
      </c>
      <c r="BH10" s="106">
        <v>8</v>
      </c>
      <c r="BI10" s="106">
        <v>4358.3999999999996</v>
      </c>
      <c r="BJ10" s="106">
        <v>6</v>
      </c>
      <c r="BK10" s="106">
        <v>3268.7999999999997</v>
      </c>
      <c r="BL10" s="106">
        <v>8</v>
      </c>
      <c r="BM10" s="106">
        <v>4358.3999999999996</v>
      </c>
      <c r="BN10" s="106">
        <v>7</v>
      </c>
      <c r="BO10" s="106">
        <v>3813.5999999999995</v>
      </c>
      <c r="BP10" s="106">
        <v>38</v>
      </c>
      <c r="BQ10" s="106">
        <v>20702.399999999998</v>
      </c>
      <c r="BR10" s="106">
        <v>43</v>
      </c>
      <c r="BS10" s="106">
        <v>23426.399999999998</v>
      </c>
      <c r="BT10" s="106">
        <v>36</v>
      </c>
      <c r="BU10" s="106">
        <v>19612.8</v>
      </c>
      <c r="BV10" s="106">
        <v>35</v>
      </c>
      <c r="BW10" s="106">
        <v>19068</v>
      </c>
      <c r="BX10" s="106">
        <v>3</v>
      </c>
      <c r="BY10" s="106">
        <v>1634.3999999999999</v>
      </c>
      <c r="BZ10" s="106">
        <v>4</v>
      </c>
      <c r="CA10" s="106">
        <v>2179.1999999999998</v>
      </c>
      <c r="CB10" s="106">
        <v>3</v>
      </c>
      <c r="CC10" s="106">
        <v>1634.3999999999999</v>
      </c>
      <c r="CD10" s="106">
        <v>4</v>
      </c>
      <c r="CE10" s="106">
        <v>2179.1999999999998</v>
      </c>
      <c r="CF10" s="106">
        <v>21</v>
      </c>
      <c r="CG10" s="106">
        <v>11440.8</v>
      </c>
      <c r="CH10" s="106">
        <v>30</v>
      </c>
      <c r="CI10" s="106">
        <v>16343.999999999998</v>
      </c>
      <c r="CJ10" s="106">
        <v>32</v>
      </c>
      <c r="CK10" s="106">
        <v>17433.599999999999</v>
      </c>
      <c r="CL10" s="106">
        <v>40</v>
      </c>
      <c r="CM10" s="106">
        <v>21792</v>
      </c>
      <c r="CN10" s="106">
        <v>12</v>
      </c>
      <c r="CO10" s="106">
        <v>6537.5999999999995</v>
      </c>
      <c r="CP10" s="106">
        <v>10</v>
      </c>
      <c r="CQ10" s="106">
        <v>5448</v>
      </c>
      <c r="CR10" s="106">
        <v>6</v>
      </c>
      <c r="CS10" s="106">
        <v>3268.7999999999997</v>
      </c>
      <c r="CT10" s="106">
        <v>7</v>
      </c>
      <c r="CU10" s="106">
        <v>3813.5999999999995</v>
      </c>
    </row>
    <row r="11" spans="1:99" x14ac:dyDescent="0.2">
      <c r="C11" s="105" t="s">
        <v>177</v>
      </c>
      <c r="D11" s="106">
        <v>3</v>
      </c>
      <c r="E11" s="106">
        <v>1598.3999999999999</v>
      </c>
      <c r="F11" s="106">
        <v>3</v>
      </c>
      <c r="G11" s="106">
        <v>1598.3999999999999</v>
      </c>
      <c r="H11" s="106">
        <v>3</v>
      </c>
      <c r="I11" s="106">
        <v>1598.3999999999999</v>
      </c>
      <c r="J11" s="106">
        <v>3</v>
      </c>
      <c r="K11" s="106">
        <v>1598.3999999999999</v>
      </c>
      <c r="L11" s="106">
        <v>2</v>
      </c>
      <c r="M11" s="106">
        <v>1065.5999999999999</v>
      </c>
      <c r="N11" s="106">
        <v>3</v>
      </c>
      <c r="O11" s="106">
        <v>1598.3999999999999</v>
      </c>
      <c r="P11" s="106">
        <v>4</v>
      </c>
      <c r="Q11" s="106">
        <v>2131.1999999999998</v>
      </c>
      <c r="R11" s="106">
        <v>3</v>
      </c>
      <c r="S11" s="106">
        <v>1598.3999999999999</v>
      </c>
      <c r="T11" s="106">
        <v>6</v>
      </c>
      <c r="U11" s="106">
        <v>3196.7999999999997</v>
      </c>
      <c r="V11" s="106">
        <v>6</v>
      </c>
      <c r="W11" s="106">
        <v>3196.7999999999997</v>
      </c>
      <c r="X11" s="106">
        <v>6</v>
      </c>
      <c r="Y11" s="106">
        <v>3196.7999999999997</v>
      </c>
      <c r="Z11" s="106">
        <v>4</v>
      </c>
      <c r="AA11" s="106">
        <v>2131.1999999999998</v>
      </c>
      <c r="AB11" s="106">
        <v>28</v>
      </c>
      <c r="AC11" s="106">
        <v>14918.399999999998</v>
      </c>
      <c r="AD11" s="106">
        <v>33</v>
      </c>
      <c r="AE11" s="106">
        <v>17582.399999999998</v>
      </c>
      <c r="AF11" s="106">
        <v>40</v>
      </c>
      <c r="AG11" s="106">
        <v>21312</v>
      </c>
      <c r="AH11" s="106">
        <v>17</v>
      </c>
      <c r="AI11" s="106">
        <v>9057.5999999999985</v>
      </c>
      <c r="AJ11" s="106">
        <v>3</v>
      </c>
      <c r="AK11" s="106">
        <v>1598.3999999999999</v>
      </c>
      <c r="AL11" s="106">
        <v>5</v>
      </c>
      <c r="AM11" s="106">
        <v>2664</v>
      </c>
      <c r="AN11" s="106">
        <v>4</v>
      </c>
      <c r="AO11" s="106">
        <v>2131.1999999999998</v>
      </c>
      <c r="AP11" s="106">
        <v>4</v>
      </c>
      <c r="AQ11" s="106">
        <v>2131.1999999999998</v>
      </c>
      <c r="AR11" s="106">
        <v>15</v>
      </c>
      <c r="AS11" s="106">
        <v>7991.9999999999991</v>
      </c>
      <c r="AT11" s="106">
        <v>9</v>
      </c>
      <c r="AU11" s="106">
        <v>4795.2</v>
      </c>
      <c r="AV11" s="106">
        <v>9</v>
      </c>
      <c r="AW11" s="106">
        <v>4795.2</v>
      </c>
      <c r="AX11" s="106">
        <v>9</v>
      </c>
      <c r="AY11" s="106">
        <v>4795.2</v>
      </c>
      <c r="AZ11" s="106">
        <v>3</v>
      </c>
      <c r="BA11" s="106">
        <v>1598.3999999999999</v>
      </c>
      <c r="BB11" s="106">
        <v>5</v>
      </c>
      <c r="BC11" s="106">
        <v>2664</v>
      </c>
      <c r="BD11" s="106">
        <v>4</v>
      </c>
      <c r="BE11" s="106">
        <v>2131.1999999999998</v>
      </c>
      <c r="BF11" s="106">
        <v>5</v>
      </c>
      <c r="BG11" s="106">
        <v>2664</v>
      </c>
      <c r="BH11" s="106">
        <v>9</v>
      </c>
      <c r="BI11" s="106">
        <v>4795.2</v>
      </c>
      <c r="BJ11" s="106">
        <v>6</v>
      </c>
      <c r="BK11" s="106">
        <v>3196.7999999999997</v>
      </c>
      <c r="BL11" s="106">
        <v>8</v>
      </c>
      <c r="BM11" s="106">
        <v>4262.3999999999996</v>
      </c>
      <c r="BN11" s="106">
        <v>6</v>
      </c>
      <c r="BO11" s="106">
        <v>3196.7999999999997</v>
      </c>
      <c r="BP11" s="106">
        <v>34</v>
      </c>
      <c r="BQ11" s="106">
        <v>18115.199999999997</v>
      </c>
      <c r="BR11" s="106">
        <v>40</v>
      </c>
      <c r="BS11" s="106">
        <v>21312</v>
      </c>
      <c r="BT11" s="106">
        <v>36</v>
      </c>
      <c r="BU11" s="106">
        <v>19180.8</v>
      </c>
      <c r="BV11" s="106">
        <v>32</v>
      </c>
      <c r="BW11" s="106">
        <v>17049.599999999999</v>
      </c>
      <c r="BX11" s="106">
        <v>3</v>
      </c>
      <c r="BY11" s="106">
        <v>1598.3999999999999</v>
      </c>
      <c r="BZ11" s="106">
        <v>4</v>
      </c>
      <c r="CA11" s="106">
        <v>2131.1999999999998</v>
      </c>
      <c r="CB11" s="106">
        <v>3</v>
      </c>
      <c r="CC11" s="106">
        <v>1598.3999999999999</v>
      </c>
      <c r="CD11" s="106">
        <v>4</v>
      </c>
      <c r="CE11" s="106">
        <v>2131.1999999999998</v>
      </c>
      <c r="CF11" s="106">
        <v>24</v>
      </c>
      <c r="CG11" s="106">
        <v>12787.199999999999</v>
      </c>
      <c r="CH11" s="106">
        <v>30</v>
      </c>
      <c r="CI11" s="106">
        <v>15983.999999999998</v>
      </c>
      <c r="CJ11" s="106">
        <v>32</v>
      </c>
      <c r="CK11" s="106">
        <v>17049.599999999999</v>
      </c>
      <c r="CL11" s="106">
        <v>34</v>
      </c>
      <c r="CM11" s="106">
        <v>18115.199999999997</v>
      </c>
      <c r="CN11" s="106">
        <v>12</v>
      </c>
      <c r="CO11" s="106">
        <v>6393.5999999999995</v>
      </c>
      <c r="CP11" s="106">
        <v>10</v>
      </c>
      <c r="CQ11" s="106">
        <v>5328</v>
      </c>
      <c r="CR11" s="106">
        <v>6</v>
      </c>
      <c r="CS11" s="106">
        <v>3196.7999999999997</v>
      </c>
      <c r="CT11" s="106">
        <v>7</v>
      </c>
      <c r="CU11" s="106">
        <v>3729.5999999999995</v>
      </c>
    </row>
    <row r="12" spans="1:99" x14ac:dyDescent="0.2">
      <c r="C12" s="105" t="s">
        <v>178</v>
      </c>
      <c r="D12" s="106">
        <v>4</v>
      </c>
      <c r="E12" s="106">
        <v>2251.1999999999998</v>
      </c>
      <c r="F12" s="106">
        <v>3</v>
      </c>
      <c r="G12" s="106">
        <v>1688.3999999999999</v>
      </c>
      <c r="H12" s="106">
        <v>4</v>
      </c>
      <c r="I12" s="106">
        <v>2251.1999999999998</v>
      </c>
      <c r="J12" s="106">
        <v>3</v>
      </c>
      <c r="K12" s="106">
        <v>1688.3999999999999</v>
      </c>
      <c r="L12" s="106">
        <v>2</v>
      </c>
      <c r="M12" s="106">
        <v>1125.5999999999999</v>
      </c>
      <c r="N12" s="106">
        <v>2</v>
      </c>
      <c r="O12" s="106">
        <v>1125.5999999999999</v>
      </c>
      <c r="P12" s="106">
        <v>3</v>
      </c>
      <c r="Q12" s="106">
        <v>1688.3999999999999</v>
      </c>
      <c r="R12" s="106">
        <v>3</v>
      </c>
      <c r="S12" s="106">
        <v>1688.3999999999999</v>
      </c>
      <c r="T12" s="106">
        <v>5</v>
      </c>
      <c r="U12" s="106">
        <v>2814</v>
      </c>
      <c r="V12" s="106">
        <v>5</v>
      </c>
      <c r="W12" s="106">
        <v>2814</v>
      </c>
      <c r="X12" s="106">
        <v>6</v>
      </c>
      <c r="Y12" s="106">
        <v>3376.7999999999997</v>
      </c>
      <c r="Z12" s="106">
        <v>4</v>
      </c>
      <c r="AA12" s="106">
        <v>2251.1999999999998</v>
      </c>
      <c r="AB12" s="106">
        <v>29</v>
      </c>
      <c r="AC12" s="106">
        <v>16321.199999999999</v>
      </c>
      <c r="AD12" s="106">
        <v>36</v>
      </c>
      <c r="AE12" s="106">
        <v>20260.8</v>
      </c>
      <c r="AF12" s="106">
        <v>35</v>
      </c>
      <c r="AG12" s="106">
        <v>19698</v>
      </c>
      <c r="AH12" s="106">
        <v>20</v>
      </c>
      <c r="AI12" s="106">
        <v>11256</v>
      </c>
      <c r="AJ12" s="106">
        <v>3</v>
      </c>
      <c r="AK12" s="106">
        <v>1688.3999999999999</v>
      </c>
      <c r="AL12" s="106">
        <v>4</v>
      </c>
      <c r="AM12" s="106">
        <v>2251.1999999999998</v>
      </c>
      <c r="AN12" s="106">
        <v>4</v>
      </c>
      <c r="AO12" s="106">
        <v>2251.1999999999998</v>
      </c>
      <c r="AP12" s="106">
        <v>4</v>
      </c>
      <c r="AQ12" s="106">
        <v>2251.1999999999998</v>
      </c>
      <c r="AR12" s="106">
        <v>15</v>
      </c>
      <c r="AS12" s="106">
        <v>8442</v>
      </c>
      <c r="AT12" s="106">
        <v>8</v>
      </c>
      <c r="AU12" s="106">
        <v>4502.3999999999996</v>
      </c>
      <c r="AV12" s="106">
        <v>9</v>
      </c>
      <c r="AW12" s="106">
        <v>5065.2</v>
      </c>
      <c r="AX12" s="106">
        <v>8</v>
      </c>
      <c r="AY12" s="106">
        <v>4502.3999999999996</v>
      </c>
      <c r="AZ12" s="106">
        <v>3</v>
      </c>
      <c r="BA12" s="106">
        <v>1688.3999999999999</v>
      </c>
      <c r="BB12" s="106">
        <v>5</v>
      </c>
      <c r="BC12" s="106">
        <v>2814</v>
      </c>
      <c r="BD12" s="106">
        <v>4</v>
      </c>
      <c r="BE12" s="106">
        <v>2251.1999999999998</v>
      </c>
      <c r="BF12" s="106">
        <v>5</v>
      </c>
      <c r="BG12" s="106">
        <v>2814</v>
      </c>
      <c r="BH12" s="106">
        <v>7</v>
      </c>
      <c r="BI12" s="106">
        <v>3939.5999999999995</v>
      </c>
      <c r="BJ12" s="106">
        <v>6</v>
      </c>
      <c r="BK12" s="106">
        <v>3376.7999999999997</v>
      </c>
      <c r="BL12" s="106">
        <v>7</v>
      </c>
      <c r="BM12" s="106">
        <v>3939.5999999999995</v>
      </c>
      <c r="BN12" s="106">
        <v>6</v>
      </c>
      <c r="BO12" s="106">
        <v>3376.7999999999997</v>
      </c>
      <c r="BP12" s="106">
        <v>39</v>
      </c>
      <c r="BQ12" s="106">
        <v>21949.199999999997</v>
      </c>
      <c r="BR12" s="106">
        <v>44</v>
      </c>
      <c r="BS12" s="106">
        <v>24763.199999999997</v>
      </c>
      <c r="BT12" s="106">
        <v>38</v>
      </c>
      <c r="BU12" s="106">
        <v>21386.399999999998</v>
      </c>
      <c r="BV12" s="106">
        <v>35</v>
      </c>
      <c r="BW12" s="106">
        <v>19698</v>
      </c>
      <c r="BX12" s="106">
        <v>3</v>
      </c>
      <c r="BY12" s="106">
        <v>1688.3999999999999</v>
      </c>
      <c r="BZ12" s="106">
        <v>4</v>
      </c>
      <c r="CA12" s="106">
        <v>2251.1999999999998</v>
      </c>
      <c r="CB12" s="106">
        <v>3</v>
      </c>
      <c r="CC12" s="106">
        <v>1688.3999999999999</v>
      </c>
      <c r="CD12" s="106">
        <v>3</v>
      </c>
      <c r="CE12" s="106">
        <v>1688.3999999999999</v>
      </c>
      <c r="CF12" s="106">
        <v>22</v>
      </c>
      <c r="CG12" s="106">
        <v>12381.599999999999</v>
      </c>
      <c r="CH12" s="106">
        <v>27</v>
      </c>
      <c r="CI12" s="106">
        <v>15195.599999999999</v>
      </c>
      <c r="CJ12" s="106">
        <v>33</v>
      </c>
      <c r="CK12" s="106">
        <v>18572.399999999998</v>
      </c>
      <c r="CL12" s="106">
        <v>39</v>
      </c>
      <c r="CM12" s="106">
        <v>21949.199999999997</v>
      </c>
      <c r="CN12" s="106">
        <v>12</v>
      </c>
      <c r="CO12" s="106">
        <v>6753.5999999999995</v>
      </c>
      <c r="CP12" s="106">
        <v>9</v>
      </c>
      <c r="CQ12" s="106">
        <v>5065.2</v>
      </c>
      <c r="CR12" s="106">
        <v>6</v>
      </c>
      <c r="CS12" s="106">
        <v>3376.7999999999997</v>
      </c>
      <c r="CT12" s="106">
        <v>6</v>
      </c>
      <c r="CU12" s="106">
        <v>3376.7999999999997</v>
      </c>
    </row>
    <row r="13" spans="1:99" x14ac:dyDescent="0.2">
      <c r="C13" s="105" t="s">
        <v>179</v>
      </c>
      <c r="D13" s="106">
        <v>4</v>
      </c>
      <c r="E13" s="106">
        <v>340.8</v>
      </c>
      <c r="F13" s="106">
        <v>3</v>
      </c>
      <c r="G13" s="106">
        <v>255.60000000000002</v>
      </c>
      <c r="H13" s="106">
        <v>4</v>
      </c>
      <c r="I13" s="106">
        <v>340.8</v>
      </c>
      <c r="J13" s="106">
        <v>3</v>
      </c>
      <c r="K13" s="106">
        <v>255.60000000000002</v>
      </c>
      <c r="L13" s="106">
        <v>2</v>
      </c>
      <c r="M13" s="106">
        <v>170.4</v>
      </c>
      <c r="N13" s="106">
        <v>3</v>
      </c>
      <c r="O13" s="106">
        <v>255.60000000000002</v>
      </c>
      <c r="P13" s="106">
        <v>4</v>
      </c>
      <c r="Q13" s="106">
        <v>340.8</v>
      </c>
      <c r="R13" s="106">
        <v>3</v>
      </c>
      <c r="S13" s="106">
        <v>255.60000000000002</v>
      </c>
      <c r="T13" s="106">
        <v>6</v>
      </c>
      <c r="U13" s="106">
        <v>511.20000000000005</v>
      </c>
      <c r="V13" s="106">
        <v>6</v>
      </c>
      <c r="W13" s="106">
        <v>511.20000000000005</v>
      </c>
      <c r="X13" s="106">
        <v>5</v>
      </c>
      <c r="Y13" s="106">
        <v>426</v>
      </c>
      <c r="Z13" s="106">
        <v>5</v>
      </c>
      <c r="AA13" s="106">
        <v>426</v>
      </c>
      <c r="AB13" s="106">
        <v>28</v>
      </c>
      <c r="AC13" s="106">
        <v>2385.6</v>
      </c>
      <c r="AD13" s="106">
        <v>34</v>
      </c>
      <c r="AE13" s="106">
        <v>2896.8</v>
      </c>
      <c r="AF13" s="106">
        <v>38</v>
      </c>
      <c r="AG13" s="106">
        <v>3237.6</v>
      </c>
      <c r="AH13" s="106">
        <v>20</v>
      </c>
      <c r="AI13" s="106">
        <v>1704</v>
      </c>
      <c r="AJ13" s="106">
        <v>3</v>
      </c>
      <c r="AK13" s="106">
        <v>255.60000000000002</v>
      </c>
      <c r="AL13" s="106">
        <v>5</v>
      </c>
      <c r="AM13" s="106">
        <v>426</v>
      </c>
      <c r="AN13" s="106">
        <v>4</v>
      </c>
      <c r="AO13" s="106">
        <v>340.8</v>
      </c>
      <c r="AP13" s="106">
        <v>4</v>
      </c>
      <c r="AQ13" s="106">
        <v>340.8</v>
      </c>
      <c r="AR13" s="106">
        <v>15</v>
      </c>
      <c r="AS13" s="106">
        <v>1278</v>
      </c>
      <c r="AT13" s="106">
        <v>9</v>
      </c>
      <c r="AU13" s="106">
        <v>766.80000000000007</v>
      </c>
      <c r="AV13" s="106">
        <v>10</v>
      </c>
      <c r="AW13" s="106">
        <v>852</v>
      </c>
      <c r="AX13" s="106">
        <v>10</v>
      </c>
      <c r="AY13" s="106">
        <v>852</v>
      </c>
      <c r="AZ13" s="106">
        <v>4</v>
      </c>
      <c r="BA13" s="106">
        <v>340.8</v>
      </c>
      <c r="BB13" s="106">
        <v>6</v>
      </c>
      <c r="BC13" s="106">
        <v>511.20000000000005</v>
      </c>
      <c r="BD13" s="106">
        <v>4</v>
      </c>
      <c r="BE13" s="106">
        <v>340.8</v>
      </c>
      <c r="BF13" s="106">
        <v>5</v>
      </c>
      <c r="BG13" s="106">
        <v>426</v>
      </c>
      <c r="BH13" s="106">
        <v>8</v>
      </c>
      <c r="BI13" s="106">
        <v>681.6</v>
      </c>
      <c r="BJ13" s="106">
        <v>6</v>
      </c>
      <c r="BK13" s="106">
        <v>511.20000000000005</v>
      </c>
      <c r="BL13" s="106">
        <v>8</v>
      </c>
      <c r="BM13" s="106">
        <v>681.6</v>
      </c>
      <c r="BN13" s="106">
        <v>7</v>
      </c>
      <c r="BO13" s="106">
        <v>596.4</v>
      </c>
      <c r="BP13" s="106">
        <v>40</v>
      </c>
      <c r="BQ13" s="106">
        <v>3408</v>
      </c>
      <c r="BR13" s="106">
        <v>45</v>
      </c>
      <c r="BS13" s="106">
        <v>3834</v>
      </c>
      <c r="BT13" s="106">
        <v>42</v>
      </c>
      <c r="BU13" s="106">
        <v>3578.4</v>
      </c>
      <c r="BV13" s="106">
        <v>40</v>
      </c>
      <c r="BW13" s="106">
        <v>3408</v>
      </c>
      <c r="BX13" s="106">
        <v>3</v>
      </c>
      <c r="BY13" s="106">
        <v>255.60000000000002</v>
      </c>
      <c r="BZ13" s="106">
        <v>5</v>
      </c>
      <c r="CA13" s="106">
        <v>426</v>
      </c>
      <c r="CB13" s="106">
        <v>4</v>
      </c>
      <c r="CC13" s="106">
        <v>340.8</v>
      </c>
      <c r="CD13" s="106">
        <v>4</v>
      </c>
      <c r="CE13" s="106">
        <v>340.8</v>
      </c>
      <c r="CF13" s="106">
        <v>22</v>
      </c>
      <c r="CG13" s="106">
        <v>1874.4</v>
      </c>
      <c r="CH13" s="106">
        <v>28</v>
      </c>
      <c r="CI13" s="106">
        <v>2385.6</v>
      </c>
      <c r="CJ13" s="106">
        <v>33</v>
      </c>
      <c r="CK13" s="106">
        <v>2811.6</v>
      </c>
      <c r="CL13" s="106">
        <v>42</v>
      </c>
      <c r="CM13" s="106">
        <v>3578.4</v>
      </c>
      <c r="CN13" s="106">
        <v>13</v>
      </c>
      <c r="CO13" s="106">
        <v>1107.6000000000001</v>
      </c>
      <c r="CP13" s="106">
        <v>10</v>
      </c>
      <c r="CQ13" s="106">
        <v>852</v>
      </c>
      <c r="CR13" s="106">
        <v>7</v>
      </c>
      <c r="CS13" s="106">
        <v>596.4</v>
      </c>
      <c r="CT13" s="106">
        <v>7</v>
      </c>
      <c r="CU13" s="106">
        <v>596.4</v>
      </c>
    </row>
    <row r="14" spans="1:99" x14ac:dyDescent="0.2">
      <c r="C14" s="105" t="s">
        <v>180</v>
      </c>
      <c r="D14" s="106">
        <v>3</v>
      </c>
      <c r="E14" s="106">
        <v>1465.1999999999998</v>
      </c>
      <c r="F14" s="106">
        <v>3</v>
      </c>
      <c r="G14" s="106">
        <v>1465.1999999999998</v>
      </c>
      <c r="H14" s="106">
        <v>3</v>
      </c>
      <c r="I14" s="106">
        <v>1465.1999999999998</v>
      </c>
      <c r="J14" s="106">
        <v>3</v>
      </c>
      <c r="K14" s="106">
        <v>1465.1999999999998</v>
      </c>
      <c r="L14" s="106">
        <v>2</v>
      </c>
      <c r="M14" s="106">
        <v>976.8</v>
      </c>
      <c r="N14" s="106">
        <v>3</v>
      </c>
      <c r="O14" s="106">
        <v>1465.1999999999998</v>
      </c>
      <c r="P14" s="106">
        <v>3</v>
      </c>
      <c r="Q14" s="106">
        <v>1465.1999999999998</v>
      </c>
      <c r="R14" s="106">
        <v>3</v>
      </c>
      <c r="S14" s="106">
        <v>1465.1999999999998</v>
      </c>
      <c r="T14" s="106">
        <v>6</v>
      </c>
      <c r="U14" s="106">
        <v>2930.3999999999996</v>
      </c>
      <c r="V14" s="106">
        <v>5</v>
      </c>
      <c r="W14" s="106">
        <v>2442</v>
      </c>
      <c r="X14" s="106">
        <v>6</v>
      </c>
      <c r="Y14" s="106">
        <v>2930.3999999999996</v>
      </c>
      <c r="Z14" s="106">
        <v>4</v>
      </c>
      <c r="AA14" s="106">
        <v>1953.6</v>
      </c>
      <c r="AB14" s="106">
        <v>27</v>
      </c>
      <c r="AC14" s="106">
        <v>13186.8</v>
      </c>
      <c r="AD14" s="106">
        <v>34</v>
      </c>
      <c r="AE14" s="106">
        <v>16605.599999999999</v>
      </c>
      <c r="AF14" s="106">
        <v>37</v>
      </c>
      <c r="AG14" s="106">
        <v>18070.8</v>
      </c>
      <c r="AH14" s="106">
        <v>20</v>
      </c>
      <c r="AI14" s="106">
        <v>9768</v>
      </c>
      <c r="AJ14" s="106">
        <v>4</v>
      </c>
      <c r="AK14" s="106">
        <v>1953.6</v>
      </c>
      <c r="AL14" s="106">
        <v>4</v>
      </c>
      <c r="AM14" s="106">
        <v>1953.6</v>
      </c>
      <c r="AN14" s="106">
        <v>4</v>
      </c>
      <c r="AO14" s="106">
        <v>1953.6</v>
      </c>
      <c r="AP14" s="106">
        <v>4</v>
      </c>
      <c r="AQ14" s="106">
        <v>1953.6</v>
      </c>
      <c r="AR14" s="106">
        <v>15</v>
      </c>
      <c r="AS14" s="106">
        <v>7326</v>
      </c>
      <c r="AT14" s="106">
        <v>8</v>
      </c>
      <c r="AU14" s="106">
        <v>3907.2</v>
      </c>
      <c r="AV14" s="106">
        <v>9</v>
      </c>
      <c r="AW14" s="106">
        <v>4395.5999999999995</v>
      </c>
      <c r="AX14" s="106">
        <v>9</v>
      </c>
      <c r="AY14" s="106">
        <v>4395.5999999999995</v>
      </c>
      <c r="AZ14" s="106">
        <v>3</v>
      </c>
      <c r="BA14" s="106">
        <v>1465.1999999999998</v>
      </c>
      <c r="BB14" s="106">
        <v>5</v>
      </c>
      <c r="BC14" s="106">
        <v>2442</v>
      </c>
      <c r="BD14" s="106">
        <v>4</v>
      </c>
      <c r="BE14" s="106">
        <v>1953.6</v>
      </c>
      <c r="BF14" s="106">
        <v>4</v>
      </c>
      <c r="BG14" s="106">
        <v>1953.6</v>
      </c>
      <c r="BH14" s="106">
        <v>8</v>
      </c>
      <c r="BI14" s="106">
        <v>3907.2</v>
      </c>
      <c r="BJ14" s="106">
        <v>6</v>
      </c>
      <c r="BK14" s="106">
        <v>2930.3999999999996</v>
      </c>
      <c r="BL14" s="106">
        <v>8</v>
      </c>
      <c r="BM14" s="106">
        <v>3907.2</v>
      </c>
      <c r="BN14" s="106">
        <v>6</v>
      </c>
      <c r="BO14" s="106">
        <v>2930.3999999999996</v>
      </c>
      <c r="BP14" s="106">
        <v>37</v>
      </c>
      <c r="BQ14" s="106">
        <v>18070.8</v>
      </c>
      <c r="BR14" s="106">
        <v>45</v>
      </c>
      <c r="BS14" s="106">
        <v>21978</v>
      </c>
      <c r="BT14" s="106">
        <v>37</v>
      </c>
      <c r="BU14" s="106">
        <v>18070.8</v>
      </c>
      <c r="BV14" s="106">
        <v>36</v>
      </c>
      <c r="BW14" s="106">
        <v>17582.399999999998</v>
      </c>
      <c r="BX14" s="106">
        <v>3</v>
      </c>
      <c r="BY14" s="106">
        <v>1465.1999999999998</v>
      </c>
      <c r="BZ14" s="106">
        <v>5</v>
      </c>
      <c r="CA14" s="106">
        <v>2442</v>
      </c>
      <c r="CB14" s="106">
        <v>3</v>
      </c>
      <c r="CC14" s="106">
        <v>1465.1999999999998</v>
      </c>
      <c r="CD14" s="106">
        <v>4</v>
      </c>
      <c r="CE14" s="106">
        <v>1953.6</v>
      </c>
      <c r="CF14" s="106">
        <v>25</v>
      </c>
      <c r="CG14" s="106">
        <v>12210</v>
      </c>
      <c r="CH14" s="106">
        <v>28</v>
      </c>
      <c r="CI14" s="106">
        <v>13675.199999999999</v>
      </c>
      <c r="CJ14" s="106">
        <v>31</v>
      </c>
      <c r="CK14" s="106">
        <v>15140.4</v>
      </c>
      <c r="CL14" s="106">
        <v>39</v>
      </c>
      <c r="CM14" s="106">
        <v>19047.599999999999</v>
      </c>
      <c r="CN14" s="106">
        <v>12</v>
      </c>
      <c r="CO14" s="106">
        <v>5860.7999999999993</v>
      </c>
      <c r="CP14" s="106">
        <v>9</v>
      </c>
      <c r="CQ14" s="106">
        <v>4395.5999999999995</v>
      </c>
      <c r="CR14" s="106">
        <v>7</v>
      </c>
      <c r="CS14" s="106">
        <v>3418.7999999999997</v>
      </c>
      <c r="CT14" s="106">
        <v>7</v>
      </c>
      <c r="CU14" s="106">
        <v>3418.7999999999997</v>
      </c>
    </row>
    <row r="15" spans="1:99" x14ac:dyDescent="0.2">
      <c r="C15" s="105" t="s">
        <v>181</v>
      </c>
      <c r="D15" s="106">
        <v>3</v>
      </c>
      <c r="E15" s="106">
        <v>2289.6</v>
      </c>
      <c r="F15" s="106">
        <v>3</v>
      </c>
      <c r="G15" s="106">
        <v>2289.6</v>
      </c>
      <c r="H15" s="106">
        <v>3</v>
      </c>
      <c r="I15" s="106">
        <v>2289.6</v>
      </c>
      <c r="J15" s="106">
        <v>3</v>
      </c>
      <c r="K15" s="106">
        <v>2289.6</v>
      </c>
      <c r="L15" s="106">
        <v>2</v>
      </c>
      <c r="M15" s="106">
        <v>1526.3999999999999</v>
      </c>
      <c r="N15" s="106">
        <v>2</v>
      </c>
      <c r="O15" s="106">
        <v>1526.3999999999999</v>
      </c>
      <c r="P15" s="106">
        <v>4</v>
      </c>
      <c r="Q15" s="106">
        <v>3052.7999999999997</v>
      </c>
      <c r="R15" s="106">
        <v>3</v>
      </c>
      <c r="S15" s="106">
        <v>2289.6</v>
      </c>
      <c r="T15" s="106">
        <v>6</v>
      </c>
      <c r="U15" s="106">
        <v>4579.2</v>
      </c>
      <c r="V15" s="106">
        <v>5</v>
      </c>
      <c r="W15" s="106">
        <v>3815.9999999999995</v>
      </c>
      <c r="X15" s="106">
        <v>6</v>
      </c>
      <c r="Y15" s="106">
        <v>4579.2</v>
      </c>
      <c r="Z15" s="106">
        <v>4</v>
      </c>
      <c r="AA15" s="106">
        <v>3052.7999999999997</v>
      </c>
      <c r="AB15" s="106">
        <v>24</v>
      </c>
      <c r="AC15" s="106">
        <v>18316.8</v>
      </c>
      <c r="AD15" s="106">
        <v>32</v>
      </c>
      <c r="AE15" s="106">
        <v>24422.399999999998</v>
      </c>
      <c r="AF15" s="106">
        <v>34</v>
      </c>
      <c r="AG15" s="106">
        <v>25948.799999999999</v>
      </c>
      <c r="AH15" s="106">
        <v>19</v>
      </c>
      <c r="AI15" s="106">
        <v>14500.8</v>
      </c>
      <c r="AJ15" s="106">
        <v>4</v>
      </c>
      <c r="AK15" s="106">
        <v>3052.7999999999997</v>
      </c>
      <c r="AL15" s="106">
        <v>4</v>
      </c>
      <c r="AM15" s="106">
        <v>3052.7999999999997</v>
      </c>
      <c r="AN15" s="106">
        <v>4</v>
      </c>
      <c r="AO15" s="106">
        <v>3052.7999999999997</v>
      </c>
      <c r="AP15" s="106">
        <v>4</v>
      </c>
      <c r="AQ15" s="106">
        <v>3052.7999999999997</v>
      </c>
      <c r="AR15" s="106">
        <v>14</v>
      </c>
      <c r="AS15" s="106">
        <v>10684.8</v>
      </c>
      <c r="AT15" s="106">
        <v>7</v>
      </c>
      <c r="AU15" s="106">
        <v>5342.4</v>
      </c>
      <c r="AV15" s="106">
        <v>9</v>
      </c>
      <c r="AW15" s="106">
        <v>6868.7999999999993</v>
      </c>
      <c r="AX15" s="106">
        <v>8</v>
      </c>
      <c r="AY15" s="106">
        <v>6105.5999999999995</v>
      </c>
      <c r="AZ15" s="106">
        <v>3</v>
      </c>
      <c r="BA15" s="106">
        <v>2289.6</v>
      </c>
      <c r="BB15" s="106">
        <v>5</v>
      </c>
      <c r="BC15" s="106">
        <v>3815.9999999999995</v>
      </c>
      <c r="BD15" s="106">
        <v>4</v>
      </c>
      <c r="BE15" s="106">
        <v>3052.7999999999997</v>
      </c>
      <c r="BF15" s="106">
        <v>5</v>
      </c>
      <c r="BG15" s="106">
        <v>3815.9999999999995</v>
      </c>
      <c r="BH15" s="106">
        <v>7</v>
      </c>
      <c r="BI15" s="106">
        <v>5342.4</v>
      </c>
      <c r="BJ15" s="106">
        <v>6</v>
      </c>
      <c r="BK15" s="106">
        <v>4579.2</v>
      </c>
      <c r="BL15" s="106">
        <v>8</v>
      </c>
      <c r="BM15" s="106">
        <v>6105.5999999999995</v>
      </c>
      <c r="BN15" s="106">
        <v>6</v>
      </c>
      <c r="BO15" s="106">
        <v>4579.2</v>
      </c>
      <c r="BP15" s="106">
        <v>37</v>
      </c>
      <c r="BQ15" s="106">
        <v>28238.399999999998</v>
      </c>
      <c r="BR15" s="106">
        <v>43</v>
      </c>
      <c r="BS15" s="106">
        <v>32817.599999999999</v>
      </c>
      <c r="BT15" s="106">
        <v>34</v>
      </c>
      <c r="BU15" s="106">
        <v>25948.799999999999</v>
      </c>
      <c r="BV15" s="106">
        <v>34</v>
      </c>
      <c r="BW15" s="106">
        <v>25948.799999999999</v>
      </c>
      <c r="BX15" s="106">
        <v>3</v>
      </c>
      <c r="BY15" s="106">
        <v>2289.6</v>
      </c>
      <c r="BZ15" s="106">
        <v>4</v>
      </c>
      <c r="CA15" s="106">
        <v>3052.7999999999997</v>
      </c>
      <c r="CB15" s="106">
        <v>3</v>
      </c>
      <c r="CC15" s="106">
        <v>2289.6</v>
      </c>
      <c r="CD15" s="106">
        <v>4</v>
      </c>
      <c r="CE15" s="106">
        <v>3052.7999999999997</v>
      </c>
      <c r="CF15" s="106">
        <v>20</v>
      </c>
      <c r="CG15" s="106">
        <v>15263.999999999998</v>
      </c>
      <c r="CH15" s="106">
        <v>24</v>
      </c>
      <c r="CI15" s="106">
        <v>18316.8</v>
      </c>
      <c r="CJ15" s="106">
        <v>30</v>
      </c>
      <c r="CK15" s="106">
        <v>22895.999999999996</v>
      </c>
      <c r="CL15" s="106">
        <v>34</v>
      </c>
      <c r="CM15" s="106">
        <v>25948.799999999999</v>
      </c>
      <c r="CN15" s="106">
        <v>10</v>
      </c>
      <c r="CO15" s="106">
        <v>7631.9999999999991</v>
      </c>
      <c r="CP15" s="106">
        <v>9</v>
      </c>
      <c r="CQ15" s="106">
        <v>6868.7999999999993</v>
      </c>
      <c r="CR15" s="106">
        <v>7</v>
      </c>
      <c r="CS15" s="106">
        <v>5342.4</v>
      </c>
      <c r="CT15" s="106">
        <v>6</v>
      </c>
      <c r="CU15" s="106">
        <v>4579.2</v>
      </c>
    </row>
    <row r="16" spans="1:99" x14ac:dyDescent="0.2">
      <c r="C16" s="105" t="s">
        <v>182</v>
      </c>
      <c r="D16" s="106">
        <v>4</v>
      </c>
      <c r="E16" s="106">
        <v>1363.2</v>
      </c>
      <c r="F16" s="106">
        <v>3</v>
      </c>
      <c r="G16" s="106">
        <v>1022.4000000000001</v>
      </c>
      <c r="H16" s="106">
        <v>4</v>
      </c>
      <c r="I16" s="106">
        <v>1363.2</v>
      </c>
      <c r="J16" s="106">
        <v>3</v>
      </c>
      <c r="K16" s="106">
        <v>1022.4000000000001</v>
      </c>
      <c r="L16" s="106">
        <v>2</v>
      </c>
      <c r="M16" s="106">
        <v>681.6</v>
      </c>
      <c r="N16" s="106">
        <v>3</v>
      </c>
      <c r="O16" s="106">
        <v>1022.4000000000001</v>
      </c>
      <c r="P16" s="106">
        <v>3</v>
      </c>
      <c r="Q16" s="106">
        <v>1022.4000000000001</v>
      </c>
      <c r="R16" s="106">
        <v>3</v>
      </c>
      <c r="S16" s="106">
        <v>1022.4000000000001</v>
      </c>
      <c r="T16" s="106">
        <v>5</v>
      </c>
      <c r="U16" s="106">
        <v>1704</v>
      </c>
      <c r="V16" s="106">
        <v>6</v>
      </c>
      <c r="W16" s="106">
        <v>2044.8000000000002</v>
      </c>
      <c r="X16" s="106">
        <v>6</v>
      </c>
      <c r="Y16" s="106">
        <v>2044.8000000000002</v>
      </c>
      <c r="Z16" s="106">
        <v>4</v>
      </c>
      <c r="AA16" s="106">
        <v>1363.2</v>
      </c>
      <c r="AB16" s="106">
        <v>29</v>
      </c>
      <c r="AC16" s="106">
        <v>9883.2000000000007</v>
      </c>
      <c r="AD16" s="106">
        <v>31</v>
      </c>
      <c r="AE16" s="106">
        <v>10564.800000000001</v>
      </c>
      <c r="AF16" s="106">
        <v>41</v>
      </c>
      <c r="AG16" s="106">
        <v>13972.800000000001</v>
      </c>
      <c r="AH16" s="106">
        <v>19</v>
      </c>
      <c r="AI16" s="106">
        <v>6475.2</v>
      </c>
      <c r="AJ16" s="106">
        <v>3</v>
      </c>
      <c r="AK16" s="106">
        <v>1022.4000000000001</v>
      </c>
      <c r="AL16" s="106">
        <v>5</v>
      </c>
      <c r="AM16" s="106">
        <v>1704</v>
      </c>
      <c r="AN16" s="106">
        <v>4</v>
      </c>
      <c r="AO16" s="106">
        <v>1363.2</v>
      </c>
      <c r="AP16" s="106">
        <v>4</v>
      </c>
      <c r="AQ16" s="106">
        <v>1363.2</v>
      </c>
      <c r="AR16" s="106">
        <v>14</v>
      </c>
      <c r="AS16" s="106">
        <v>4771.2</v>
      </c>
      <c r="AT16" s="106">
        <v>8</v>
      </c>
      <c r="AU16" s="106">
        <v>2726.4</v>
      </c>
      <c r="AV16" s="106">
        <v>9</v>
      </c>
      <c r="AW16" s="106">
        <v>3067.2000000000003</v>
      </c>
      <c r="AX16" s="106">
        <v>10</v>
      </c>
      <c r="AY16" s="106">
        <v>3408</v>
      </c>
      <c r="AZ16" s="106">
        <v>4</v>
      </c>
      <c r="BA16" s="106">
        <v>1363.2</v>
      </c>
      <c r="BB16" s="106">
        <v>5</v>
      </c>
      <c r="BC16" s="106">
        <v>1704</v>
      </c>
      <c r="BD16" s="106">
        <v>4</v>
      </c>
      <c r="BE16" s="106">
        <v>1363.2</v>
      </c>
      <c r="BF16" s="106">
        <v>4</v>
      </c>
      <c r="BG16" s="106">
        <v>1363.2</v>
      </c>
      <c r="BH16" s="106">
        <v>8</v>
      </c>
      <c r="BI16" s="106">
        <v>2726.4</v>
      </c>
      <c r="BJ16" s="106">
        <v>7</v>
      </c>
      <c r="BK16" s="106">
        <v>2385.6</v>
      </c>
      <c r="BL16" s="106">
        <v>8</v>
      </c>
      <c r="BM16" s="106">
        <v>2726.4</v>
      </c>
      <c r="BN16" s="106">
        <v>6</v>
      </c>
      <c r="BO16" s="106">
        <v>2044.8000000000002</v>
      </c>
      <c r="BP16" s="106">
        <v>38</v>
      </c>
      <c r="BQ16" s="106">
        <v>12950.4</v>
      </c>
      <c r="BR16" s="106">
        <v>47</v>
      </c>
      <c r="BS16" s="106">
        <v>16017.6</v>
      </c>
      <c r="BT16" s="106">
        <v>40</v>
      </c>
      <c r="BU16" s="106">
        <v>13632</v>
      </c>
      <c r="BV16" s="106">
        <v>38</v>
      </c>
      <c r="BW16" s="106">
        <v>12950.4</v>
      </c>
      <c r="BX16" s="106">
        <v>3</v>
      </c>
      <c r="BY16" s="106">
        <v>1022.4000000000001</v>
      </c>
      <c r="BZ16" s="106">
        <v>4</v>
      </c>
      <c r="CA16" s="106">
        <v>1363.2</v>
      </c>
      <c r="CB16" s="106">
        <v>3</v>
      </c>
      <c r="CC16" s="106">
        <v>1022.4000000000001</v>
      </c>
      <c r="CD16" s="106">
        <v>4</v>
      </c>
      <c r="CE16" s="106">
        <v>1363.2</v>
      </c>
      <c r="CF16" s="106">
        <v>24</v>
      </c>
      <c r="CG16" s="106">
        <v>8179.2000000000007</v>
      </c>
      <c r="CH16" s="106">
        <v>28</v>
      </c>
      <c r="CI16" s="106">
        <v>9542.4</v>
      </c>
      <c r="CJ16" s="106">
        <v>33</v>
      </c>
      <c r="CK16" s="106">
        <v>11246.4</v>
      </c>
      <c r="CL16" s="106">
        <v>39</v>
      </c>
      <c r="CM16" s="106">
        <v>13291.2</v>
      </c>
      <c r="CN16" s="106">
        <v>11</v>
      </c>
      <c r="CO16" s="106">
        <v>3748.8</v>
      </c>
      <c r="CP16" s="106">
        <v>9</v>
      </c>
      <c r="CQ16" s="106">
        <v>3067.2000000000003</v>
      </c>
      <c r="CR16" s="106">
        <v>7</v>
      </c>
      <c r="CS16" s="106">
        <v>2385.6</v>
      </c>
      <c r="CT16" s="106">
        <v>7</v>
      </c>
      <c r="CU16" s="106">
        <v>2385.6</v>
      </c>
    </row>
    <row r="17" spans="2:99" x14ac:dyDescent="0.2">
      <c r="C17" s="105" t="s">
        <v>183</v>
      </c>
      <c r="D17" s="106">
        <v>4</v>
      </c>
      <c r="E17" s="106">
        <v>1689.6</v>
      </c>
      <c r="F17" s="106">
        <v>3</v>
      </c>
      <c r="G17" s="106">
        <v>1267.1999999999998</v>
      </c>
      <c r="H17" s="106">
        <v>4</v>
      </c>
      <c r="I17" s="106">
        <v>1689.6</v>
      </c>
      <c r="J17" s="106">
        <v>3</v>
      </c>
      <c r="K17" s="106">
        <v>1267.1999999999998</v>
      </c>
      <c r="L17" s="106">
        <v>2</v>
      </c>
      <c r="M17" s="106">
        <v>844.8</v>
      </c>
      <c r="N17" s="106">
        <v>3</v>
      </c>
      <c r="O17" s="106">
        <v>1267.1999999999998</v>
      </c>
      <c r="P17" s="106">
        <v>4</v>
      </c>
      <c r="Q17" s="106">
        <v>1689.6</v>
      </c>
      <c r="R17" s="106">
        <v>3</v>
      </c>
      <c r="S17" s="106">
        <v>1267.1999999999998</v>
      </c>
      <c r="T17" s="106">
        <v>6</v>
      </c>
      <c r="U17" s="106">
        <v>2534.3999999999996</v>
      </c>
      <c r="V17" s="106">
        <v>6</v>
      </c>
      <c r="W17" s="106">
        <v>2534.3999999999996</v>
      </c>
      <c r="X17" s="106">
        <v>5</v>
      </c>
      <c r="Y17" s="106">
        <v>2112</v>
      </c>
      <c r="Z17" s="106">
        <v>4</v>
      </c>
      <c r="AA17" s="106">
        <v>1689.6</v>
      </c>
      <c r="AB17" s="106">
        <v>27</v>
      </c>
      <c r="AC17" s="106">
        <v>11404.8</v>
      </c>
      <c r="AD17" s="106">
        <v>32</v>
      </c>
      <c r="AE17" s="106">
        <v>13516.8</v>
      </c>
      <c r="AF17" s="106">
        <v>38</v>
      </c>
      <c r="AG17" s="106">
        <v>16051.199999999999</v>
      </c>
      <c r="AH17" s="106">
        <v>17</v>
      </c>
      <c r="AI17" s="106">
        <v>7180.7999999999993</v>
      </c>
      <c r="AJ17" s="106">
        <v>3</v>
      </c>
      <c r="AK17" s="106">
        <v>1267.1999999999998</v>
      </c>
      <c r="AL17" s="106">
        <v>5</v>
      </c>
      <c r="AM17" s="106">
        <v>2112</v>
      </c>
      <c r="AN17" s="106">
        <v>4</v>
      </c>
      <c r="AO17" s="106">
        <v>1689.6</v>
      </c>
      <c r="AP17" s="106">
        <v>4</v>
      </c>
      <c r="AQ17" s="106">
        <v>1689.6</v>
      </c>
      <c r="AR17" s="106">
        <v>14</v>
      </c>
      <c r="AS17" s="106">
        <v>5913.5999999999995</v>
      </c>
      <c r="AT17" s="106">
        <v>8</v>
      </c>
      <c r="AU17" s="106">
        <v>3379.2</v>
      </c>
      <c r="AV17" s="106">
        <v>10</v>
      </c>
      <c r="AW17" s="106">
        <v>4224</v>
      </c>
      <c r="AX17" s="106">
        <v>9</v>
      </c>
      <c r="AY17" s="106">
        <v>3801.6</v>
      </c>
      <c r="AZ17" s="106">
        <v>4</v>
      </c>
      <c r="BA17" s="106">
        <v>1689.6</v>
      </c>
      <c r="BB17" s="106">
        <v>5</v>
      </c>
      <c r="BC17" s="106">
        <v>2112</v>
      </c>
      <c r="BD17" s="106">
        <v>4</v>
      </c>
      <c r="BE17" s="106">
        <v>1689.6</v>
      </c>
      <c r="BF17" s="106">
        <v>4</v>
      </c>
      <c r="BG17" s="106">
        <v>1689.6</v>
      </c>
      <c r="BH17" s="106">
        <v>7</v>
      </c>
      <c r="BI17" s="106">
        <v>2956.7999999999997</v>
      </c>
      <c r="BJ17" s="106">
        <v>6</v>
      </c>
      <c r="BK17" s="106">
        <v>2534.3999999999996</v>
      </c>
      <c r="BL17" s="106">
        <v>8</v>
      </c>
      <c r="BM17" s="106">
        <v>3379.2</v>
      </c>
      <c r="BN17" s="106">
        <v>6</v>
      </c>
      <c r="BO17" s="106">
        <v>2534.3999999999996</v>
      </c>
      <c r="BP17" s="106">
        <v>35</v>
      </c>
      <c r="BQ17" s="106">
        <v>14784</v>
      </c>
      <c r="BR17" s="106">
        <v>47</v>
      </c>
      <c r="BS17" s="106">
        <v>19852.8</v>
      </c>
      <c r="BT17" s="106">
        <v>40</v>
      </c>
      <c r="BU17" s="106">
        <v>16896</v>
      </c>
      <c r="BV17" s="106">
        <v>34</v>
      </c>
      <c r="BW17" s="106">
        <v>14361.599999999999</v>
      </c>
      <c r="BX17" s="106">
        <v>3</v>
      </c>
      <c r="BY17" s="106">
        <v>1267.1999999999998</v>
      </c>
      <c r="BZ17" s="106">
        <v>4</v>
      </c>
      <c r="CA17" s="106">
        <v>1689.6</v>
      </c>
      <c r="CB17" s="106">
        <v>3</v>
      </c>
      <c r="CC17" s="106">
        <v>1267.1999999999998</v>
      </c>
      <c r="CD17" s="106">
        <v>4</v>
      </c>
      <c r="CE17" s="106">
        <v>1689.6</v>
      </c>
      <c r="CF17" s="106">
        <v>22</v>
      </c>
      <c r="CG17" s="106">
        <v>9292.7999999999993</v>
      </c>
      <c r="CH17" s="106">
        <v>30</v>
      </c>
      <c r="CI17" s="106">
        <v>12672</v>
      </c>
      <c r="CJ17" s="106">
        <v>30</v>
      </c>
      <c r="CK17" s="106">
        <v>12672</v>
      </c>
      <c r="CL17" s="106">
        <v>40</v>
      </c>
      <c r="CM17" s="106">
        <v>16896</v>
      </c>
      <c r="CN17" s="106">
        <v>12</v>
      </c>
      <c r="CO17" s="106">
        <v>5068.7999999999993</v>
      </c>
      <c r="CP17" s="106">
        <v>10</v>
      </c>
      <c r="CQ17" s="106">
        <v>4224</v>
      </c>
      <c r="CR17" s="106">
        <v>7</v>
      </c>
      <c r="CS17" s="106">
        <v>2956.7999999999997</v>
      </c>
      <c r="CT17" s="106">
        <v>6</v>
      </c>
      <c r="CU17" s="106">
        <v>2534.3999999999996</v>
      </c>
    </row>
    <row r="18" spans="2:99" x14ac:dyDescent="0.2">
      <c r="C18" s="105" t="s">
        <v>184</v>
      </c>
      <c r="D18" s="106">
        <v>4</v>
      </c>
      <c r="E18" s="106">
        <v>2611.1999999999998</v>
      </c>
      <c r="F18" s="106">
        <v>3</v>
      </c>
      <c r="G18" s="106">
        <v>1958.3999999999999</v>
      </c>
      <c r="H18" s="106">
        <v>3</v>
      </c>
      <c r="I18" s="106">
        <v>1958.3999999999999</v>
      </c>
      <c r="J18" s="106">
        <v>3</v>
      </c>
      <c r="K18" s="106">
        <v>1958.3999999999999</v>
      </c>
      <c r="L18" s="106">
        <v>2</v>
      </c>
      <c r="M18" s="106">
        <v>1305.5999999999999</v>
      </c>
      <c r="N18" s="106">
        <v>3</v>
      </c>
      <c r="O18" s="106">
        <v>1958.3999999999999</v>
      </c>
      <c r="P18" s="106">
        <v>3</v>
      </c>
      <c r="Q18" s="106">
        <v>1958.3999999999999</v>
      </c>
      <c r="R18" s="106">
        <v>3</v>
      </c>
      <c r="S18" s="106">
        <v>1958.3999999999999</v>
      </c>
      <c r="T18" s="106">
        <v>5</v>
      </c>
      <c r="U18" s="106">
        <v>3264</v>
      </c>
      <c r="V18" s="106">
        <v>6</v>
      </c>
      <c r="W18" s="106">
        <v>3916.7999999999997</v>
      </c>
      <c r="X18" s="106">
        <v>5</v>
      </c>
      <c r="Y18" s="106">
        <v>3264</v>
      </c>
      <c r="Z18" s="106">
        <v>4</v>
      </c>
      <c r="AA18" s="106">
        <v>2611.1999999999998</v>
      </c>
      <c r="AB18" s="106">
        <v>26</v>
      </c>
      <c r="AC18" s="106">
        <v>16972.8</v>
      </c>
      <c r="AD18" s="106">
        <v>29</v>
      </c>
      <c r="AE18" s="106">
        <v>18931.199999999997</v>
      </c>
      <c r="AF18" s="106">
        <v>36</v>
      </c>
      <c r="AG18" s="106">
        <v>23500.799999999999</v>
      </c>
      <c r="AH18" s="106">
        <v>17</v>
      </c>
      <c r="AI18" s="106">
        <v>11097.599999999999</v>
      </c>
      <c r="AJ18" s="106">
        <v>3</v>
      </c>
      <c r="AK18" s="106">
        <v>1958.3999999999999</v>
      </c>
      <c r="AL18" s="106">
        <v>5</v>
      </c>
      <c r="AM18" s="106">
        <v>3264</v>
      </c>
      <c r="AN18" s="106">
        <v>4</v>
      </c>
      <c r="AO18" s="106">
        <v>2611.1999999999998</v>
      </c>
      <c r="AP18" s="106">
        <v>4</v>
      </c>
      <c r="AQ18" s="106">
        <v>2611.1999999999998</v>
      </c>
      <c r="AR18" s="106">
        <v>14</v>
      </c>
      <c r="AS18" s="106">
        <v>9139.1999999999989</v>
      </c>
      <c r="AT18" s="106">
        <v>9</v>
      </c>
      <c r="AU18" s="106">
        <v>5875.2</v>
      </c>
      <c r="AV18" s="106">
        <v>9</v>
      </c>
      <c r="AW18" s="106">
        <v>5875.2</v>
      </c>
      <c r="AX18" s="106">
        <v>8</v>
      </c>
      <c r="AY18" s="106">
        <v>5222.3999999999996</v>
      </c>
      <c r="AZ18" s="106">
        <v>4</v>
      </c>
      <c r="BA18" s="106">
        <v>2611.1999999999998</v>
      </c>
      <c r="BB18" s="106">
        <v>5</v>
      </c>
      <c r="BC18" s="106">
        <v>3264</v>
      </c>
      <c r="BD18" s="106">
        <v>4</v>
      </c>
      <c r="BE18" s="106">
        <v>2611.1999999999998</v>
      </c>
      <c r="BF18" s="106">
        <v>4</v>
      </c>
      <c r="BG18" s="106">
        <v>2611.1999999999998</v>
      </c>
      <c r="BH18" s="106">
        <v>8</v>
      </c>
      <c r="BI18" s="106">
        <v>5222.3999999999996</v>
      </c>
      <c r="BJ18" s="106">
        <v>6</v>
      </c>
      <c r="BK18" s="106">
        <v>3916.7999999999997</v>
      </c>
      <c r="BL18" s="106">
        <v>8</v>
      </c>
      <c r="BM18" s="106">
        <v>5222.3999999999996</v>
      </c>
      <c r="BN18" s="106">
        <v>6</v>
      </c>
      <c r="BO18" s="106">
        <v>3916.7999999999997</v>
      </c>
      <c r="BP18" s="106">
        <v>39</v>
      </c>
      <c r="BQ18" s="106">
        <v>25459.199999999997</v>
      </c>
      <c r="BR18" s="106">
        <v>41</v>
      </c>
      <c r="BS18" s="106">
        <v>26764.799999999999</v>
      </c>
      <c r="BT18" s="106">
        <v>39</v>
      </c>
      <c r="BU18" s="106">
        <v>25459.199999999997</v>
      </c>
      <c r="BV18" s="106">
        <v>34</v>
      </c>
      <c r="BW18" s="106">
        <v>22195.199999999997</v>
      </c>
      <c r="BX18" s="106">
        <v>3</v>
      </c>
      <c r="BY18" s="106">
        <v>1958.3999999999999</v>
      </c>
      <c r="BZ18" s="106">
        <v>5</v>
      </c>
      <c r="CA18" s="106">
        <v>3264</v>
      </c>
      <c r="CB18" s="106">
        <v>3</v>
      </c>
      <c r="CC18" s="106">
        <v>1958.3999999999999</v>
      </c>
      <c r="CD18" s="106">
        <v>3</v>
      </c>
      <c r="CE18" s="106">
        <v>1958.3999999999999</v>
      </c>
      <c r="CF18" s="106">
        <v>23</v>
      </c>
      <c r="CG18" s="106">
        <v>15014.4</v>
      </c>
      <c r="CH18" s="106">
        <v>28</v>
      </c>
      <c r="CI18" s="106">
        <v>18278.399999999998</v>
      </c>
      <c r="CJ18" s="106">
        <v>33</v>
      </c>
      <c r="CK18" s="106">
        <v>21542.399999999998</v>
      </c>
      <c r="CL18" s="106">
        <v>36</v>
      </c>
      <c r="CM18" s="106">
        <v>23500.799999999999</v>
      </c>
      <c r="CN18" s="106">
        <v>12</v>
      </c>
      <c r="CO18" s="106">
        <v>7833.5999999999995</v>
      </c>
      <c r="CP18" s="106">
        <v>9</v>
      </c>
      <c r="CQ18" s="106">
        <v>5875.2</v>
      </c>
      <c r="CR18" s="106">
        <v>6</v>
      </c>
      <c r="CS18" s="106">
        <v>3916.7999999999997</v>
      </c>
      <c r="CT18" s="106">
        <v>6</v>
      </c>
      <c r="CU18" s="106">
        <v>3916.7999999999997</v>
      </c>
    </row>
    <row r="19" spans="2:99" x14ac:dyDescent="0.2">
      <c r="C19" s="105" t="s">
        <v>185</v>
      </c>
      <c r="D19" s="106">
        <v>4</v>
      </c>
      <c r="E19" s="106">
        <v>1320</v>
      </c>
      <c r="F19" s="106">
        <v>3</v>
      </c>
      <c r="G19" s="106">
        <v>990</v>
      </c>
      <c r="H19" s="106">
        <v>4</v>
      </c>
      <c r="I19" s="106">
        <v>1320</v>
      </c>
      <c r="J19" s="106">
        <v>3</v>
      </c>
      <c r="K19" s="106">
        <v>990</v>
      </c>
      <c r="L19" s="106">
        <v>2</v>
      </c>
      <c r="M19" s="106">
        <v>660</v>
      </c>
      <c r="N19" s="106">
        <v>3</v>
      </c>
      <c r="O19" s="106">
        <v>990</v>
      </c>
      <c r="P19" s="106">
        <v>4</v>
      </c>
      <c r="Q19" s="106">
        <v>1320</v>
      </c>
      <c r="R19" s="106">
        <v>3</v>
      </c>
      <c r="S19" s="106">
        <v>990</v>
      </c>
      <c r="T19" s="106">
        <v>6</v>
      </c>
      <c r="U19" s="106">
        <v>1980</v>
      </c>
      <c r="V19" s="106">
        <v>6</v>
      </c>
      <c r="W19" s="106">
        <v>1980</v>
      </c>
      <c r="X19" s="106">
        <v>5</v>
      </c>
      <c r="Y19" s="106">
        <v>1650</v>
      </c>
      <c r="Z19" s="106">
        <v>4</v>
      </c>
      <c r="AA19" s="106">
        <v>1320</v>
      </c>
      <c r="AB19" s="106">
        <v>25</v>
      </c>
      <c r="AC19" s="106">
        <v>8250</v>
      </c>
      <c r="AD19" s="106">
        <v>37</v>
      </c>
      <c r="AE19" s="106">
        <v>12210</v>
      </c>
      <c r="AF19" s="106">
        <v>38</v>
      </c>
      <c r="AG19" s="106">
        <v>12540</v>
      </c>
      <c r="AH19" s="106">
        <v>18</v>
      </c>
      <c r="AI19" s="106">
        <v>5940</v>
      </c>
      <c r="AJ19" s="106">
        <v>4</v>
      </c>
      <c r="AK19" s="106">
        <v>1320</v>
      </c>
      <c r="AL19" s="106">
        <v>5</v>
      </c>
      <c r="AM19" s="106">
        <v>1650</v>
      </c>
      <c r="AN19" s="106">
        <v>4</v>
      </c>
      <c r="AO19" s="106">
        <v>1320</v>
      </c>
      <c r="AP19" s="106">
        <v>4</v>
      </c>
      <c r="AQ19" s="106">
        <v>1320</v>
      </c>
      <c r="AR19" s="106">
        <v>14</v>
      </c>
      <c r="AS19" s="106">
        <v>4620</v>
      </c>
      <c r="AT19" s="106">
        <v>9</v>
      </c>
      <c r="AU19" s="106">
        <v>2970</v>
      </c>
      <c r="AV19" s="106">
        <v>9</v>
      </c>
      <c r="AW19" s="106">
        <v>2970</v>
      </c>
      <c r="AX19" s="106">
        <v>10</v>
      </c>
      <c r="AY19" s="106">
        <v>3300</v>
      </c>
      <c r="AZ19" s="106">
        <v>3</v>
      </c>
      <c r="BA19" s="106">
        <v>990</v>
      </c>
      <c r="BB19" s="106">
        <v>5</v>
      </c>
      <c r="BC19" s="106">
        <v>1650</v>
      </c>
      <c r="BD19" s="106">
        <v>4</v>
      </c>
      <c r="BE19" s="106">
        <v>1320</v>
      </c>
      <c r="BF19" s="106">
        <v>4</v>
      </c>
      <c r="BG19" s="106">
        <v>1320</v>
      </c>
      <c r="BH19" s="106">
        <v>8</v>
      </c>
      <c r="BI19" s="106">
        <v>2640</v>
      </c>
      <c r="BJ19" s="106">
        <v>6</v>
      </c>
      <c r="BK19" s="106">
        <v>1980</v>
      </c>
      <c r="BL19" s="106">
        <v>9</v>
      </c>
      <c r="BM19" s="106">
        <v>2970</v>
      </c>
      <c r="BN19" s="106">
        <v>6</v>
      </c>
      <c r="BO19" s="106">
        <v>1980</v>
      </c>
      <c r="BP19" s="106">
        <v>35</v>
      </c>
      <c r="BQ19" s="106">
        <v>11550</v>
      </c>
      <c r="BR19" s="106">
        <v>43</v>
      </c>
      <c r="BS19" s="106">
        <v>14190</v>
      </c>
      <c r="BT19" s="106">
        <v>44</v>
      </c>
      <c r="BU19" s="106">
        <v>14520</v>
      </c>
      <c r="BV19" s="106">
        <v>32</v>
      </c>
      <c r="BW19" s="106">
        <v>10560</v>
      </c>
      <c r="BX19" s="106">
        <v>3</v>
      </c>
      <c r="BY19" s="106">
        <v>990</v>
      </c>
      <c r="BZ19" s="106">
        <v>4</v>
      </c>
      <c r="CA19" s="106">
        <v>1320</v>
      </c>
      <c r="CB19" s="106">
        <v>3</v>
      </c>
      <c r="CC19" s="106">
        <v>990</v>
      </c>
      <c r="CD19" s="106">
        <v>3</v>
      </c>
      <c r="CE19" s="106">
        <v>990</v>
      </c>
      <c r="CF19" s="106">
        <v>22</v>
      </c>
      <c r="CG19" s="106">
        <v>7260</v>
      </c>
      <c r="CH19" s="106">
        <v>31</v>
      </c>
      <c r="CI19" s="106">
        <v>10230</v>
      </c>
      <c r="CJ19" s="106">
        <v>34</v>
      </c>
      <c r="CK19" s="106">
        <v>11220</v>
      </c>
      <c r="CL19" s="106">
        <v>37</v>
      </c>
      <c r="CM19" s="106">
        <v>12210</v>
      </c>
      <c r="CN19" s="106">
        <v>11</v>
      </c>
      <c r="CO19" s="106">
        <v>3630</v>
      </c>
      <c r="CP19" s="106">
        <v>9</v>
      </c>
      <c r="CQ19" s="106">
        <v>2970</v>
      </c>
      <c r="CR19" s="106">
        <v>7</v>
      </c>
      <c r="CS19" s="106">
        <v>2310</v>
      </c>
      <c r="CT19" s="106">
        <v>7</v>
      </c>
      <c r="CU19" s="106">
        <v>2310</v>
      </c>
    </row>
    <row r="20" spans="2:99" x14ac:dyDescent="0.2">
      <c r="B20" s="105" t="s">
        <v>127</v>
      </c>
      <c r="C20" s="105" t="s">
        <v>186</v>
      </c>
      <c r="D20" s="106">
        <v>4</v>
      </c>
      <c r="E20" s="106">
        <v>1147.2</v>
      </c>
      <c r="F20" s="106">
        <v>4</v>
      </c>
      <c r="G20" s="106">
        <v>1147.2</v>
      </c>
      <c r="H20" s="106">
        <v>3</v>
      </c>
      <c r="I20" s="106">
        <v>860.40000000000009</v>
      </c>
      <c r="J20" s="106">
        <v>4</v>
      </c>
      <c r="K20" s="106">
        <v>1147.2</v>
      </c>
      <c r="L20" s="106">
        <v>14</v>
      </c>
      <c r="M20" s="106">
        <v>4015.2000000000003</v>
      </c>
      <c r="N20" s="106">
        <v>17</v>
      </c>
      <c r="O20" s="106">
        <v>4875.6000000000004</v>
      </c>
      <c r="P20" s="106">
        <v>14</v>
      </c>
      <c r="Q20" s="106">
        <v>4015.2000000000003</v>
      </c>
      <c r="R20" s="106">
        <v>19</v>
      </c>
      <c r="S20" s="106">
        <v>5449.2</v>
      </c>
      <c r="T20" s="106">
        <v>4</v>
      </c>
      <c r="U20" s="106">
        <v>1147.2</v>
      </c>
      <c r="V20" s="106">
        <v>5</v>
      </c>
      <c r="W20" s="106">
        <v>1434</v>
      </c>
      <c r="X20" s="106">
        <v>3</v>
      </c>
      <c r="Y20" s="106">
        <v>860.40000000000009</v>
      </c>
      <c r="Z20" s="106">
        <v>3</v>
      </c>
      <c r="AA20" s="106">
        <v>860.40000000000009</v>
      </c>
      <c r="AB20" s="106">
        <v>3</v>
      </c>
      <c r="AC20" s="106">
        <v>860.40000000000009</v>
      </c>
      <c r="AD20" s="106">
        <v>3</v>
      </c>
      <c r="AE20" s="106">
        <v>860.40000000000009</v>
      </c>
      <c r="AF20" s="106">
        <v>4</v>
      </c>
      <c r="AG20" s="106">
        <v>1147.2</v>
      </c>
      <c r="AH20" s="106">
        <v>2</v>
      </c>
      <c r="AI20" s="106">
        <v>573.6</v>
      </c>
      <c r="AJ20" s="106">
        <v>11</v>
      </c>
      <c r="AK20" s="106">
        <v>3154.8</v>
      </c>
      <c r="AL20" s="106">
        <v>9</v>
      </c>
      <c r="AM20" s="106">
        <v>2581.2000000000003</v>
      </c>
      <c r="AN20" s="106">
        <v>12</v>
      </c>
      <c r="AO20" s="106">
        <v>3441.6000000000004</v>
      </c>
      <c r="AP20" s="106">
        <v>10</v>
      </c>
      <c r="AQ20" s="106">
        <v>2868</v>
      </c>
      <c r="AR20" s="106">
        <v>29</v>
      </c>
      <c r="AS20" s="106">
        <v>8317.2000000000007</v>
      </c>
      <c r="AT20" s="106">
        <v>24</v>
      </c>
      <c r="AU20" s="106">
        <v>6883.2000000000007</v>
      </c>
      <c r="AV20" s="106">
        <v>38</v>
      </c>
      <c r="AW20" s="106">
        <v>10898.4</v>
      </c>
      <c r="AX20" s="106">
        <v>21</v>
      </c>
      <c r="AY20" s="106">
        <v>6022.8</v>
      </c>
      <c r="AZ20" s="106">
        <v>3</v>
      </c>
      <c r="BA20" s="106">
        <v>860.40000000000009</v>
      </c>
      <c r="BB20" s="106">
        <v>3</v>
      </c>
      <c r="BC20" s="106">
        <v>860.40000000000009</v>
      </c>
      <c r="BD20" s="106">
        <v>3</v>
      </c>
      <c r="BE20" s="106">
        <v>860.40000000000009</v>
      </c>
      <c r="BF20" s="106">
        <v>3</v>
      </c>
      <c r="BG20" s="106">
        <v>860.40000000000009</v>
      </c>
      <c r="BH20" s="106">
        <v>10</v>
      </c>
      <c r="BI20" s="106">
        <v>2868</v>
      </c>
      <c r="BJ20" s="106">
        <v>15</v>
      </c>
      <c r="BK20" s="106">
        <v>4302</v>
      </c>
      <c r="BL20" s="106">
        <v>14</v>
      </c>
      <c r="BM20" s="106">
        <v>4015.2000000000003</v>
      </c>
      <c r="BN20" s="106">
        <v>10</v>
      </c>
      <c r="BO20" s="106">
        <v>2868</v>
      </c>
      <c r="BP20" s="106">
        <v>2</v>
      </c>
      <c r="BQ20" s="106">
        <v>573.6</v>
      </c>
      <c r="BR20" s="106">
        <v>4</v>
      </c>
      <c r="BS20" s="106">
        <v>1147.2</v>
      </c>
      <c r="BT20" s="106">
        <v>4</v>
      </c>
      <c r="BU20" s="106">
        <v>1147.2</v>
      </c>
      <c r="BV20" s="106">
        <v>3</v>
      </c>
      <c r="BW20" s="106">
        <v>860.40000000000009</v>
      </c>
      <c r="BX20" s="106">
        <v>16</v>
      </c>
      <c r="BY20" s="106">
        <v>4588.8</v>
      </c>
      <c r="BZ20" s="106">
        <v>25</v>
      </c>
      <c r="CA20" s="106">
        <v>7170</v>
      </c>
      <c r="CB20" s="106">
        <v>22</v>
      </c>
      <c r="CC20" s="106">
        <v>6309.6</v>
      </c>
      <c r="CD20" s="106">
        <v>29</v>
      </c>
      <c r="CE20" s="106">
        <v>8317.2000000000007</v>
      </c>
      <c r="CF20" s="106">
        <v>25</v>
      </c>
      <c r="CG20" s="106">
        <v>7170</v>
      </c>
      <c r="CH20" s="106">
        <v>18</v>
      </c>
      <c r="CI20" s="106">
        <v>5162.4000000000005</v>
      </c>
      <c r="CJ20" s="106">
        <v>32</v>
      </c>
      <c r="CK20" s="106">
        <v>9177.6</v>
      </c>
      <c r="CL20" s="106">
        <v>17</v>
      </c>
      <c r="CM20" s="106">
        <v>4875.6000000000004</v>
      </c>
      <c r="CN20" s="106">
        <v>30</v>
      </c>
      <c r="CO20" s="106">
        <v>8604</v>
      </c>
      <c r="CP20" s="106">
        <v>20</v>
      </c>
      <c r="CQ20" s="106">
        <v>5736</v>
      </c>
      <c r="CR20" s="106">
        <v>31</v>
      </c>
      <c r="CS20" s="106">
        <v>8890.8000000000011</v>
      </c>
      <c r="CT20" s="106">
        <v>28</v>
      </c>
      <c r="CU20" s="106">
        <v>8030.4000000000005</v>
      </c>
    </row>
    <row r="21" spans="2:99" x14ac:dyDescent="0.2">
      <c r="C21" s="105" t="s">
        <v>187</v>
      </c>
      <c r="D21" s="106">
        <v>4</v>
      </c>
      <c r="E21" s="106">
        <v>249.6</v>
      </c>
      <c r="F21" s="106">
        <v>3</v>
      </c>
      <c r="G21" s="106">
        <v>187.2</v>
      </c>
      <c r="H21" s="106">
        <v>3</v>
      </c>
      <c r="I21" s="106">
        <v>187.2</v>
      </c>
      <c r="J21" s="106">
        <v>3</v>
      </c>
      <c r="K21" s="106">
        <v>187.2</v>
      </c>
      <c r="L21" s="106">
        <v>14</v>
      </c>
      <c r="M21" s="106">
        <v>873.6</v>
      </c>
      <c r="N21" s="106">
        <v>18</v>
      </c>
      <c r="O21" s="106">
        <v>1123.2</v>
      </c>
      <c r="P21" s="106">
        <v>14</v>
      </c>
      <c r="Q21" s="106">
        <v>873.6</v>
      </c>
      <c r="R21" s="106">
        <v>19</v>
      </c>
      <c r="S21" s="106">
        <v>1185.5999999999999</v>
      </c>
      <c r="T21" s="106">
        <v>4</v>
      </c>
      <c r="U21" s="106">
        <v>249.6</v>
      </c>
      <c r="V21" s="106">
        <v>4</v>
      </c>
      <c r="W21" s="106">
        <v>249.6</v>
      </c>
      <c r="X21" s="106">
        <v>3</v>
      </c>
      <c r="Y21" s="106">
        <v>187.2</v>
      </c>
      <c r="Z21" s="106">
        <v>4</v>
      </c>
      <c r="AA21" s="106">
        <v>249.6</v>
      </c>
      <c r="AB21" s="106">
        <v>3</v>
      </c>
      <c r="AC21" s="106">
        <v>187.2</v>
      </c>
      <c r="AD21" s="106">
        <v>3</v>
      </c>
      <c r="AE21" s="106">
        <v>187.2</v>
      </c>
      <c r="AF21" s="106">
        <v>4</v>
      </c>
      <c r="AG21" s="106">
        <v>249.6</v>
      </c>
      <c r="AH21" s="106">
        <v>2</v>
      </c>
      <c r="AI21" s="106">
        <v>124.8</v>
      </c>
      <c r="AJ21" s="106">
        <v>12</v>
      </c>
      <c r="AK21" s="106">
        <v>748.8</v>
      </c>
      <c r="AL21" s="106">
        <v>10</v>
      </c>
      <c r="AM21" s="106">
        <v>624</v>
      </c>
      <c r="AN21" s="106">
        <v>11</v>
      </c>
      <c r="AO21" s="106">
        <v>686.4</v>
      </c>
      <c r="AP21" s="106">
        <v>11</v>
      </c>
      <c r="AQ21" s="106">
        <v>686.4</v>
      </c>
      <c r="AR21" s="106">
        <v>31</v>
      </c>
      <c r="AS21" s="106">
        <v>1934.3999999999999</v>
      </c>
      <c r="AT21" s="106">
        <v>24</v>
      </c>
      <c r="AU21" s="106">
        <v>1497.6</v>
      </c>
      <c r="AV21" s="106">
        <v>41</v>
      </c>
      <c r="AW21" s="106">
        <v>2558.4</v>
      </c>
      <c r="AX21" s="106">
        <v>24</v>
      </c>
      <c r="AY21" s="106">
        <v>1497.6</v>
      </c>
      <c r="AZ21" s="106">
        <v>3</v>
      </c>
      <c r="BA21" s="106">
        <v>187.2</v>
      </c>
      <c r="BB21" s="106">
        <v>3</v>
      </c>
      <c r="BC21" s="106">
        <v>187.2</v>
      </c>
      <c r="BD21" s="106">
        <v>3</v>
      </c>
      <c r="BE21" s="106">
        <v>187.2</v>
      </c>
      <c r="BF21" s="106">
        <v>3</v>
      </c>
      <c r="BG21" s="106">
        <v>187.2</v>
      </c>
      <c r="BH21" s="106">
        <v>10</v>
      </c>
      <c r="BI21" s="106">
        <v>624</v>
      </c>
      <c r="BJ21" s="106">
        <v>17</v>
      </c>
      <c r="BK21" s="106">
        <v>1060.8</v>
      </c>
      <c r="BL21" s="106">
        <v>14</v>
      </c>
      <c r="BM21" s="106">
        <v>873.6</v>
      </c>
      <c r="BN21" s="106">
        <v>11</v>
      </c>
      <c r="BO21" s="106">
        <v>686.4</v>
      </c>
      <c r="BP21" s="106">
        <v>2</v>
      </c>
      <c r="BQ21" s="106">
        <v>124.8</v>
      </c>
      <c r="BR21" s="106">
        <v>4</v>
      </c>
      <c r="BS21" s="106">
        <v>249.6</v>
      </c>
      <c r="BT21" s="106">
        <v>4</v>
      </c>
      <c r="BU21" s="106">
        <v>249.6</v>
      </c>
      <c r="BV21" s="106">
        <v>2</v>
      </c>
      <c r="BW21" s="106">
        <v>124.8</v>
      </c>
      <c r="BX21" s="106">
        <v>16</v>
      </c>
      <c r="BY21" s="106">
        <v>998.4</v>
      </c>
      <c r="BZ21" s="106">
        <v>22</v>
      </c>
      <c r="CA21" s="106">
        <v>1372.8</v>
      </c>
      <c r="CB21" s="106">
        <v>26</v>
      </c>
      <c r="CC21" s="106">
        <v>1622.3999999999999</v>
      </c>
      <c r="CD21" s="106">
        <v>30</v>
      </c>
      <c r="CE21" s="106">
        <v>1872</v>
      </c>
      <c r="CF21" s="106">
        <v>31</v>
      </c>
      <c r="CG21" s="106">
        <v>1934.3999999999999</v>
      </c>
      <c r="CH21" s="106">
        <v>20</v>
      </c>
      <c r="CI21" s="106">
        <v>1248</v>
      </c>
      <c r="CJ21" s="106">
        <v>35</v>
      </c>
      <c r="CK21" s="106">
        <v>2184</v>
      </c>
      <c r="CL21" s="106">
        <v>21</v>
      </c>
      <c r="CM21" s="106">
        <v>1310.3999999999999</v>
      </c>
      <c r="CN21" s="106">
        <v>29</v>
      </c>
      <c r="CO21" s="106">
        <v>1809.6</v>
      </c>
      <c r="CP21" s="106">
        <v>21</v>
      </c>
      <c r="CQ21" s="106">
        <v>1310.3999999999999</v>
      </c>
      <c r="CR21" s="106">
        <v>31</v>
      </c>
      <c r="CS21" s="106">
        <v>1934.3999999999999</v>
      </c>
      <c r="CT21" s="106">
        <v>27</v>
      </c>
      <c r="CU21" s="106">
        <v>1684.8</v>
      </c>
    </row>
    <row r="22" spans="2:99" x14ac:dyDescent="0.2">
      <c r="C22" s="105" t="s">
        <v>188</v>
      </c>
      <c r="D22" s="106">
        <v>3</v>
      </c>
      <c r="E22" s="106">
        <v>561.59999999999991</v>
      </c>
      <c r="F22" s="106">
        <v>3</v>
      </c>
      <c r="G22" s="106">
        <v>561.59999999999991</v>
      </c>
      <c r="H22" s="106">
        <v>3</v>
      </c>
      <c r="I22" s="106">
        <v>561.59999999999991</v>
      </c>
      <c r="J22" s="106">
        <v>3</v>
      </c>
      <c r="K22" s="106">
        <v>561.59999999999991</v>
      </c>
      <c r="L22" s="106">
        <v>13</v>
      </c>
      <c r="M22" s="106">
        <v>2433.6</v>
      </c>
      <c r="N22" s="106">
        <v>17</v>
      </c>
      <c r="O22" s="106">
        <v>3182.3999999999996</v>
      </c>
      <c r="P22" s="106">
        <v>14</v>
      </c>
      <c r="Q22" s="106">
        <v>2620.7999999999997</v>
      </c>
      <c r="R22" s="106">
        <v>21</v>
      </c>
      <c r="S22" s="106">
        <v>3931.2</v>
      </c>
      <c r="T22" s="106">
        <v>4</v>
      </c>
      <c r="U22" s="106">
        <v>748.8</v>
      </c>
      <c r="V22" s="106">
        <v>4</v>
      </c>
      <c r="W22" s="106">
        <v>748.8</v>
      </c>
      <c r="X22" s="106">
        <v>3</v>
      </c>
      <c r="Y22" s="106">
        <v>561.59999999999991</v>
      </c>
      <c r="Z22" s="106">
        <v>3</v>
      </c>
      <c r="AA22" s="106">
        <v>561.59999999999991</v>
      </c>
      <c r="AB22" s="106">
        <v>3</v>
      </c>
      <c r="AC22" s="106">
        <v>561.59999999999991</v>
      </c>
      <c r="AD22" s="106">
        <v>3</v>
      </c>
      <c r="AE22" s="106">
        <v>561.59999999999991</v>
      </c>
      <c r="AF22" s="106">
        <v>4</v>
      </c>
      <c r="AG22" s="106">
        <v>748.8</v>
      </c>
      <c r="AH22" s="106">
        <v>2</v>
      </c>
      <c r="AI22" s="106">
        <v>374.4</v>
      </c>
      <c r="AJ22" s="106">
        <v>10</v>
      </c>
      <c r="AK22" s="106">
        <v>1872</v>
      </c>
      <c r="AL22" s="106">
        <v>10</v>
      </c>
      <c r="AM22" s="106">
        <v>1872</v>
      </c>
      <c r="AN22" s="106">
        <v>12</v>
      </c>
      <c r="AO22" s="106">
        <v>2246.3999999999996</v>
      </c>
      <c r="AP22" s="106">
        <v>10</v>
      </c>
      <c r="AQ22" s="106">
        <v>1872</v>
      </c>
      <c r="AR22" s="106">
        <v>29</v>
      </c>
      <c r="AS22" s="106">
        <v>5428.7999999999993</v>
      </c>
      <c r="AT22" s="106">
        <v>25</v>
      </c>
      <c r="AU22" s="106">
        <v>4680</v>
      </c>
      <c r="AV22" s="106">
        <v>36</v>
      </c>
      <c r="AW22" s="106">
        <v>6739.2</v>
      </c>
      <c r="AX22" s="106">
        <v>22</v>
      </c>
      <c r="AY22" s="106">
        <v>4118.3999999999996</v>
      </c>
      <c r="AZ22" s="106">
        <v>3</v>
      </c>
      <c r="BA22" s="106">
        <v>561.59999999999991</v>
      </c>
      <c r="BB22" s="106">
        <v>3</v>
      </c>
      <c r="BC22" s="106">
        <v>561.59999999999991</v>
      </c>
      <c r="BD22" s="106">
        <v>3</v>
      </c>
      <c r="BE22" s="106">
        <v>561.59999999999991</v>
      </c>
      <c r="BF22" s="106">
        <v>3</v>
      </c>
      <c r="BG22" s="106">
        <v>561.59999999999991</v>
      </c>
      <c r="BH22" s="106">
        <v>11</v>
      </c>
      <c r="BI22" s="106">
        <v>2059.1999999999998</v>
      </c>
      <c r="BJ22" s="106">
        <v>15</v>
      </c>
      <c r="BK22" s="106">
        <v>2808</v>
      </c>
      <c r="BL22" s="106">
        <v>16</v>
      </c>
      <c r="BM22" s="106">
        <v>2995.2</v>
      </c>
      <c r="BN22" s="106">
        <v>11</v>
      </c>
      <c r="BO22" s="106">
        <v>2059.1999999999998</v>
      </c>
      <c r="BP22" s="106">
        <v>2</v>
      </c>
      <c r="BQ22" s="106">
        <v>374.4</v>
      </c>
      <c r="BR22" s="106">
        <v>3</v>
      </c>
      <c r="BS22" s="106">
        <v>561.59999999999991</v>
      </c>
      <c r="BT22" s="106">
        <v>4</v>
      </c>
      <c r="BU22" s="106">
        <v>748.8</v>
      </c>
      <c r="BV22" s="106">
        <v>2</v>
      </c>
      <c r="BW22" s="106">
        <v>374.4</v>
      </c>
      <c r="BX22" s="106">
        <v>13</v>
      </c>
      <c r="BY22" s="106">
        <v>2433.6</v>
      </c>
      <c r="BZ22" s="106">
        <v>25</v>
      </c>
      <c r="CA22" s="106">
        <v>4680</v>
      </c>
      <c r="CB22" s="106">
        <v>25</v>
      </c>
      <c r="CC22" s="106">
        <v>4680</v>
      </c>
      <c r="CD22" s="106">
        <v>26</v>
      </c>
      <c r="CE22" s="106">
        <v>4867.2</v>
      </c>
      <c r="CF22" s="106">
        <v>31</v>
      </c>
      <c r="CG22" s="106">
        <v>5803.2</v>
      </c>
      <c r="CH22" s="106">
        <v>19</v>
      </c>
      <c r="CI22" s="106">
        <v>3556.7999999999997</v>
      </c>
      <c r="CJ22" s="106">
        <v>34</v>
      </c>
      <c r="CK22" s="106">
        <v>6364.7999999999993</v>
      </c>
      <c r="CL22" s="106">
        <v>20</v>
      </c>
      <c r="CM22" s="106">
        <v>3744</v>
      </c>
      <c r="CN22" s="106">
        <v>29</v>
      </c>
      <c r="CO22" s="106">
        <v>5428.7999999999993</v>
      </c>
      <c r="CP22" s="106">
        <v>18</v>
      </c>
      <c r="CQ22" s="106">
        <v>3369.6</v>
      </c>
      <c r="CR22" s="106">
        <v>29</v>
      </c>
      <c r="CS22" s="106">
        <v>5428.7999999999993</v>
      </c>
      <c r="CT22" s="106">
        <v>29</v>
      </c>
      <c r="CU22" s="106">
        <v>5428.7999999999993</v>
      </c>
    </row>
    <row r="23" spans="2:99" x14ac:dyDescent="0.2">
      <c r="C23" s="105" t="s">
        <v>189</v>
      </c>
      <c r="D23" s="106">
        <v>4</v>
      </c>
      <c r="E23" s="106">
        <v>1176</v>
      </c>
      <c r="F23" s="106">
        <v>3</v>
      </c>
      <c r="G23" s="106">
        <v>882</v>
      </c>
      <c r="H23" s="106">
        <v>4</v>
      </c>
      <c r="I23" s="106">
        <v>1176</v>
      </c>
      <c r="J23" s="106">
        <v>4</v>
      </c>
      <c r="K23" s="106">
        <v>1176</v>
      </c>
      <c r="L23" s="106">
        <v>14</v>
      </c>
      <c r="M23" s="106">
        <v>4116</v>
      </c>
      <c r="N23" s="106">
        <v>16</v>
      </c>
      <c r="O23" s="106">
        <v>4704</v>
      </c>
      <c r="P23" s="106">
        <v>15</v>
      </c>
      <c r="Q23" s="106">
        <v>4410</v>
      </c>
      <c r="R23" s="106">
        <v>18</v>
      </c>
      <c r="S23" s="106">
        <v>5292</v>
      </c>
      <c r="T23" s="106">
        <v>4</v>
      </c>
      <c r="U23" s="106">
        <v>1176</v>
      </c>
      <c r="V23" s="106">
        <v>4</v>
      </c>
      <c r="W23" s="106">
        <v>1176</v>
      </c>
      <c r="X23" s="106">
        <v>3</v>
      </c>
      <c r="Y23" s="106">
        <v>882</v>
      </c>
      <c r="Z23" s="106">
        <v>3</v>
      </c>
      <c r="AA23" s="106">
        <v>882</v>
      </c>
      <c r="AB23" s="106">
        <v>3</v>
      </c>
      <c r="AC23" s="106">
        <v>882</v>
      </c>
      <c r="AD23" s="106">
        <v>3</v>
      </c>
      <c r="AE23" s="106">
        <v>882</v>
      </c>
      <c r="AF23" s="106">
        <v>4</v>
      </c>
      <c r="AG23" s="106">
        <v>1176</v>
      </c>
      <c r="AH23" s="106">
        <v>2</v>
      </c>
      <c r="AI23" s="106">
        <v>588</v>
      </c>
      <c r="AJ23" s="106">
        <v>10</v>
      </c>
      <c r="AK23" s="106">
        <v>2940</v>
      </c>
      <c r="AL23" s="106">
        <v>10</v>
      </c>
      <c r="AM23" s="106">
        <v>2940</v>
      </c>
      <c r="AN23" s="106">
        <v>12</v>
      </c>
      <c r="AO23" s="106">
        <v>3528</v>
      </c>
      <c r="AP23" s="106">
        <v>10</v>
      </c>
      <c r="AQ23" s="106">
        <v>2940</v>
      </c>
      <c r="AR23" s="106">
        <v>26</v>
      </c>
      <c r="AS23" s="106">
        <v>7644</v>
      </c>
      <c r="AT23" s="106">
        <v>25</v>
      </c>
      <c r="AU23" s="106">
        <v>7350</v>
      </c>
      <c r="AV23" s="106">
        <v>37</v>
      </c>
      <c r="AW23" s="106">
        <v>10878</v>
      </c>
      <c r="AX23" s="106">
        <v>21</v>
      </c>
      <c r="AY23" s="106">
        <v>6174</v>
      </c>
      <c r="AZ23" s="106">
        <v>3</v>
      </c>
      <c r="BA23" s="106">
        <v>882</v>
      </c>
      <c r="BB23" s="106">
        <v>3</v>
      </c>
      <c r="BC23" s="106">
        <v>882</v>
      </c>
      <c r="BD23" s="106">
        <v>3</v>
      </c>
      <c r="BE23" s="106">
        <v>882</v>
      </c>
      <c r="BF23" s="106">
        <v>3</v>
      </c>
      <c r="BG23" s="106">
        <v>882</v>
      </c>
      <c r="BH23" s="106">
        <v>10</v>
      </c>
      <c r="BI23" s="106">
        <v>2940</v>
      </c>
      <c r="BJ23" s="106">
        <v>14</v>
      </c>
      <c r="BK23" s="106">
        <v>4116</v>
      </c>
      <c r="BL23" s="106">
        <v>15</v>
      </c>
      <c r="BM23" s="106">
        <v>4410</v>
      </c>
      <c r="BN23" s="106">
        <v>10</v>
      </c>
      <c r="BO23" s="106">
        <v>2940</v>
      </c>
      <c r="BP23" s="106">
        <v>2</v>
      </c>
      <c r="BQ23" s="106">
        <v>588</v>
      </c>
      <c r="BR23" s="106">
        <v>4</v>
      </c>
      <c r="BS23" s="106">
        <v>1176</v>
      </c>
      <c r="BT23" s="106">
        <v>3</v>
      </c>
      <c r="BU23" s="106">
        <v>882</v>
      </c>
      <c r="BV23" s="106">
        <v>3</v>
      </c>
      <c r="BW23" s="106">
        <v>882</v>
      </c>
      <c r="BX23" s="106">
        <v>15</v>
      </c>
      <c r="BY23" s="106">
        <v>4410</v>
      </c>
      <c r="BZ23" s="106">
        <v>24</v>
      </c>
      <c r="CA23" s="106">
        <v>7056</v>
      </c>
      <c r="CB23" s="106">
        <v>22</v>
      </c>
      <c r="CC23" s="106">
        <v>6468</v>
      </c>
      <c r="CD23" s="106">
        <v>25</v>
      </c>
      <c r="CE23" s="106">
        <v>7350</v>
      </c>
      <c r="CF23" s="106">
        <v>30</v>
      </c>
      <c r="CG23" s="106">
        <v>8820</v>
      </c>
      <c r="CH23" s="106">
        <v>17</v>
      </c>
      <c r="CI23" s="106">
        <v>4998</v>
      </c>
      <c r="CJ23" s="106">
        <v>31</v>
      </c>
      <c r="CK23" s="106">
        <v>9114</v>
      </c>
      <c r="CL23" s="106">
        <v>19</v>
      </c>
      <c r="CM23" s="106">
        <v>5586</v>
      </c>
      <c r="CN23" s="106">
        <v>31</v>
      </c>
      <c r="CO23" s="106">
        <v>9114</v>
      </c>
      <c r="CP23" s="106">
        <v>18</v>
      </c>
      <c r="CQ23" s="106">
        <v>5292</v>
      </c>
      <c r="CR23" s="106">
        <v>29</v>
      </c>
      <c r="CS23" s="106">
        <v>8526</v>
      </c>
      <c r="CT23" s="106">
        <v>29</v>
      </c>
      <c r="CU23" s="106">
        <v>8526</v>
      </c>
    </row>
    <row r="24" spans="2:99" x14ac:dyDescent="0.2">
      <c r="C24" s="105" t="s">
        <v>190</v>
      </c>
      <c r="D24" s="106">
        <v>3</v>
      </c>
      <c r="E24" s="106">
        <v>1101.5999999999999</v>
      </c>
      <c r="F24" s="106">
        <v>3</v>
      </c>
      <c r="G24" s="106">
        <v>1101.5999999999999</v>
      </c>
      <c r="H24" s="106">
        <v>3</v>
      </c>
      <c r="I24" s="106">
        <v>1101.5999999999999</v>
      </c>
      <c r="J24" s="106">
        <v>3</v>
      </c>
      <c r="K24" s="106">
        <v>1101.5999999999999</v>
      </c>
      <c r="L24" s="106">
        <v>13</v>
      </c>
      <c r="M24" s="106">
        <v>4773.5999999999995</v>
      </c>
      <c r="N24" s="106">
        <v>16</v>
      </c>
      <c r="O24" s="106">
        <v>5875.2</v>
      </c>
      <c r="P24" s="106">
        <v>14</v>
      </c>
      <c r="Q24" s="106">
        <v>5140.8</v>
      </c>
      <c r="R24" s="106">
        <v>18</v>
      </c>
      <c r="S24" s="106">
        <v>6609.5999999999995</v>
      </c>
      <c r="T24" s="106">
        <v>5</v>
      </c>
      <c r="U24" s="106">
        <v>1836</v>
      </c>
      <c r="V24" s="106">
        <v>4</v>
      </c>
      <c r="W24" s="106">
        <v>1468.8</v>
      </c>
      <c r="X24" s="106">
        <v>3</v>
      </c>
      <c r="Y24" s="106">
        <v>1101.5999999999999</v>
      </c>
      <c r="Z24" s="106">
        <v>4</v>
      </c>
      <c r="AA24" s="106">
        <v>1468.8</v>
      </c>
      <c r="AB24" s="106">
        <v>3</v>
      </c>
      <c r="AC24" s="106">
        <v>1101.5999999999999</v>
      </c>
      <c r="AD24" s="106">
        <v>3</v>
      </c>
      <c r="AE24" s="106">
        <v>1101.5999999999999</v>
      </c>
      <c r="AF24" s="106">
        <v>4</v>
      </c>
      <c r="AG24" s="106">
        <v>1468.8</v>
      </c>
      <c r="AH24" s="106">
        <v>2</v>
      </c>
      <c r="AI24" s="106">
        <v>734.4</v>
      </c>
      <c r="AJ24" s="106">
        <v>10</v>
      </c>
      <c r="AK24" s="106">
        <v>3672</v>
      </c>
      <c r="AL24" s="106">
        <v>10</v>
      </c>
      <c r="AM24" s="106">
        <v>3672</v>
      </c>
      <c r="AN24" s="106">
        <v>13</v>
      </c>
      <c r="AO24" s="106">
        <v>4773.5999999999995</v>
      </c>
      <c r="AP24" s="106">
        <v>10</v>
      </c>
      <c r="AQ24" s="106">
        <v>3672</v>
      </c>
      <c r="AR24" s="106">
        <v>29</v>
      </c>
      <c r="AS24" s="106">
        <v>10648.8</v>
      </c>
      <c r="AT24" s="106">
        <v>24</v>
      </c>
      <c r="AU24" s="106">
        <v>8812.7999999999993</v>
      </c>
      <c r="AV24" s="106">
        <v>37</v>
      </c>
      <c r="AW24" s="106">
        <v>13586.4</v>
      </c>
      <c r="AX24" s="106">
        <v>23</v>
      </c>
      <c r="AY24" s="106">
        <v>8445.6</v>
      </c>
      <c r="AZ24" s="106">
        <v>3</v>
      </c>
      <c r="BA24" s="106">
        <v>1101.5999999999999</v>
      </c>
      <c r="BB24" s="106">
        <v>3</v>
      </c>
      <c r="BC24" s="106">
        <v>1101.5999999999999</v>
      </c>
      <c r="BD24" s="106">
        <v>3</v>
      </c>
      <c r="BE24" s="106">
        <v>1101.5999999999999</v>
      </c>
      <c r="BF24" s="106">
        <v>4</v>
      </c>
      <c r="BG24" s="106">
        <v>1468.8</v>
      </c>
      <c r="BH24" s="106">
        <v>10</v>
      </c>
      <c r="BI24" s="106">
        <v>3672</v>
      </c>
      <c r="BJ24" s="106">
        <v>16</v>
      </c>
      <c r="BK24" s="106">
        <v>5875.2</v>
      </c>
      <c r="BL24" s="106">
        <v>14</v>
      </c>
      <c r="BM24" s="106">
        <v>5140.8</v>
      </c>
      <c r="BN24" s="106">
        <v>10</v>
      </c>
      <c r="BO24" s="106">
        <v>3672</v>
      </c>
      <c r="BP24" s="106">
        <v>2</v>
      </c>
      <c r="BQ24" s="106">
        <v>734.4</v>
      </c>
      <c r="BR24" s="106">
        <v>4</v>
      </c>
      <c r="BS24" s="106">
        <v>1468.8</v>
      </c>
      <c r="BT24" s="106">
        <v>3</v>
      </c>
      <c r="BU24" s="106">
        <v>1101.5999999999999</v>
      </c>
      <c r="BV24" s="106">
        <v>3</v>
      </c>
      <c r="BW24" s="106">
        <v>1101.5999999999999</v>
      </c>
      <c r="BX24" s="106">
        <v>14</v>
      </c>
      <c r="BY24" s="106">
        <v>5140.8</v>
      </c>
      <c r="BZ24" s="106">
        <v>24</v>
      </c>
      <c r="CA24" s="106">
        <v>8812.7999999999993</v>
      </c>
      <c r="CB24" s="106">
        <v>23</v>
      </c>
      <c r="CC24" s="106">
        <v>8445.6</v>
      </c>
      <c r="CD24" s="106">
        <v>25</v>
      </c>
      <c r="CE24" s="106">
        <v>9180</v>
      </c>
      <c r="CF24" s="106">
        <v>25</v>
      </c>
      <c r="CG24" s="106">
        <v>9180</v>
      </c>
      <c r="CH24" s="106">
        <v>16</v>
      </c>
      <c r="CI24" s="106">
        <v>5875.2</v>
      </c>
      <c r="CJ24" s="106">
        <v>33</v>
      </c>
      <c r="CK24" s="106">
        <v>12117.6</v>
      </c>
      <c r="CL24" s="106">
        <v>18</v>
      </c>
      <c r="CM24" s="106">
        <v>6609.5999999999995</v>
      </c>
      <c r="CN24" s="106">
        <v>28</v>
      </c>
      <c r="CO24" s="106">
        <v>10281.6</v>
      </c>
      <c r="CP24" s="106">
        <v>19</v>
      </c>
      <c r="CQ24" s="106">
        <v>6976.8</v>
      </c>
      <c r="CR24" s="106">
        <v>28</v>
      </c>
      <c r="CS24" s="106">
        <v>10281.6</v>
      </c>
      <c r="CT24" s="106">
        <v>28</v>
      </c>
      <c r="CU24" s="106">
        <v>10281.6</v>
      </c>
    </row>
    <row r="25" spans="2:99" x14ac:dyDescent="0.2">
      <c r="C25" s="105" t="s">
        <v>191</v>
      </c>
      <c r="D25" s="106">
        <v>4</v>
      </c>
      <c r="E25" s="106">
        <v>2121.6</v>
      </c>
      <c r="F25" s="106">
        <v>3</v>
      </c>
      <c r="G25" s="106">
        <v>1591.1999999999998</v>
      </c>
      <c r="H25" s="106">
        <v>3</v>
      </c>
      <c r="I25" s="106">
        <v>1591.1999999999998</v>
      </c>
      <c r="J25" s="106">
        <v>3</v>
      </c>
      <c r="K25" s="106">
        <v>1591.1999999999998</v>
      </c>
      <c r="L25" s="106">
        <v>14</v>
      </c>
      <c r="M25" s="106">
        <v>7425.5999999999995</v>
      </c>
      <c r="N25" s="106">
        <v>17</v>
      </c>
      <c r="O25" s="106">
        <v>9016.7999999999993</v>
      </c>
      <c r="P25" s="106">
        <v>14</v>
      </c>
      <c r="Q25" s="106">
        <v>7425.5999999999995</v>
      </c>
      <c r="R25" s="106">
        <v>18</v>
      </c>
      <c r="S25" s="106">
        <v>9547.1999999999989</v>
      </c>
      <c r="T25" s="106">
        <v>4</v>
      </c>
      <c r="U25" s="106">
        <v>2121.6</v>
      </c>
      <c r="V25" s="106">
        <v>4</v>
      </c>
      <c r="W25" s="106">
        <v>2121.6</v>
      </c>
      <c r="X25" s="106">
        <v>3</v>
      </c>
      <c r="Y25" s="106">
        <v>1591.1999999999998</v>
      </c>
      <c r="Z25" s="106">
        <v>3</v>
      </c>
      <c r="AA25" s="106">
        <v>1591.1999999999998</v>
      </c>
      <c r="AB25" s="106">
        <v>3</v>
      </c>
      <c r="AC25" s="106">
        <v>1591.1999999999998</v>
      </c>
      <c r="AD25" s="106">
        <v>3</v>
      </c>
      <c r="AE25" s="106">
        <v>1591.1999999999998</v>
      </c>
      <c r="AF25" s="106">
        <v>5</v>
      </c>
      <c r="AG25" s="106">
        <v>2652</v>
      </c>
      <c r="AH25" s="106">
        <v>2</v>
      </c>
      <c r="AI25" s="106">
        <v>1060.8</v>
      </c>
      <c r="AJ25" s="106">
        <v>10</v>
      </c>
      <c r="AK25" s="106">
        <v>5304</v>
      </c>
      <c r="AL25" s="106">
        <v>9</v>
      </c>
      <c r="AM25" s="106">
        <v>4773.5999999999995</v>
      </c>
      <c r="AN25" s="106">
        <v>12</v>
      </c>
      <c r="AO25" s="106">
        <v>6364.7999999999993</v>
      </c>
      <c r="AP25" s="106">
        <v>10</v>
      </c>
      <c r="AQ25" s="106">
        <v>5304</v>
      </c>
      <c r="AR25" s="106">
        <v>25</v>
      </c>
      <c r="AS25" s="106">
        <v>13260</v>
      </c>
      <c r="AT25" s="106">
        <v>22</v>
      </c>
      <c r="AU25" s="106">
        <v>11668.8</v>
      </c>
      <c r="AV25" s="106">
        <v>40</v>
      </c>
      <c r="AW25" s="106">
        <v>21216</v>
      </c>
      <c r="AX25" s="106">
        <v>21</v>
      </c>
      <c r="AY25" s="106">
        <v>11138.4</v>
      </c>
      <c r="AZ25" s="106">
        <v>3</v>
      </c>
      <c r="BA25" s="106">
        <v>1591.1999999999998</v>
      </c>
      <c r="BB25" s="106">
        <v>3</v>
      </c>
      <c r="BC25" s="106">
        <v>1591.1999999999998</v>
      </c>
      <c r="BD25" s="106">
        <v>3</v>
      </c>
      <c r="BE25" s="106">
        <v>1591.1999999999998</v>
      </c>
      <c r="BF25" s="106">
        <v>3</v>
      </c>
      <c r="BG25" s="106">
        <v>1591.1999999999998</v>
      </c>
      <c r="BH25" s="106">
        <v>10</v>
      </c>
      <c r="BI25" s="106">
        <v>5304</v>
      </c>
      <c r="BJ25" s="106">
        <v>16</v>
      </c>
      <c r="BK25" s="106">
        <v>8486.4</v>
      </c>
      <c r="BL25" s="106">
        <v>13</v>
      </c>
      <c r="BM25" s="106">
        <v>6895.2</v>
      </c>
      <c r="BN25" s="106">
        <v>10</v>
      </c>
      <c r="BO25" s="106">
        <v>5304</v>
      </c>
      <c r="BP25" s="106">
        <v>2</v>
      </c>
      <c r="BQ25" s="106">
        <v>1060.8</v>
      </c>
      <c r="BR25" s="106">
        <v>4</v>
      </c>
      <c r="BS25" s="106">
        <v>2121.6</v>
      </c>
      <c r="BT25" s="106">
        <v>3</v>
      </c>
      <c r="BU25" s="106">
        <v>1591.1999999999998</v>
      </c>
      <c r="BV25" s="106">
        <v>3</v>
      </c>
      <c r="BW25" s="106">
        <v>1591.1999999999998</v>
      </c>
      <c r="BX25" s="106">
        <v>14</v>
      </c>
      <c r="BY25" s="106">
        <v>7425.5999999999995</v>
      </c>
      <c r="BZ25" s="106">
        <v>22</v>
      </c>
      <c r="CA25" s="106">
        <v>11668.8</v>
      </c>
      <c r="CB25" s="106">
        <v>22</v>
      </c>
      <c r="CC25" s="106">
        <v>11668.8</v>
      </c>
      <c r="CD25" s="106">
        <v>28</v>
      </c>
      <c r="CE25" s="106">
        <v>14851.199999999999</v>
      </c>
      <c r="CF25" s="106">
        <v>28</v>
      </c>
      <c r="CG25" s="106">
        <v>14851.199999999999</v>
      </c>
      <c r="CH25" s="106">
        <v>17</v>
      </c>
      <c r="CI25" s="106">
        <v>9016.7999999999993</v>
      </c>
      <c r="CJ25" s="106">
        <v>31</v>
      </c>
      <c r="CK25" s="106">
        <v>16442.399999999998</v>
      </c>
      <c r="CL25" s="106">
        <v>18</v>
      </c>
      <c r="CM25" s="106">
        <v>9547.1999999999989</v>
      </c>
      <c r="CN25" s="106">
        <v>27</v>
      </c>
      <c r="CO25" s="106">
        <v>14320.8</v>
      </c>
      <c r="CP25" s="106">
        <v>18</v>
      </c>
      <c r="CQ25" s="106">
        <v>9547.1999999999989</v>
      </c>
      <c r="CR25" s="106">
        <v>27</v>
      </c>
      <c r="CS25" s="106">
        <v>14320.8</v>
      </c>
      <c r="CT25" s="106">
        <v>28</v>
      </c>
      <c r="CU25" s="106">
        <v>14851.199999999999</v>
      </c>
    </row>
    <row r="26" spans="2:99" x14ac:dyDescent="0.2">
      <c r="C26" s="105" t="s">
        <v>192</v>
      </c>
      <c r="D26" s="106">
        <v>4</v>
      </c>
      <c r="E26" s="106">
        <v>1944</v>
      </c>
      <c r="F26" s="106">
        <v>3</v>
      </c>
      <c r="G26" s="106">
        <v>1458</v>
      </c>
      <c r="H26" s="106">
        <v>3</v>
      </c>
      <c r="I26" s="106">
        <v>1458</v>
      </c>
      <c r="J26" s="106">
        <v>4</v>
      </c>
      <c r="K26" s="106">
        <v>1944</v>
      </c>
      <c r="L26" s="106">
        <v>14</v>
      </c>
      <c r="M26" s="106">
        <v>6804</v>
      </c>
      <c r="N26" s="106">
        <v>18</v>
      </c>
      <c r="O26" s="106">
        <v>8748</v>
      </c>
      <c r="P26" s="106">
        <v>13</v>
      </c>
      <c r="Q26" s="106">
        <v>6318</v>
      </c>
      <c r="R26" s="106">
        <v>19</v>
      </c>
      <c r="S26" s="106">
        <v>9234</v>
      </c>
      <c r="T26" s="106">
        <v>4</v>
      </c>
      <c r="U26" s="106">
        <v>1944</v>
      </c>
      <c r="V26" s="106">
        <v>4</v>
      </c>
      <c r="W26" s="106">
        <v>1944</v>
      </c>
      <c r="X26" s="106">
        <v>3</v>
      </c>
      <c r="Y26" s="106">
        <v>1458</v>
      </c>
      <c r="Z26" s="106">
        <v>3</v>
      </c>
      <c r="AA26" s="106">
        <v>1458</v>
      </c>
      <c r="AB26" s="106">
        <v>3</v>
      </c>
      <c r="AC26" s="106">
        <v>1458</v>
      </c>
      <c r="AD26" s="106">
        <v>3</v>
      </c>
      <c r="AE26" s="106">
        <v>1458</v>
      </c>
      <c r="AF26" s="106">
        <v>5</v>
      </c>
      <c r="AG26" s="106">
        <v>2430</v>
      </c>
      <c r="AH26" s="106">
        <v>2</v>
      </c>
      <c r="AI26" s="106">
        <v>972</v>
      </c>
      <c r="AJ26" s="106">
        <v>11</v>
      </c>
      <c r="AK26" s="106">
        <v>5346</v>
      </c>
      <c r="AL26" s="106">
        <v>10</v>
      </c>
      <c r="AM26" s="106">
        <v>4860</v>
      </c>
      <c r="AN26" s="106">
        <v>11</v>
      </c>
      <c r="AO26" s="106">
        <v>5346</v>
      </c>
      <c r="AP26" s="106">
        <v>10</v>
      </c>
      <c r="AQ26" s="106">
        <v>4860</v>
      </c>
      <c r="AR26" s="106">
        <v>28</v>
      </c>
      <c r="AS26" s="106">
        <v>13608</v>
      </c>
      <c r="AT26" s="106">
        <v>24</v>
      </c>
      <c r="AU26" s="106">
        <v>11664</v>
      </c>
      <c r="AV26" s="106">
        <v>34</v>
      </c>
      <c r="AW26" s="106">
        <v>16524</v>
      </c>
      <c r="AX26" s="106">
        <v>20</v>
      </c>
      <c r="AY26" s="106">
        <v>9720</v>
      </c>
      <c r="AZ26" s="106">
        <v>3</v>
      </c>
      <c r="BA26" s="106">
        <v>1458</v>
      </c>
      <c r="BB26" s="106">
        <v>3</v>
      </c>
      <c r="BC26" s="106">
        <v>1458</v>
      </c>
      <c r="BD26" s="106">
        <v>3</v>
      </c>
      <c r="BE26" s="106">
        <v>1458</v>
      </c>
      <c r="BF26" s="106">
        <v>3</v>
      </c>
      <c r="BG26" s="106">
        <v>1458</v>
      </c>
      <c r="BH26" s="106">
        <v>10</v>
      </c>
      <c r="BI26" s="106">
        <v>4860</v>
      </c>
      <c r="BJ26" s="106">
        <v>16</v>
      </c>
      <c r="BK26" s="106">
        <v>7776</v>
      </c>
      <c r="BL26" s="106">
        <v>15</v>
      </c>
      <c r="BM26" s="106">
        <v>7290</v>
      </c>
      <c r="BN26" s="106">
        <v>11</v>
      </c>
      <c r="BO26" s="106">
        <v>5346</v>
      </c>
      <c r="BP26" s="106">
        <v>2</v>
      </c>
      <c r="BQ26" s="106">
        <v>972</v>
      </c>
      <c r="BR26" s="106">
        <v>4</v>
      </c>
      <c r="BS26" s="106">
        <v>1944</v>
      </c>
      <c r="BT26" s="106">
        <v>4</v>
      </c>
      <c r="BU26" s="106">
        <v>1944</v>
      </c>
      <c r="BV26" s="106">
        <v>2</v>
      </c>
      <c r="BW26" s="106">
        <v>972</v>
      </c>
      <c r="BX26" s="106">
        <v>14</v>
      </c>
      <c r="BY26" s="106">
        <v>6804</v>
      </c>
      <c r="BZ26" s="106">
        <v>22</v>
      </c>
      <c r="CA26" s="106">
        <v>10692</v>
      </c>
      <c r="CB26" s="106">
        <v>22</v>
      </c>
      <c r="CC26" s="106">
        <v>10692</v>
      </c>
      <c r="CD26" s="106">
        <v>26</v>
      </c>
      <c r="CE26" s="106">
        <v>12636</v>
      </c>
      <c r="CF26" s="106">
        <v>29</v>
      </c>
      <c r="CG26" s="106">
        <v>14094</v>
      </c>
      <c r="CH26" s="106">
        <v>16</v>
      </c>
      <c r="CI26" s="106">
        <v>7776</v>
      </c>
      <c r="CJ26" s="106">
        <v>35</v>
      </c>
      <c r="CK26" s="106">
        <v>17010</v>
      </c>
      <c r="CL26" s="106">
        <v>16</v>
      </c>
      <c r="CM26" s="106">
        <v>7776</v>
      </c>
      <c r="CN26" s="106">
        <v>29</v>
      </c>
      <c r="CO26" s="106">
        <v>14094</v>
      </c>
      <c r="CP26" s="106">
        <v>17</v>
      </c>
      <c r="CQ26" s="106">
        <v>8262</v>
      </c>
      <c r="CR26" s="106">
        <v>27</v>
      </c>
      <c r="CS26" s="106">
        <v>13122</v>
      </c>
      <c r="CT26" s="106">
        <v>26</v>
      </c>
      <c r="CU26" s="106">
        <v>12636</v>
      </c>
    </row>
    <row r="27" spans="2:99" x14ac:dyDescent="0.2">
      <c r="C27" s="105" t="s">
        <v>193</v>
      </c>
      <c r="D27" s="106">
        <v>3</v>
      </c>
      <c r="E27" s="106">
        <v>1281.5999999999999</v>
      </c>
      <c r="F27" s="106">
        <v>4</v>
      </c>
      <c r="G27" s="106">
        <v>1708.8</v>
      </c>
      <c r="H27" s="106">
        <v>3</v>
      </c>
      <c r="I27" s="106">
        <v>1281.5999999999999</v>
      </c>
      <c r="J27" s="106">
        <v>3</v>
      </c>
      <c r="K27" s="106">
        <v>1281.5999999999999</v>
      </c>
      <c r="L27" s="106">
        <v>14</v>
      </c>
      <c r="M27" s="106">
        <v>5980.8</v>
      </c>
      <c r="N27" s="106">
        <v>16</v>
      </c>
      <c r="O27" s="106">
        <v>6835.2</v>
      </c>
      <c r="P27" s="106">
        <v>15</v>
      </c>
      <c r="Q27" s="106">
        <v>6408</v>
      </c>
      <c r="R27" s="106">
        <v>18</v>
      </c>
      <c r="S27" s="106">
        <v>7689.5999999999995</v>
      </c>
      <c r="T27" s="106">
        <v>4</v>
      </c>
      <c r="U27" s="106">
        <v>1708.8</v>
      </c>
      <c r="V27" s="106">
        <v>4</v>
      </c>
      <c r="W27" s="106">
        <v>1708.8</v>
      </c>
      <c r="X27" s="106">
        <v>3</v>
      </c>
      <c r="Y27" s="106">
        <v>1281.5999999999999</v>
      </c>
      <c r="Z27" s="106">
        <v>4</v>
      </c>
      <c r="AA27" s="106">
        <v>1708.8</v>
      </c>
      <c r="AB27" s="106">
        <v>3</v>
      </c>
      <c r="AC27" s="106">
        <v>1281.5999999999999</v>
      </c>
      <c r="AD27" s="106">
        <v>3</v>
      </c>
      <c r="AE27" s="106">
        <v>1281.5999999999999</v>
      </c>
      <c r="AF27" s="106">
        <v>4</v>
      </c>
      <c r="AG27" s="106">
        <v>1708.8</v>
      </c>
      <c r="AH27" s="106">
        <v>2</v>
      </c>
      <c r="AI27" s="106">
        <v>854.4</v>
      </c>
      <c r="AJ27" s="106">
        <v>10</v>
      </c>
      <c r="AK27" s="106">
        <v>4272</v>
      </c>
      <c r="AL27" s="106">
        <v>9</v>
      </c>
      <c r="AM27" s="106">
        <v>3844.7999999999997</v>
      </c>
      <c r="AN27" s="106">
        <v>11</v>
      </c>
      <c r="AO27" s="106">
        <v>4699.2</v>
      </c>
      <c r="AP27" s="106">
        <v>9</v>
      </c>
      <c r="AQ27" s="106">
        <v>3844.7999999999997</v>
      </c>
      <c r="AR27" s="106">
        <v>25</v>
      </c>
      <c r="AS27" s="106">
        <v>10680</v>
      </c>
      <c r="AT27" s="106">
        <v>24</v>
      </c>
      <c r="AU27" s="106">
        <v>10252.799999999999</v>
      </c>
      <c r="AV27" s="106">
        <v>34</v>
      </c>
      <c r="AW27" s="106">
        <v>14524.8</v>
      </c>
      <c r="AX27" s="106">
        <v>20</v>
      </c>
      <c r="AY27" s="106">
        <v>8544</v>
      </c>
      <c r="AZ27" s="106">
        <v>3</v>
      </c>
      <c r="BA27" s="106">
        <v>1281.5999999999999</v>
      </c>
      <c r="BB27" s="106">
        <v>3</v>
      </c>
      <c r="BC27" s="106">
        <v>1281.5999999999999</v>
      </c>
      <c r="BD27" s="106">
        <v>3</v>
      </c>
      <c r="BE27" s="106">
        <v>1281.5999999999999</v>
      </c>
      <c r="BF27" s="106">
        <v>3</v>
      </c>
      <c r="BG27" s="106">
        <v>1281.5999999999999</v>
      </c>
      <c r="BH27" s="106">
        <v>10</v>
      </c>
      <c r="BI27" s="106">
        <v>4272</v>
      </c>
      <c r="BJ27" s="106">
        <v>16</v>
      </c>
      <c r="BK27" s="106">
        <v>6835.2</v>
      </c>
      <c r="BL27" s="106">
        <v>15</v>
      </c>
      <c r="BM27" s="106">
        <v>6408</v>
      </c>
      <c r="BN27" s="106">
        <v>11</v>
      </c>
      <c r="BO27" s="106">
        <v>4699.2</v>
      </c>
      <c r="BP27" s="106">
        <v>2</v>
      </c>
      <c r="BQ27" s="106">
        <v>854.4</v>
      </c>
      <c r="BR27" s="106">
        <v>4</v>
      </c>
      <c r="BS27" s="106">
        <v>1708.8</v>
      </c>
      <c r="BT27" s="106">
        <v>3</v>
      </c>
      <c r="BU27" s="106">
        <v>1281.5999999999999</v>
      </c>
      <c r="BV27" s="106">
        <v>2</v>
      </c>
      <c r="BW27" s="106">
        <v>854.4</v>
      </c>
      <c r="BX27" s="106">
        <v>14</v>
      </c>
      <c r="BY27" s="106">
        <v>5980.8</v>
      </c>
      <c r="BZ27" s="106">
        <v>22</v>
      </c>
      <c r="CA27" s="106">
        <v>9398.4</v>
      </c>
      <c r="CB27" s="106">
        <v>21</v>
      </c>
      <c r="CC27" s="106">
        <v>8971.1999999999989</v>
      </c>
      <c r="CD27" s="106">
        <v>26</v>
      </c>
      <c r="CE27" s="106">
        <v>11107.199999999999</v>
      </c>
      <c r="CF27" s="106">
        <v>29</v>
      </c>
      <c r="CG27" s="106">
        <v>12388.8</v>
      </c>
      <c r="CH27" s="106">
        <v>17</v>
      </c>
      <c r="CI27" s="106">
        <v>7262.4</v>
      </c>
      <c r="CJ27" s="106">
        <v>29</v>
      </c>
      <c r="CK27" s="106">
        <v>12388.8</v>
      </c>
      <c r="CL27" s="106">
        <v>20</v>
      </c>
      <c r="CM27" s="106">
        <v>8544</v>
      </c>
      <c r="CN27" s="106">
        <v>30</v>
      </c>
      <c r="CO27" s="106">
        <v>12816</v>
      </c>
      <c r="CP27" s="106">
        <v>19</v>
      </c>
      <c r="CQ27" s="106">
        <v>8116.8</v>
      </c>
      <c r="CR27" s="106">
        <v>31</v>
      </c>
      <c r="CS27" s="106">
        <v>13243.199999999999</v>
      </c>
      <c r="CT27" s="106">
        <v>28</v>
      </c>
      <c r="CU27" s="106">
        <v>11961.6</v>
      </c>
    </row>
    <row r="28" spans="2:99" x14ac:dyDescent="0.2">
      <c r="C28" s="105" t="s">
        <v>194</v>
      </c>
      <c r="D28" s="106">
        <v>4</v>
      </c>
      <c r="E28" s="106">
        <v>2952</v>
      </c>
      <c r="F28" s="106">
        <v>4</v>
      </c>
      <c r="G28" s="106">
        <v>2952</v>
      </c>
      <c r="H28" s="106">
        <v>3</v>
      </c>
      <c r="I28" s="106">
        <v>2214</v>
      </c>
      <c r="J28" s="106">
        <v>3</v>
      </c>
      <c r="K28" s="106">
        <v>2214</v>
      </c>
      <c r="L28" s="106">
        <v>13</v>
      </c>
      <c r="M28" s="106">
        <v>9594</v>
      </c>
      <c r="N28" s="106">
        <v>15</v>
      </c>
      <c r="O28" s="106">
        <v>11070</v>
      </c>
      <c r="P28" s="106">
        <v>14</v>
      </c>
      <c r="Q28" s="106">
        <v>10332</v>
      </c>
      <c r="R28" s="106">
        <v>19</v>
      </c>
      <c r="S28" s="106">
        <v>14022</v>
      </c>
      <c r="T28" s="106">
        <v>4</v>
      </c>
      <c r="U28" s="106">
        <v>2952</v>
      </c>
      <c r="V28" s="106">
        <v>4</v>
      </c>
      <c r="W28" s="106">
        <v>2952</v>
      </c>
      <c r="X28" s="106">
        <v>3</v>
      </c>
      <c r="Y28" s="106">
        <v>2214</v>
      </c>
      <c r="Z28" s="106">
        <v>3</v>
      </c>
      <c r="AA28" s="106">
        <v>2214</v>
      </c>
      <c r="AB28" s="106">
        <v>3</v>
      </c>
      <c r="AC28" s="106">
        <v>2214</v>
      </c>
      <c r="AD28" s="106">
        <v>3</v>
      </c>
      <c r="AE28" s="106">
        <v>2214</v>
      </c>
      <c r="AF28" s="106">
        <v>4</v>
      </c>
      <c r="AG28" s="106">
        <v>2952</v>
      </c>
      <c r="AH28" s="106">
        <v>2</v>
      </c>
      <c r="AI28" s="106">
        <v>1476</v>
      </c>
      <c r="AJ28" s="106">
        <v>10</v>
      </c>
      <c r="AK28" s="106">
        <v>7380</v>
      </c>
      <c r="AL28" s="106">
        <v>10</v>
      </c>
      <c r="AM28" s="106">
        <v>7380</v>
      </c>
      <c r="AN28" s="106">
        <v>10</v>
      </c>
      <c r="AO28" s="106">
        <v>7380</v>
      </c>
      <c r="AP28" s="106">
        <v>9</v>
      </c>
      <c r="AQ28" s="106">
        <v>6642</v>
      </c>
      <c r="AR28" s="106">
        <v>25</v>
      </c>
      <c r="AS28" s="106">
        <v>18450</v>
      </c>
      <c r="AT28" s="106">
        <v>21</v>
      </c>
      <c r="AU28" s="106">
        <v>15498</v>
      </c>
      <c r="AV28" s="106">
        <v>35</v>
      </c>
      <c r="AW28" s="106">
        <v>25830</v>
      </c>
      <c r="AX28" s="106">
        <v>21</v>
      </c>
      <c r="AY28" s="106">
        <v>15498</v>
      </c>
      <c r="AZ28" s="106">
        <v>3</v>
      </c>
      <c r="BA28" s="106">
        <v>2214</v>
      </c>
      <c r="BB28" s="106">
        <v>3</v>
      </c>
      <c r="BC28" s="106">
        <v>2214</v>
      </c>
      <c r="BD28" s="106">
        <v>3</v>
      </c>
      <c r="BE28" s="106">
        <v>2214</v>
      </c>
      <c r="BF28" s="106">
        <v>3</v>
      </c>
      <c r="BG28" s="106">
        <v>2214</v>
      </c>
      <c r="BH28" s="106">
        <v>10</v>
      </c>
      <c r="BI28" s="106">
        <v>7380</v>
      </c>
      <c r="BJ28" s="106">
        <v>15</v>
      </c>
      <c r="BK28" s="106">
        <v>11070</v>
      </c>
      <c r="BL28" s="106">
        <v>13</v>
      </c>
      <c r="BM28" s="106">
        <v>9594</v>
      </c>
      <c r="BN28" s="106">
        <v>11</v>
      </c>
      <c r="BO28" s="106">
        <v>8118</v>
      </c>
      <c r="BP28" s="106">
        <v>2</v>
      </c>
      <c r="BQ28" s="106">
        <v>1476</v>
      </c>
      <c r="BR28" s="106">
        <v>4</v>
      </c>
      <c r="BS28" s="106">
        <v>2952</v>
      </c>
      <c r="BT28" s="106">
        <v>4</v>
      </c>
      <c r="BU28" s="106">
        <v>2952</v>
      </c>
      <c r="BV28" s="106">
        <v>2</v>
      </c>
      <c r="BW28" s="106">
        <v>1476</v>
      </c>
      <c r="BX28" s="106">
        <v>14</v>
      </c>
      <c r="BY28" s="106">
        <v>10332</v>
      </c>
      <c r="BZ28" s="106">
        <v>21</v>
      </c>
      <c r="CA28" s="106">
        <v>15498</v>
      </c>
      <c r="CB28" s="106">
        <v>22</v>
      </c>
      <c r="CC28" s="106">
        <v>16236</v>
      </c>
      <c r="CD28" s="106">
        <v>25</v>
      </c>
      <c r="CE28" s="106">
        <v>18450</v>
      </c>
      <c r="CF28" s="106">
        <v>27</v>
      </c>
      <c r="CG28" s="106">
        <v>19926</v>
      </c>
      <c r="CH28" s="106">
        <v>15</v>
      </c>
      <c r="CI28" s="106">
        <v>11070</v>
      </c>
      <c r="CJ28" s="106">
        <v>30</v>
      </c>
      <c r="CK28" s="106">
        <v>22140</v>
      </c>
      <c r="CL28" s="106">
        <v>19</v>
      </c>
      <c r="CM28" s="106">
        <v>14022</v>
      </c>
      <c r="CN28" s="106">
        <v>27</v>
      </c>
      <c r="CO28" s="106">
        <v>19926</v>
      </c>
      <c r="CP28" s="106">
        <v>17</v>
      </c>
      <c r="CQ28" s="106">
        <v>12546</v>
      </c>
      <c r="CR28" s="106">
        <v>28</v>
      </c>
      <c r="CS28" s="106">
        <v>20664</v>
      </c>
      <c r="CT28" s="106">
        <v>26</v>
      </c>
      <c r="CU28" s="106">
        <v>19188</v>
      </c>
    </row>
    <row r="29" spans="2:99" x14ac:dyDescent="0.2">
      <c r="C29" s="105" t="s">
        <v>195</v>
      </c>
      <c r="D29" s="106">
        <v>4</v>
      </c>
      <c r="E29" s="106">
        <v>1353.6</v>
      </c>
      <c r="F29" s="106">
        <v>3</v>
      </c>
      <c r="G29" s="106">
        <v>1015.1999999999999</v>
      </c>
      <c r="H29" s="106">
        <v>3</v>
      </c>
      <c r="I29" s="106">
        <v>1015.1999999999999</v>
      </c>
      <c r="J29" s="106">
        <v>3</v>
      </c>
      <c r="K29" s="106">
        <v>1015.1999999999999</v>
      </c>
      <c r="L29" s="106">
        <v>14</v>
      </c>
      <c r="M29" s="106">
        <v>4737.5999999999995</v>
      </c>
      <c r="N29" s="106">
        <v>16</v>
      </c>
      <c r="O29" s="106">
        <v>5414.4</v>
      </c>
      <c r="P29" s="106">
        <v>15</v>
      </c>
      <c r="Q29" s="106">
        <v>5076</v>
      </c>
      <c r="R29" s="106">
        <v>20</v>
      </c>
      <c r="S29" s="106">
        <v>6768</v>
      </c>
      <c r="T29" s="106">
        <v>4</v>
      </c>
      <c r="U29" s="106">
        <v>1353.6</v>
      </c>
      <c r="V29" s="106">
        <v>5</v>
      </c>
      <c r="W29" s="106">
        <v>1692</v>
      </c>
      <c r="X29" s="106">
        <v>3</v>
      </c>
      <c r="Y29" s="106">
        <v>1015.1999999999999</v>
      </c>
      <c r="Z29" s="106">
        <v>4</v>
      </c>
      <c r="AA29" s="106">
        <v>1353.6</v>
      </c>
      <c r="AB29" s="106">
        <v>3</v>
      </c>
      <c r="AC29" s="106">
        <v>1015.1999999999999</v>
      </c>
      <c r="AD29" s="106">
        <v>3</v>
      </c>
      <c r="AE29" s="106">
        <v>1015.1999999999999</v>
      </c>
      <c r="AF29" s="106">
        <v>4</v>
      </c>
      <c r="AG29" s="106">
        <v>1353.6</v>
      </c>
      <c r="AH29" s="106">
        <v>2</v>
      </c>
      <c r="AI29" s="106">
        <v>676.8</v>
      </c>
      <c r="AJ29" s="106">
        <v>10</v>
      </c>
      <c r="AK29" s="106">
        <v>3384</v>
      </c>
      <c r="AL29" s="106">
        <v>9</v>
      </c>
      <c r="AM29" s="106">
        <v>3045.6</v>
      </c>
      <c r="AN29" s="106">
        <v>11</v>
      </c>
      <c r="AO29" s="106">
        <v>3722.3999999999996</v>
      </c>
      <c r="AP29" s="106">
        <v>10</v>
      </c>
      <c r="AQ29" s="106">
        <v>3384</v>
      </c>
      <c r="AR29" s="106">
        <v>26</v>
      </c>
      <c r="AS29" s="106">
        <v>8798.4</v>
      </c>
      <c r="AT29" s="106">
        <v>23</v>
      </c>
      <c r="AU29" s="106">
        <v>7783.2</v>
      </c>
      <c r="AV29" s="106">
        <v>36</v>
      </c>
      <c r="AW29" s="106">
        <v>12182.4</v>
      </c>
      <c r="AX29" s="106">
        <v>21</v>
      </c>
      <c r="AY29" s="106">
        <v>7106.4</v>
      </c>
      <c r="AZ29" s="106">
        <v>3</v>
      </c>
      <c r="BA29" s="106">
        <v>1015.1999999999999</v>
      </c>
      <c r="BB29" s="106">
        <v>3</v>
      </c>
      <c r="BC29" s="106">
        <v>1015.1999999999999</v>
      </c>
      <c r="BD29" s="106">
        <v>3</v>
      </c>
      <c r="BE29" s="106">
        <v>1015.1999999999999</v>
      </c>
      <c r="BF29" s="106">
        <v>3</v>
      </c>
      <c r="BG29" s="106">
        <v>1015.1999999999999</v>
      </c>
      <c r="BH29" s="106">
        <v>11</v>
      </c>
      <c r="BI29" s="106">
        <v>3722.3999999999996</v>
      </c>
      <c r="BJ29" s="106">
        <v>14</v>
      </c>
      <c r="BK29" s="106">
        <v>4737.5999999999995</v>
      </c>
      <c r="BL29" s="106">
        <v>16</v>
      </c>
      <c r="BM29" s="106">
        <v>5414.4</v>
      </c>
      <c r="BN29" s="106">
        <v>11</v>
      </c>
      <c r="BO29" s="106">
        <v>3722.3999999999996</v>
      </c>
      <c r="BP29" s="106">
        <v>2</v>
      </c>
      <c r="BQ29" s="106">
        <v>676.8</v>
      </c>
      <c r="BR29" s="106">
        <v>4</v>
      </c>
      <c r="BS29" s="106">
        <v>1353.6</v>
      </c>
      <c r="BT29" s="106">
        <v>3</v>
      </c>
      <c r="BU29" s="106">
        <v>1015.1999999999999</v>
      </c>
      <c r="BV29" s="106">
        <v>2</v>
      </c>
      <c r="BW29" s="106">
        <v>676.8</v>
      </c>
      <c r="BX29" s="106">
        <v>14</v>
      </c>
      <c r="BY29" s="106">
        <v>4737.5999999999995</v>
      </c>
      <c r="BZ29" s="106">
        <v>22</v>
      </c>
      <c r="CA29" s="106">
        <v>7444.7999999999993</v>
      </c>
      <c r="CB29" s="106">
        <v>21</v>
      </c>
      <c r="CC29" s="106">
        <v>7106.4</v>
      </c>
      <c r="CD29" s="106">
        <v>26</v>
      </c>
      <c r="CE29" s="106">
        <v>8798.4</v>
      </c>
      <c r="CF29" s="106">
        <v>29</v>
      </c>
      <c r="CG29" s="106">
        <v>9813.5999999999985</v>
      </c>
      <c r="CH29" s="106">
        <v>18</v>
      </c>
      <c r="CI29" s="106">
        <v>6091.2</v>
      </c>
      <c r="CJ29" s="106">
        <v>31</v>
      </c>
      <c r="CK29" s="106">
        <v>10490.4</v>
      </c>
      <c r="CL29" s="106">
        <v>18</v>
      </c>
      <c r="CM29" s="106">
        <v>6091.2</v>
      </c>
      <c r="CN29" s="106">
        <v>31</v>
      </c>
      <c r="CO29" s="106">
        <v>10490.4</v>
      </c>
      <c r="CP29" s="106">
        <v>18</v>
      </c>
      <c r="CQ29" s="106">
        <v>6091.2</v>
      </c>
      <c r="CR29" s="106">
        <v>27</v>
      </c>
      <c r="CS29" s="106">
        <v>9136.7999999999993</v>
      </c>
      <c r="CT29" s="106">
        <v>26</v>
      </c>
      <c r="CU29" s="106">
        <v>8798.4</v>
      </c>
    </row>
    <row r="30" spans="2:99" x14ac:dyDescent="0.2">
      <c r="C30" s="105" t="s">
        <v>196</v>
      </c>
      <c r="D30" s="106">
        <v>4</v>
      </c>
      <c r="E30" s="106">
        <v>556.79999999999995</v>
      </c>
      <c r="F30" s="106">
        <v>3</v>
      </c>
      <c r="G30" s="106">
        <v>417.59999999999997</v>
      </c>
      <c r="H30" s="106">
        <v>3</v>
      </c>
      <c r="I30" s="106">
        <v>417.59999999999997</v>
      </c>
      <c r="J30" s="106">
        <v>4</v>
      </c>
      <c r="K30" s="106">
        <v>556.79999999999995</v>
      </c>
      <c r="L30" s="106">
        <v>14</v>
      </c>
      <c r="M30" s="106">
        <v>1948.7999999999997</v>
      </c>
      <c r="N30" s="106">
        <v>18</v>
      </c>
      <c r="O30" s="106">
        <v>2505.6</v>
      </c>
      <c r="P30" s="106">
        <v>14</v>
      </c>
      <c r="Q30" s="106">
        <v>1948.7999999999997</v>
      </c>
      <c r="R30" s="106">
        <v>20</v>
      </c>
      <c r="S30" s="106">
        <v>2784</v>
      </c>
      <c r="T30" s="106">
        <v>5</v>
      </c>
      <c r="U30" s="106">
        <v>696</v>
      </c>
      <c r="V30" s="106">
        <v>4</v>
      </c>
      <c r="W30" s="106">
        <v>556.79999999999995</v>
      </c>
      <c r="X30" s="106">
        <v>3</v>
      </c>
      <c r="Y30" s="106">
        <v>417.59999999999997</v>
      </c>
      <c r="Z30" s="106">
        <v>4</v>
      </c>
      <c r="AA30" s="106">
        <v>556.79999999999995</v>
      </c>
      <c r="AB30" s="106">
        <v>3</v>
      </c>
      <c r="AC30" s="106">
        <v>417.59999999999997</v>
      </c>
      <c r="AD30" s="106">
        <v>3</v>
      </c>
      <c r="AE30" s="106">
        <v>417.59999999999997</v>
      </c>
      <c r="AF30" s="106">
        <v>4</v>
      </c>
      <c r="AG30" s="106">
        <v>556.79999999999995</v>
      </c>
      <c r="AH30" s="106">
        <v>2</v>
      </c>
      <c r="AI30" s="106">
        <v>278.39999999999998</v>
      </c>
      <c r="AJ30" s="106">
        <v>11</v>
      </c>
      <c r="AK30" s="106">
        <v>1531.1999999999998</v>
      </c>
      <c r="AL30" s="106">
        <v>10</v>
      </c>
      <c r="AM30" s="106">
        <v>1392</v>
      </c>
      <c r="AN30" s="106">
        <v>12</v>
      </c>
      <c r="AO30" s="106">
        <v>1670.3999999999999</v>
      </c>
      <c r="AP30" s="106">
        <v>9</v>
      </c>
      <c r="AQ30" s="106">
        <v>1252.8</v>
      </c>
      <c r="AR30" s="106">
        <v>29</v>
      </c>
      <c r="AS30" s="106">
        <v>4036.7999999999997</v>
      </c>
      <c r="AT30" s="106">
        <v>24</v>
      </c>
      <c r="AU30" s="106">
        <v>3340.7999999999997</v>
      </c>
      <c r="AV30" s="106">
        <v>43</v>
      </c>
      <c r="AW30" s="106">
        <v>5985.5999999999995</v>
      </c>
      <c r="AX30" s="106">
        <v>24</v>
      </c>
      <c r="AY30" s="106">
        <v>3340.7999999999997</v>
      </c>
      <c r="AZ30" s="106">
        <v>3</v>
      </c>
      <c r="BA30" s="106">
        <v>417.59999999999997</v>
      </c>
      <c r="BB30" s="106">
        <v>3</v>
      </c>
      <c r="BC30" s="106">
        <v>417.59999999999997</v>
      </c>
      <c r="BD30" s="106">
        <v>4</v>
      </c>
      <c r="BE30" s="106">
        <v>556.79999999999995</v>
      </c>
      <c r="BF30" s="106">
        <v>4</v>
      </c>
      <c r="BG30" s="106">
        <v>556.79999999999995</v>
      </c>
      <c r="BH30" s="106">
        <v>12</v>
      </c>
      <c r="BI30" s="106">
        <v>1670.3999999999999</v>
      </c>
      <c r="BJ30" s="106">
        <v>17</v>
      </c>
      <c r="BK30" s="106">
        <v>2366.3999999999996</v>
      </c>
      <c r="BL30" s="106">
        <v>16</v>
      </c>
      <c r="BM30" s="106">
        <v>2227.1999999999998</v>
      </c>
      <c r="BN30" s="106">
        <v>11</v>
      </c>
      <c r="BO30" s="106">
        <v>1531.1999999999998</v>
      </c>
      <c r="BP30" s="106">
        <v>2</v>
      </c>
      <c r="BQ30" s="106">
        <v>278.39999999999998</v>
      </c>
      <c r="BR30" s="106">
        <v>4</v>
      </c>
      <c r="BS30" s="106">
        <v>556.79999999999995</v>
      </c>
      <c r="BT30" s="106">
        <v>4</v>
      </c>
      <c r="BU30" s="106">
        <v>556.79999999999995</v>
      </c>
      <c r="BV30" s="106">
        <v>3</v>
      </c>
      <c r="BW30" s="106">
        <v>417.59999999999997</v>
      </c>
      <c r="BX30" s="106">
        <v>16</v>
      </c>
      <c r="BY30" s="106">
        <v>2227.1999999999998</v>
      </c>
      <c r="BZ30" s="106">
        <v>26</v>
      </c>
      <c r="CA30" s="106">
        <v>3619.2</v>
      </c>
      <c r="CB30" s="106">
        <v>26</v>
      </c>
      <c r="CC30" s="106">
        <v>3619.2</v>
      </c>
      <c r="CD30" s="106">
        <v>29</v>
      </c>
      <c r="CE30" s="106">
        <v>4036.7999999999997</v>
      </c>
      <c r="CF30" s="106">
        <v>31</v>
      </c>
      <c r="CG30" s="106">
        <v>4315.2</v>
      </c>
      <c r="CH30" s="106">
        <v>18</v>
      </c>
      <c r="CI30" s="106">
        <v>2505.6</v>
      </c>
      <c r="CJ30" s="106">
        <v>36</v>
      </c>
      <c r="CK30" s="106">
        <v>5011.2</v>
      </c>
      <c r="CL30" s="106">
        <v>20</v>
      </c>
      <c r="CM30" s="106">
        <v>2784</v>
      </c>
      <c r="CN30" s="106">
        <v>31</v>
      </c>
      <c r="CO30" s="106">
        <v>4315.2</v>
      </c>
      <c r="CP30" s="106">
        <v>21</v>
      </c>
      <c r="CQ30" s="106">
        <v>2923.2</v>
      </c>
      <c r="CR30" s="106">
        <v>31</v>
      </c>
      <c r="CS30" s="106">
        <v>4315.2</v>
      </c>
      <c r="CT30" s="106">
        <v>31</v>
      </c>
      <c r="CU30" s="106">
        <v>4315.2</v>
      </c>
    </row>
    <row r="31" spans="2:99" x14ac:dyDescent="0.2">
      <c r="C31" s="105" t="s">
        <v>197</v>
      </c>
      <c r="D31" s="106">
        <v>3</v>
      </c>
      <c r="E31" s="106">
        <v>1022.4000000000001</v>
      </c>
      <c r="F31" s="106">
        <v>3</v>
      </c>
      <c r="G31" s="106">
        <v>1022.4000000000001</v>
      </c>
      <c r="H31" s="106">
        <v>3</v>
      </c>
      <c r="I31" s="106">
        <v>1022.4000000000001</v>
      </c>
      <c r="J31" s="106">
        <v>3</v>
      </c>
      <c r="K31" s="106">
        <v>1022.4000000000001</v>
      </c>
      <c r="L31" s="106">
        <v>15</v>
      </c>
      <c r="M31" s="106">
        <v>5112</v>
      </c>
      <c r="N31" s="106">
        <v>19</v>
      </c>
      <c r="O31" s="106">
        <v>6475.2</v>
      </c>
      <c r="P31" s="106">
        <v>15</v>
      </c>
      <c r="Q31" s="106">
        <v>5112</v>
      </c>
      <c r="R31" s="106">
        <v>19</v>
      </c>
      <c r="S31" s="106">
        <v>6475.2</v>
      </c>
      <c r="T31" s="106">
        <v>5</v>
      </c>
      <c r="U31" s="106">
        <v>1704</v>
      </c>
      <c r="V31" s="106">
        <v>4</v>
      </c>
      <c r="W31" s="106">
        <v>1363.2</v>
      </c>
      <c r="X31" s="106">
        <v>3</v>
      </c>
      <c r="Y31" s="106">
        <v>1022.4000000000001</v>
      </c>
      <c r="Z31" s="106">
        <v>3</v>
      </c>
      <c r="AA31" s="106">
        <v>1022.4000000000001</v>
      </c>
      <c r="AB31" s="106">
        <v>3</v>
      </c>
      <c r="AC31" s="106">
        <v>1022.4000000000001</v>
      </c>
      <c r="AD31" s="106">
        <v>3</v>
      </c>
      <c r="AE31" s="106">
        <v>1022.4000000000001</v>
      </c>
      <c r="AF31" s="106">
        <v>4</v>
      </c>
      <c r="AG31" s="106">
        <v>1363.2</v>
      </c>
      <c r="AH31" s="106">
        <v>2</v>
      </c>
      <c r="AI31" s="106">
        <v>681.6</v>
      </c>
      <c r="AJ31" s="106">
        <v>11</v>
      </c>
      <c r="AK31" s="106">
        <v>3748.8</v>
      </c>
      <c r="AL31" s="106">
        <v>10</v>
      </c>
      <c r="AM31" s="106">
        <v>3408</v>
      </c>
      <c r="AN31" s="106">
        <v>11</v>
      </c>
      <c r="AO31" s="106">
        <v>3748.8</v>
      </c>
      <c r="AP31" s="106">
        <v>10</v>
      </c>
      <c r="AQ31" s="106">
        <v>3408</v>
      </c>
      <c r="AR31" s="106">
        <v>25</v>
      </c>
      <c r="AS31" s="106">
        <v>8520</v>
      </c>
      <c r="AT31" s="106">
        <v>24</v>
      </c>
      <c r="AU31" s="106">
        <v>8179.2000000000007</v>
      </c>
      <c r="AV31" s="106">
        <v>41</v>
      </c>
      <c r="AW31" s="106">
        <v>13972.800000000001</v>
      </c>
      <c r="AX31" s="106">
        <v>23</v>
      </c>
      <c r="AY31" s="106">
        <v>7838.4000000000005</v>
      </c>
      <c r="AZ31" s="106">
        <v>3</v>
      </c>
      <c r="BA31" s="106">
        <v>1022.4000000000001</v>
      </c>
      <c r="BB31" s="106">
        <v>3</v>
      </c>
      <c r="BC31" s="106">
        <v>1022.4000000000001</v>
      </c>
      <c r="BD31" s="106">
        <v>3</v>
      </c>
      <c r="BE31" s="106">
        <v>1022.4000000000001</v>
      </c>
      <c r="BF31" s="106">
        <v>3</v>
      </c>
      <c r="BG31" s="106">
        <v>1022.4000000000001</v>
      </c>
      <c r="BH31" s="106">
        <v>10</v>
      </c>
      <c r="BI31" s="106">
        <v>3408</v>
      </c>
      <c r="BJ31" s="106">
        <v>15</v>
      </c>
      <c r="BK31" s="106">
        <v>5112</v>
      </c>
      <c r="BL31" s="106">
        <v>14</v>
      </c>
      <c r="BM31" s="106">
        <v>4771.2</v>
      </c>
      <c r="BN31" s="106">
        <v>11</v>
      </c>
      <c r="BO31" s="106">
        <v>3748.8</v>
      </c>
      <c r="BP31" s="106">
        <v>2</v>
      </c>
      <c r="BQ31" s="106">
        <v>681.6</v>
      </c>
      <c r="BR31" s="106">
        <v>4</v>
      </c>
      <c r="BS31" s="106">
        <v>1363.2</v>
      </c>
      <c r="BT31" s="106">
        <v>4</v>
      </c>
      <c r="BU31" s="106">
        <v>1363.2</v>
      </c>
      <c r="BV31" s="106">
        <v>2</v>
      </c>
      <c r="BW31" s="106">
        <v>681.6</v>
      </c>
      <c r="BX31" s="106">
        <v>15</v>
      </c>
      <c r="BY31" s="106">
        <v>5112</v>
      </c>
      <c r="BZ31" s="106">
        <v>22</v>
      </c>
      <c r="CA31" s="106">
        <v>7497.6</v>
      </c>
      <c r="CB31" s="106">
        <v>23</v>
      </c>
      <c r="CC31" s="106">
        <v>7838.4000000000005</v>
      </c>
      <c r="CD31" s="106">
        <v>28</v>
      </c>
      <c r="CE31" s="106">
        <v>9542.4</v>
      </c>
      <c r="CF31" s="106">
        <v>26</v>
      </c>
      <c r="CG31" s="106">
        <v>8860.8000000000011</v>
      </c>
      <c r="CH31" s="106">
        <v>17</v>
      </c>
      <c r="CI31" s="106">
        <v>5793.6</v>
      </c>
      <c r="CJ31" s="106">
        <v>35</v>
      </c>
      <c r="CK31" s="106">
        <v>11928</v>
      </c>
      <c r="CL31" s="106">
        <v>18</v>
      </c>
      <c r="CM31" s="106">
        <v>6134.4000000000005</v>
      </c>
      <c r="CN31" s="106">
        <v>30</v>
      </c>
      <c r="CO31" s="106">
        <v>10224</v>
      </c>
      <c r="CP31" s="106">
        <v>17</v>
      </c>
      <c r="CQ31" s="106">
        <v>5793.6</v>
      </c>
      <c r="CR31" s="106">
        <v>32</v>
      </c>
      <c r="CS31" s="106">
        <v>10905.6</v>
      </c>
      <c r="CT31" s="106">
        <v>28</v>
      </c>
      <c r="CU31" s="106">
        <v>9542.4</v>
      </c>
    </row>
    <row r="32" spans="2:99" x14ac:dyDescent="0.2">
      <c r="C32" s="105" t="s">
        <v>198</v>
      </c>
      <c r="D32" s="106">
        <v>3</v>
      </c>
      <c r="E32" s="106">
        <v>2520</v>
      </c>
      <c r="F32" s="106">
        <v>3</v>
      </c>
      <c r="G32" s="106">
        <v>2520</v>
      </c>
      <c r="H32" s="106">
        <v>3</v>
      </c>
      <c r="I32" s="106">
        <v>2520</v>
      </c>
      <c r="J32" s="106">
        <v>4</v>
      </c>
      <c r="K32" s="106">
        <v>3360</v>
      </c>
      <c r="L32" s="106">
        <v>12</v>
      </c>
      <c r="M32" s="106">
        <v>10080</v>
      </c>
      <c r="N32" s="106">
        <v>16</v>
      </c>
      <c r="O32" s="106">
        <v>13440</v>
      </c>
      <c r="P32" s="106">
        <v>12</v>
      </c>
      <c r="Q32" s="106">
        <v>10080</v>
      </c>
      <c r="R32" s="106">
        <v>19</v>
      </c>
      <c r="S32" s="106">
        <v>15960</v>
      </c>
      <c r="T32" s="106">
        <v>4</v>
      </c>
      <c r="U32" s="106">
        <v>3360</v>
      </c>
      <c r="V32" s="106">
        <v>4</v>
      </c>
      <c r="W32" s="106">
        <v>3360</v>
      </c>
      <c r="X32" s="106">
        <v>3</v>
      </c>
      <c r="Y32" s="106">
        <v>2520</v>
      </c>
      <c r="Z32" s="106">
        <v>3</v>
      </c>
      <c r="AA32" s="106">
        <v>2520</v>
      </c>
      <c r="AB32" s="106">
        <v>3</v>
      </c>
      <c r="AC32" s="106">
        <v>2520</v>
      </c>
      <c r="AD32" s="106">
        <v>3</v>
      </c>
      <c r="AE32" s="106">
        <v>2520</v>
      </c>
      <c r="AF32" s="106">
        <v>4</v>
      </c>
      <c r="AG32" s="106">
        <v>3360</v>
      </c>
      <c r="AH32" s="106">
        <v>2</v>
      </c>
      <c r="AI32" s="106">
        <v>1680</v>
      </c>
      <c r="AJ32" s="106">
        <v>9</v>
      </c>
      <c r="AK32" s="106">
        <v>7560</v>
      </c>
      <c r="AL32" s="106">
        <v>9</v>
      </c>
      <c r="AM32" s="106">
        <v>7560</v>
      </c>
      <c r="AN32" s="106">
        <v>11</v>
      </c>
      <c r="AO32" s="106">
        <v>9240</v>
      </c>
      <c r="AP32" s="106">
        <v>8</v>
      </c>
      <c r="AQ32" s="106">
        <v>6720</v>
      </c>
      <c r="AR32" s="106">
        <v>25</v>
      </c>
      <c r="AS32" s="106">
        <v>21000</v>
      </c>
      <c r="AT32" s="106">
        <v>19</v>
      </c>
      <c r="AU32" s="106">
        <v>15960</v>
      </c>
      <c r="AV32" s="106">
        <v>35</v>
      </c>
      <c r="AW32" s="106">
        <v>29400</v>
      </c>
      <c r="AX32" s="106">
        <v>21</v>
      </c>
      <c r="AY32" s="106">
        <v>17640</v>
      </c>
      <c r="AZ32" s="106">
        <v>3</v>
      </c>
      <c r="BA32" s="106">
        <v>2520</v>
      </c>
      <c r="BB32" s="106">
        <v>3</v>
      </c>
      <c r="BC32" s="106">
        <v>2520</v>
      </c>
      <c r="BD32" s="106">
        <v>3</v>
      </c>
      <c r="BE32" s="106">
        <v>2520</v>
      </c>
      <c r="BF32" s="106">
        <v>4</v>
      </c>
      <c r="BG32" s="106">
        <v>3360</v>
      </c>
      <c r="BH32" s="106">
        <v>10</v>
      </c>
      <c r="BI32" s="106">
        <v>8400</v>
      </c>
      <c r="BJ32" s="106">
        <v>14</v>
      </c>
      <c r="BK32" s="106">
        <v>11760</v>
      </c>
      <c r="BL32" s="106">
        <v>14</v>
      </c>
      <c r="BM32" s="106">
        <v>11760</v>
      </c>
      <c r="BN32" s="106">
        <v>10</v>
      </c>
      <c r="BO32" s="106">
        <v>8400</v>
      </c>
      <c r="BP32" s="106">
        <v>2</v>
      </c>
      <c r="BQ32" s="106">
        <v>1680</v>
      </c>
      <c r="BR32" s="106">
        <v>3</v>
      </c>
      <c r="BS32" s="106">
        <v>2520</v>
      </c>
      <c r="BT32" s="106">
        <v>3</v>
      </c>
      <c r="BU32" s="106">
        <v>2520</v>
      </c>
      <c r="BV32" s="106">
        <v>2</v>
      </c>
      <c r="BW32" s="106">
        <v>1680</v>
      </c>
      <c r="BX32" s="106">
        <v>15</v>
      </c>
      <c r="BY32" s="106">
        <v>12600</v>
      </c>
      <c r="BZ32" s="106">
        <v>23</v>
      </c>
      <c r="CA32" s="106">
        <v>19320</v>
      </c>
      <c r="CB32" s="106">
        <v>21</v>
      </c>
      <c r="CC32" s="106">
        <v>17640</v>
      </c>
      <c r="CD32" s="106">
        <v>22</v>
      </c>
      <c r="CE32" s="106">
        <v>18480</v>
      </c>
      <c r="CF32" s="106">
        <v>24</v>
      </c>
      <c r="CG32" s="106">
        <v>20160</v>
      </c>
      <c r="CH32" s="106">
        <v>16</v>
      </c>
      <c r="CI32" s="106">
        <v>13440</v>
      </c>
      <c r="CJ32" s="106">
        <v>28</v>
      </c>
      <c r="CK32" s="106">
        <v>23520</v>
      </c>
      <c r="CL32" s="106">
        <v>16</v>
      </c>
      <c r="CM32" s="106">
        <v>13440</v>
      </c>
      <c r="CN32" s="106">
        <v>26</v>
      </c>
      <c r="CO32" s="106">
        <v>21840</v>
      </c>
      <c r="CP32" s="106">
        <v>16</v>
      </c>
      <c r="CQ32" s="106">
        <v>13440</v>
      </c>
      <c r="CR32" s="106">
        <v>28</v>
      </c>
      <c r="CS32" s="106">
        <v>23520</v>
      </c>
      <c r="CT32" s="106">
        <v>28</v>
      </c>
      <c r="CU32" s="106">
        <v>23520</v>
      </c>
    </row>
    <row r="33" spans="2:99" x14ac:dyDescent="0.2">
      <c r="C33" s="105" t="s">
        <v>199</v>
      </c>
      <c r="D33" s="106">
        <v>4</v>
      </c>
      <c r="E33" s="106">
        <v>1896</v>
      </c>
      <c r="F33" s="106">
        <v>3</v>
      </c>
      <c r="G33" s="106">
        <v>1422</v>
      </c>
      <c r="H33" s="106">
        <v>3</v>
      </c>
      <c r="I33" s="106">
        <v>1422</v>
      </c>
      <c r="J33" s="106">
        <v>3</v>
      </c>
      <c r="K33" s="106">
        <v>1422</v>
      </c>
      <c r="L33" s="106">
        <v>13</v>
      </c>
      <c r="M33" s="106">
        <v>6162</v>
      </c>
      <c r="N33" s="106">
        <v>19</v>
      </c>
      <c r="O33" s="106">
        <v>9006</v>
      </c>
      <c r="P33" s="106">
        <v>15</v>
      </c>
      <c r="Q33" s="106">
        <v>7110</v>
      </c>
      <c r="R33" s="106">
        <v>20</v>
      </c>
      <c r="S33" s="106">
        <v>9480</v>
      </c>
      <c r="T33" s="106">
        <v>5</v>
      </c>
      <c r="U33" s="106">
        <v>2370</v>
      </c>
      <c r="V33" s="106">
        <v>4</v>
      </c>
      <c r="W33" s="106">
        <v>1896</v>
      </c>
      <c r="X33" s="106">
        <v>3</v>
      </c>
      <c r="Y33" s="106">
        <v>1422</v>
      </c>
      <c r="Z33" s="106">
        <v>3</v>
      </c>
      <c r="AA33" s="106">
        <v>1422</v>
      </c>
      <c r="AB33" s="106">
        <v>3</v>
      </c>
      <c r="AC33" s="106">
        <v>1422</v>
      </c>
      <c r="AD33" s="106">
        <v>3</v>
      </c>
      <c r="AE33" s="106">
        <v>1422</v>
      </c>
      <c r="AF33" s="106">
        <v>4</v>
      </c>
      <c r="AG33" s="106">
        <v>1896</v>
      </c>
      <c r="AH33" s="106">
        <v>2</v>
      </c>
      <c r="AI33" s="106">
        <v>948</v>
      </c>
      <c r="AJ33" s="106">
        <v>11</v>
      </c>
      <c r="AK33" s="106">
        <v>5214</v>
      </c>
      <c r="AL33" s="106">
        <v>10</v>
      </c>
      <c r="AM33" s="106">
        <v>4740</v>
      </c>
      <c r="AN33" s="106">
        <v>11</v>
      </c>
      <c r="AO33" s="106">
        <v>5214</v>
      </c>
      <c r="AP33" s="106">
        <v>9</v>
      </c>
      <c r="AQ33" s="106">
        <v>4266</v>
      </c>
      <c r="AR33" s="106">
        <v>26</v>
      </c>
      <c r="AS33" s="106">
        <v>12324</v>
      </c>
      <c r="AT33" s="106">
        <v>24</v>
      </c>
      <c r="AU33" s="106">
        <v>11376</v>
      </c>
      <c r="AV33" s="106">
        <v>39</v>
      </c>
      <c r="AW33" s="106">
        <v>18486</v>
      </c>
      <c r="AX33" s="106">
        <v>22</v>
      </c>
      <c r="AY33" s="106">
        <v>10428</v>
      </c>
      <c r="AZ33" s="106">
        <v>3</v>
      </c>
      <c r="BA33" s="106">
        <v>1422</v>
      </c>
      <c r="BB33" s="106">
        <v>3</v>
      </c>
      <c r="BC33" s="106">
        <v>1422</v>
      </c>
      <c r="BD33" s="106">
        <v>3</v>
      </c>
      <c r="BE33" s="106">
        <v>1422</v>
      </c>
      <c r="BF33" s="106">
        <v>3</v>
      </c>
      <c r="BG33" s="106">
        <v>1422</v>
      </c>
      <c r="BH33" s="106">
        <v>11</v>
      </c>
      <c r="BI33" s="106">
        <v>5214</v>
      </c>
      <c r="BJ33" s="106">
        <v>16</v>
      </c>
      <c r="BK33" s="106">
        <v>7584</v>
      </c>
      <c r="BL33" s="106">
        <v>15</v>
      </c>
      <c r="BM33" s="106">
        <v>7110</v>
      </c>
      <c r="BN33" s="106">
        <v>11</v>
      </c>
      <c r="BO33" s="106">
        <v>5214</v>
      </c>
      <c r="BP33" s="106">
        <v>2</v>
      </c>
      <c r="BQ33" s="106">
        <v>948</v>
      </c>
      <c r="BR33" s="106">
        <v>4</v>
      </c>
      <c r="BS33" s="106">
        <v>1896</v>
      </c>
      <c r="BT33" s="106">
        <v>3</v>
      </c>
      <c r="BU33" s="106">
        <v>1422</v>
      </c>
      <c r="BV33" s="106">
        <v>2</v>
      </c>
      <c r="BW33" s="106">
        <v>948</v>
      </c>
      <c r="BX33" s="106">
        <v>14</v>
      </c>
      <c r="BY33" s="106">
        <v>6636</v>
      </c>
      <c r="BZ33" s="106">
        <v>21</v>
      </c>
      <c r="CA33" s="106">
        <v>9954</v>
      </c>
      <c r="CB33" s="106">
        <v>23</v>
      </c>
      <c r="CC33" s="106">
        <v>10902</v>
      </c>
      <c r="CD33" s="106">
        <v>25</v>
      </c>
      <c r="CE33" s="106">
        <v>11850</v>
      </c>
      <c r="CF33" s="106">
        <v>28</v>
      </c>
      <c r="CG33" s="106">
        <v>13272</v>
      </c>
      <c r="CH33" s="106">
        <v>17</v>
      </c>
      <c r="CI33" s="106">
        <v>8058</v>
      </c>
      <c r="CJ33" s="106">
        <v>34</v>
      </c>
      <c r="CK33" s="106">
        <v>16116</v>
      </c>
      <c r="CL33" s="106">
        <v>17</v>
      </c>
      <c r="CM33" s="106">
        <v>8058</v>
      </c>
      <c r="CN33" s="106">
        <v>29</v>
      </c>
      <c r="CO33" s="106">
        <v>13746</v>
      </c>
      <c r="CP33" s="106">
        <v>19</v>
      </c>
      <c r="CQ33" s="106">
        <v>9006</v>
      </c>
      <c r="CR33" s="106">
        <v>26</v>
      </c>
      <c r="CS33" s="106">
        <v>12324</v>
      </c>
      <c r="CT33" s="106">
        <v>29</v>
      </c>
      <c r="CU33" s="106">
        <v>13746</v>
      </c>
    </row>
    <row r="34" spans="2:99" x14ac:dyDescent="0.2">
      <c r="C34" s="105" t="s">
        <v>200</v>
      </c>
      <c r="D34" s="106">
        <v>4</v>
      </c>
      <c r="E34" s="106">
        <v>2193.6</v>
      </c>
      <c r="F34" s="106">
        <v>3</v>
      </c>
      <c r="G34" s="106">
        <v>1645.1999999999998</v>
      </c>
      <c r="H34" s="106">
        <v>3</v>
      </c>
      <c r="I34" s="106">
        <v>1645.1999999999998</v>
      </c>
      <c r="J34" s="106">
        <v>3</v>
      </c>
      <c r="K34" s="106">
        <v>1645.1999999999998</v>
      </c>
      <c r="L34" s="106">
        <v>14</v>
      </c>
      <c r="M34" s="106">
        <v>7677.5999999999995</v>
      </c>
      <c r="N34" s="106">
        <v>16</v>
      </c>
      <c r="O34" s="106">
        <v>8774.4</v>
      </c>
      <c r="P34" s="106">
        <v>14</v>
      </c>
      <c r="Q34" s="106">
        <v>7677.5999999999995</v>
      </c>
      <c r="R34" s="106">
        <v>18</v>
      </c>
      <c r="S34" s="106">
        <v>9871.1999999999989</v>
      </c>
      <c r="T34" s="106">
        <v>4</v>
      </c>
      <c r="U34" s="106">
        <v>2193.6</v>
      </c>
      <c r="V34" s="106">
        <v>4</v>
      </c>
      <c r="W34" s="106">
        <v>2193.6</v>
      </c>
      <c r="X34" s="106">
        <v>3</v>
      </c>
      <c r="Y34" s="106">
        <v>1645.1999999999998</v>
      </c>
      <c r="Z34" s="106">
        <v>3</v>
      </c>
      <c r="AA34" s="106">
        <v>1645.1999999999998</v>
      </c>
      <c r="AB34" s="106">
        <v>3</v>
      </c>
      <c r="AC34" s="106">
        <v>1645.1999999999998</v>
      </c>
      <c r="AD34" s="106">
        <v>3</v>
      </c>
      <c r="AE34" s="106">
        <v>1645.1999999999998</v>
      </c>
      <c r="AF34" s="106">
        <v>4</v>
      </c>
      <c r="AG34" s="106">
        <v>2193.6</v>
      </c>
      <c r="AH34" s="106">
        <v>2</v>
      </c>
      <c r="AI34" s="106">
        <v>1096.8</v>
      </c>
      <c r="AJ34" s="106">
        <v>10</v>
      </c>
      <c r="AK34" s="106">
        <v>5484</v>
      </c>
      <c r="AL34" s="106">
        <v>9</v>
      </c>
      <c r="AM34" s="106">
        <v>4935.5999999999995</v>
      </c>
      <c r="AN34" s="106">
        <v>12</v>
      </c>
      <c r="AO34" s="106">
        <v>6580.7999999999993</v>
      </c>
      <c r="AP34" s="106">
        <v>9</v>
      </c>
      <c r="AQ34" s="106">
        <v>4935.5999999999995</v>
      </c>
      <c r="AR34" s="106">
        <v>25</v>
      </c>
      <c r="AS34" s="106">
        <v>13710</v>
      </c>
      <c r="AT34" s="106">
        <v>25</v>
      </c>
      <c r="AU34" s="106">
        <v>13710</v>
      </c>
      <c r="AV34" s="106">
        <v>34</v>
      </c>
      <c r="AW34" s="106">
        <v>18645.599999999999</v>
      </c>
      <c r="AX34" s="106">
        <v>19</v>
      </c>
      <c r="AY34" s="106">
        <v>10419.6</v>
      </c>
      <c r="AZ34" s="106">
        <v>3</v>
      </c>
      <c r="BA34" s="106">
        <v>1645.1999999999998</v>
      </c>
      <c r="BB34" s="106">
        <v>3</v>
      </c>
      <c r="BC34" s="106">
        <v>1645.1999999999998</v>
      </c>
      <c r="BD34" s="106">
        <v>3</v>
      </c>
      <c r="BE34" s="106">
        <v>1645.1999999999998</v>
      </c>
      <c r="BF34" s="106">
        <v>3</v>
      </c>
      <c r="BG34" s="106">
        <v>1645.1999999999998</v>
      </c>
      <c r="BH34" s="106">
        <v>11</v>
      </c>
      <c r="BI34" s="106">
        <v>6032.4</v>
      </c>
      <c r="BJ34" s="106">
        <v>14</v>
      </c>
      <c r="BK34" s="106">
        <v>7677.5999999999995</v>
      </c>
      <c r="BL34" s="106">
        <v>14</v>
      </c>
      <c r="BM34" s="106">
        <v>7677.5999999999995</v>
      </c>
      <c r="BN34" s="106">
        <v>10</v>
      </c>
      <c r="BO34" s="106">
        <v>5484</v>
      </c>
      <c r="BP34" s="106">
        <v>2</v>
      </c>
      <c r="BQ34" s="106">
        <v>1096.8</v>
      </c>
      <c r="BR34" s="106">
        <v>4</v>
      </c>
      <c r="BS34" s="106">
        <v>2193.6</v>
      </c>
      <c r="BT34" s="106">
        <v>4</v>
      </c>
      <c r="BU34" s="106">
        <v>2193.6</v>
      </c>
      <c r="BV34" s="106">
        <v>2</v>
      </c>
      <c r="BW34" s="106">
        <v>1096.8</v>
      </c>
      <c r="BX34" s="106">
        <v>14</v>
      </c>
      <c r="BY34" s="106">
        <v>7677.5999999999995</v>
      </c>
      <c r="BZ34" s="106">
        <v>24</v>
      </c>
      <c r="CA34" s="106">
        <v>13161.599999999999</v>
      </c>
      <c r="CB34" s="106">
        <v>23</v>
      </c>
      <c r="CC34" s="106">
        <v>12613.199999999999</v>
      </c>
      <c r="CD34" s="106">
        <v>24</v>
      </c>
      <c r="CE34" s="106">
        <v>13161.599999999999</v>
      </c>
      <c r="CF34" s="106">
        <v>27</v>
      </c>
      <c r="CG34" s="106">
        <v>14806.8</v>
      </c>
      <c r="CH34" s="106">
        <v>16</v>
      </c>
      <c r="CI34" s="106">
        <v>8774.4</v>
      </c>
      <c r="CJ34" s="106">
        <v>29</v>
      </c>
      <c r="CK34" s="106">
        <v>15903.599999999999</v>
      </c>
      <c r="CL34" s="106">
        <v>18</v>
      </c>
      <c r="CM34" s="106">
        <v>9871.1999999999989</v>
      </c>
      <c r="CN34" s="106">
        <v>26</v>
      </c>
      <c r="CO34" s="106">
        <v>14258.4</v>
      </c>
      <c r="CP34" s="106">
        <v>19</v>
      </c>
      <c r="CQ34" s="106">
        <v>10419.6</v>
      </c>
      <c r="CR34" s="106">
        <v>26</v>
      </c>
      <c r="CS34" s="106">
        <v>14258.4</v>
      </c>
      <c r="CT34" s="106">
        <v>25</v>
      </c>
      <c r="CU34" s="106">
        <v>13710</v>
      </c>
    </row>
    <row r="35" spans="2:99" x14ac:dyDescent="0.2">
      <c r="C35" s="105" t="s">
        <v>201</v>
      </c>
      <c r="D35" s="106">
        <v>4</v>
      </c>
      <c r="E35" s="106">
        <v>2011.1999999999996</v>
      </c>
      <c r="F35" s="106">
        <v>3</v>
      </c>
      <c r="G35" s="106">
        <v>1508.3999999999996</v>
      </c>
      <c r="H35" s="106">
        <v>3</v>
      </c>
      <c r="I35" s="106">
        <v>1508.3999999999996</v>
      </c>
      <c r="J35" s="106">
        <v>4</v>
      </c>
      <c r="K35" s="106">
        <v>2011.1999999999996</v>
      </c>
      <c r="L35" s="106">
        <v>14</v>
      </c>
      <c r="M35" s="106">
        <v>7039.1999999999989</v>
      </c>
      <c r="N35" s="106">
        <v>16</v>
      </c>
      <c r="O35" s="106">
        <v>8044.7999999999984</v>
      </c>
      <c r="P35" s="106">
        <v>13</v>
      </c>
      <c r="Q35" s="106">
        <v>6536.3999999999987</v>
      </c>
      <c r="R35" s="106">
        <v>18</v>
      </c>
      <c r="S35" s="106">
        <v>9050.3999999999978</v>
      </c>
      <c r="T35" s="106">
        <v>4</v>
      </c>
      <c r="U35" s="106">
        <v>2011.1999999999996</v>
      </c>
      <c r="V35" s="106">
        <v>4</v>
      </c>
      <c r="W35" s="106">
        <v>2011.1999999999996</v>
      </c>
      <c r="X35" s="106">
        <v>3</v>
      </c>
      <c r="Y35" s="106">
        <v>1508.3999999999996</v>
      </c>
      <c r="Z35" s="106">
        <v>3</v>
      </c>
      <c r="AA35" s="106">
        <v>1508.3999999999996</v>
      </c>
      <c r="AB35" s="106">
        <v>3</v>
      </c>
      <c r="AC35" s="106">
        <v>1508.3999999999996</v>
      </c>
      <c r="AD35" s="106">
        <v>3</v>
      </c>
      <c r="AE35" s="106">
        <v>1508.3999999999996</v>
      </c>
      <c r="AF35" s="106">
        <v>4</v>
      </c>
      <c r="AG35" s="106">
        <v>2011.1999999999996</v>
      </c>
      <c r="AH35" s="106">
        <v>2</v>
      </c>
      <c r="AI35" s="106">
        <v>1005.5999999999998</v>
      </c>
      <c r="AJ35" s="106">
        <v>11</v>
      </c>
      <c r="AK35" s="106">
        <v>5530.7999999999993</v>
      </c>
      <c r="AL35" s="106">
        <v>10</v>
      </c>
      <c r="AM35" s="106">
        <v>5027.9999999999991</v>
      </c>
      <c r="AN35" s="106">
        <v>12</v>
      </c>
      <c r="AO35" s="106">
        <v>6033.5999999999985</v>
      </c>
      <c r="AP35" s="106">
        <v>10</v>
      </c>
      <c r="AQ35" s="106">
        <v>5027.9999999999991</v>
      </c>
      <c r="AR35" s="106">
        <v>27</v>
      </c>
      <c r="AS35" s="106">
        <v>13575.599999999997</v>
      </c>
      <c r="AT35" s="106">
        <v>24</v>
      </c>
      <c r="AU35" s="106">
        <v>12067.199999999997</v>
      </c>
      <c r="AV35" s="106">
        <v>35</v>
      </c>
      <c r="AW35" s="106">
        <v>17597.999999999996</v>
      </c>
      <c r="AX35" s="106">
        <v>23</v>
      </c>
      <c r="AY35" s="106">
        <v>11564.399999999998</v>
      </c>
      <c r="AZ35" s="106">
        <v>3</v>
      </c>
      <c r="BA35" s="106">
        <v>1508.3999999999996</v>
      </c>
      <c r="BB35" s="106">
        <v>3</v>
      </c>
      <c r="BC35" s="106">
        <v>1508.3999999999996</v>
      </c>
      <c r="BD35" s="106">
        <v>3</v>
      </c>
      <c r="BE35" s="106">
        <v>1508.3999999999996</v>
      </c>
      <c r="BF35" s="106">
        <v>3</v>
      </c>
      <c r="BG35" s="106">
        <v>1508.3999999999996</v>
      </c>
      <c r="BH35" s="106">
        <v>10</v>
      </c>
      <c r="BI35" s="106">
        <v>5027.9999999999991</v>
      </c>
      <c r="BJ35" s="106">
        <v>15</v>
      </c>
      <c r="BK35" s="106">
        <v>7541.9999999999982</v>
      </c>
      <c r="BL35" s="106">
        <v>15</v>
      </c>
      <c r="BM35" s="106">
        <v>7541.9999999999982</v>
      </c>
      <c r="BN35" s="106">
        <v>10</v>
      </c>
      <c r="BO35" s="106">
        <v>5027.9999999999991</v>
      </c>
      <c r="BP35" s="106">
        <v>2</v>
      </c>
      <c r="BQ35" s="106">
        <v>1005.5999999999998</v>
      </c>
      <c r="BR35" s="106">
        <v>3</v>
      </c>
      <c r="BS35" s="106">
        <v>1508.3999999999996</v>
      </c>
      <c r="BT35" s="106">
        <v>4</v>
      </c>
      <c r="BU35" s="106">
        <v>2011.1999999999996</v>
      </c>
      <c r="BV35" s="106">
        <v>3</v>
      </c>
      <c r="BW35" s="106">
        <v>1508.3999999999996</v>
      </c>
      <c r="BX35" s="106">
        <v>15</v>
      </c>
      <c r="BY35" s="106">
        <v>7541.9999999999982</v>
      </c>
      <c r="BZ35" s="106">
        <v>22</v>
      </c>
      <c r="CA35" s="106">
        <v>11061.599999999999</v>
      </c>
      <c r="CB35" s="106">
        <v>20</v>
      </c>
      <c r="CC35" s="106">
        <v>10055.999999999998</v>
      </c>
      <c r="CD35" s="106">
        <v>28</v>
      </c>
      <c r="CE35" s="106">
        <v>14078.399999999998</v>
      </c>
      <c r="CF35" s="106">
        <v>29</v>
      </c>
      <c r="CG35" s="106">
        <v>14581.199999999997</v>
      </c>
      <c r="CH35" s="106">
        <v>16</v>
      </c>
      <c r="CI35" s="106">
        <v>8044.7999999999984</v>
      </c>
      <c r="CJ35" s="106">
        <v>34</v>
      </c>
      <c r="CK35" s="106">
        <v>17095.199999999997</v>
      </c>
      <c r="CL35" s="106">
        <v>17</v>
      </c>
      <c r="CM35" s="106">
        <v>8547.5999999999985</v>
      </c>
      <c r="CN35" s="106">
        <v>30</v>
      </c>
      <c r="CO35" s="106">
        <v>15083.999999999996</v>
      </c>
      <c r="CP35" s="106">
        <v>18</v>
      </c>
      <c r="CQ35" s="106">
        <v>9050.3999999999978</v>
      </c>
      <c r="CR35" s="106">
        <v>26</v>
      </c>
      <c r="CS35" s="106">
        <v>13072.799999999997</v>
      </c>
      <c r="CT35" s="106">
        <v>25</v>
      </c>
      <c r="CU35" s="106">
        <v>12569.999999999998</v>
      </c>
    </row>
    <row r="36" spans="2:99" x14ac:dyDescent="0.2">
      <c r="C36" s="105" t="s">
        <v>202</v>
      </c>
      <c r="D36" s="106">
        <v>4</v>
      </c>
      <c r="E36" s="106">
        <v>3043.2</v>
      </c>
      <c r="F36" s="106">
        <v>3</v>
      </c>
      <c r="G36" s="106">
        <v>2282.3999999999996</v>
      </c>
      <c r="H36" s="106">
        <v>3</v>
      </c>
      <c r="I36" s="106">
        <v>2282.3999999999996</v>
      </c>
      <c r="J36" s="106">
        <v>4</v>
      </c>
      <c r="K36" s="106">
        <v>3043.2</v>
      </c>
      <c r="L36" s="106">
        <v>12</v>
      </c>
      <c r="M36" s="106">
        <v>9129.5999999999985</v>
      </c>
      <c r="N36" s="106">
        <v>15</v>
      </c>
      <c r="O36" s="106">
        <v>11412</v>
      </c>
      <c r="P36" s="106">
        <v>14</v>
      </c>
      <c r="Q36" s="106">
        <v>10651.199999999999</v>
      </c>
      <c r="R36" s="106">
        <v>17</v>
      </c>
      <c r="S36" s="106">
        <v>12933.599999999999</v>
      </c>
      <c r="T36" s="106">
        <v>4</v>
      </c>
      <c r="U36" s="106">
        <v>3043.2</v>
      </c>
      <c r="V36" s="106">
        <v>4</v>
      </c>
      <c r="W36" s="106">
        <v>3043.2</v>
      </c>
      <c r="X36" s="106">
        <v>3</v>
      </c>
      <c r="Y36" s="106">
        <v>2282.3999999999996</v>
      </c>
      <c r="Z36" s="106">
        <v>3</v>
      </c>
      <c r="AA36" s="106">
        <v>2282.3999999999996</v>
      </c>
      <c r="AB36" s="106">
        <v>3</v>
      </c>
      <c r="AC36" s="106">
        <v>2282.3999999999996</v>
      </c>
      <c r="AD36" s="106">
        <v>3</v>
      </c>
      <c r="AE36" s="106">
        <v>2282.3999999999996</v>
      </c>
      <c r="AF36" s="106">
        <v>4</v>
      </c>
      <c r="AG36" s="106">
        <v>3043.2</v>
      </c>
      <c r="AH36" s="106">
        <v>2</v>
      </c>
      <c r="AI36" s="106">
        <v>1521.6</v>
      </c>
      <c r="AJ36" s="106">
        <v>9</v>
      </c>
      <c r="AK36" s="106">
        <v>6847.2</v>
      </c>
      <c r="AL36" s="106">
        <v>8</v>
      </c>
      <c r="AM36" s="106">
        <v>6086.4</v>
      </c>
      <c r="AN36" s="106">
        <v>10</v>
      </c>
      <c r="AO36" s="106">
        <v>7608</v>
      </c>
      <c r="AP36" s="106">
        <v>10</v>
      </c>
      <c r="AQ36" s="106">
        <v>7608</v>
      </c>
      <c r="AR36" s="106">
        <v>24</v>
      </c>
      <c r="AS36" s="106">
        <v>18259.199999999997</v>
      </c>
      <c r="AT36" s="106">
        <v>20</v>
      </c>
      <c r="AU36" s="106">
        <v>15216</v>
      </c>
      <c r="AV36" s="106">
        <v>34</v>
      </c>
      <c r="AW36" s="106">
        <v>25867.199999999997</v>
      </c>
      <c r="AX36" s="106">
        <v>22</v>
      </c>
      <c r="AY36" s="106">
        <v>16737.599999999999</v>
      </c>
      <c r="AZ36" s="106">
        <v>3</v>
      </c>
      <c r="BA36" s="106">
        <v>2282.3999999999996</v>
      </c>
      <c r="BB36" s="106">
        <v>3</v>
      </c>
      <c r="BC36" s="106">
        <v>2282.3999999999996</v>
      </c>
      <c r="BD36" s="106">
        <v>3</v>
      </c>
      <c r="BE36" s="106">
        <v>2282.3999999999996</v>
      </c>
      <c r="BF36" s="106">
        <v>3</v>
      </c>
      <c r="BG36" s="106">
        <v>2282.3999999999996</v>
      </c>
      <c r="BH36" s="106">
        <v>11</v>
      </c>
      <c r="BI36" s="106">
        <v>8368.7999999999993</v>
      </c>
      <c r="BJ36" s="106">
        <v>13</v>
      </c>
      <c r="BK36" s="106">
        <v>9890.4</v>
      </c>
      <c r="BL36" s="106">
        <v>13</v>
      </c>
      <c r="BM36" s="106">
        <v>9890.4</v>
      </c>
      <c r="BN36" s="106">
        <v>11</v>
      </c>
      <c r="BO36" s="106">
        <v>8368.7999999999993</v>
      </c>
      <c r="BP36" s="106">
        <v>2</v>
      </c>
      <c r="BQ36" s="106">
        <v>1521.6</v>
      </c>
      <c r="BR36" s="106">
        <v>4</v>
      </c>
      <c r="BS36" s="106">
        <v>3043.2</v>
      </c>
      <c r="BT36" s="106">
        <v>4</v>
      </c>
      <c r="BU36" s="106">
        <v>3043.2</v>
      </c>
      <c r="BV36" s="106">
        <v>2</v>
      </c>
      <c r="BW36" s="106">
        <v>1521.6</v>
      </c>
      <c r="BX36" s="106">
        <v>14</v>
      </c>
      <c r="BY36" s="106">
        <v>10651.199999999999</v>
      </c>
      <c r="BZ36" s="106">
        <v>23</v>
      </c>
      <c r="CA36" s="106">
        <v>17498.399999999998</v>
      </c>
      <c r="CB36" s="106">
        <v>22</v>
      </c>
      <c r="CC36" s="106">
        <v>16737.599999999999</v>
      </c>
      <c r="CD36" s="106">
        <v>27</v>
      </c>
      <c r="CE36" s="106">
        <v>20541.599999999999</v>
      </c>
      <c r="CF36" s="106">
        <v>25</v>
      </c>
      <c r="CG36" s="106">
        <v>19020</v>
      </c>
      <c r="CH36" s="106">
        <v>17</v>
      </c>
      <c r="CI36" s="106">
        <v>12933.599999999999</v>
      </c>
      <c r="CJ36" s="106">
        <v>30</v>
      </c>
      <c r="CK36" s="106">
        <v>22824</v>
      </c>
      <c r="CL36" s="106">
        <v>18</v>
      </c>
      <c r="CM36" s="106">
        <v>13694.4</v>
      </c>
      <c r="CN36" s="106">
        <v>29</v>
      </c>
      <c r="CO36" s="106">
        <v>22063.199999999997</v>
      </c>
      <c r="CP36" s="106">
        <v>19</v>
      </c>
      <c r="CQ36" s="106">
        <v>14455.199999999999</v>
      </c>
      <c r="CR36" s="106">
        <v>26</v>
      </c>
      <c r="CS36" s="106">
        <v>19780.8</v>
      </c>
      <c r="CT36" s="106">
        <v>28</v>
      </c>
      <c r="CU36" s="106">
        <v>21302.399999999998</v>
      </c>
    </row>
    <row r="37" spans="2:99" x14ac:dyDescent="0.2">
      <c r="B37" s="105" t="s">
        <v>128</v>
      </c>
      <c r="C37" s="105" t="s">
        <v>203</v>
      </c>
      <c r="D37" s="106">
        <v>12</v>
      </c>
      <c r="E37" s="106">
        <v>10324.799999999999</v>
      </c>
      <c r="F37" s="106">
        <v>15</v>
      </c>
      <c r="G37" s="106">
        <v>12906</v>
      </c>
      <c r="H37" s="106">
        <v>10</v>
      </c>
      <c r="I37" s="106">
        <v>8604</v>
      </c>
      <c r="J37" s="106">
        <v>13</v>
      </c>
      <c r="K37" s="106">
        <v>11185.199999999999</v>
      </c>
      <c r="L37" s="106">
        <v>91</v>
      </c>
      <c r="M37" s="106">
        <v>78296.399999999994</v>
      </c>
      <c r="N37" s="106">
        <v>81</v>
      </c>
      <c r="O37" s="106">
        <v>69692.399999999994</v>
      </c>
      <c r="P37" s="106">
        <v>60</v>
      </c>
      <c r="Q37" s="106">
        <v>51624</v>
      </c>
      <c r="R37" s="106">
        <v>79</v>
      </c>
      <c r="S37" s="106">
        <v>67971.599999999991</v>
      </c>
      <c r="T37" s="106">
        <v>5</v>
      </c>
      <c r="U37" s="106">
        <v>4302</v>
      </c>
      <c r="V37" s="106">
        <v>5</v>
      </c>
      <c r="W37" s="106">
        <v>4302</v>
      </c>
      <c r="X37" s="106">
        <v>5</v>
      </c>
      <c r="Y37" s="106">
        <v>4302</v>
      </c>
      <c r="Z37" s="106">
        <v>5</v>
      </c>
      <c r="AA37" s="106">
        <v>4302</v>
      </c>
      <c r="AB37" s="106">
        <v>77</v>
      </c>
      <c r="AC37" s="106">
        <v>66250.8</v>
      </c>
      <c r="AD37" s="106">
        <v>76</v>
      </c>
      <c r="AE37" s="106">
        <v>65390.400000000001</v>
      </c>
      <c r="AF37" s="106">
        <v>56</v>
      </c>
      <c r="AG37" s="106">
        <v>48182.400000000001</v>
      </c>
      <c r="AH37" s="106">
        <v>65</v>
      </c>
      <c r="AI37" s="106">
        <v>55926</v>
      </c>
      <c r="AJ37" s="106">
        <v>46</v>
      </c>
      <c r="AK37" s="106">
        <v>39578.400000000001</v>
      </c>
      <c r="AL37" s="106">
        <v>55</v>
      </c>
      <c r="AM37" s="106">
        <v>47322</v>
      </c>
      <c r="AN37" s="106">
        <v>50</v>
      </c>
      <c r="AO37" s="106">
        <v>43020</v>
      </c>
      <c r="AP37" s="106">
        <v>58</v>
      </c>
      <c r="AQ37" s="106">
        <v>49903.199999999997</v>
      </c>
      <c r="AR37" s="106">
        <v>22</v>
      </c>
      <c r="AS37" s="106">
        <v>18928.8</v>
      </c>
      <c r="AT37" s="106">
        <v>21</v>
      </c>
      <c r="AU37" s="106">
        <v>18068.399999999998</v>
      </c>
      <c r="AV37" s="106">
        <v>17</v>
      </c>
      <c r="AW37" s="106">
        <v>14626.8</v>
      </c>
      <c r="AX37" s="106">
        <v>31</v>
      </c>
      <c r="AY37" s="106">
        <v>26672.399999999998</v>
      </c>
      <c r="AZ37" s="106">
        <v>6</v>
      </c>
      <c r="BA37" s="106">
        <v>5162.3999999999996</v>
      </c>
      <c r="BB37" s="106">
        <v>6</v>
      </c>
      <c r="BC37" s="106">
        <v>5162.3999999999996</v>
      </c>
      <c r="BD37" s="106">
        <v>7</v>
      </c>
      <c r="BE37" s="106">
        <v>6022.8</v>
      </c>
      <c r="BF37" s="106">
        <v>5</v>
      </c>
      <c r="BG37" s="106">
        <v>4302</v>
      </c>
      <c r="BH37" s="106">
        <v>42</v>
      </c>
      <c r="BI37" s="106">
        <v>36136.799999999996</v>
      </c>
      <c r="BJ37" s="106">
        <v>79</v>
      </c>
      <c r="BK37" s="106">
        <v>67971.599999999991</v>
      </c>
      <c r="BL37" s="106">
        <v>80</v>
      </c>
      <c r="BM37" s="106">
        <v>68832</v>
      </c>
      <c r="BN37" s="106">
        <v>68</v>
      </c>
      <c r="BO37" s="106">
        <v>58507.199999999997</v>
      </c>
      <c r="BP37" s="106">
        <v>21</v>
      </c>
      <c r="BQ37" s="106">
        <v>18068.399999999998</v>
      </c>
      <c r="BR37" s="106">
        <v>46</v>
      </c>
      <c r="BS37" s="106">
        <v>39578.400000000001</v>
      </c>
      <c r="BT37" s="106">
        <v>38</v>
      </c>
      <c r="BU37" s="106">
        <v>32695.200000000001</v>
      </c>
      <c r="BV37" s="106">
        <v>21</v>
      </c>
      <c r="BW37" s="106">
        <v>18068.399999999998</v>
      </c>
      <c r="BX37" s="106">
        <v>7</v>
      </c>
      <c r="BY37" s="106">
        <v>6022.8</v>
      </c>
      <c r="BZ37" s="106">
        <v>10</v>
      </c>
      <c r="CA37" s="106">
        <v>8604</v>
      </c>
      <c r="CB37" s="106">
        <v>11</v>
      </c>
      <c r="CC37" s="106">
        <v>9464.4</v>
      </c>
      <c r="CD37" s="106">
        <v>11</v>
      </c>
      <c r="CE37" s="106">
        <v>9464.4</v>
      </c>
      <c r="CF37" s="106">
        <v>5</v>
      </c>
      <c r="CG37" s="106">
        <v>4302</v>
      </c>
      <c r="CH37" s="106">
        <v>4</v>
      </c>
      <c r="CI37" s="106">
        <v>3441.6</v>
      </c>
      <c r="CJ37" s="106">
        <v>5</v>
      </c>
      <c r="CK37" s="106">
        <v>4302</v>
      </c>
      <c r="CL37" s="106">
        <v>4</v>
      </c>
      <c r="CM37" s="106">
        <v>3441.6</v>
      </c>
      <c r="CN37" s="106">
        <v>7</v>
      </c>
      <c r="CO37" s="106">
        <v>6022.8</v>
      </c>
      <c r="CP37" s="106">
        <v>7</v>
      </c>
      <c r="CQ37" s="106">
        <v>6022.8</v>
      </c>
      <c r="CR37" s="106">
        <v>5</v>
      </c>
      <c r="CS37" s="106">
        <v>4302</v>
      </c>
      <c r="CT37" s="106">
        <v>5</v>
      </c>
      <c r="CU37" s="106">
        <v>4302</v>
      </c>
    </row>
    <row r="38" spans="2:99" x14ac:dyDescent="0.2">
      <c r="C38" s="105" t="s">
        <v>204</v>
      </c>
      <c r="D38" s="106">
        <v>11</v>
      </c>
      <c r="E38" s="106">
        <v>13662</v>
      </c>
      <c r="F38" s="106">
        <v>15</v>
      </c>
      <c r="G38" s="106">
        <v>18630</v>
      </c>
      <c r="H38" s="106">
        <v>10</v>
      </c>
      <c r="I38" s="106">
        <v>12420</v>
      </c>
      <c r="J38" s="106">
        <v>13</v>
      </c>
      <c r="K38" s="106">
        <v>16146</v>
      </c>
      <c r="L38" s="106">
        <v>79</v>
      </c>
      <c r="M38" s="106">
        <v>98118</v>
      </c>
      <c r="N38" s="106">
        <v>76</v>
      </c>
      <c r="O38" s="106">
        <v>94392</v>
      </c>
      <c r="P38" s="106">
        <v>55</v>
      </c>
      <c r="Q38" s="106">
        <v>68310</v>
      </c>
      <c r="R38" s="106">
        <v>77</v>
      </c>
      <c r="S38" s="106">
        <v>95634</v>
      </c>
      <c r="T38" s="106">
        <v>4</v>
      </c>
      <c r="U38" s="106">
        <v>4968</v>
      </c>
      <c r="V38" s="106">
        <v>5</v>
      </c>
      <c r="W38" s="106">
        <v>6210</v>
      </c>
      <c r="X38" s="106">
        <v>5</v>
      </c>
      <c r="Y38" s="106">
        <v>6210</v>
      </c>
      <c r="Z38" s="106">
        <v>4</v>
      </c>
      <c r="AA38" s="106">
        <v>4968</v>
      </c>
      <c r="AB38" s="106">
        <v>75</v>
      </c>
      <c r="AC38" s="106">
        <v>93150</v>
      </c>
      <c r="AD38" s="106">
        <v>61</v>
      </c>
      <c r="AE38" s="106">
        <v>75762</v>
      </c>
      <c r="AF38" s="106">
        <v>58</v>
      </c>
      <c r="AG38" s="106">
        <v>72036</v>
      </c>
      <c r="AH38" s="106">
        <v>68</v>
      </c>
      <c r="AI38" s="106">
        <v>84456</v>
      </c>
      <c r="AJ38" s="106">
        <v>38</v>
      </c>
      <c r="AK38" s="106">
        <v>47196</v>
      </c>
      <c r="AL38" s="106">
        <v>48</v>
      </c>
      <c r="AM38" s="106">
        <v>59616</v>
      </c>
      <c r="AN38" s="106">
        <v>45</v>
      </c>
      <c r="AO38" s="106">
        <v>55890</v>
      </c>
      <c r="AP38" s="106">
        <v>50</v>
      </c>
      <c r="AQ38" s="106">
        <v>62100</v>
      </c>
      <c r="AR38" s="106">
        <v>20</v>
      </c>
      <c r="AS38" s="106">
        <v>24840</v>
      </c>
      <c r="AT38" s="106">
        <v>20</v>
      </c>
      <c r="AU38" s="106">
        <v>24840</v>
      </c>
      <c r="AV38" s="106">
        <v>18</v>
      </c>
      <c r="AW38" s="106">
        <v>22356</v>
      </c>
      <c r="AX38" s="106">
        <v>29</v>
      </c>
      <c r="AY38" s="106">
        <v>36018</v>
      </c>
      <c r="AZ38" s="106">
        <v>6</v>
      </c>
      <c r="BA38" s="106">
        <v>7452</v>
      </c>
      <c r="BB38" s="106">
        <v>7</v>
      </c>
      <c r="BC38" s="106">
        <v>8694</v>
      </c>
      <c r="BD38" s="106">
        <v>7</v>
      </c>
      <c r="BE38" s="106">
        <v>8694</v>
      </c>
      <c r="BF38" s="106">
        <v>5</v>
      </c>
      <c r="BG38" s="106">
        <v>6210</v>
      </c>
      <c r="BH38" s="106">
        <v>39</v>
      </c>
      <c r="BI38" s="106">
        <v>48438</v>
      </c>
      <c r="BJ38" s="106">
        <v>67</v>
      </c>
      <c r="BK38" s="106">
        <v>83214</v>
      </c>
      <c r="BL38" s="106">
        <v>65</v>
      </c>
      <c r="BM38" s="106">
        <v>80730</v>
      </c>
      <c r="BN38" s="106">
        <v>56</v>
      </c>
      <c r="BO38" s="106">
        <v>69552</v>
      </c>
      <c r="BP38" s="106">
        <v>19</v>
      </c>
      <c r="BQ38" s="106">
        <v>23598</v>
      </c>
      <c r="BR38" s="106">
        <v>36</v>
      </c>
      <c r="BS38" s="106">
        <v>44712</v>
      </c>
      <c r="BT38" s="106">
        <v>34</v>
      </c>
      <c r="BU38" s="106">
        <v>42228</v>
      </c>
      <c r="BV38" s="106">
        <v>21</v>
      </c>
      <c r="BW38" s="106">
        <v>26082</v>
      </c>
      <c r="BX38" s="106">
        <v>6</v>
      </c>
      <c r="BY38" s="106">
        <v>7452</v>
      </c>
      <c r="BZ38" s="106">
        <v>10</v>
      </c>
      <c r="CA38" s="106">
        <v>12420</v>
      </c>
      <c r="CB38" s="106">
        <v>10</v>
      </c>
      <c r="CC38" s="106">
        <v>12420</v>
      </c>
      <c r="CD38" s="106">
        <v>11</v>
      </c>
      <c r="CE38" s="106">
        <v>13662</v>
      </c>
      <c r="CF38" s="106">
        <v>4</v>
      </c>
      <c r="CG38" s="106">
        <v>4968</v>
      </c>
      <c r="CH38" s="106">
        <v>4</v>
      </c>
      <c r="CI38" s="106">
        <v>4968</v>
      </c>
      <c r="CJ38" s="106">
        <v>5</v>
      </c>
      <c r="CK38" s="106">
        <v>6210</v>
      </c>
      <c r="CL38" s="106">
        <v>4</v>
      </c>
      <c r="CM38" s="106">
        <v>4968</v>
      </c>
      <c r="CN38" s="106">
        <v>7</v>
      </c>
      <c r="CO38" s="106">
        <v>8694</v>
      </c>
      <c r="CP38" s="106">
        <v>7</v>
      </c>
      <c r="CQ38" s="106">
        <v>8694</v>
      </c>
      <c r="CR38" s="106">
        <v>5</v>
      </c>
      <c r="CS38" s="106">
        <v>6210</v>
      </c>
      <c r="CT38" s="106">
        <v>5</v>
      </c>
      <c r="CU38" s="106">
        <v>6210</v>
      </c>
    </row>
    <row r="39" spans="2:99" x14ac:dyDescent="0.2">
      <c r="C39" s="105" t="s">
        <v>205</v>
      </c>
      <c r="D39" s="106">
        <v>11</v>
      </c>
      <c r="E39" s="106">
        <v>15655.2</v>
      </c>
      <c r="F39" s="106">
        <v>15</v>
      </c>
      <c r="G39" s="106">
        <v>21348</v>
      </c>
      <c r="H39" s="106">
        <v>9</v>
      </c>
      <c r="I39" s="106">
        <v>12808.800000000001</v>
      </c>
      <c r="J39" s="106">
        <v>13</v>
      </c>
      <c r="K39" s="106">
        <v>18501.600000000002</v>
      </c>
      <c r="L39" s="106">
        <v>75</v>
      </c>
      <c r="M39" s="106">
        <v>106740</v>
      </c>
      <c r="N39" s="106">
        <v>86</v>
      </c>
      <c r="O39" s="106">
        <v>122395.2</v>
      </c>
      <c r="P39" s="106">
        <v>48</v>
      </c>
      <c r="Q39" s="106">
        <v>68313.600000000006</v>
      </c>
      <c r="R39" s="106">
        <v>76</v>
      </c>
      <c r="S39" s="106">
        <v>108163.2</v>
      </c>
      <c r="T39" s="106">
        <v>4</v>
      </c>
      <c r="U39" s="106">
        <v>5692.8</v>
      </c>
      <c r="V39" s="106">
        <v>5</v>
      </c>
      <c r="W39" s="106">
        <v>7116</v>
      </c>
      <c r="X39" s="106">
        <v>5</v>
      </c>
      <c r="Y39" s="106">
        <v>7116</v>
      </c>
      <c r="Z39" s="106">
        <v>4</v>
      </c>
      <c r="AA39" s="106">
        <v>5692.8</v>
      </c>
      <c r="AB39" s="106">
        <v>72</v>
      </c>
      <c r="AC39" s="106">
        <v>102470.40000000001</v>
      </c>
      <c r="AD39" s="106">
        <v>62</v>
      </c>
      <c r="AE39" s="106">
        <v>88238.400000000009</v>
      </c>
      <c r="AF39" s="106">
        <v>47</v>
      </c>
      <c r="AG39" s="106">
        <v>66890.400000000009</v>
      </c>
      <c r="AH39" s="106">
        <v>64</v>
      </c>
      <c r="AI39" s="106">
        <v>91084.800000000003</v>
      </c>
      <c r="AJ39" s="106">
        <v>41</v>
      </c>
      <c r="AK39" s="106">
        <v>58351.200000000004</v>
      </c>
      <c r="AL39" s="106">
        <v>47</v>
      </c>
      <c r="AM39" s="106">
        <v>66890.400000000009</v>
      </c>
      <c r="AN39" s="106">
        <v>44</v>
      </c>
      <c r="AO39" s="106">
        <v>62620.800000000003</v>
      </c>
      <c r="AP39" s="106">
        <v>55</v>
      </c>
      <c r="AQ39" s="106">
        <v>78276</v>
      </c>
      <c r="AR39" s="106">
        <v>20</v>
      </c>
      <c r="AS39" s="106">
        <v>28464</v>
      </c>
      <c r="AT39" s="106">
        <v>23</v>
      </c>
      <c r="AU39" s="106">
        <v>32733.600000000002</v>
      </c>
      <c r="AV39" s="106">
        <v>17</v>
      </c>
      <c r="AW39" s="106">
        <v>24194.400000000001</v>
      </c>
      <c r="AX39" s="106">
        <v>30</v>
      </c>
      <c r="AY39" s="106">
        <v>42696</v>
      </c>
      <c r="AZ39" s="106">
        <v>6</v>
      </c>
      <c r="BA39" s="106">
        <v>8539.2000000000007</v>
      </c>
      <c r="BB39" s="106">
        <v>7</v>
      </c>
      <c r="BC39" s="106">
        <v>9962.4</v>
      </c>
      <c r="BD39" s="106">
        <v>7</v>
      </c>
      <c r="BE39" s="106">
        <v>9962.4</v>
      </c>
      <c r="BF39" s="106">
        <v>5</v>
      </c>
      <c r="BG39" s="106">
        <v>7116</v>
      </c>
      <c r="BH39" s="106">
        <v>39</v>
      </c>
      <c r="BI39" s="106">
        <v>55504.800000000003</v>
      </c>
      <c r="BJ39" s="106">
        <v>64</v>
      </c>
      <c r="BK39" s="106">
        <v>91084.800000000003</v>
      </c>
      <c r="BL39" s="106">
        <v>66</v>
      </c>
      <c r="BM39" s="106">
        <v>93931.199999999997</v>
      </c>
      <c r="BN39" s="106">
        <v>54</v>
      </c>
      <c r="BO39" s="106">
        <v>76852.800000000003</v>
      </c>
      <c r="BP39" s="106">
        <v>21</v>
      </c>
      <c r="BQ39" s="106">
        <v>29887.200000000001</v>
      </c>
      <c r="BR39" s="106">
        <v>39</v>
      </c>
      <c r="BS39" s="106">
        <v>55504.800000000003</v>
      </c>
      <c r="BT39" s="106">
        <v>32</v>
      </c>
      <c r="BU39" s="106">
        <v>45542.400000000001</v>
      </c>
      <c r="BV39" s="106">
        <v>20</v>
      </c>
      <c r="BW39" s="106">
        <v>28464</v>
      </c>
      <c r="BX39" s="106">
        <v>7</v>
      </c>
      <c r="BY39" s="106">
        <v>9962.4</v>
      </c>
      <c r="BZ39" s="106">
        <v>10</v>
      </c>
      <c r="CA39" s="106">
        <v>14232</v>
      </c>
      <c r="CB39" s="106">
        <v>9</v>
      </c>
      <c r="CC39" s="106">
        <v>12808.800000000001</v>
      </c>
      <c r="CD39" s="106">
        <v>10</v>
      </c>
      <c r="CE39" s="106">
        <v>14232</v>
      </c>
      <c r="CF39" s="106">
        <v>4</v>
      </c>
      <c r="CG39" s="106">
        <v>5692.8</v>
      </c>
      <c r="CH39" s="106">
        <v>5</v>
      </c>
      <c r="CI39" s="106">
        <v>7116</v>
      </c>
      <c r="CJ39" s="106">
        <v>5</v>
      </c>
      <c r="CK39" s="106">
        <v>7116</v>
      </c>
      <c r="CL39" s="106">
        <v>4</v>
      </c>
      <c r="CM39" s="106">
        <v>5692.8</v>
      </c>
      <c r="CN39" s="106">
        <v>7</v>
      </c>
      <c r="CO39" s="106">
        <v>9962.4</v>
      </c>
      <c r="CP39" s="106">
        <v>7</v>
      </c>
      <c r="CQ39" s="106">
        <v>9962.4</v>
      </c>
      <c r="CR39" s="106">
        <v>5</v>
      </c>
      <c r="CS39" s="106">
        <v>7116</v>
      </c>
      <c r="CT39" s="106">
        <v>5</v>
      </c>
      <c r="CU39" s="106">
        <v>7116</v>
      </c>
    </row>
    <row r="40" spans="2:99" x14ac:dyDescent="0.2">
      <c r="C40" s="105" t="s">
        <v>206</v>
      </c>
      <c r="D40" s="106">
        <v>12</v>
      </c>
      <c r="E40" s="106">
        <v>8697.5999999999985</v>
      </c>
      <c r="F40" s="106">
        <v>15</v>
      </c>
      <c r="G40" s="106">
        <v>10872</v>
      </c>
      <c r="H40" s="106">
        <v>9</v>
      </c>
      <c r="I40" s="106">
        <v>6523.2</v>
      </c>
      <c r="J40" s="106">
        <v>14</v>
      </c>
      <c r="K40" s="106">
        <v>10147.199999999999</v>
      </c>
      <c r="L40" s="106">
        <v>92</v>
      </c>
      <c r="M40" s="106">
        <v>66681.599999999991</v>
      </c>
      <c r="N40" s="106">
        <v>87</v>
      </c>
      <c r="O40" s="106">
        <v>63057.599999999999</v>
      </c>
      <c r="P40" s="106">
        <v>61</v>
      </c>
      <c r="Q40" s="106">
        <v>44212.799999999996</v>
      </c>
      <c r="R40" s="106">
        <v>85</v>
      </c>
      <c r="S40" s="106">
        <v>61607.999999999993</v>
      </c>
      <c r="T40" s="106">
        <v>4</v>
      </c>
      <c r="U40" s="106">
        <v>2899.2</v>
      </c>
      <c r="V40" s="106">
        <v>5</v>
      </c>
      <c r="W40" s="106">
        <v>3624</v>
      </c>
      <c r="X40" s="106">
        <v>5</v>
      </c>
      <c r="Y40" s="106">
        <v>3624</v>
      </c>
      <c r="Z40" s="106">
        <v>4</v>
      </c>
      <c r="AA40" s="106">
        <v>2899.2</v>
      </c>
      <c r="AB40" s="106">
        <v>76</v>
      </c>
      <c r="AC40" s="106">
        <v>55084.799999999996</v>
      </c>
      <c r="AD40" s="106">
        <v>78</v>
      </c>
      <c r="AE40" s="106">
        <v>56534.399999999994</v>
      </c>
      <c r="AF40" s="106">
        <v>56</v>
      </c>
      <c r="AG40" s="106">
        <v>40588.799999999996</v>
      </c>
      <c r="AH40" s="106">
        <v>72</v>
      </c>
      <c r="AI40" s="106">
        <v>52185.599999999999</v>
      </c>
      <c r="AJ40" s="106">
        <v>50</v>
      </c>
      <c r="AK40" s="106">
        <v>36240</v>
      </c>
      <c r="AL40" s="106">
        <v>49</v>
      </c>
      <c r="AM40" s="106">
        <v>35515.199999999997</v>
      </c>
      <c r="AN40" s="106">
        <v>49</v>
      </c>
      <c r="AO40" s="106">
        <v>35515.199999999997</v>
      </c>
      <c r="AP40" s="106">
        <v>55</v>
      </c>
      <c r="AQ40" s="106">
        <v>39864</v>
      </c>
      <c r="AR40" s="106">
        <v>21</v>
      </c>
      <c r="AS40" s="106">
        <v>15220.8</v>
      </c>
      <c r="AT40" s="106">
        <v>24</v>
      </c>
      <c r="AU40" s="106">
        <v>17395.199999999997</v>
      </c>
      <c r="AV40" s="106">
        <v>18</v>
      </c>
      <c r="AW40" s="106">
        <v>13046.4</v>
      </c>
      <c r="AX40" s="106">
        <v>28</v>
      </c>
      <c r="AY40" s="106">
        <v>20294.399999999998</v>
      </c>
      <c r="AZ40" s="106">
        <v>6</v>
      </c>
      <c r="BA40" s="106">
        <v>4348.7999999999993</v>
      </c>
      <c r="BB40" s="106">
        <v>7</v>
      </c>
      <c r="BC40" s="106">
        <v>5073.5999999999995</v>
      </c>
      <c r="BD40" s="106">
        <v>7</v>
      </c>
      <c r="BE40" s="106">
        <v>5073.5999999999995</v>
      </c>
      <c r="BF40" s="106">
        <v>5</v>
      </c>
      <c r="BG40" s="106">
        <v>3624</v>
      </c>
      <c r="BH40" s="106">
        <v>39</v>
      </c>
      <c r="BI40" s="106">
        <v>28267.199999999997</v>
      </c>
      <c r="BJ40" s="106">
        <v>79</v>
      </c>
      <c r="BK40" s="106">
        <v>57259.199999999997</v>
      </c>
      <c r="BL40" s="106">
        <v>69</v>
      </c>
      <c r="BM40" s="106">
        <v>50011.199999999997</v>
      </c>
      <c r="BN40" s="106">
        <v>69</v>
      </c>
      <c r="BO40" s="106">
        <v>50011.199999999997</v>
      </c>
      <c r="BP40" s="106">
        <v>23</v>
      </c>
      <c r="BQ40" s="106">
        <v>16670.399999999998</v>
      </c>
      <c r="BR40" s="106">
        <v>40</v>
      </c>
      <c r="BS40" s="106">
        <v>28992</v>
      </c>
      <c r="BT40" s="106">
        <v>37</v>
      </c>
      <c r="BU40" s="106">
        <v>26817.599999999999</v>
      </c>
      <c r="BV40" s="106">
        <v>21</v>
      </c>
      <c r="BW40" s="106">
        <v>15220.8</v>
      </c>
      <c r="BX40" s="106">
        <v>7</v>
      </c>
      <c r="BY40" s="106">
        <v>5073.5999999999995</v>
      </c>
      <c r="BZ40" s="106">
        <v>10</v>
      </c>
      <c r="CA40" s="106">
        <v>7248</v>
      </c>
      <c r="CB40" s="106">
        <v>11</v>
      </c>
      <c r="CC40" s="106">
        <v>7972.7999999999993</v>
      </c>
      <c r="CD40" s="106">
        <v>11</v>
      </c>
      <c r="CE40" s="106">
        <v>7972.7999999999993</v>
      </c>
      <c r="CF40" s="106">
        <v>4</v>
      </c>
      <c r="CG40" s="106">
        <v>2899.2</v>
      </c>
      <c r="CH40" s="106">
        <v>5</v>
      </c>
      <c r="CI40" s="106">
        <v>3624</v>
      </c>
      <c r="CJ40" s="106">
        <v>5</v>
      </c>
      <c r="CK40" s="106">
        <v>3624</v>
      </c>
      <c r="CL40" s="106">
        <v>4</v>
      </c>
      <c r="CM40" s="106">
        <v>2899.2</v>
      </c>
      <c r="CN40" s="106">
        <v>8</v>
      </c>
      <c r="CO40" s="106">
        <v>5798.4</v>
      </c>
      <c r="CP40" s="106">
        <v>7</v>
      </c>
      <c r="CQ40" s="106">
        <v>5073.5999999999995</v>
      </c>
      <c r="CR40" s="106">
        <v>5</v>
      </c>
      <c r="CS40" s="106">
        <v>3624</v>
      </c>
      <c r="CT40" s="106">
        <v>5</v>
      </c>
      <c r="CU40" s="106">
        <v>3624</v>
      </c>
    </row>
    <row r="41" spans="2:99" x14ac:dyDescent="0.2">
      <c r="C41" s="105" t="s">
        <v>207</v>
      </c>
      <c r="D41" s="106">
        <v>12</v>
      </c>
      <c r="E41" s="106">
        <v>7920</v>
      </c>
      <c r="F41" s="106">
        <v>15</v>
      </c>
      <c r="G41" s="106">
        <v>9900</v>
      </c>
      <c r="H41" s="106">
        <v>9</v>
      </c>
      <c r="I41" s="106">
        <v>5940</v>
      </c>
      <c r="J41" s="106">
        <v>14</v>
      </c>
      <c r="K41" s="106">
        <v>9240</v>
      </c>
      <c r="L41" s="106">
        <v>101</v>
      </c>
      <c r="M41" s="106">
        <v>66660</v>
      </c>
      <c r="N41" s="106">
        <v>87</v>
      </c>
      <c r="O41" s="106">
        <v>57420</v>
      </c>
      <c r="P41" s="106">
        <v>59</v>
      </c>
      <c r="Q41" s="106">
        <v>38940</v>
      </c>
      <c r="R41" s="106">
        <v>83</v>
      </c>
      <c r="S41" s="106">
        <v>54780</v>
      </c>
      <c r="T41" s="106">
        <v>5</v>
      </c>
      <c r="U41" s="106">
        <v>3300</v>
      </c>
      <c r="V41" s="106">
        <v>5</v>
      </c>
      <c r="W41" s="106">
        <v>3300</v>
      </c>
      <c r="X41" s="106">
        <v>5</v>
      </c>
      <c r="Y41" s="106">
        <v>3300</v>
      </c>
      <c r="Z41" s="106">
        <v>4</v>
      </c>
      <c r="AA41" s="106">
        <v>2640</v>
      </c>
      <c r="AB41" s="106">
        <v>86</v>
      </c>
      <c r="AC41" s="106">
        <v>56760</v>
      </c>
      <c r="AD41" s="106">
        <v>76</v>
      </c>
      <c r="AE41" s="106">
        <v>50160</v>
      </c>
      <c r="AF41" s="106">
        <v>62</v>
      </c>
      <c r="AG41" s="106">
        <v>40920</v>
      </c>
      <c r="AH41" s="106">
        <v>66</v>
      </c>
      <c r="AI41" s="106">
        <v>43560</v>
      </c>
      <c r="AJ41" s="106">
        <v>48</v>
      </c>
      <c r="AK41" s="106">
        <v>31680</v>
      </c>
      <c r="AL41" s="106">
        <v>53</v>
      </c>
      <c r="AM41" s="106">
        <v>34980</v>
      </c>
      <c r="AN41" s="106">
        <v>49</v>
      </c>
      <c r="AO41" s="106">
        <v>32340</v>
      </c>
      <c r="AP41" s="106">
        <v>66</v>
      </c>
      <c r="AQ41" s="106">
        <v>43560</v>
      </c>
      <c r="AR41" s="106">
        <v>21</v>
      </c>
      <c r="AS41" s="106">
        <v>13860</v>
      </c>
      <c r="AT41" s="106">
        <v>22</v>
      </c>
      <c r="AU41" s="106">
        <v>14520</v>
      </c>
      <c r="AV41" s="106">
        <v>17</v>
      </c>
      <c r="AW41" s="106">
        <v>11220</v>
      </c>
      <c r="AX41" s="106">
        <v>29</v>
      </c>
      <c r="AY41" s="106">
        <v>19140</v>
      </c>
      <c r="AZ41" s="106">
        <v>6</v>
      </c>
      <c r="BA41" s="106">
        <v>3960</v>
      </c>
      <c r="BB41" s="106">
        <v>6</v>
      </c>
      <c r="BC41" s="106">
        <v>3960</v>
      </c>
      <c r="BD41" s="106">
        <v>7</v>
      </c>
      <c r="BE41" s="106">
        <v>4620</v>
      </c>
      <c r="BF41" s="106">
        <v>5</v>
      </c>
      <c r="BG41" s="106">
        <v>3300</v>
      </c>
      <c r="BH41" s="106">
        <v>42</v>
      </c>
      <c r="BI41" s="106">
        <v>27720</v>
      </c>
      <c r="BJ41" s="106">
        <v>81</v>
      </c>
      <c r="BK41" s="106">
        <v>53460</v>
      </c>
      <c r="BL41" s="106">
        <v>76</v>
      </c>
      <c r="BM41" s="106">
        <v>50160</v>
      </c>
      <c r="BN41" s="106">
        <v>60</v>
      </c>
      <c r="BO41" s="106">
        <v>39600</v>
      </c>
      <c r="BP41" s="106">
        <v>22</v>
      </c>
      <c r="BQ41" s="106">
        <v>14520</v>
      </c>
      <c r="BR41" s="106">
        <v>46</v>
      </c>
      <c r="BS41" s="106">
        <v>30360</v>
      </c>
      <c r="BT41" s="106">
        <v>36</v>
      </c>
      <c r="BU41" s="106">
        <v>23760</v>
      </c>
      <c r="BV41" s="106">
        <v>24</v>
      </c>
      <c r="BW41" s="106">
        <v>15840</v>
      </c>
      <c r="BX41" s="106">
        <v>8</v>
      </c>
      <c r="BY41" s="106">
        <v>5280</v>
      </c>
      <c r="BZ41" s="106">
        <v>12</v>
      </c>
      <c r="CA41" s="106">
        <v>7920</v>
      </c>
      <c r="CB41" s="106">
        <v>11</v>
      </c>
      <c r="CC41" s="106">
        <v>7260</v>
      </c>
      <c r="CD41" s="106">
        <v>11</v>
      </c>
      <c r="CE41" s="106">
        <v>7260</v>
      </c>
      <c r="CF41" s="106">
        <v>4</v>
      </c>
      <c r="CG41" s="106">
        <v>2640</v>
      </c>
      <c r="CH41" s="106">
        <v>4</v>
      </c>
      <c r="CI41" s="106">
        <v>2640</v>
      </c>
      <c r="CJ41" s="106">
        <v>5</v>
      </c>
      <c r="CK41" s="106">
        <v>3300</v>
      </c>
      <c r="CL41" s="106">
        <v>4</v>
      </c>
      <c r="CM41" s="106">
        <v>2640</v>
      </c>
      <c r="CN41" s="106">
        <v>7</v>
      </c>
      <c r="CO41" s="106">
        <v>4620</v>
      </c>
      <c r="CP41" s="106">
        <v>7</v>
      </c>
      <c r="CQ41" s="106">
        <v>4620</v>
      </c>
      <c r="CR41" s="106">
        <v>6</v>
      </c>
      <c r="CS41" s="106">
        <v>3960</v>
      </c>
      <c r="CT41" s="106">
        <v>6</v>
      </c>
      <c r="CU41" s="106">
        <v>3960</v>
      </c>
    </row>
    <row r="42" spans="2:99" x14ac:dyDescent="0.2">
      <c r="C42" s="105" t="s">
        <v>208</v>
      </c>
      <c r="D42" s="106">
        <v>12</v>
      </c>
      <c r="E42" s="106">
        <v>10152</v>
      </c>
      <c r="F42" s="106">
        <v>15</v>
      </c>
      <c r="G42" s="106">
        <v>12690</v>
      </c>
      <c r="H42" s="106">
        <v>10</v>
      </c>
      <c r="I42" s="106">
        <v>8460</v>
      </c>
      <c r="J42" s="106">
        <v>15</v>
      </c>
      <c r="K42" s="106">
        <v>12690</v>
      </c>
      <c r="L42" s="106">
        <v>88</v>
      </c>
      <c r="M42" s="106">
        <v>74448</v>
      </c>
      <c r="N42" s="106">
        <v>97</v>
      </c>
      <c r="O42" s="106">
        <v>82062</v>
      </c>
      <c r="P42" s="106">
        <v>56</v>
      </c>
      <c r="Q42" s="106">
        <v>47376</v>
      </c>
      <c r="R42" s="106">
        <v>87</v>
      </c>
      <c r="S42" s="106">
        <v>73602</v>
      </c>
      <c r="T42" s="106">
        <v>4</v>
      </c>
      <c r="U42" s="106">
        <v>3384</v>
      </c>
      <c r="V42" s="106">
        <v>5</v>
      </c>
      <c r="W42" s="106">
        <v>4230</v>
      </c>
      <c r="X42" s="106">
        <v>5</v>
      </c>
      <c r="Y42" s="106">
        <v>4230</v>
      </c>
      <c r="Z42" s="106">
        <v>5</v>
      </c>
      <c r="AA42" s="106">
        <v>4230</v>
      </c>
      <c r="AB42" s="106">
        <v>75</v>
      </c>
      <c r="AC42" s="106">
        <v>63450</v>
      </c>
      <c r="AD42" s="106">
        <v>68</v>
      </c>
      <c r="AE42" s="106">
        <v>57528</v>
      </c>
      <c r="AF42" s="106">
        <v>53</v>
      </c>
      <c r="AG42" s="106">
        <v>44838</v>
      </c>
      <c r="AH42" s="106">
        <v>62</v>
      </c>
      <c r="AI42" s="106">
        <v>52452</v>
      </c>
      <c r="AJ42" s="106">
        <v>44</v>
      </c>
      <c r="AK42" s="106">
        <v>37224</v>
      </c>
      <c r="AL42" s="106">
        <v>49</v>
      </c>
      <c r="AM42" s="106">
        <v>41454</v>
      </c>
      <c r="AN42" s="106">
        <v>51</v>
      </c>
      <c r="AO42" s="106">
        <v>43146</v>
      </c>
      <c r="AP42" s="106">
        <v>56</v>
      </c>
      <c r="AQ42" s="106">
        <v>47376</v>
      </c>
      <c r="AR42" s="106">
        <v>20</v>
      </c>
      <c r="AS42" s="106">
        <v>16920</v>
      </c>
      <c r="AT42" s="106">
        <v>22</v>
      </c>
      <c r="AU42" s="106">
        <v>18612</v>
      </c>
      <c r="AV42" s="106">
        <v>19</v>
      </c>
      <c r="AW42" s="106">
        <v>16074</v>
      </c>
      <c r="AX42" s="106">
        <v>32</v>
      </c>
      <c r="AY42" s="106">
        <v>27072</v>
      </c>
      <c r="AZ42" s="106">
        <v>6</v>
      </c>
      <c r="BA42" s="106">
        <v>5076</v>
      </c>
      <c r="BB42" s="106">
        <v>6</v>
      </c>
      <c r="BC42" s="106">
        <v>5076</v>
      </c>
      <c r="BD42" s="106">
        <v>7</v>
      </c>
      <c r="BE42" s="106">
        <v>5922</v>
      </c>
      <c r="BF42" s="106">
        <v>6</v>
      </c>
      <c r="BG42" s="106">
        <v>5076</v>
      </c>
      <c r="BH42" s="106">
        <v>40</v>
      </c>
      <c r="BI42" s="106">
        <v>33840</v>
      </c>
      <c r="BJ42" s="106">
        <v>75</v>
      </c>
      <c r="BK42" s="106">
        <v>63450</v>
      </c>
      <c r="BL42" s="106">
        <v>77</v>
      </c>
      <c r="BM42" s="106">
        <v>65142</v>
      </c>
      <c r="BN42" s="106">
        <v>63</v>
      </c>
      <c r="BO42" s="106">
        <v>53298</v>
      </c>
      <c r="BP42" s="106">
        <v>23</v>
      </c>
      <c r="BQ42" s="106">
        <v>19458</v>
      </c>
      <c r="BR42" s="106">
        <v>42</v>
      </c>
      <c r="BS42" s="106">
        <v>35532</v>
      </c>
      <c r="BT42" s="106">
        <v>37</v>
      </c>
      <c r="BU42" s="106">
        <v>31302</v>
      </c>
      <c r="BV42" s="106">
        <v>24</v>
      </c>
      <c r="BW42" s="106">
        <v>20304</v>
      </c>
      <c r="BX42" s="106">
        <v>7</v>
      </c>
      <c r="BY42" s="106">
        <v>5922</v>
      </c>
      <c r="BZ42" s="106">
        <v>11</v>
      </c>
      <c r="CA42" s="106">
        <v>9306</v>
      </c>
      <c r="CB42" s="106">
        <v>11</v>
      </c>
      <c r="CC42" s="106">
        <v>9306</v>
      </c>
      <c r="CD42" s="106">
        <v>10</v>
      </c>
      <c r="CE42" s="106">
        <v>8460</v>
      </c>
      <c r="CF42" s="106">
        <v>4</v>
      </c>
      <c r="CG42" s="106">
        <v>3384</v>
      </c>
      <c r="CH42" s="106">
        <v>5</v>
      </c>
      <c r="CI42" s="106">
        <v>4230</v>
      </c>
      <c r="CJ42" s="106">
        <v>5</v>
      </c>
      <c r="CK42" s="106">
        <v>4230</v>
      </c>
      <c r="CL42" s="106">
        <v>4</v>
      </c>
      <c r="CM42" s="106">
        <v>3384</v>
      </c>
      <c r="CN42" s="106">
        <v>7</v>
      </c>
      <c r="CO42" s="106">
        <v>5922</v>
      </c>
      <c r="CP42" s="106">
        <v>7</v>
      </c>
      <c r="CQ42" s="106">
        <v>5922</v>
      </c>
      <c r="CR42" s="106">
        <v>5</v>
      </c>
      <c r="CS42" s="106">
        <v>4230</v>
      </c>
      <c r="CT42" s="106">
        <v>6</v>
      </c>
      <c r="CU42" s="106">
        <v>5076</v>
      </c>
    </row>
    <row r="43" spans="2:99" x14ac:dyDescent="0.2">
      <c r="C43" s="105" t="s">
        <v>209</v>
      </c>
      <c r="D43" s="106">
        <v>11</v>
      </c>
      <c r="E43" s="106">
        <v>11246.4</v>
      </c>
      <c r="F43" s="106">
        <v>14</v>
      </c>
      <c r="G43" s="106">
        <v>14313.6</v>
      </c>
      <c r="H43" s="106">
        <v>9</v>
      </c>
      <c r="I43" s="106">
        <v>9201.6</v>
      </c>
      <c r="J43" s="106">
        <v>14</v>
      </c>
      <c r="K43" s="106">
        <v>14313.6</v>
      </c>
      <c r="L43" s="106">
        <v>78</v>
      </c>
      <c r="M43" s="106">
        <v>79747.199999999997</v>
      </c>
      <c r="N43" s="106">
        <v>83</v>
      </c>
      <c r="O43" s="106">
        <v>84859.199999999997</v>
      </c>
      <c r="P43" s="106">
        <v>59</v>
      </c>
      <c r="Q43" s="106">
        <v>60321.599999999999</v>
      </c>
      <c r="R43" s="106">
        <v>69</v>
      </c>
      <c r="S43" s="106">
        <v>70545.599999999991</v>
      </c>
      <c r="T43" s="106">
        <v>5</v>
      </c>
      <c r="U43" s="106">
        <v>5112</v>
      </c>
      <c r="V43" s="106">
        <v>5</v>
      </c>
      <c r="W43" s="106">
        <v>5112</v>
      </c>
      <c r="X43" s="106">
        <v>5</v>
      </c>
      <c r="Y43" s="106">
        <v>5112</v>
      </c>
      <c r="Z43" s="106">
        <v>5</v>
      </c>
      <c r="AA43" s="106">
        <v>5112</v>
      </c>
      <c r="AB43" s="106">
        <v>66</v>
      </c>
      <c r="AC43" s="106">
        <v>67478.399999999994</v>
      </c>
      <c r="AD43" s="106">
        <v>61</v>
      </c>
      <c r="AE43" s="106">
        <v>62366.400000000001</v>
      </c>
      <c r="AF43" s="106">
        <v>55</v>
      </c>
      <c r="AG43" s="106">
        <v>56232</v>
      </c>
      <c r="AH43" s="106">
        <v>62</v>
      </c>
      <c r="AI43" s="106">
        <v>63388.799999999996</v>
      </c>
      <c r="AJ43" s="106">
        <v>44</v>
      </c>
      <c r="AK43" s="106">
        <v>44985.599999999999</v>
      </c>
      <c r="AL43" s="106">
        <v>50</v>
      </c>
      <c r="AM43" s="106">
        <v>51120</v>
      </c>
      <c r="AN43" s="106">
        <v>44</v>
      </c>
      <c r="AO43" s="106">
        <v>44985.599999999999</v>
      </c>
      <c r="AP43" s="106">
        <v>54</v>
      </c>
      <c r="AQ43" s="106">
        <v>55209.599999999999</v>
      </c>
      <c r="AR43" s="106">
        <v>21</v>
      </c>
      <c r="AS43" s="106">
        <v>21470.399999999998</v>
      </c>
      <c r="AT43" s="106">
        <v>24</v>
      </c>
      <c r="AU43" s="106">
        <v>24537.599999999999</v>
      </c>
      <c r="AV43" s="106">
        <v>16</v>
      </c>
      <c r="AW43" s="106">
        <v>16358.4</v>
      </c>
      <c r="AX43" s="106">
        <v>28</v>
      </c>
      <c r="AY43" s="106">
        <v>28627.200000000001</v>
      </c>
      <c r="AZ43" s="106">
        <v>6</v>
      </c>
      <c r="BA43" s="106">
        <v>6134.4</v>
      </c>
      <c r="BB43" s="106">
        <v>7</v>
      </c>
      <c r="BC43" s="106">
        <v>7156.8</v>
      </c>
      <c r="BD43" s="106">
        <v>7</v>
      </c>
      <c r="BE43" s="106">
        <v>7156.8</v>
      </c>
      <c r="BF43" s="106">
        <v>6</v>
      </c>
      <c r="BG43" s="106">
        <v>6134.4</v>
      </c>
      <c r="BH43" s="106">
        <v>39</v>
      </c>
      <c r="BI43" s="106">
        <v>39873.599999999999</v>
      </c>
      <c r="BJ43" s="106">
        <v>72</v>
      </c>
      <c r="BK43" s="106">
        <v>73612.800000000003</v>
      </c>
      <c r="BL43" s="106">
        <v>73</v>
      </c>
      <c r="BM43" s="106">
        <v>74635.199999999997</v>
      </c>
      <c r="BN43" s="106">
        <v>61</v>
      </c>
      <c r="BO43" s="106">
        <v>62366.400000000001</v>
      </c>
      <c r="BP43" s="106">
        <v>22</v>
      </c>
      <c r="BQ43" s="106">
        <v>22492.799999999999</v>
      </c>
      <c r="BR43" s="106">
        <v>40</v>
      </c>
      <c r="BS43" s="106">
        <v>40896</v>
      </c>
      <c r="BT43" s="106">
        <v>34</v>
      </c>
      <c r="BU43" s="106">
        <v>34761.599999999999</v>
      </c>
      <c r="BV43" s="106">
        <v>22</v>
      </c>
      <c r="BW43" s="106">
        <v>22492.799999999999</v>
      </c>
      <c r="BX43" s="106">
        <v>7</v>
      </c>
      <c r="BY43" s="106">
        <v>7156.8</v>
      </c>
      <c r="BZ43" s="106">
        <v>10</v>
      </c>
      <c r="CA43" s="106">
        <v>10224</v>
      </c>
      <c r="CB43" s="106">
        <v>11</v>
      </c>
      <c r="CC43" s="106">
        <v>11246.4</v>
      </c>
      <c r="CD43" s="106">
        <v>12</v>
      </c>
      <c r="CE43" s="106">
        <v>12268.8</v>
      </c>
      <c r="CF43" s="106">
        <v>4</v>
      </c>
      <c r="CG43" s="106">
        <v>4089.6</v>
      </c>
      <c r="CH43" s="106">
        <v>4</v>
      </c>
      <c r="CI43" s="106">
        <v>4089.6</v>
      </c>
      <c r="CJ43" s="106">
        <v>4</v>
      </c>
      <c r="CK43" s="106">
        <v>4089.6</v>
      </c>
      <c r="CL43" s="106">
        <v>4</v>
      </c>
      <c r="CM43" s="106">
        <v>4089.6</v>
      </c>
      <c r="CN43" s="106">
        <v>8</v>
      </c>
      <c r="CO43" s="106">
        <v>8179.2</v>
      </c>
      <c r="CP43" s="106">
        <v>7</v>
      </c>
      <c r="CQ43" s="106">
        <v>7156.8</v>
      </c>
      <c r="CR43" s="106">
        <v>5</v>
      </c>
      <c r="CS43" s="106">
        <v>5112</v>
      </c>
      <c r="CT43" s="106">
        <v>5</v>
      </c>
      <c r="CU43" s="106">
        <v>5112</v>
      </c>
    </row>
    <row r="44" spans="2:99" x14ac:dyDescent="0.2">
      <c r="C44" s="105" t="s">
        <v>210</v>
      </c>
      <c r="D44" s="106">
        <v>12</v>
      </c>
      <c r="E44" s="106">
        <v>12268.8</v>
      </c>
      <c r="F44" s="106">
        <v>13</v>
      </c>
      <c r="G44" s="106">
        <v>13291.199999999999</v>
      </c>
      <c r="H44" s="106">
        <v>9</v>
      </c>
      <c r="I44" s="106">
        <v>9201.6</v>
      </c>
      <c r="J44" s="106">
        <v>13</v>
      </c>
      <c r="K44" s="106">
        <v>13291.199999999999</v>
      </c>
      <c r="L44" s="106">
        <v>93</v>
      </c>
      <c r="M44" s="106">
        <v>95083.199999999997</v>
      </c>
      <c r="N44" s="106">
        <v>92</v>
      </c>
      <c r="O44" s="106">
        <v>94060.800000000003</v>
      </c>
      <c r="P44" s="106">
        <v>58</v>
      </c>
      <c r="Q44" s="106">
        <v>59299.199999999997</v>
      </c>
      <c r="R44" s="106">
        <v>78</v>
      </c>
      <c r="S44" s="106">
        <v>79747.199999999997</v>
      </c>
      <c r="T44" s="106">
        <v>4</v>
      </c>
      <c r="U44" s="106">
        <v>4089.6</v>
      </c>
      <c r="V44" s="106">
        <v>5</v>
      </c>
      <c r="W44" s="106">
        <v>5112</v>
      </c>
      <c r="X44" s="106">
        <v>5</v>
      </c>
      <c r="Y44" s="106">
        <v>5112</v>
      </c>
      <c r="Z44" s="106">
        <v>5</v>
      </c>
      <c r="AA44" s="106">
        <v>5112</v>
      </c>
      <c r="AB44" s="106">
        <v>78</v>
      </c>
      <c r="AC44" s="106">
        <v>79747.199999999997</v>
      </c>
      <c r="AD44" s="106">
        <v>73</v>
      </c>
      <c r="AE44" s="106">
        <v>74635.199999999997</v>
      </c>
      <c r="AF44" s="106">
        <v>59</v>
      </c>
      <c r="AG44" s="106">
        <v>60321.599999999999</v>
      </c>
      <c r="AH44" s="106">
        <v>62</v>
      </c>
      <c r="AI44" s="106">
        <v>63388.799999999996</v>
      </c>
      <c r="AJ44" s="106">
        <v>44</v>
      </c>
      <c r="AK44" s="106">
        <v>44985.599999999999</v>
      </c>
      <c r="AL44" s="106">
        <v>54</v>
      </c>
      <c r="AM44" s="106">
        <v>55209.599999999999</v>
      </c>
      <c r="AN44" s="106">
        <v>45</v>
      </c>
      <c r="AO44" s="106">
        <v>46008</v>
      </c>
      <c r="AP44" s="106">
        <v>57</v>
      </c>
      <c r="AQ44" s="106">
        <v>58276.799999999996</v>
      </c>
      <c r="AR44" s="106">
        <v>19</v>
      </c>
      <c r="AS44" s="106">
        <v>19425.599999999999</v>
      </c>
      <c r="AT44" s="106">
        <v>22</v>
      </c>
      <c r="AU44" s="106">
        <v>22492.799999999999</v>
      </c>
      <c r="AV44" s="106">
        <v>18</v>
      </c>
      <c r="AW44" s="106">
        <v>18403.2</v>
      </c>
      <c r="AX44" s="106">
        <v>32</v>
      </c>
      <c r="AY44" s="106">
        <v>32716.799999999999</v>
      </c>
      <c r="AZ44" s="106">
        <v>5</v>
      </c>
      <c r="BA44" s="106">
        <v>5112</v>
      </c>
      <c r="BB44" s="106">
        <v>6</v>
      </c>
      <c r="BC44" s="106">
        <v>6134.4</v>
      </c>
      <c r="BD44" s="106">
        <v>7</v>
      </c>
      <c r="BE44" s="106">
        <v>7156.8</v>
      </c>
      <c r="BF44" s="106">
        <v>6</v>
      </c>
      <c r="BG44" s="106">
        <v>6134.4</v>
      </c>
      <c r="BH44" s="106">
        <v>38</v>
      </c>
      <c r="BI44" s="106">
        <v>38851.199999999997</v>
      </c>
      <c r="BJ44" s="106">
        <v>78</v>
      </c>
      <c r="BK44" s="106">
        <v>79747.199999999997</v>
      </c>
      <c r="BL44" s="106">
        <v>68</v>
      </c>
      <c r="BM44" s="106">
        <v>69523.199999999997</v>
      </c>
      <c r="BN44" s="106">
        <v>67</v>
      </c>
      <c r="BO44" s="106">
        <v>68500.800000000003</v>
      </c>
      <c r="BP44" s="106">
        <v>19</v>
      </c>
      <c r="BQ44" s="106">
        <v>19425.599999999999</v>
      </c>
      <c r="BR44" s="106">
        <v>43</v>
      </c>
      <c r="BS44" s="106">
        <v>43963.199999999997</v>
      </c>
      <c r="BT44" s="106">
        <v>38</v>
      </c>
      <c r="BU44" s="106">
        <v>38851.199999999997</v>
      </c>
      <c r="BV44" s="106">
        <v>20</v>
      </c>
      <c r="BW44" s="106">
        <v>20448</v>
      </c>
      <c r="BX44" s="106">
        <v>7</v>
      </c>
      <c r="BY44" s="106">
        <v>7156.8</v>
      </c>
      <c r="BZ44" s="106">
        <v>12</v>
      </c>
      <c r="CA44" s="106">
        <v>12268.8</v>
      </c>
      <c r="CB44" s="106">
        <v>11</v>
      </c>
      <c r="CC44" s="106">
        <v>11246.4</v>
      </c>
      <c r="CD44" s="106">
        <v>10</v>
      </c>
      <c r="CE44" s="106">
        <v>10224</v>
      </c>
      <c r="CF44" s="106">
        <v>4</v>
      </c>
      <c r="CG44" s="106">
        <v>4089.6</v>
      </c>
      <c r="CH44" s="106">
        <v>5</v>
      </c>
      <c r="CI44" s="106">
        <v>5112</v>
      </c>
      <c r="CJ44" s="106">
        <v>5</v>
      </c>
      <c r="CK44" s="106">
        <v>5112</v>
      </c>
      <c r="CL44" s="106">
        <v>4</v>
      </c>
      <c r="CM44" s="106">
        <v>4089.6</v>
      </c>
      <c r="CN44" s="106">
        <v>7</v>
      </c>
      <c r="CO44" s="106">
        <v>7156.8</v>
      </c>
      <c r="CP44" s="106">
        <v>8</v>
      </c>
      <c r="CQ44" s="106">
        <v>8179.2</v>
      </c>
      <c r="CR44" s="106">
        <v>6</v>
      </c>
      <c r="CS44" s="106">
        <v>6134.4</v>
      </c>
      <c r="CT44" s="106">
        <v>6</v>
      </c>
      <c r="CU44" s="106">
        <v>6134.4</v>
      </c>
    </row>
    <row r="45" spans="2:99" x14ac:dyDescent="0.2">
      <c r="C45" s="105" t="s">
        <v>211</v>
      </c>
      <c r="D45" s="106">
        <v>11</v>
      </c>
      <c r="E45" s="106">
        <v>13741.2</v>
      </c>
      <c r="F45" s="106">
        <v>14</v>
      </c>
      <c r="G45" s="106">
        <v>17488.8</v>
      </c>
      <c r="H45" s="106">
        <v>9</v>
      </c>
      <c r="I45" s="106">
        <v>11242.800000000001</v>
      </c>
      <c r="J45" s="106">
        <v>13</v>
      </c>
      <c r="K45" s="106">
        <v>16239.6</v>
      </c>
      <c r="L45" s="106">
        <v>81</v>
      </c>
      <c r="M45" s="106">
        <v>101185.2</v>
      </c>
      <c r="N45" s="106">
        <v>90</v>
      </c>
      <c r="O45" s="106">
        <v>112428</v>
      </c>
      <c r="P45" s="106">
        <v>55</v>
      </c>
      <c r="Q45" s="106">
        <v>68706</v>
      </c>
      <c r="R45" s="106">
        <v>67</v>
      </c>
      <c r="S45" s="106">
        <v>83696.400000000009</v>
      </c>
      <c r="T45" s="106">
        <v>5</v>
      </c>
      <c r="U45" s="106">
        <v>6246</v>
      </c>
      <c r="V45" s="106">
        <v>5</v>
      </c>
      <c r="W45" s="106">
        <v>6246</v>
      </c>
      <c r="X45" s="106">
        <v>5</v>
      </c>
      <c r="Y45" s="106">
        <v>6246</v>
      </c>
      <c r="Z45" s="106">
        <v>5</v>
      </c>
      <c r="AA45" s="106">
        <v>6246</v>
      </c>
      <c r="AB45" s="106">
        <v>73</v>
      </c>
      <c r="AC45" s="106">
        <v>91191.6</v>
      </c>
      <c r="AD45" s="106">
        <v>59</v>
      </c>
      <c r="AE45" s="106">
        <v>73702.8</v>
      </c>
      <c r="AF45" s="106">
        <v>53</v>
      </c>
      <c r="AG45" s="106">
        <v>66207.600000000006</v>
      </c>
      <c r="AH45" s="106">
        <v>57</v>
      </c>
      <c r="AI45" s="106">
        <v>71204.400000000009</v>
      </c>
      <c r="AJ45" s="106">
        <v>47</v>
      </c>
      <c r="AK45" s="106">
        <v>58712.4</v>
      </c>
      <c r="AL45" s="106">
        <v>50</v>
      </c>
      <c r="AM45" s="106">
        <v>62460</v>
      </c>
      <c r="AN45" s="106">
        <v>43</v>
      </c>
      <c r="AO45" s="106">
        <v>53715.6</v>
      </c>
      <c r="AP45" s="106">
        <v>57</v>
      </c>
      <c r="AQ45" s="106">
        <v>71204.400000000009</v>
      </c>
      <c r="AR45" s="106">
        <v>20</v>
      </c>
      <c r="AS45" s="106">
        <v>24984</v>
      </c>
      <c r="AT45" s="106">
        <v>20</v>
      </c>
      <c r="AU45" s="106">
        <v>24984</v>
      </c>
      <c r="AV45" s="106">
        <v>18</v>
      </c>
      <c r="AW45" s="106">
        <v>22485.600000000002</v>
      </c>
      <c r="AX45" s="106">
        <v>32</v>
      </c>
      <c r="AY45" s="106">
        <v>39974.400000000001</v>
      </c>
      <c r="AZ45" s="106">
        <v>6</v>
      </c>
      <c r="BA45" s="106">
        <v>7495.2000000000007</v>
      </c>
      <c r="BB45" s="106">
        <v>6</v>
      </c>
      <c r="BC45" s="106">
        <v>7495.2000000000007</v>
      </c>
      <c r="BD45" s="106">
        <v>7</v>
      </c>
      <c r="BE45" s="106">
        <v>8744.4</v>
      </c>
      <c r="BF45" s="106">
        <v>6</v>
      </c>
      <c r="BG45" s="106">
        <v>7495.2000000000007</v>
      </c>
      <c r="BH45" s="106">
        <v>35</v>
      </c>
      <c r="BI45" s="106">
        <v>43722</v>
      </c>
      <c r="BJ45" s="106">
        <v>71</v>
      </c>
      <c r="BK45" s="106">
        <v>88693.2</v>
      </c>
      <c r="BL45" s="106">
        <v>73</v>
      </c>
      <c r="BM45" s="106">
        <v>91191.6</v>
      </c>
      <c r="BN45" s="106">
        <v>60</v>
      </c>
      <c r="BO45" s="106">
        <v>74952</v>
      </c>
      <c r="BP45" s="106">
        <v>19</v>
      </c>
      <c r="BQ45" s="106">
        <v>23734.799999999999</v>
      </c>
      <c r="BR45" s="106">
        <v>37</v>
      </c>
      <c r="BS45" s="106">
        <v>46220.4</v>
      </c>
      <c r="BT45" s="106">
        <v>34</v>
      </c>
      <c r="BU45" s="106">
        <v>42472.800000000003</v>
      </c>
      <c r="BV45" s="106">
        <v>20</v>
      </c>
      <c r="BW45" s="106">
        <v>24984</v>
      </c>
      <c r="BX45" s="106">
        <v>7</v>
      </c>
      <c r="BY45" s="106">
        <v>8744.4</v>
      </c>
      <c r="BZ45" s="106">
        <v>10</v>
      </c>
      <c r="CA45" s="106">
        <v>12492</v>
      </c>
      <c r="CB45" s="106">
        <v>9</v>
      </c>
      <c r="CC45" s="106">
        <v>11242.800000000001</v>
      </c>
      <c r="CD45" s="106">
        <v>10</v>
      </c>
      <c r="CE45" s="106">
        <v>12492</v>
      </c>
      <c r="CF45" s="106">
        <v>4</v>
      </c>
      <c r="CG45" s="106">
        <v>4996.8</v>
      </c>
      <c r="CH45" s="106">
        <v>4</v>
      </c>
      <c r="CI45" s="106">
        <v>4996.8</v>
      </c>
      <c r="CJ45" s="106">
        <v>4</v>
      </c>
      <c r="CK45" s="106">
        <v>4996.8</v>
      </c>
      <c r="CL45" s="106">
        <v>4</v>
      </c>
      <c r="CM45" s="106">
        <v>4996.8</v>
      </c>
      <c r="CN45" s="106">
        <v>7</v>
      </c>
      <c r="CO45" s="106">
        <v>8744.4</v>
      </c>
      <c r="CP45" s="106">
        <v>6</v>
      </c>
      <c r="CQ45" s="106">
        <v>7495.2000000000007</v>
      </c>
      <c r="CR45" s="106">
        <v>5</v>
      </c>
      <c r="CS45" s="106">
        <v>6246</v>
      </c>
      <c r="CT45" s="106">
        <v>5</v>
      </c>
      <c r="CU45" s="106">
        <v>6246</v>
      </c>
    </row>
    <row r="46" spans="2:99" x14ac:dyDescent="0.2">
      <c r="C46" s="105" t="s">
        <v>212</v>
      </c>
      <c r="D46" s="106">
        <v>11</v>
      </c>
      <c r="E46" s="106">
        <v>13332</v>
      </c>
      <c r="F46" s="106">
        <v>15</v>
      </c>
      <c r="G46" s="106">
        <v>18180</v>
      </c>
      <c r="H46" s="106">
        <v>10</v>
      </c>
      <c r="I46" s="106">
        <v>12120</v>
      </c>
      <c r="J46" s="106">
        <v>13</v>
      </c>
      <c r="K46" s="106">
        <v>15756</v>
      </c>
      <c r="L46" s="106">
        <v>88</v>
      </c>
      <c r="M46" s="106">
        <v>106656</v>
      </c>
      <c r="N46" s="106">
        <v>87</v>
      </c>
      <c r="O46" s="106">
        <v>105444</v>
      </c>
      <c r="P46" s="106">
        <v>55</v>
      </c>
      <c r="Q46" s="106">
        <v>66660</v>
      </c>
      <c r="R46" s="106">
        <v>75</v>
      </c>
      <c r="S46" s="106">
        <v>90900</v>
      </c>
      <c r="T46" s="106">
        <v>5</v>
      </c>
      <c r="U46" s="106">
        <v>6060</v>
      </c>
      <c r="V46" s="106">
        <v>5</v>
      </c>
      <c r="W46" s="106">
        <v>6060</v>
      </c>
      <c r="X46" s="106">
        <v>4</v>
      </c>
      <c r="Y46" s="106">
        <v>4848</v>
      </c>
      <c r="Z46" s="106">
        <v>5</v>
      </c>
      <c r="AA46" s="106">
        <v>6060</v>
      </c>
      <c r="AB46" s="106">
        <v>67</v>
      </c>
      <c r="AC46" s="106">
        <v>81204</v>
      </c>
      <c r="AD46" s="106">
        <v>70</v>
      </c>
      <c r="AE46" s="106">
        <v>84840</v>
      </c>
      <c r="AF46" s="106">
        <v>54</v>
      </c>
      <c r="AG46" s="106">
        <v>65448</v>
      </c>
      <c r="AH46" s="106">
        <v>68</v>
      </c>
      <c r="AI46" s="106">
        <v>82416</v>
      </c>
      <c r="AJ46" s="106">
        <v>44</v>
      </c>
      <c r="AK46" s="106">
        <v>53328</v>
      </c>
      <c r="AL46" s="106">
        <v>51</v>
      </c>
      <c r="AM46" s="106">
        <v>61812</v>
      </c>
      <c r="AN46" s="106">
        <v>48</v>
      </c>
      <c r="AO46" s="106">
        <v>58176</v>
      </c>
      <c r="AP46" s="106">
        <v>53</v>
      </c>
      <c r="AQ46" s="106">
        <v>64236</v>
      </c>
      <c r="AR46" s="106">
        <v>19</v>
      </c>
      <c r="AS46" s="106">
        <v>23028</v>
      </c>
      <c r="AT46" s="106">
        <v>21</v>
      </c>
      <c r="AU46" s="106">
        <v>25452</v>
      </c>
      <c r="AV46" s="106">
        <v>18</v>
      </c>
      <c r="AW46" s="106">
        <v>21816</v>
      </c>
      <c r="AX46" s="106">
        <v>31</v>
      </c>
      <c r="AY46" s="106">
        <v>37572</v>
      </c>
      <c r="AZ46" s="106">
        <v>6</v>
      </c>
      <c r="BA46" s="106">
        <v>7272</v>
      </c>
      <c r="BB46" s="106">
        <v>6</v>
      </c>
      <c r="BC46" s="106">
        <v>7272</v>
      </c>
      <c r="BD46" s="106">
        <v>6</v>
      </c>
      <c r="BE46" s="106">
        <v>7272</v>
      </c>
      <c r="BF46" s="106">
        <v>5</v>
      </c>
      <c r="BG46" s="106">
        <v>6060</v>
      </c>
      <c r="BH46" s="106">
        <v>35</v>
      </c>
      <c r="BI46" s="106">
        <v>42420</v>
      </c>
      <c r="BJ46" s="106">
        <v>73</v>
      </c>
      <c r="BK46" s="106">
        <v>88476</v>
      </c>
      <c r="BL46" s="106">
        <v>74</v>
      </c>
      <c r="BM46" s="106">
        <v>89688</v>
      </c>
      <c r="BN46" s="106">
        <v>54</v>
      </c>
      <c r="BO46" s="106">
        <v>65448</v>
      </c>
      <c r="BP46" s="106">
        <v>20</v>
      </c>
      <c r="BQ46" s="106">
        <v>24240</v>
      </c>
      <c r="BR46" s="106">
        <v>39</v>
      </c>
      <c r="BS46" s="106">
        <v>47268</v>
      </c>
      <c r="BT46" s="106">
        <v>35</v>
      </c>
      <c r="BU46" s="106">
        <v>42420</v>
      </c>
      <c r="BV46" s="106">
        <v>22</v>
      </c>
      <c r="BW46" s="106">
        <v>26664</v>
      </c>
      <c r="BX46" s="106">
        <v>7</v>
      </c>
      <c r="BY46" s="106">
        <v>8484</v>
      </c>
      <c r="BZ46" s="106">
        <v>10</v>
      </c>
      <c r="CA46" s="106">
        <v>12120</v>
      </c>
      <c r="CB46" s="106">
        <v>9</v>
      </c>
      <c r="CC46" s="106">
        <v>10908</v>
      </c>
      <c r="CD46" s="106">
        <v>10</v>
      </c>
      <c r="CE46" s="106">
        <v>12120</v>
      </c>
      <c r="CF46" s="106">
        <v>4</v>
      </c>
      <c r="CG46" s="106">
        <v>4848</v>
      </c>
      <c r="CH46" s="106">
        <v>5</v>
      </c>
      <c r="CI46" s="106">
        <v>6060</v>
      </c>
      <c r="CJ46" s="106">
        <v>4</v>
      </c>
      <c r="CK46" s="106">
        <v>4848</v>
      </c>
      <c r="CL46" s="106">
        <v>4</v>
      </c>
      <c r="CM46" s="106">
        <v>4848</v>
      </c>
      <c r="CN46" s="106">
        <v>7</v>
      </c>
      <c r="CO46" s="106">
        <v>8484</v>
      </c>
      <c r="CP46" s="106">
        <v>7</v>
      </c>
      <c r="CQ46" s="106">
        <v>8484</v>
      </c>
      <c r="CR46" s="106">
        <v>5</v>
      </c>
      <c r="CS46" s="106">
        <v>6060</v>
      </c>
      <c r="CT46" s="106">
        <v>5</v>
      </c>
      <c r="CU46" s="106">
        <v>6060</v>
      </c>
    </row>
    <row r="47" spans="2:99" x14ac:dyDescent="0.2">
      <c r="C47" s="105" t="s">
        <v>213</v>
      </c>
      <c r="D47" s="106">
        <v>12</v>
      </c>
      <c r="E47" s="106">
        <v>18331.199999999997</v>
      </c>
      <c r="F47" s="106">
        <v>12</v>
      </c>
      <c r="G47" s="106">
        <v>18331.199999999997</v>
      </c>
      <c r="H47" s="106">
        <v>10</v>
      </c>
      <c r="I47" s="106">
        <v>15276</v>
      </c>
      <c r="J47" s="106">
        <v>13</v>
      </c>
      <c r="K47" s="106">
        <v>19858.8</v>
      </c>
      <c r="L47" s="106">
        <v>72</v>
      </c>
      <c r="M47" s="106">
        <v>109987.2</v>
      </c>
      <c r="N47" s="106">
        <v>76</v>
      </c>
      <c r="O47" s="106">
        <v>116097.59999999999</v>
      </c>
      <c r="P47" s="106">
        <v>46</v>
      </c>
      <c r="Q47" s="106">
        <v>70269.599999999991</v>
      </c>
      <c r="R47" s="106">
        <v>74</v>
      </c>
      <c r="S47" s="106">
        <v>113042.4</v>
      </c>
      <c r="T47" s="106">
        <v>4</v>
      </c>
      <c r="U47" s="106">
        <v>6110.4</v>
      </c>
      <c r="V47" s="106">
        <v>5</v>
      </c>
      <c r="W47" s="106">
        <v>7638</v>
      </c>
      <c r="X47" s="106">
        <v>5</v>
      </c>
      <c r="Y47" s="106">
        <v>7638</v>
      </c>
      <c r="Z47" s="106">
        <v>4</v>
      </c>
      <c r="AA47" s="106">
        <v>6110.4</v>
      </c>
      <c r="AB47" s="106">
        <v>69</v>
      </c>
      <c r="AC47" s="106">
        <v>105404.4</v>
      </c>
      <c r="AD47" s="106">
        <v>64</v>
      </c>
      <c r="AE47" s="106">
        <v>97766.399999999994</v>
      </c>
      <c r="AF47" s="106">
        <v>48</v>
      </c>
      <c r="AG47" s="106">
        <v>73324.799999999988</v>
      </c>
      <c r="AH47" s="106">
        <v>60</v>
      </c>
      <c r="AI47" s="106">
        <v>91656</v>
      </c>
      <c r="AJ47" s="106">
        <v>42</v>
      </c>
      <c r="AK47" s="106">
        <v>64159.199999999997</v>
      </c>
      <c r="AL47" s="106">
        <v>43</v>
      </c>
      <c r="AM47" s="106">
        <v>65686.8</v>
      </c>
      <c r="AN47" s="106">
        <v>40</v>
      </c>
      <c r="AO47" s="106">
        <v>61104</v>
      </c>
      <c r="AP47" s="106">
        <v>53</v>
      </c>
      <c r="AQ47" s="106">
        <v>80962.799999999988</v>
      </c>
      <c r="AR47" s="106">
        <v>18</v>
      </c>
      <c r="AS47" s="106">
        <v>27496.799999999999</v>
      </c>
      <c r="AT47" s="106">
        <v>22</v>
      </c>
      <c r="AU47" s="106">
        <v>33607.199999999997</v>
      </c>
      <c r="AV47" s="106">
        <v>17</v>
      </c>
      <c r="AW47" s="106">
        <v>25969.199999999997</v>
      </c>
      <c r="AX47" s="106">
        <v>27</v>
      </c>
      <c r="AY47" s="106">
        <v>41245.199999999997</v>
      </c>
      <c r="AZ47" s="106">
        <v>6</v>
      </c>
      <c r="BA47" s="106">
        <v>9165.5999999999985</v>
      </c>
      <c r="BB47" s="106">
        <v>6</v>
      </c>
      <c r="BC47" s="106">
        <v>9165.5999999999985</v>
      </c>
      <c r="BD47" s="106">
        <v>6</v>
      </c>
      <c r="BE47" s="106">
        <v>9165.5999999999985</v>
      </c>
      <c r="BF47" s="106">
        <v>5</v>
      </c>
      <c r="BG47" s="106">
        <v>7638</v>
      </c>
      <c r="BH47" s="106">
        <v>35</v>
      </c>
      <c r="BI47" s="106">
        <v>53466</v>
      </c>
      <c r="BJ47" s="106">
        <v>62</v>
      </c>
      <c r="BK47" s="106">
        <v>94711.2</v>
      </c>
      <c r="BL47" s="106">
        <v>63</v>
      </c>
      <c r="BM47" s="106">
        <v>96238.799999999988</v>
      </c>
      <c r="BN47" s="106">
        <v>55</v>
      </c>
      <c r="BO47" s="106">
        <v>84018</v>
      </c>
      <c r="BP47" s="106">
        <v>18</v>
      </c>
      <c r="BQ47" s="106">
        <v>27496.799999999999</v>
      </c>
      <c r="BR47" s="106">
        <v>36</v>
      </c>
      <c r="BS47" s="106">
        <v>54993.599999999999</v>
      </c>
      <c r="BT47" s="106">
        <v>37</v>
      </c>
      <c r="BU47" s="106">
        <v>56521.2</v>
      </c>
      <c r="BV47" s="106">
        <v>20</v>
      </c>
      <c r="BW47" s="106">
        <v>30552</v>
      </c>
      <c r="BX47" s="106">
        <v>6</v>
      </c>
      <c r="BY47" s="106">
        <v>9165.5999999999985</v>
      </c>
      <c r="BZ47" s="106">
        <v>10</v>
      </c>
      <c r="CA47" s="106">
        <v>15276</v>
      </c>
      <c r="CB47" s="106">
        <v>9</v>
      </c>
      <c r="CC47" s="106">
        <v>13748.4</v>
      </c>
      <c r="CD47" s="106">
        <v>9</v>
      </c>
      <c r="CE47" s="106">
        <v>13748.4</v>
      </c>
      <c r="CF47" s="106">
        <v>4</v>
      </c>
      <c r="CG47" s="106">
        <v>6110.4</v>
      </c>
      <c r="CH47" s="106">
        <v>5</v>
      </c>
      <c r="CI47" s="106">
        <v>7638</v>
      </c>
      <c r="CJ47" s="106">
        <v>4</v>
      </c>
      <c r="CK47" s="106">
        <v>6110.4</v>
      </c>
      <c r="CL47" s="106">
        <v>4</v>
      </c>
      <c r="CM47" s="106">
        <v>6110.4</v>
      </c>
      <c r="CN47" s="106">
        <v>6</v>
      </c>
      <c r="CO47" s="106">
        <v>9165.5999999999985</v>
      </c>
      <c r="CP47" s="106">
        <v>7</v>
      </c>
      <c r="CQ47" s="106">
        <v>10693.199999999999</v>
      </c>
      <c r="CR47" s="106">
        <v>5</v>
      </c>
      <c r="CS47" s="106">
        <v>7638</v>
      </c>
      <c r="CT47" s="106">
        <v>5</v>
      </c>
      <c r="CU47" s="106">
        <v>7638</v>
      </c>
    </row>
    <row r="48" spans="2:99" x14ac:dyDescent="0.2">
      <c r="C48" s="105" t="s">
        <v>214</v>
      </c>
      <c r="D48" s="106">
        <v>11</v>
      </c>
      <c r="E48" s="106">
        <v>9543.6</v>
      </c>
      <c r="F48" s="106">
        <v>14</v>
      </c>
      <c r="G48" s="106">
        <v>12146.4</v>
      </c>
      <c r="H48" s="106">
        <v>11</v>
      </c>
      <c r="I48" s="106">
        <v>9543.6</v>
      </c>
      <c r="J48" s="106">
        <v>15</v>
      </c>
      <c r="K48" s="106">
        <v>13014</v>
      </c>
      <c r="L48" s="106">
        <v>89</v>
      </c>
      <c r="M48" s="106">
        <v>77216.400000000009</v>
      </c>
      <c r="N48" s="106">
        <v>97</v>
      </c>
      <c r="O48" s="106">
        <v>84157.2</v>
      </c>
      <c r="P48" s="106">
        <v>59</v>
      </c>
      <c r="Q48" s="106">
        <v>51188.4</v>
      </c>
      <c r="R48" s="106">
        <v>82</v>
      </c>
      <c r="S48" s="106">
        <v>71143.199999999997</v>
      </c>
      <c r="T48" s="106">
        <v>5</v>
      </c>
      <c r="U48" s="106">
        <v>4338</v>
      </c>
      <c r="V48" s="106">
        <v>5</v>
      </c>
      <c r="W48" s="106">
        <v>4338</v>
      </c>
      <c r="X48" s="106">
        <v>5</v>
      </c>
      <c r="Y48" s="106">
        <v>4338</v>
      </c>
      <c r="Z48" s="106">
        <v>5</v>
      </c>
      <c r="AA48" s="106">
        <v>4338</v>
      </c>
      <c r="AB48" s="106">
        <v>77</v>
      </c>
      <c r="AC48" s="106">
        <v>66805.2</v>
      </c>
      <c r="AD48" s="106">
        <v>64</v>
      </c>
      <c r="AE48" s="106">
        <v>55526.400000000001</v>
      </c>
      <c r="AF48" s="106">
        <v>59</v>
      </c>
      <c r="AG48" s="106">
        <v>51188.4</v>
      </c>
      <c r="AH48" s="106">
        <v>74</v>
      </c>
      <c r="AI48" s="106">
        <v>64202.400000000001</v>
      </c>
      <c r="AJ48" s="106">
        <v>46</v>
      </c>
      <c r="AK48" s="106">
        <v>39909.599999999999</v>
      </c>
      <c r="AL48" s="106">
        <v>51</v>
      </c>
      <c r="AM48" s="106">
        <v>44247.6</v>
      </c>
      <c r="AN48" s="106">
        <v>51</v>
      </c>
      <c r="AO48" s="106">
        <v>44247.6</v>
      </c>
      <c r="AP48" s="106">
        <v>60</v>
      </c>
      <c r="AQ48" s="106">
        <v>52056</v>
      </c>
      <c r="AR48" s="106">
        <v>22</v>
      </c>
      <c r="AS48" s="106">
        <v>19087.2</v>
      </c>
      <c r="AT48" s="106">
        <v>22</v>
      </c>
      <c r="AU48" s="106">
        <v>19087.2</v>
      </c>
      <c r="AV48" s="106">
        <v>19</v>
      </c>
      <c r="AW48" s="106">
        <v>16484.400000000001</v>
      </c>
      <c r="AX48" s="106">
        <v>30</v>
      </c>
      <c r="AY48" s="106">
        <v>26028</v>
      </c>
      <c r="AZ48" s="106">
        <v>6</v>
      </c>
      <c r="BA48" s="106">
        <v>5205.6000000000004</v>
      </c>
      <c r="BB48" s="106">
        <v>7</v>
      </c>
      <c r="BC48" s="106">
        <v>6073.2</v>
      </c>
      <c r="BD48" s="106">
        <v>6</v>
      </c>
      <c r="BE48" s="106">
        <v>5205.6000000000004</v>
      </c>
      <c r="BF48" s="106">
        <v>5</v>
      </c>
      <c r="BG48" s="106">
        <v>4338</v>
      </c>
      <c r="BH48" s="106">
        <v>40</v>
      </c>
      <c r="BI48" s="106">
        <v>34704</v>
      </c>
      <c r="BJ48" s="106">
        <v>70</v>
      </c>
      <c r="BK48" s="106">
        <v>60732</v>
      </c>
      <c r="BL48" s="106">
        <v>71</v>
      </c>
      <c r="BM48" s="106">
        <v>61599.6</v>
      </c>
      <c r="BN48" s="106">
        <v>60</v>
      </c>
      <c r="BO48" s="106">
        <v>52056</v>
      </c>
      <c r="BP48" s="106">
        <v>20</v>
      </c>
      <c r="BQ48" s="106">
        <v>17352</v>
      </c>
      <c r="BR48" s="106">
        <v>38</v>
      </c>
      <c r="BS48" s="106">
        <v>32968.800000000003</v>
      </c>
      <c r="BT48" s="106">
        <v>40</v>
      </c>
      <c r="BU48" s="106">
        <v>34704</v>
      </c>
      <c r="BV48" s="106">
        <v>24</v>
      </c>
      <c r="BW48" s="106">
        <v>20822.400000000001</v>
      </c>
      <c r="BX48" s="106">
        <v>7</v>
      </c>
      <c r="BY48" s="106">
        <v>6073.2</v>
      </c>
      <c r="BZ48" s="106">
        <v>11</v>
      </c>
      <c r="CA48" s="106">
        <v>9543.6</v>
      </c>
      <c r="CB48" s="106">
        <v>11</v>
      </c>
      <c r="CC48" s="106">
        <v>9543.6</v>
      </c>
      <c r="CD48" s="106">
        <v>12</v>
      </c>
      <c r="CE48" s="106">
        <v>10411.200000000001</v>
      </c>
      <c r="CF48" s="106">
        <v>4</v>
      </c>
      <c r="CG48" s="106">
        <v>3470.4</v>
      </c>
      <c r="CH48" s="106">
        <v>5</v>
      </c>
      <c r="CI48" s="106">
        <v>4338</v>
      </c>
      <c r="CJ48" s="106">
        <v>5</v>
      </c>
      <c r="CK48" s="106">
        <v>4338</v>
      </c>
      <c r="CL48" s="106">
        <v>4</v>
      </c>
      <c r="CM48" s="106">
        <v>3470.4</v>
      </c>
      <c r="CN48" s="106">
        <v>7</v>
      </c>
      <c r="CO48" s="106">
        <v>6073.2</v>
      </c>
      <c r="CP48" s="106">
        <v>7</v>
      </c>
      <c r="CQ48" s="106">
        <v>6073.2</v>
      </c>
      <c r="CR48" s="106">
        <v>5</v>
      </c>
      <c r="CS48" s="106">
        <v>4338</v>
      </c>
      <c r="CT48" s="106">
        <v>6</v>
      </c>
      <c r="CU48" s="106">
        <v>5205.6000000000004</v>
      </c>
    </row>
    <row r="49" spans="2:99" x14ac:dyDescent="0.2">
      <c r="B49" s="105" t="s">
        <v>129</v>
      </c>
      <c r="C49" s="105" t="s">
        <v>215</v>
      </c>
      <c r="D49" s="106">
        <v>6</v>
      </c>
      <c r="E49" s="106">
        <v>5911.2</v>
      </c>
      <c r="F49" s="106">
        <v>6</v>
      </c>
      <c r="G49" s="106">
        <v>5911.2</v>
      </c>
      <c r="H49" s="106">
        <v>7</v>
      </c>
      <c r="I49" s="106">
        <v>6896.4</v>
      </c>
      <c r="J49" s="106">
        <v>6</v>
      </c>
      <c r="K49" s="106">
        <v>5911.2</v>
      </c>
      <c r="L49" s="106">
        <v>35</v>
      </c>
      <c r="M49" s="106">
        <v>34482</v>
      </c>
      <c r="N49" s="106">
        <v>35</v>
      </c>
      <c r="O49" s="106">
        <v>34482</v>
      </c>
      <c r="P49" s="106">
        <v>28</v>
      </c>
      <c r="Q49" s="106">
        <v>27585.599999999999</v>
      </c>
      <c r="R49" s="106">
        <v>37</v>
      </c>
      <c r="S49" s="106">
        <v>36452.399999999994</v>
      </c>
      <c r="T49" s="106">
        <v>4</v>
      </c>
      <c r="U49" s="106">
        <v>3940.7999999999997</v>
      </c>
      <c r="V49" s="106">
        <v>4</v>
      </c>
      <c r="W49" s="106">
        <v>3940.7999999999997</v>
      </c>
      <c r="X49" s="106">
        <v>4</v>
      </c>
      <c r="Y49" s="106">
        <v>3940.7999999999997</v>
      </c>
      <c r="Z49" s="106">
        <v>3</v>
      </c>
      <c r="AA49" s="106">
        <v>2955.6</v>
      </c>
      <c r="AB49" s="106">
        <v>8</v>
      </c>
      <c r="AC49" s="106">
        <v>7881.5999999999995</v>
      </c>
      <c r="AD49" s="106">
        <v>7</v>
      </c>
      <c r="AE49" s="106">
        <v>6896.4</v>
      </c>
      <c r="AF49" s="106">
        <v>6</v>
      </c>
      <c r="AG49" s="106">
        <v>5911.2</v>
      </c>
      <c r="AH49" s="106">
        <v>6</v>
      </c>
      <c r="AI49" s="106">
        <v>5911.2</v>
      </c>
      <c r="AJ49" s="106">
        <v>8</v>
      </c>
      <c r="AK49" s="106">
        <v>7881.5999999999995</v>
      </c>
      <c r="AL49" s="106">
        <v>6</v>
      </c>
      <c r="AM49" s="106">
        <v>5911.2</v>
      </c>
      <c r="AN49" s="106">
        <v>7</v>
      </c>
      <c r="AO49" s="106">
        <v>6896.4</v>
      </c>
      <c r="AP49" s="106">
        <v>5</v>
      </c>
      <c r="AQ49" s="106">
        <v>4926</v>
      </c>
      <c r="AR49" s="106">
        <v>5</v>
      </c>
      <c r="AS49" s="106">
        <v>4926</v>
      </c>
      <c r="AT49" s="106">
        <v>3</v>
      </c>
      <c r="AU49" s="106">
        <v>2955.6</v>
      </c>
      <c r="AV49" s="106">
        <v>3</v>
      </c>
      <c r="AW49" s="106">
        <v>2955.6</v>
      </c>
      <c r="AX49" s="106">
        <v>5</v>
      </c>
      <c r="AY49" s="106">
        <v>4926</v>
      </c>
      <c r="AZ49" s="106">
        <v>7</v>
      </c>
      <c r="BA49" s="106">
        <v>6896.4</v>
      </c>
      <c r="BB49" s="106">
        <v>7</v>
      </c>
      <c r="BC49" s="106">
        <v>6896.4</v>
      </c>
      <c r="BD49" s="106">
        <v>7</v>
      </c>
      <c r="BE49" s="106">
        <v>6896.4</v>
      </c>
      <c r="BF49" s="106">
        <v>8</v>
      </c>
      <c r="BG49" s="106">
        <v>7881.5999999999995</v>
      </c>
      <c r="BH49" s="106">
        <v>4</v>
      </c>
      <c r="BI49" s="106">
        <v>3940.7999999999997</v>
      </c>
      <c r="BJ49" s="106">
        <v>5</v>
      </c>
      <c r="BK49" s="106">
        <v>4926</v>
      </c>
      <c r="BL49" s="106">
        <v>4</v>
      </c>
      <c r="BM49" s="106">
        <v>3940.7999999999997</v>
      </c>
      <c r="BN49" s="106">
        <v>6</v>
      </c>
      <c r="BO49" s="106">
        <v>5911.2</v>
      </c>
      <c r="BP49" s="106">
        <v>4</v>
      </c>
      <c r="BQ49" s="106">
        <v>3940.7999999999997</v>
      </c>
      <c r="BR49" s="106">
        <v>2</v>
      </c>
      <c r="BS49" s="106">
        <v>1970.3999999999999</v>
      </c>
      <c r="BT49" s="106">
        <v>4</v>
      </c>
      <c r="BU49" s="106">
        <v>3940.7999999999997</v>
      </c>
      <c r="BV49" s="106">
        <v>3</v>
      </c>
      <c r="BW49" s="106">
        <v>2955.6</v>
      </c>
      <c r="BX49" s="106">
        <v>53</v>
      </c>
      <c r="BY49" s="106">
        <v>52215.6</v>
      </c>
      <c r="BZ49" s="106">
        <v>69</v>
      </c>
      <c r="CA49" s="106">
        <v>67978.799999999988</v>
      </c>
      <c r="CB49" s="106">
        <v>46</v>
      </c>
      <c r="CC49" s="106">
        <v>45319.199999999997</v>
      </c>
      <c r="CD49" s="106">
        <v>50</v>
      </c>
      <c r="CE49" s="106">
        <v>49260</v>
      </c>
      <c r="CF49" s="106">
        <v>26</v>
      </c>
      <c r="CG49" s="106">
        <v>25615.199999999997</v>
      </c>
      <c r="CH49" s="106">
        <v>21</v>
      </c>
      <c r="CI49" s="106">
        <v>20689.199999999997</v>
      </c>
      <c r="CJ49" s="106">
        <v>18</v>
      </c>
      <c r="CK49" s="106">
        <v>17733.599999999999</v>
      </c>
      <c r="CL49" s="106">
        <v>18</v>
      </c>
      <c r="CM49" s="106">
        <v>17733.599999999999</v>
      </c>
      <c r="CN49" s="106">
        <v>3</v>
      </c>
      <c r="CO49" s="106">
        <v>2955.6</v>
      </c>
      <c r="CP49" s="106">
        <v>2</v>
      </c>
      <c r="CQ49" s="106">
        <v>1970.3999999999999</v>
      </c>
      <c r="CR49" s="106">
        <v>4</v>
      </c>
      <c r="CS49" s="106">
        <v>3940.7999999999997</v>
      </c>
      <c r="CT49" s="106">
        <v>4</v>
      </c>
      <c r="CU49" s="106">
        <v>3940.7999999999997</v>
      </c>
    </row>
    <row r="50" spans="2:99" x14ac:dyDescent="0.2">
      <c r="C50" s="105" t="s">
        <v>216</v>
      </c>
      <c r="D50" s="106">
        <v>7</v>
      </c>
      <c r="E50" s="106">
        <v>1974</v>
      </c>
      <c r="F50" s="106">
        <v>7</v>
      </c>
      <c r="G50" s="106">
        <v>1974</v>
      </c>
      <c r="H50" s="106">
        <v>8</v>
      </c>
      <c r="I50" s="106">
        <v>2256</v>
      </c>
      <c r="J50" s="106">
        <v>6</v>
      </c>
      <c r="K50" s="106">
        <v>1692</v>
      </c>
      <c r="L50" s="106">
        <v>40</v>
      </c>
      <c r="M50" s="106">
        <v>11280</v>
      </c>
      <c r="N50" s="106">
        <v>46</v>
      </c>
      <c r="O50" s="106">
        <v>12972</v>
      </c>
      <c r="P50" s="106">
        <v>29</v>
      </c>
      <c r="Q50" s="106">
        <v>8178</v>
      </c>
      <c r="R50" s="106">
        <v>43</v>
      </c>
      <c r="S50" s="106">
        <v>12126</v>
      </c>
      <c r="T50" s="106">
        <v>4</v>
      </c>
      <c r="U50" s="106">
        <v>1128</v>
      </c>
      <c r="V50" s="106">
        <v>4</v>
      </c>
      <c r="W50" s="106">
        <v>1128</v>
      </c>
      <c r="X50" s="106">
        <v>4</v>
      </c>
      <c r="Y50" s="106">
        <v>1128</v>
      </c>
      <c r="Z50" s="106">
        <v>3</v>
      </c>
      <c r="AA50" s="106">
        <v>846</v>
      </c>
      <c r="AB50" s="106">
        <v>8</v>
      </c>
      <c r="AC50" s="106">
        <v>2256</v>
      </c>
      <c r="AD50" s="106">
        <v>9</v>
      </c>
      <c r="AE50" s="106">
        <v>2538</v>
      </c>
      <c r="AF50" s="106">
        <v>7</v>
      </c>
      <c r="AG50" s="106">
        <v>1974</v>
      </c>
      <c r="AH50" s="106">
        <v>6</v>
      </c>
      <c r="AI50" s="106">
        <v>1692</v>
      </c>
      <c r="AJ50" s="106">
        <v>9</v>
      </c>
      <c r="AK50" s="106">
        <v>2538</v>
      </c>
      <c r="AL50" s="106">
        <v>7</v>
      </c>
      <c r="AM50" s="106">
        <v>1974</v>
      </c>
      <c r="AN50" s="106">
        <v>7</v>
      </c>
      <c r="AO50" s="106">
        <v>1974</v>
      </c>
      <c r="AP50" s="106">
        <v>5</v>
      </c>
      <c r="AQ50" s="106">
        <v>1410</v>
      </c>
      <c r="AR50" s="106">
        <v>5</v>
      </c>
      <c r="AS50" s="106">
        <v>1410</v>
      </c>
      <c r="AT50" s="106">
        <v>4</v>
      </c>
      <c r="AU50" s="106">
        <v>1128</v>
      </c>
      <c r="AV50" s="106">
        <v>3</v>
      </c>
      <c r="AW50" s="106">
        <v>846</v>
      </c>
      <c r="AX50" s="106">
        <v>5</v>
      </c>
      <c r="AY50" s="106">
        <v>1410</v>
      </c>
      <c r="AZ50" s="106">
        <v>7</v>
      </c>
      <c r="BA50" s="106">
        <v>1974</v>
      </c>
      <c r="BB50" s="106">
        <v>8</v>
      </c>
      <c r="BC50" s="106">
        <v>2256</v>
      </c>
      <c r="BD50" s="106">
        <v>8</v>
      </c>
      <c r="BE50" s="106">
        <v>2256</v>
      </c>
      <c r="BF50" s="106">
        <v>9</v>
      </c>
      <c r="BG50" s="106">
        <v>2538</v>
      </c>
      <c r="BH50" s="106">
        <v>4</v>
      </c>
      <c r="BI50" s="106">
        <v>1128</v>
      </c>
      <c r="BJ50" s="106">
        <v>6</v>
      </c>
      <c r="BK50" s="106">
        <v>1692</v>
      </c>
      <c r="BL50" s="106">
        <v>4</v>
      </c>
      <c r="BM50" s="106">
        <v>1128</v>
      </c>
      <c r="BN50" s="106">
        <v>6</v>
      </c>
      <c r="BO50" s="106">
        <v>1692</v>
      </c>
      <c r="BP50" s="106">
        <v>4</v>
      </c>
      <c r="BQ50" s="106">
        <v>1128</v>
      </c>
      <c r="BR50" s="106">
        <v>2</v>
      </c>
      <c r="BS50" s="106">
        <v>564</v>
      </c>
      <c r="BT50" s="106">
        <v>4</v>
      </c>
      <c r="BU50" s="106">
        <v>1128</v>
      </c>
      <c r="BV50" s="106">
        <v>3</v>
      </c>
      <c r="BW50" s="106">
        <v>846</v>
      </c>
      <c r="BX50" s="106">
        <v>60</v>
      </c>
      <c r="BY50" s="106">
        <v>16920</v>
      </c>
      <c r="BZ50" s="106">
        <v>74</v>
      </c>
      <c r="CA50" s="106">
        <v>20868</v>
      </c>
      <c r="CB50" s="106">
        <v>63</v>
      </c>
      <c r="CC50" s="106">
        <v>17766</v>
      </c>
      <c r="CD50" s="106">
        <v>60</v>
      </c>
      <c r="CE50" s="106">
        <v>16920</v>
      </c>
      <c r="CF50" s="106">
        <v>29</v>
      </c>
      <c r="CG50" s="106">
        <v>8178</v>
      </c>
      <c r="CH50" s="106">
        <v>22</v>
      </c>
      <c r="CI50" s="106">
        <v>6204</v>
      </c>
      <c r="CJ50" s="106">
        <v>21</v>
      </c>
      <c r="CK50" s="106">
        <v>5922</v>
      </c>
      <c r="CL50" s="106">
        <v>23</v>
      </c>
      <c r="CM50" s="106">
        <v>6486</v>
      </c>
      <c r="CN50" s="106">
        <v>3</v>
      </c>
      <c r="CO50" s="106">
        <v>846</v>
      </c>
      <c r="CP50" s="106">
        <v>2</v>
      </c>
      <c r="CQ50" s="106">
        <v>564</v>
      </c>
      <c r="CR50" s="106">
        <v>4</v>
      </c>
      <c r="CS50" s="106">
        <v>1128</v>
      </c>
      <c r="CT50" s="106">
        <v>4</v>
      </c>
      <c r="CU50" s="106">
        <v>1128</v>
      </c>
    </row>
    <row r="51" spans="2:99" x14ac:dyDescent="0.2">
      <c r="C51" s="105" t="s">
        <v>217</v>
      </c>
      <c r="D51" s="106">
        <v>6</v>
      </c>
      <c r="E51" s="106">
        <v>5126.3999999999996</v>
      </c>
      <c r="F51" s="106">
        <v>5</v>
      </c>
      <c r="G51" s="106">
        <v>4272</v>
      </c>
      <c r="H51" s="106">
        <v>7</v>
      </c>
      <c r="I51" s="106">
        <v>5980.8</v>
      </c>
      <c r="J51" s="106">
        <v>6</v>
      </c>
      <c r="K51" s="106">
        <v>5126.3999999999996</v>
      </c>
      <c r="L51" s="106">
        <v>38</v>
      </c>
      <c r="M51" s="106">
        <v>32467.200000000001</v>
      </c>
      <c r="N51" s="106">
        <v>35</v>
      </c>
      <c r="O51" s="106">
        <v>29904</v>
      </c>
      <c r="P51" s="106">
        <v>28</v>
      </c>
      <c r="Q51" s="106">
        <v>23923.200000000001</v>
      </c>
      <c r="R51" s="106">
        <v>33</v>
      </c>
      <c r="S51" s="106">
        <v>28195.200000000001</v>
      </c>
      <c r="T51" s="106">
        <v>4</v>
      </c>
      <c r="U51" s="106">
        <v>3417.6</v>
      </c>
      <c r="V51" s="106">
        <v>4</v>
      </c>
      <c r="W51" s="106">
        <v>3417.6</v>
      </c>
      <c r="X51" s="106">
        <v>4</v>
      </c>
      <c r="Y51" s="106">
        <v>3417.6</v>
      </c>
      <c r="Z51" s="106">
        <v>3</v>
      </c>
      <c r="AA51" s="106">
        <v>2563.1999999999998</v>
      </c>
      <c r="AB51" s="106">
        <v>8</v>
      </c>
      <c r="AC51" s="106">
        <v>6835.2</v>
      </c>
      <c r="AD51" s="106">
        <v>7</v>
      </c>
      <c r="AE51" s="106">
        <v>5980.8</v>
      </c>
      <c r="AF51" s="106">
        <v>7</v>
      </c>
      <c r="AG51" s="106">
        <v>5980.8</v>
      </c>
      <c r="AH51" s="106">
        <v>6</v>
      </c>
      <c r="AI51" s="106">
        <v>5126.3999999999996</v>
      </c>
      <c r="AJ51" s="106">
        <v>9</v>
      </c>
      <c r="AK51" s="106">
        <v>7689.5999999999995</v>
      </c>
      <c r="AL51" s="106">
        <v>7</v>
      </c>
      <c r="AM51" s="106">
        <v>5980.8</v>
      </c>
      <c r="AN51" s="106">
        <v>7</v>
      </c>
      <c r="AO51" s="106">
        <v>5980.8</v>
      </c>
      <c r="AP51" s="106">
        <v>6</v>
      </c>
      <c r="AQ51" s="106">
        <v>5126.3999999999996</v>
      </c>
      <c r="AR51" s="106">
        <v>5</v>
      </c>
      <c r="AS51" s="106">
        <v>4272</v>
      </c>
      <c r="AT51" s="106">
        <v>3</v>
      </c>
      <c r="AU51" s="106">
        <v>2563.1999999999998</v>
      </c>
      <c r="AV51" s="106">
        <v>3</v>
      </c>
      <c r="AW51" s="106">
        <v>2563.1999999999998</v>
      </c>
      <c r="AX51" s="106">
        <v>5</v>
      </c>
      <c r="AY51" s="106">
        <v>4272</v>
      </c>
      <c r="AZ51" s="106">
        <v>7</v>
      </c>
      <c r="BA51" s="106">
        <v>5980.8</v>
      </c>
      <c r="BB51" s="106">
        <v>8</v>
      </c>
      <c r="BC51" s="106">
        <v>6835.2</v>
      </c>
      <c r="BD51" s="106">
        <v>8</v>
      </c>
      <c r="BE51" s="106">
        <v>6835.2</v>
      </c>
      <c r="BF51" s="106">
        <v>8</v>
      </c>
      <c r="BG51" s="106">
        <v>6835.2</v>
      </c>
      <c r="BH51" s="106">
        <v>4</v>
      </c>
      <c r="BI51" s="106">
        <v>3417.6</v>
      </c>
      <c r="BJ51" s="106">
        <v>5</v>
      </c>
      <c r="BK51" s="106">
        <v>4272</v>
      </c>
      <c r="BL51" s="106">
        <v>4</v>
      </c>
      <c r="BM51" s="106">
        <v>3417.6</v>
      </c>
      <c r="BN51" s="106">
        <v>6</v>
      </c>
      <c r="BO51" s="106">
        <v>5126.3999999999996</v>
      </c>
      <c r="BP51" s="106">
        <v>3</v>
      </c>
      <c r="BQ51" s="106">
        <v>2563.1999999999998</v>
      </c>
      <c r="BR51" s="106">
        <v>2</v>
      </c>
      <c r="BS51" s="106">
        <v>1708.8</v>
      </c>
      <c r="BT51" s="106">
        <v>4</v>
      </c>
      <c r="BU51" s="106">
        <v>3417.6</v>
      </c>
      <c r="BV51" s="106">
        <v>3</v>
      </c>
      <c r="BW51" s="106">
        <v>2563.1999999999998</v>
      </c>
      <c r="BX51" s="106">
        <v>54</v>
      </c>
      <c r="BY51" s="106">
        <v>46137.599999999999</v>
      </c>
      <c r="BZ51" s="106">
        <v>76</v>
      </c>
      <c r="CA51" s="106">
        <v>64934.400000000001</v>
      </c>
      <c r="CB51" s="106">
        <v>48</v>
      </c>
      <c r="CC51" s="106">
        <v>41011.199999999997</v>
      </c>
      <c r="CD51" s="106">
        <v>48</v>
      </c>
      <c r="CE51" s="106">
        <v>41011.199999999997</v>
      </c>
      <c r="CF51" s="106">
        <v>25</v>
      </c>
      <c r="CG51" s="106">
        <v>21360</v>
      </c>
      <c r="CH51" s="106">
        <v>21</v>
      </c>
      <c r="CI51" s="106">
        <v>17942.399999999998</v>
      </c>
      <c r="CJ51" s="106">
        <v>18</v>
      </c>
      <c r="CK51" s="106">
        <v>15379.199999999999</v>
      </c>
      <c r="CL51" s="106">
        <v>21</v>
      </c>
      <c r="CM51" s="106">
        <v>17942.399999999998</v>
      </c>
      <c r="CN51" s="106">
        <v>3</v>
      </c>
      <c r="CO51" s="106">
        <v>2563.1999999999998</v>
      </c>
      <c r="CP51" s="106">
        <v>2</v>
      </c>
      <c r="CQ51" s="106">
        <v>1708.8</v>
      </c>
      <c r="CR51" s="106">
        <v>4</v>
      </c>
      <c r="CS51" s="106">
        <v>3417.6</v>
      </c>
      <c r="CT51" s="106">
        <v>4</v>
      </c>
      <c r="CU51" s="106">
        <v>3417.6</v>
      </c>
    </row>
    <row r="52" spans="2:99" x14ac:dyDescent="0.2">
      <c r="C52" s="105" t="s">
        <v>218</v>
      </c>
      <c r="D52" s="106">
        <v>6</v>
      </c>
      <c r="E52" s="106">
        <v>3240</v>
      </c>
      <c r="F52" s="106">
        <v>6</v>
      </c>
      <c r="G52" s="106">
        <v>3240</v>
      </c>
      <c r="H52" s="106">
        <v>7</v>
      </c>
      <c r="I52" s="106">
        <v>3780</v>
      </c>
      <c r="J52" s="106">
        <v>6</v>
      </c>
      <c r="K52" s="106">
        <v>3240</v>
      </c>
      <c r="L52" s="106">
        <v>38</v>
      </c>
      <c r="M52" s="106">
        <v>20520</v>
      </c>
      <c r="N52" s="106">
        <v>44</v>
      </c>
      <c r="O52" s="106">
        <v>23760</v>
      </c>
      <c r="P52" s="106">
        <v>27</v>
      </c>
      <c r="Q52" s="106">
        <v>14580</v>
      </c>
      <c r="R52" s="106">
        <v>37</v>
      </c>
      <c r="S52" s="106">
        <v>19980</v>
      </c>
      <c r="T52" s="106">
        <v>4</v>
      </c>
      <c r="U52" s="106">
        <v>2160</v>
      </c>
      <c r="V52" s="106">
        <v>4</v>
      </c>
      <c r="W52" s="106">
        <v>2160</v>
      </c>
      <c r="X52" s="106">
        <v>4</v>
      </c>
      <c r="Y52" s="106">
        <v>2160</v>
      </c>
      <c r="Z52" s="106">
        <v>3</v>
      </c>
      <c r="AA52" s="106">
        <v>1620</v>
      </c>
      <c r="AB52" s="106">
        <v>9</v>
      </c>
      <c r="AC52" s="106">
        <v>4860</v>
      </c>
      <c r="AD52" s="106">
        <v>8</v>
      </c>
      <c r="AE52" s="106">
        <v>4320</v>
      </c>
      <c r="AF52" s="106">
        <v>7</v>
      </c>
      <c r="AG52" s="106">
        <v>3780</v>
      </c>
      <c r="AH52" s="106">
        <v>6</v>
      </c>
      <c r="AI52" s="106">
        <v>3240</v>
      </c>
      <c r="AJ52" s="106">
        <v>9</v>
      </c>
      <c r="AK52" s="106">
        <v>4860</v>
      </c>
      <c r="AL52" s="106">
        <v>7</v>
      </c>
      <c r="AM52" s="106">
        <v>3780</v>
      </c>
      <c r="AN52" s="106">
        <v>7</v>
      </c>
      <c r="AO52" s="106">
        <v>3780</v>
      </c>
      <c r="AP52" s="106">
        <v>5</v>
      </c>
      <c r="AQ52" s="106">
        <v>2700</v>
      </c>
      <c r="AR52" s="106">
        <v>5</v>
      </c>
      <c r="AS52" s="106">
        <v>2700</v>
      </c>
      <c r="AT52" s="106">
        <v>4</v>
      </c>
      <c r="AU52" s="106">
        <v>2160</v>
      </c>
      <c r="AV52" s="106">
        <v>3</v>
      </c>
      <c r="AW52" s="106">
        <v>1620</v>
      </c>
      <c r="AX52" s="106">
        <v>5</v>
      </c>
      <c r="AY52" s="106">
        <v>2700</v>
      </c>
      <c r="AZ52" s="106">
        <v>7</v>
      </c>
      <c r="BA52" s="106">
        <v>3780</v>
      </c>
      <c r="BB52" s="106">
        <v>8</v>
      </c>
      <c r="BC52" s="106">
        <v>4320</v>
      </c>
      <c r="BD52" s="106">
        <v>8</v>
      </c>
      <c r="BE52" s="106">
        <v>4320</v>
      </c>
      <c r="BF52" s="106">
        <v>9</v>
      </c>
      <c r="BG52" s="106">
        <v>4860</v>
      </c>
      <c r="BH52" s="106">
        <v>4</v>
      </c>
      <c r="BI52" s="106">
        <v>2160</v>
      </c>
      <c r="BJ52" s="106">
        <v>5</v>
      </c>
      <c r="BK52" s="106">
        <v>2700</v>
      </c>
      <c r="BL52" s="106">
        <v>4</v>
      </c>
      <c r="BM52" s="106">
        <v>2160</v>
      </c>
      <c r="BN52" s="106">
        <v>6</v>
      </c>
      <c r="BO52" s="106">
        <v>3240</v>
      </c>
      <c r="BP52" s="106">
        <v>4</v>
      </c>
      <c r="BQ52" s="106">
        <v>2160</v>
      </c>
      <c r="BR52" s="106">
        <v>2</v>
      </c>
      <c r="BS52" s="106">
        <v>1080</v>
      </c>
      <c r="BT52" s="106">
        <v>4</v>
      </c>
      <c r="BU52" s="106">
        <v>2160</v>
      </c>
      <c r="BV52" s="106">
        <v>3</v>
      </c>
      <c r="BW52" s="106">
        <v>1620</v>
      </c>
      <c r="BX52" s="106">
        <v>60</v>
      </c>
      <c r="BY52" s="106">
        <v>32400</v>
      </c>
      <c r="BZ52" s="106">
        <v>76</v>
      </c>
      <c r="CA52" s="106">
        <v>41040</v>
      </c>
      <c r="CB52" s="106">
        <v>54</v>
      </c>
      <c r="CC52" s="106">
        <v>29160</v>
      </c>
      <c r="CD52" s="106">
        <v>59</v>
      </c>
      <c r="CE52" s="106">
        <v>31860</v>
      </c>
      <c r="CF52" s="106">
        <v>29</v>
      </c>
      <c r="CG52" s="106">
        <v>15660</v>
      </c>
      <c r="CH52" s="106">
        <v>23</v>
      </c>
      <c r="CI52" s="106">
        <v>12420</v>
      </c>
      <c r="CJ52" s="106">
        <v>19</v>
      </c>
      <c r="CK52" s="106">
        <v>10260</v>
      </c>
      <c r="CL52" s="106">
        <v>22</v>
      </c>
      <c r="CM52" s="106">
        <v>11880</v>
      </c>
      <c r="CN52" s="106">
        <v>3</v>
      </c>
      <c r="CO52" s="106">
        <v>1620</v>
      </c>
      <c r="CP52" s="106">
        <v>3</v>
      </c>
      <c r="CQ52" s="106">
        <v>1620</v>
      </c>
      <c r="CR52" s="106">
        <v>4</v>
      </c>
      <c r="CS52" s="106">
        <v>2160</v>
      </c>
      <c r="CT52" s="106">
        <v>4</v>
      </c>
      <c r="CU52" s="106">
        <v>2160</v>
      </c>
    </row>
    <row r="53" spans="2:99" x14ac:dyDescent="0.2">
      <c r="C53" s="105" t="s">
        <v>219</v>
      </c>
      <c r="D53" s="106">
        <v>6</v>
      </c>
      <c r="E53" s="106">
        <v>2440.8000000000002</v>
      </c>
      <c r="F53" s="106">
        <v>6</v>
      </c>
      <c r="G53" s="106">
        <v>2440.8000000000002</v>
      </c>
      <c r="H53" s="106">
        <v>8</v>
      </c>
      <c r="I53" s="106">
        <v>3254.4</v>
      </c>
      <c r="J53" s="106">
        <v>6</v>
      </c>
      <c r="K53" s="106">
        <v>2440.8000000000002</v>
      </c>
      <c r="L53" s="106">
        <v>37</v>
      </c>
      <c r="M53" s="106">
        <v>15051.6</v>
      </c>
      <c r="N53" s="106">
        <v>43</v>
      </c>
      <c r="O53" s="106">
        <v>17492.400000000001</v>
      </c>
      <c r="P53" s="106">
        <v>26</v>
      </c>
      <c r="Q53" s="106">
        <v>10576.800000000001</v>
      </c>
      <c r="R53" s="106">
        <v>42</v>
      </c>
      <c r="S53" s="106">
        <v>17085.600000000002</v>
      </c>
      <c r="T53" s="106">
        <v>4</v>
      </c>
      <c r="U53" s="106">
        <v>1627.2</v>
      </c>
      <c r="V53" s="106">
        <v>3</v>
      </c>
      <c r="W53" s="106">
        <v>1220.4000000000001</v>
      </c>
      <c r="X53" s="106">
        <v>4</v>
      </c>
      <c r="Y53" s="106">
        <v>1627.2</v>
      </c>
      <c r="Z53" s="106">
        <v>3</v>
      </c>
      <c r="AA53" s="106">
        <v>1220.4000000000001</v>
      </c>
      <c r="AB53" s="106">
        <v>9</v>
      </c>
      <c r="AC53" s="106">
        <v>3661.2000000000003</v>
      </c>
      <c r="AD53" s="106">
        <v>8</v>
      </c>
      <c r="AE53" s="106">
        <v>3254.4</v>
      </c>
      <c r="AF53" s="106">
        <v>7</v>
      </c>
      <c r="AG53" s="106">
        <v>2847.6</v>
      </c>
      <c r="AH53" s="106">
        <v>7</v>
      </c>
      <c r="AI53" s="106">
        <v>2847.6</v>
      </c>
      <c r="AJ53" s="106">
        <v>10</v>
      </c>
      <c r="AK53" s="106">
        <v>4068</v>
      </c>
      <c r="AL53" s="106">
        <v>7</v>
      </c>
      <c r="AM53" s="106">
        <v>2847.6</v>
      </c>
      <c r="AN53" s="106">
        <v>8</v>
      </c>
      <c r="AO53" s="106">
        <v>3254.4</v>
      </c>
      <c r="AP53" s="106">
        <v>5</v>
      </c>
      <c r="AQ53" s="106">
        <v>2034</v>
      </c>
      <c r="AR53" s="106">
        <v>5</v>
      </c>
      <c r="AS53" s="106">
        <v>2034</v>
      </c>
      <c r="AT53" s="106">
        <v>3</v>
      </c>
      <c r="AU53" s="106">
        <v>1220.4000000000001</v>
      </c>
      <c r="AV53" s="106">
        <v>3</v>
      </c>
      <c r="AW53" s="106">
        <v>1220.4000000000001</v>
      </c>
      <c r="AX53" s="106">
        <v>5</v>
      </c>
      <c r="AY53" s="106">
        <v>2034</v>
      </c>
      <c r="AZ53" s="106">
        <v>7</v>
      </c>
      <c r="BA53" s="106">
        <v>2847.6</v>
      </c>
      <c r="BB53" s="106">
        <v>8</v>
      </c>
      <c r="BC53" s="106">
        <v>3254.4</v>
      </c>
      <c r="BD53" s="106">
        <v>7</v>
      </c>
      <c r="BE53" s="106">
        <v>2847.6</v>
      </c>
      <c r="BF53" s="106">
        <v>9</v>
      </c>
      <c r="BG53" s="106">
        <v>3661.2000000000003</v>
      </c>
      <c r="BH53" s="106">
        <v>4</v>
      </c>
      <c r="BI53" s="106">
        <v>1627.2</v>
      </c>
      <c r="BJ53" s="106">
        <v>6</v>
      </c>
      <c r="BK53" s="106">
        <v>2440.8000000000002</v>
      </c>
      <c r="BL53" s="106">
        <v>4</v>
      </c>
      <c r="BM53" s="106">
        <v>1627.2</v>
      </c>
      <c r="BN53" s="106">
        <v>5</v>
      </c>
      <c r="BO53" s="106">
        <v>2034</v>
      </c>
      <c r="BP53" s="106">
        <v>4</v>
      </c>
      <c r="BQ53" s="106">
        <v>1627.2</v>
      </c>
      <c r="BR53" s="106">
        <v>3</v>
      </c>
      <c r="BS53" s="106">
        <v>1220.4000000000001</v>
      </c>
      <c r="BT53" s="106">
        <v>4</v>
      </c>
      <c r="BU53" s="106">
        <v>1627.2</v>
      </c>
      <c r="BV53" s="106">
        <v>3</v>
      </c>
      <c r="BW53" s="106">
        <v>1220.4000000000001</v>
      </c>
      <c r="BX53" s="106">
        <v>67</v>
      </c>
      <c r="BY53" s="106">
        <v>27255.600000000002</v>
      </c>
      <c r="BZ53" s="106">
        <v>70</v>
      </c>
      <c r="CA53" s="106">
        <v>28476</v>
      </c>
      <c r="CB53" s="106">
        <v>63</v>
      </c>
      <c r="CC53" s="106">
        <v>25628.400000000001</v>
      </c>
      <c r="CD53" s="106">
        <v>52</v>
      </c>
      <c r="CE53" s="106">
        <v>21153.600000000002</v>
      </c>
      <c r="CF53" s="106">
        <v>25</v>
      </c>
      <c r="CG53" s="106">
        <v>10170</v>
      </c>
      <c r="CH53" s="106">
        <v>23</v>
      </c>
      <c r="CI53" s="106">
        <v>9356.4</v>
      </c>
      <c r="CJ53" s="106">
        <v>17</v>
      </c>
      <c r="CK53" s="106">
        <v>6915.6</v>
      </c>
      <c r="CL53" s="106">
        <v>22</v>
      </c>
      <c r="CM53" s="106">
        <v>8949.6</v>
      </c>
      <c r="CN53" s="106">
        <v>3</v>
      </c>
      <c r="CO53" s="106">
        <v>1220.4000000000001</v>
      </c>
      <c r="CP53" s="106">
        <v>3</v>
      </c>
      <c r="CQ53" s="106">
        <v>1220.4000000000001</v>
      </c>
      <c r="CR53" s="106">
        <v>4</v>
      </c>
      <c r="CS53" s="106">
        <v>1627.2</v>
      </c>
      <c r="CT53" s="106">
        <v>4</v>
      </c>
      <c r="CU53" s="106">
        <v>1627.2</v>
      </c>
    </row>
    <row r="54" spans="2:99" x14ac:dyDescent="0.2">
      <c r="C54" s="105" t="s">
        <v>220</v>
      </c>
      <c r="D54" s="106">
        <v>6</v>
      </c>
      <c r="E54" s="106">
        <v>2008.8000000000002</v>
      </c>
      <c r="F54" s="106">
        <v>6</v>
      </c>
      <c r="G54" s="106">
        <v>2008.8000000000002</v>
      </c>
      <c r="H54" s="106">
        <v>8</v>
      </c>
      <c r="I54" s="106">
        <v>2678.4</v>
      </c>
      <c r="J54" s="106">
        <v>6</v>
      </c>
      <c r="K54" s="106">
        <v>2008.8000000000002</v>
      </c>
      <c r="L54" s="106">
        <v>40</v>
      </c>
      <c r="M54" s="106">
        <v>13392</v>
      </c>
      <c r="N54" s="106">
        <v>45</v>
      </c>
      <c r="O54" s="106">
        <v>15066</v>
      </c>
      <c r="P54" s="106">
        <v>29</v>
      </c>
      <c r="Q54" s="106">
        <v>9709.2000000000007</v>
      </c>
      <c r="R54" s="106">
        <v>42</v>
      </c>
      <c r="S54" s="106">
        <v>14061.6</v>
      </c>
      <c r="T54" s="106">
        <v>4</v>
      </c>
      <c r="U54" s="106">
        <v>1339.2</v>
      </c>
      <c r="V54" s="106">
        <v>3</v>
      </c>
      <c r="W54" s="106">
        <v>1004.4000000000001</v>
      </c>
      <c r="X54" s="106">
        <v>4</v>
      </c>
      <c r="Y54" s="106">
        <v>1339.2</v>
      </c>
      <c r="Z54" s="106">
        <v>3</v>
      </c>
      <c r="AA54" s="106">
        <v>1004.4000000000001</v>
      </c>
      <c r="AB54" s="106">
        <v>9</v>
      </c>
      <c r="AC54" s="106">
        <v>3013.2000000000003</v>
      </c>
      <c r="AD54" s="106">
        <v>8</v>
      </c>
      <c r="AE54" s="106">
        <v>2678.4</v>
      </c>
      <c r="AF54" s="106">
        <v>8</v>
      </c>
      <c r="AG54" s="106">
        <v>2678.4</v>
      </c>
      <c r="AH54" s="106">
        <v>6</v>
      </c>
      <c r="AI54" s="106">
        <v>2008.8000000000002</v>
      </c>
      <c r="AJ54" s="106">
        <v>10</v>
      </c>
      <c r="AK54" s="106">
        <v>3348</v>
      </c>
      <c r="AL54" s="106">
        <v>8</v>
      </c>
      <c r="AM54" s="106">
        <v>2678.4</v>
      </c>
      <c r="AN54" s="106">
        <v>8</v>
      </c>
      <c r="AO54" s="106">
        <v>2678.4</v>
      </c>
      <c r="AP54" s="106">
        <v>6</v>
      </c>
      <c r="AQ54" s="106">
        <v>2008.8000000000002</v>
      </c>
      <c r="AR54" s="106">
        <v>5</v>
      </c>
      <c r="AS54" s="106">
        <v>1674</v>
      </c>
      <c r="AT54" s="106">
        <v>3</v>
      </c>
      <c r="AU54" s="106">
        <v>1004.4000000000001</v>
      </c>
      <c r="AV54" s="106">
        <v>3</v>
      </c>
      <c r="AW54" s="106">
        <v>1004.4000000000001</v>
      </c>
      <c r="AX54" s="106">
        <v>5</v>
      </c>
      <c r="AY54" s="106">
        <v>1674</v>
      </c>
      <c r="AZ54" s="106">
        <v>8</v>
      </c>
      <c r="BA54" s="106">
        <v>2678.4</v>
      </c>
      <c r="BB54" s="106">
        <v>8</v>
      </c>
      <c r="BC54" s="106">
        <v>2678.4</v>
      </c>
      <c r="BD54" s="106">
        <v>8</v>
      </c>
      <c r="BE54" s="106">
        <v>2678.4</v>
      </c>
      <c r="BF54" s="106">
        <v>8</v>
      </c>
      <c r="BG54" s="106">
        <v>2678.4</v>
      </c>
      <c r="BH54" s="106">
        <v>4</v>
      </c>
      <c r="BI54" s="106">
        <v>1339.2</v>
      </c>
      <c r="BJ54" s="106">
        <v>5</v>
      </c>
      <c r="BK54" s="106">
        <v>1674</v>
      </c>
      <c r="BL54" s="106">
        <v>4</v>
      </c>
      <c r="BM54" s="106">
        <v>1339.2</v>
      </c>
      <c r="BN54" s="106">
        <v>6</v>
      </c>
      <c r="BO54" s="106">
        <v>2008.8000000000002</v>
      </c>
      <c r="BP54" s="106">
        <v>4</v>
      </c>
      <c r="BQ54" s="106">
        <v>1339.2</v>
      </c>
      <c r="BR54" s="106">
        <v>3</v>
      </c>
      <c r="BS54" s="106">
        <v>1004.4000000000001</v>
      </c>
      <c r="BT54" s="106">
        <v>4</v>
      </c>
      <c r="BU54" s="106">
        <v>1339.2</v>
      </c>
      <c r="BV54" s="106">
        <v>3</v>
      </c>
      <c r="BW54" s="106">
        <v>1004.4000000000001</v>
      </c>
      <c r="BX54" s="106">
        <v>67</v>
      </c>
      <c r="BY54" s="106">
        <v>22431.600000000002</v>
      </c>
      <c r="BZ54" s="106">
        <v>72</v>
      </c>
      <c r="CA54" s="106">
        <v>24105.600000000002</v>
      </c>
      <c r="CB54" s="106">
        <v>61</v>
      </c>
      <c r="CC54" s="106">
        <v>20422.8</v>
      </c>
      <c r="CD54" s="106">
        <v>61</v>
      </c>
      <c r="CE54" s="106">
        <v>20422.8</v>
      </c>
      <c r="CF54" s="106">
        <v>28</v>
      </c>
      <c r="CG54" s="106">
        <v>9374.4</v>
      </c>
      <c r="CH54" s="106">
        <v>22</v>
      </c>
      <c r="CI54" s="106">
        <v>7365.6</v>
      </c>
      <c r="CJ54" s="106">
        <v>19</v>
      </c>
      <c r="CK54" s="106">
        <v>6361.2</v>
      </c>
      <c r="CL54" s="106">
        <v>21</v>
      </c>
      <c r="CM54" s="106">
        <v>7030.8</v>
      </c>
      <c r="CN54" s="106">
        <v>3</v>
      </c>
      <c r="CO54" s="106">
        <v>1004.4000000000001</v>
      </c>
      <c r="CP54" s="106">
        <v>2</v>
      </c>
      <c r="CQ54" s="106">
        <v>669.6</v>
      </c>
      <c r="CR54" s="106">
        <v>4</v>
      </c>
      <c r="CS54" s="106">
        <v>1339.2</v>
      </c>
      <c r="CT54" s="106">
        <v>4</v>
      </c>
      <c r="CU54" s="106">
        <v>1339.2</v>
      </c>
    </row>
    <row r="55" spans="2:99" x14ac:dyDescent="0.2">
      <c r="C55" s="105" t="s">
        <v>221</v>
      </c>
      <c r="D55" s="106">
        <v>6</v>
      </c>
      <c r="E55" s="106">
        <v>3981.6000000000004</v>
      </c>
      <c r="F55" s="106">
        <v>6</v>
      </c>
      <c r="G55" s="106">
        <v>3981.6000000000004</v>
      </c>
      <c r="H55" s="106">
        <v>7</v>
      </c>
      <c r="I55" s="106">
        <v>4645.2</v>
      </c>
      <c r="J55" s="106">
        <v>6</v>
      </c>
      <c r="K55" s="106">
        <v>3981.6000000000004</v>
      </c>
      <c r="L55" s="106">
        <v>41</v>
      </c>
      <c r="M55" s="106">
        <v>27207.600000000002</v>
      </c>
      <c r="N55" s="106">
        <v>43</v>
      </c>
      <c r="O55" s="106">
        <v>28534.799999999999</v>
      </c>
      <c r="P55" s="106">
        <v>26</v>
      </c>
      <c r="Q55" s="106">
        <v>17253.600000000002</v>
      </c>
      <c r="R55" s="106">
        <v>34</v>
      </c>
      <c r="S55" s="106">
        <v>22562.400000000001</v>
      </c>
      <c r="T55" s="106">
        <v>4</v>
      </c>
      <c r="U55" s="106">
        <v>2654.4</v>
      </c>
      <c r="V55" s="106">
        <v>4</v>
      </c>
      <c r="W55" s="106">
        <v>2654.4</v>
      </c>
      <c r="X55" s="106">
        <v>4</v>
      </c>
      <c r="Y55" s="106">
        <v>2654.4</v>
      </c>
      <c r="Z55" s="106">
        <v>3</v>
      </c>
      <c r="AA55" s="106">
        <v>1990.8000000000002</v>
      </c>
      <c r="AB55" s="106">
        <v>9</v>
      </c>
      <c r="AC55" s="106">
        <v>5972.4000000000005</v>
      </c>
      <c r="AD55" s="106">
        <v>9</v>
      </c>
      <c r="AE55" s="106">
        <v>5972.4000000000005</v>
      </c>
      <c r="AF55" s="106">
        <v>7</v>
      </c>
      <c r="AG55" s="106">
        <v>4645.2</v>
      </c>
      <c r="AH55" s="106">
        <v>6</v>
      </c>
      <c r="AI55" s="106">
        <v>3981.6000000000004</v>
      </c>
      <c r="AJ55" s="106">
        <v>8</v>
      </c>
      <c r="AK55" s="106">
        <v>5308.8</v>
      </c>
      <c r="AL55" s="106">
        <v>7</v>
      </c>
      <c r="AM55" s="106">
        <v>4645.2</v>
      </c>
      <c r="AN55" s="106">
        <v>7</v>
      </c>
      <c r="AO55" s="106">
        <v>4645.2</v>
      </c>
      <c r="AP55" s="106">
        <v>6</v>
      </c>
      <c r="AQ55" s="106">
        <v>3981.6000000000004</v>
      </c>
      <c r="AR55" s="106">
        <v>5</v>
      </c>
      <c r="AS55" s="106">
        <v>3318</v>
      </c>
      <c r="AT55" s="106">
        <v>3</v>
      </c>
      <c r="AU55" s="106">
        <v>1990.8000000000002</v>
      </c>
      <c r="AV55" s="106">
        <v>3</v>
      </c>
      <c r="AW55" s="106">
        <v>1990.8000000000002</v>
      </c>
      <c r="AX55" s="106">
        <v>5</v>
      </c>
      <c r="AY55" s="106">
        <v>3318</v>
      </c>
      <c r="AZ55" s="106">
        <v>8</v>
      </c>
      <c r="BA55" s="106">
        <v>5308.8</v>
      </c>
      <c r="BB55" s="106">
        <v>8</v>
      </c>
      <c r="BC55" s="106">
        <v>5308.8</v>
      </c>
      <c r="BD55" s="106">
        <v>7</v>
      </c>
      <c r="BE55" s="106">
        <v>4645.2</v>
      </c>
      <c r="BF55" s="106">
        <v>8</v>
      </c>
      <c r="BG55" s="106">
        <v>5308.8</v>
      </c>
      <c r="BH55" s="106">
        <v>4</v>
      </c>
      <c r="BI55" s="106">
        <v>2654.4</v>
      </c>
      <c r="BJ55" s="106">
        <v>6</v>
      </c>
      <c r="BK55" s="106">
        <v>3981.6000000000004</v>
      </c>
      <c r="BL55" s="106">
        <v>4</v>
      </c>
      <c r="BM55" s="106">
        <v>2654.4</v>
      </c>
      <c r="BN55" s="106">
        <v>6</v>
      </c>
      <c r="BO55" s="106">
        <v>3981.6000000000004</v>
      </c>
      <c r="BP55" s="106">
        <v>4</v>
      </c>
      <c r="BQ55" s="106">
        <v>2654.4</v>
      </c>
      <c r="BR55" s="106">
        <v>3</v>
      </c>
      <c r="BS55" s="106">
        <v>1990.8000000000002</v>
      </c>
      <c r="BT55" s="106">
        <v>4</v>
      </c>
      <c r="BU55" s="106">
        <v>2654.4</v>
      </c>
      <c r="BV55" s="106">
        <v>3</v>
      </c>
      <c r="BW55" s="106">
        <v>1990.8000000000002</v>
      </c>
      <c r="BX55" s="106">
        <v>58</v>
      </c>
      <c r="BY55" s="106">
        <v>38488.800000000003</v>
      </c>
      <c r="BZ55" s="106">
        <v>66</v>
      </c>
      <c r="CA55" s="106">
        <v>43797.599999999999</v>
      </c>
      <c r="CB55" s="106">
        <v>59</v>
      </c>
      <c r="CC55" s="106">
        <v>39152.400000000001</v>
      </c>
      <c r="CD55" s="106">
        <v>56</v>
      </c>
      <c r="CE55" s="106">
        <v>37161.599999999999</v>
      </c>
      <c r="CF55" s="106">
        <v>29</v>
      </c>
      <c r="CG55" s="106">
        <v>19244.400000000001</v>
      </c>
      <c r="CH55" s="106">
        <v>21</v>
      </c>
      <c r="CI55" s="106">
        <v>13935.6</v>
      </c>
      <c r="CJ55" s="106">
        <v>19</v>
      </c>
      <c r="CK55" s="106">
        <v>12608.4</v>
      </c>
      <c r="CL55" s="106">
        <v>20</v>
      </c>
      <c r="CM55" s="106">
        <v>13272</v>
      </c>
      <c r="CN55" s="106">
        <v>3</v>
      </c>
      <c r="CO55" s="106">
        <v>1990.8000000000002</v>
      </c>
      <c r="CP55" s="106">
        <v>2</v>
      </c>
      <c r="CQ55" s="106">
        <v>1327.2</v>
      </c>
      <c r="CR55" s="106">
        <v>3</v>
      </c>
      <c r="CS55" s="106">
        <v>1990.8000000000002</v>
      </c>
      <c r="CT55" s="106">
        <v>4</v>
      </c>
      <c r="CU55" s="106">
        <v>2654.4</v>
      </c>
    </row>
    <row r="56" spans="2:99" x14ac:dyDescent="0.2">
      <c r="C56" s="105" t="s">
        <v>222</v>
      </c>
      <c r="D56" s="106">
        <v>6</v>
      </c>
      <c r="E56" s="106">
        <v>6904.7999999999993</v>
      </c>
      <c r="F56" s="106">
        <v>5</v>
      </c>
      <c r="G56" s="106">
        <v>5754</v>
      </c>
      <c r="H56" s="106">
        <v>7</v>
      </c>
      <c r="I56" s="106">
        <v>8055.5999999999995</v>
      </c>
      <c r="J56" s="106">
        <v>6</v>
      </c>
      <c r="K56" s="106">
        <v>6904.7999999999993</v>
      </c>
      <c r="L56" s="106">
        <v>33</v>
      </c>
      <c r="M56" s="106">
        <v>37976.400000000001</v>
      </c>
      <c r="N56" s="106">
        <v>40</v>
      </c>
      <c r="O56" s="106">
        <v>46032</v>
      </c>
      <c r="P56" s="106">
        <v>23</v>
      </c>
      <c r="Q56" s="106">
        <v>26468.399999999998</v>
      </c>
      <c r="R56" s="106">
        <v>31</v>
      </c>
      <c r="S56" s="106">
        <v>35674.799999999996</v>
      </c>
      <c r="T56" s="106">
        <v>4</v>
      </c>
      <c r="U56" s="106">
        <v>4603.2</v>
      </c>
      <c r="V56" s="106">
        <v>4</v>
      </c>
      <c r="W56" s="106">
        <v>4603.2</v>
      </c>
      <c r="X56" s="106">
        <v>4</v>
      </c>
      <c r="Y56" s="106">
        <v>4603.2</v>
      </c>
      <c r="Z56" s="106">
        <v>3</v>
      </c>
      <c r="AA56" s="106">
        <v>3452.3999999999996</v>
      </c>
      <c r="AB56" s="106">
        <v>8</v>
      </c>
      <c r="AC56" s="106">
        <v>9206.4</v>
      </c>
      <c r="AD56" s="106">
        <v>8</v>
      </c>
      <c r="AE56" s="106">
        <v>9206.4</v>
      </c>
      <c r="AF56" s="106">
        <v>6</v>
      </c>
      <c r="AG56" s="106">
        <v>6904.7999999999993</v>
      </c>
      <c r="AH56" s="106">
        <v>6</v>
      </c>
      <c r="AI56" s="106">
        <v>6904.7999999999993</v>
      </c>
      <c r="AJ56" s="106">
        <v>9</v>
      </c>
      <c r="AK56" s="106">
        <v>10357.199999999999</v>
      </c>
      <c r="AL56" s="106">
        <v>7</v>
      </c>
      <c r="AM56" s="106">
        <v>8055.5999999999995</v>
      </c>
      <c r="AN56" s="106">
        <v>7</v>
      </c>
      <c r="AO56" s="106">
        <v>8055.5999999999995</v>
      </c>
      <c r="AP56" s="106">
        <v>5</v>
      </c>
      <c r="AQ56" s="106">
        <v>5754</v>
      </c>
      <c r="AR56" s="106">
        <v>5</v>
      </c>
      <c r="AS56" s="106">
        <v>5754</v>
      </c>
      <c r="AT56" s="106">
        <v>3</v>
      </c>
      <c r="AU56" s="106">
        <v>3452.3999999999996</v>
      </c>
      <c r="AV56" s="106">
        <v>2</v>
      </c>
      <c r="AW56" s="106">
        <v>2301.6</v>
      </c>
      <c r="AX56" s="106">
        <v>5</v>
      </c>
      <c r="AY56" s="106">
        <v>5754</v>
      </c>
      <c r="AZ56" s="106">
        <v>7</v>
      </c>
      <c r="BA56" s="106">
        <v>8055.5999999999995</v>
      </c>
      <c r="BB56" s="106">
        <v>8</v>
      </c>
      <c r="BC56" s="106">
        <v>9206.4</v>
      </c>
      <c r="BD56" s="106">
        <v>7</v>
      </c>
      <c r="BE56" s="106">
        <v>8055.5999999999995</v>
      </c>
      <c r="BF56" s="106">
        <v>7</v>
      </c>
      <c r="BG56" s="106">
        <v>8055.5999999999995</v>
      </c>
      <c r="BH56" s="106">
        <v>4</v>
      </c>
      <c r="BI56" s="106">
        <v>4603.2</v>
      </c>
      <c r="BJ56" s="106">
        <v>5</v>
      </c>
      <c r="BK56" s="106">
        <v>5754</v>
      </c>
      <c r="BL56" s="106">
        <v>4</v>
      </c>
      <c r="BM56" s="106">
        <v>4603.2</v>
      </c>
      <c r="BN56" s="106">
        <v>6</v>
      </c>
      <c r="BO56" s="106">
        <v>6904.7999999999993</v>
      </c>
      <c r="BP56" s="106">
        <v>3</v>
      </c>
      <c r="BQ56" s="106">
        <v>3452.3999999999996</v>
      </c>
      <c r="BR56" s="106">
        <v>2</v>
      </c>
      <c r="BS56" s="106">
        <v>2301.6</v>
      </c>
      <c r="BT56" s="106">
        <v>4</v>
      </c>
      <c r="BU56" s="106">
        <v>4603.2</v>
      </c>
      <c r="BV56" s="106">
        <v>3</v>
      </c>
      <c r="BW56" s="106">
        <v>3452.3999999999996</v>
      </c>
      <c r="BX56" s="106">
        <v>53</v>
      </c>
      <c r="BY56" s="106">
        <v>60992.399999999994</v>
      </c>
      <c r="BZ56" s="106">
        <v>70</v>
      </c>
      <c r="CA56" s="106">
        <v>80556</v>
      </c>
      <c r="CB56" s="106">
        <v>51</v>
      </c>
      <c r="CC56" s="106">
        <v>58690.799999999996</v>
      </c>
      <c r="CD56" s="106">
        <v>48</v>
      </c>
      <c r="CE56" s="106">
        <v>55238.399999999994</v>
      </c>
      <c r="CF56" s="106">
        <v>22</v>
      </c>
      <c r="CG56" s="106">
        <v>25317.599999999999</v>
      </c>
      <c r="CH56" s="106">
        <v>19</v>
      </c>
      <c r="CI56" s="106">
        <v>21865.200000000001</v>
      </c>
      <c r="CJ56" s="106">
        <v>15</v>
      </c>
      <c r="CK56" s="106">
        <v>17262</v>
      </c>
      <c r="CL56" s="106">
        <v>19</v>
      </c>
      <c r="CM56" s="106">
        <v>21865.200000000001</v>
      </c>
      <c r="CN56" s="106">
        <v>3</v>
      </c>
      <c r="CO56" s="106">
        <v>3452.3999999999996</v>
      </c>
      <c r="CP56" s="106">
        <v>2</v>
      </c>
      <c r="CQ56" s="106">
        <v>2301.6</v>
      </c>
      <c r="CR56" s="106">
        <v>4</v>
      </c>
      <c r="CS56" s="106">
        <v>4603.2</v>
      </c>
      <c r="CT56" s="106">
        <v>4</v>
      </c>
      <c r="CU56" s="106">
        <v>4603.2</v>
      </c>
    </row>
    <row r="57" spans="2:99" x14ac:dyDescent="0.2">
      <c r="C57" s="105" t="s">
        <v>223</v>
      </c>
      <c r="D57" s="106">
        <v>5</v>
      </c>
      <c r="E57" s="106">
        <v>7056</v>
      </c>
      <c r="F57" s="106">
        <v>6</v>
      </c>
      <c r="G57" s="106">
        <v>8467.2000000000007</v>
      </c>
      <c r="H57" s="106">
        <v>7</v>
      </c>
      <c r="I57" s="106">
        <v>9878.4</v>
      </c>
      <c r="J57" s="106">
        <v>5</v>
      </c>
      <c r="K57" s="106">
        <v>7056</v>
      </c>
      <c r="L57" s="106">
        <v>33</v>
      </c>
      <c r="M57" s="106">
        <v>46569.599999999999</v>
      </c>
      <c r="N57" s="106">
        <v>35</v>
      </c>
      <c r="O57" s="106">
        <v>49392</v>
      </c>
      <c r="P57" s="106">
        <v>26</v>
      </c>
      <c r="Q57" s="106">
        <v>36691.200000000004</v>
      </c>
      <c r="R57" s="106">
        <v>31</v>
      </c>
      <c r="S57" s="106">
        <v>43747.200000000004</v>
      </c>
      <c r="T57" s="106">
        <v>4</v>
      </c>
      <c r="U57" s="106">
        <v>5644.8</v>
      </c>
      <c r="V57" s="106">
        <v>3</v>
      </c>
      <c r="W57" s="106">
        <v>4233.6000000000004</v>
      </c>
      <c r="X57" s="106">
        <v>3</v>
      </c>
      <c r="Y57" s="106">
        <v>4233.6000000000004</v>
      </c>
      <c r="Z57" s="106">
        <v>3</v>
      </c>
      <c r="AA57" s="106">
        <v>4233.6000000000004</v>
      </c>
      <c r="AB57" s="106">
        <v>7</v>
      </c>
      <c r="AC57" s="106">
        <v>9878.4</v>
      </c>
      <c r="AD57" s="106">
        <v>7</v>
      </c>
      <c r="AE57" s="106">
        <v>9878.4</v>
      </c>
      <c r="AF57" s="106">
        <v>6</v>
      </c>
      <c r="AG57" s="106">
        <v>8467.2000000000007</v>
      </c>
      <c r="AH57" s="106">
        <v>6</v>
      </c>
      <c r="AI57" s="106">
        <v>8467.2000000000007</v>
      </c>
      <c r="AJ57" s="106">
        <v>9</v>
      </c>
      <c r="AK57" s="106">
        <v>12700.800000000001</v>
      </c>
      <c r="AL57" s="106">
        <v>6</v>
      </c>
      <c r="AM57" s="106">
        <v>8467.2000000000007</v>
      </c>
      <c r="AN57" s="106">
        <v>6</v>
      </c>
      <c r="AO57" s="106">
        <v>8467.2000000000007</v>
      </c>
      <c r="AP57" s="106">
        <v>5</v>
      </c>
      <c r="AQ57" s="106">
        <v>7056</v>
      </c>
      <c r="AR57" s="106">
        <v>5</v>
      </c>
      <c r="AS57" s="106">
        <v>7056</v>
      </c>
      <c r="AT57" s="106">
        <v>3</v>
      </c>
      <c r="AU57" s="106">
        <v>4233.6000000000004</v>
      </c>
      <c r="AV57" s="106">
        <v>3</v>
      </c>
      <c r="AW57" s="106">
        <v>4233.6000000000004</v>
      </c>
      <c r="AX57" s="106">
        <v>5</v>
      </c>
      <c r="AY57" s="106">
        <v>7056</v>
      </c>
      <c r="AZ57" s="106">
        <v>7</v>
      </c>
      <c r="BA57" s="106">
        <v>9878.4</v>
      </c>
      <c r="BB57" s="106">
        <v>8</v>
      </c>
      <c r="BC57" s="106">
        <v>11289.6</v>
      </c>
      <c r="BD57" s="106">
        <v>6</v>
      </c>
      <c r="BE57" s="106">
        <v>8467.2000000000007</v>
      </c>
      <c r="BF57" s="106">
        <v>8</v>
      </c>
      <c r="BG57" s="106">
        <v>11289.6</v>
      </c>
      <c r="BH57" s="106">
        <v>4</v>
      </c>
      <c r="BI57" s="106">
        <v>5644.8</v>
      </c>
      <c r="BJ57" s="106">
        <v>5</v>
      </c>
      <c r="BK57" s="106">
        <v>7056</v>
      </c>
      <c r="BL57" s="106">
        <v>4</v>
      </c>
      <c r="BM57" s="106">
        <v>5644.8</v>
      </c>
      <c r="BN57" s="106">
        <v>5</v>
      </c>
      <c r="BO57" s="106">
        <v>7056</v>
      </c>
      <c r="BP57" s="106">
        <v>3</v>
      </c>
      <c r="BQ57" s="106">
        <v>4233.6000000000004</v>
      </c>
      <c r="BR57" s="106">
        <v>2</v>
      </c>
      <c r="BS57" s="106">
        <v>2822.4</v>
      </c>
      <c r="BT57" s="106">
        <v>3</v>
      </c>
      <c r="BU57" s="106">
        <v>4233.6000000000004</v>
      </c>
      <c r="BV57" s="106">
        <v>2</v>
      </c>
      <c r="BW57" s="106">
        <v>2822.4</v>
      </c>
      <c r="BX57" s="106">
        <v>48</v>
      </c>
      <c r="BY57" s="106">
        <v>67737.600000000006</v>
      </c>
      <c r="BZ57" s="106">
        <v>60</v>
      </c>
      <c r="CA57" s="106">
        <v>84672</v>
      </c>
      <c r="CB57" s="106">
        <v>47</v>
      </c>
      <c r="CC57" s="106">
        <v>66326.400000000009</v>
      </c>
      <c r="CD57" s="106">
        <v>47</v>
      </c>
      <c r="CE57" s="106">
        <v>66326.400000000009</v>
      </c>
      <c r="CF57" s="106">
        <v>23</v>
      </c>
      <c r="CG57" s="106">
        <v>32457.600000000002</v>
      </c>
      <c r="CH57" s="106">
        <v>21</v>
      </c>
      <c r="CI57" s="106">
        <v>29635.200000000001</v>
      </c>
      <c r="CJ57" s="106">
        <v>17</v>
      </c>
      <c r="CK57" s="106">
        <v>23990.400000000001</v>
      </c>
      <c r="CL57" s="106">
        <v>18</v>
      </c>
      <c r="CM57" s="106">
        <v>25401.600000000002</v>
      </c>
      <c r="CN57" s="106">
        <v>3</v>
      </c>
      <c r="CO57" s="106">
        <v>4233.6000000000004</v>
      </c>
      <c r="CP57" s="106">
        <v>2</v>
      </c>
      <c r="CQ57" s="106">
        <v>2822.4</v>
      </c>
      <c r="CR57" s="106">
        <v>4</v>
      </c>
      <c r="CS57" s="106">
        <v>5644.8</v>
      </c>
      <c r="CT57" s="106">
        <v>4</v>
      </c>
      <c r="CU57" s="106">
        <v>5644.8</v>
      </c>
    </row>
    <row r="58" spans="2:99" x14ac:dyDescent="0.2">
      <c r="C58" s="105" t="s">
        <v>224</v>
      </c>
      <c r="D58" s="106">
        <v>5</v>
      </c>
      <c r="E58" s="106">
        <v>5886</v>
      </c>
      <c r="F58" s="106">
        <v>5</v>
      </c>
      <c r="G58" s="106">
        <v>5886</v>
      </c>
      <c r="H58" s="106">
        <v>7</v>
      </c>
      <c r="I58" s="106">
        <v>8240.4</v>
      </c>
      <c r="J58" s="106">
        <v>5</v>
      </c>
      <c r="K58" s="106">
        <v>5886</v>
      </c>
      <c r="L58" s="106">
        <v>39</v>
      </c>
      <c r="M58" s="106">
        <v>45910.8</v>
      </c>
      <c r="N58" s="106">
        <v>37</v>
      </c>
      <c r="O58" s="106">
        <v>43556.4</v>
      </c>
      <c r="P58" s="106">
        <v>26</v>
      </c>
      <c r="Q58" s="106">
        <v>30607.200000000001</v>
      </c>
      <c r="R58" s="106">
        <v>35</v>
      </c>
      <c r="S58" s="106">
        <v>41202</v>
      </c>
      <c r="T58" s="106">
        <v>4</v>
      </c>
      <c r="U58" s="106">
        <v>4708.8</v>
      </c>
      <c r="V58" s="106">
        <v>4</v>
      </c>
      <c r="W58" s="106">
        <v>4708.8</v>
      </c>
      <c r="X58" s="106">
        <v>4</v>
      </c>
      <c r="Y58" s="106">
        <v>4708.8</v>
      </c>
      <c r="Z58" s="106">
        <v>3</v>
      </c>
      <c r="AA58" s="106">
        <v>3531.6000000000004</v>
      </c>
      <c r="AB58" s="106">
        <v>8</v>
      </c>
      <c r="AC58" s="106">
        <v>9417.6</v>
      </c>
      <c r="AD58" s="106">
        <v>8</v>
      </c>
      <c r="AE58" s="106">
        <v>9417.6</v>
      </c>
      <c r="AF58" s="106">
        <v>7</v>
      </c>
      <c r="AG58" s="106">
        <v>8240.4</v>
      </c>
      <c r="AH58" s="106">
        <v>5</v>
      </c>
      <c r="AI58" s="106">
        <v>5886</v>
      </c>
      <c r="AJ58" s="106">
        <v>8</v>
      </c>
      <c r="AK58" s="106">
        <v>9417.6</v>
      </c>
      <c r="AL58" s="106">
        <v>7</v>
      </c>
      <c r="AM58" s="106">
        <v>8240.4</v>
      </c>
      <c r="AN58" s="106">
        <v>7</v>
      </c>
      <c r="AO58" s="106">
        <v>8240.4</v>
      </c>
      <c r="AP58" s="106">
        <v>6</v>
      </c>
      <c r="AQ58" s="106">
        <v>7063.2000000000007</v>
      </c>
      <c r="AR58" s="106">
        <v>5</v>
      </c>
      <c r="AS58" s="106">
        <v>5886</v>
      </c>
      <c r="AT58" s="106">
        <v>3</v>
      </c>
      <c r="AU58" s="106">
        <v>3531.6000000000004</v>
      </c>
      <c r="AV58" s="106">
        <v>3</v>
      </c>
      <c r="AW58" s="106">
        <v>3531.6000000000004</v>
      </c>
      <c r="AX58" s="106">
        <v>5</v>
      </c>
      <c r="AY58" s="106">
        <v>5886</v>
      </c>
      <c r="AZ58" s="106">
        <v>6</v>
      </c>
      <c r="BA58" s="106">
        <v>7063.2000000000007</v>
      </c>
      <c r="BB58" s="106">
        <v>8</v>
      </c>
      <c r="BC58" s="106">
        <v>9417.6</v>
      </c>
      <c r="BD58" s="106">
        <v>7</v>
      </c>
      <c r="BE58" s="106">
        <v>8240.4</v>
      </c>
      <c r="BF58" s="106">
        <v>7</v>
      </c>
      <c r="BG58" s="106">
        <v>8240.4</v>
      </c>
      <c r="BH58" s="106">
        <v>4</v>
      </c>
      <c r="BI58" s="106">
        <v>4708.8</v>
      </c>
      <c r="BJ58" s="106">
        <v>5</v>
      </c>
      <c r="BK58" s="106">
        <v>5886</v>
      </c>
      <c r="BL58" s="106">
        <v>4</v>
      </c>
      <c r="BM58" s="106">
        <v>4708.8</v>
      </c>
      <c r="BN58" s="106">
        <v>5</v>
      </c>
      <c r="BO58" s="106">
        <v>5886</v>
      </c>
      <c r="BP58" s="106">
        <v>3</v>
      </c>
      <c r="BQ58" s="106">
        <v>3531.6000000000004</v>
      </c>
      <c r="BR58" s="106">
        <v>2</v>
      </c>
      <c r="BS58" s="106">
        <v>2354.4</v>
      </c>
      <c r="BT58" s="106">
        <v>3</v>
      </c>
      <c r="BU58" s="106">
        <v>3531.6000000000004</v>
      </c>
      <c r="BV58" s="106">
        <v>3</v>
      </c>
      <c r="BW58" s="106">
        <v>3531.6000000000004</v>
      </c>
      <c r="BX58" s="106">
        <v>55</v>
      </c>
      <c r="BY58" s="106">
        <v>64746</v>
      </c>
      <c r="BZ58" s="106">
        <v>70</v>
      </c>
      <c r="CA58" s="106">
        <v>82404</v>
      </c>
      <c r="CB58" s="106">
        <v>49</v>
      </c>
      <c r="CC58" s="106">
        <v>57682.8</v>
      </c>
      <c r="CD58" s="106">
        <v>44</v>
      </c>
      <c r="CE58" s="106">
        <v>51796.800000000003</v>
      </c>
      <c r="CF58" s="106">
        <v>23</v>
      </c>
      <c r="CG58" s="106">
        <v>27075.600000000002</v>
      </c>
      <c r="CH58" s="106">
        <v>20</v>
      </c>
      <c r="CI58" s="106">
        <v>23544</v>
      </c>
      <c r="CJ58" s="106">
        <v>16</v>
      </c>
      <c r="CK58" s="106">
        <v>18835.2</v>
      </c>
      <c r="CL58" s="106">
        <v>20</v>
      </c>
      <c r="CM58" s="106">
        <v>23544</v>
      </c>
      <c r="CN58" s="106">
        <v>3</v>
      </c>
      <c r="CO58" s="106">
        <v>3531.6000000000004</v>
      </c>
      <c r="CP58" s="106">
        <v>2</v>
      </c>
      <c r="CQ58" s="106">
        <v>2354.4</v>
      </c>
      <c r="CR58" s="106">
        <v>4</v>
      </c>
      <c r="CS58" s="106">
        <v>4708.8</v>
      </c>
      <c r="CT58" s="106">
        <v>3</v>
      </c>
      <c r="CU58" s="106">
        <v>3531.6000000000004</v>
      </c>
    </row>
    <row r="59" spans="2:99" x14ac:dyDescent="0.2">
      <c r="C59" s="105" t="s">
        <v>225</v>
      </c>
      <c r="D59" s="106">
        <v>6</v>
      </c>
      <c r="E59" s="106">
        <v>1821.6</v>
      </c>
      <c r="F59" s="106">
        <v>6</v>
      </c>
      <c r="G59" s="106">
        <v>1821.6</v>
      </c>
      <c r="H59" s="106">
        <v>8</v>
      </c>
      <c r="I59" s="106">
        <v>2428.7999999999997</v>
      </c>
      <c r="J59" s="106">
        <v>6</v>
      </c>
      <c r="K59" s="106">
        <v>1821.6</v>
      </c>
      <c r="L59" s="106">
        <v>42</v>
      </c>
      <c r="M59" s="106">
        <v>12751.199999999999</v>
      </c>
      <c r="N59" s="106">
        <v>44</v>
      </c>
      <c r="O59" s="106">
        <v>13358.399999999998</v>
      </c>
      <c r="P59" s="106">
        <v>29</v>
      </c>
      <c r="Q59" s="106">
        <v>8804.4</v>
      </c>
      <c r="R59" s="106">
        <v>42</v>
      </c>
      <c r="S59" s="106">
        <v>12751.199999999999</v>
      </c>
      <c r="T59" s="106">
        <v>4</v>
      </c>
      <c r="U59" s="106">
        <v>1214.3999999999999</v>
      </c>
      <c r="V59" s="106">
        <v>4</v>
      </c>
      <c r="W59" s="106">
        <v>1214.3999999999999</v>
      </c>
      <c r="X59" s="106">
        <v>4</v>
      </c>
      <c r="Y59" s="106">
        <v>1214.3999999999999</v>
      </c>
      <c r="Z59" s="106">
        <v>3</v>
      </c>
      <c r="AA59" s="106">
        <v>910.8</v>
      </c>
      <c r="AB59" s="106">
        <v>9</v>
      </c>
      <c r="AC59" s="106">
        <v>2732.3999999999996</v>
      </c>
      <c r="AD59" s="106">
        <v>9</v>
      </c>
      <c r="AE59" s="106">
        <v>2732.3999999999996</v>
      </c>
      <c r="AF59" s="106">
        <v>8</v>
      </c>
      <c r="AG59" s="106">
        <v>2428.7999999999997</v>
      </c>
      <c r="AH59" s="106">
        <v>6</v>
      </c>
      <c r="AI59" s="106">
        <v>1821.6</v>
      </c>
      <c r="AJ59" s="106">
        <v>9</v>
      </c>
      <c r="AK59" s="106">
        <v>2732.3999999999996</v>
      </c>
      <c r="AL59" s="106">
        <v>7</v>
      </c>
      <c r="AM59" s="106">
        <v>2125.1999999999998</v>
      </c>
      <c r="AN59" s="106">
        <v>8</v>
      </c>
      <c r="AO59" s="106">
        <v>2428.7999999999997</v>
      </c>
      <c r="AP59" s="106">
        <v>6</v>
      </c>
      <c r="AQ59" s="106">
        <v>1821.6</v>
      </c>
      <c r="AR59" s="106">
        <v>5</v>
      </c>
      <c r="AS59" s="106">
        <v>1517.9999999999998</v>
      </c>
      <c r="AT59" s="106">
        <v>3</v>
      </c>
      <c r="AU59" s="106">
        <v>910.8</v>
      </c>
      <c r="AV59" s="106">
        <v>3</v>
      </c>
      <c r="AW59" s="106">
        <v>910.8</v>
      </c>
      <c r="AX59" s="106">
        <v>5</v>
      </c>
      <c r="AY59" s="106">
        <v>1517.9999999999998</v>
      </c>
      <c r="AZ59" s="106">
        <v>7</v>
      </c>
      <c r="BA59" s="106">
        <v>2125.1999999999998</v>
      </c>
      <c r="BB59" s="106">
        <v>8</v>
      </c>
      <c r="BC59" s="106">
        <v>2428.7999999999997</v>
      </c>
      <c r="BD59" s="106">
        <v>8</v>
      </c>
      <c r="BE59" s="106">
        <v>2428.7999999999997</v>
      </c>
      <c r="BF59" s="106">
        <v>9</v>
      </c>
      <c r="BG59" s="106">
        <v>2732.3999999999996</v>
      </c>
      <c r="BH59" s="106">
        <v>4</v>
      </c>
      <c r="BI59" s="106">
        <v>1214.3999999999999</v>
      </c>
      <c r="BJ59" s="106">
        <v>5</v>
      </c>
      <c r="BK59" s="106">
        <v>1517.9999999999998</v>
      </c>
      <c r="BL59" s="106">
        <v>4</v>
      </c>
      <c r="BM59" s="106">
        <v>1214.3999999999999</v>
      </c>
      <c r="BN59" s="106">
        <v>6</v>
      </c>
      <c r="BO59" s="106">
        <v>1821.6</v>
      </c>
      <c r="BP59" s="106">
        <v>4</v>
      </c>
      <c r="BQ59" s="106">
        <v>1214.3999999999999</v>
      </c>
      <c r="BR59" s="106">
        <v>2</v>
      </c>
      <c r="BS59" s="106">
        <v>607.19999999999993</v>
      </c>
      <c r="BT59" s="106">
        <v>4</v>
      </c>
      <c r="BU59" s="106">
        <v>1214.3999999999999</v>
      </c>
      <c r="BV59" s="106">
        <v>3</v>
      </c>
      <c r="BW59" s="106">
        <v>910.8</v>
      </c>
      <c r="BX59" s="106">
        <v>58</v>
      </c>
      <c r="BY59" s="106">
        <v>17608.8</v>
      </c>
      <c r="BZ59" s="106">
        <v>73</v>
      </c>
      <c r="CA59" s="106">
        <v>22162.799999999999</v>
      </c>
      <c r="CB59" s="106">
        <v>60</v>
      </c>
      <c r="CC59" s="106">
        <v>18215.999999999996</v>
      </c>
      <c r="CD59" s="106">
        <v>60</v>
      </c>
      <c r="CE59" s="106">
        <v>18215.999999999996</v>
      </c>
      <c r="CF59" s="106">
        <v>30</v>
      </c>
      <c r="CG59" s="106">
        <v>9107.9999999999982</v>
      </c>
      <c r="CH59" s="106">
        <v>25</v>
      </c>
      <c r="CI59" s="106">
        <v>7589.9999999999991</v>
      </c>
      <c r="CJ59" s="106">
        <v>18</v>
      </c>
      <c r="CK59" s="106">
        <v>5464.7999999999993</v>
      </c>
      <c r="CL59" s="106">
        <v>22</v>
      </c>
      <c r="CM59" s="106">
        <v>6679.1999999999989</v>
      </c>
      <c r="CN59" s="106">
        <v>4</v>
      </c>
      <c r="CO59" s="106">
        <v>1214.3999999999999</v>
      </c>
      <c r="CP59" s="106">
        <v>3</v>
      </c>
      <c r="CQ59" s="106">
        <v>910.8</v>
      </c>
      <c r="CR59" s="106">
        <v>4</v>
      </c>
      <c r="CS59" s="106">
        <v>1214.3999999999999</v>
      </c>
      <c r="CT59" s="106">
        <v>4</v>
      </c>
      <c r="CU59" s="106">
        <v>1214.3999999999999</v>
      </c>
    </row>
    <row r="60" spans="2:99" x14ac:dyDescent="0.2">
      <c r="C60" s="105" t="s">
        <v>226</v>
      </c>
      <c r="D60" s="106">
        <v>6</v>
      </c>
      <c r="E60" s="106">
        <v>3909.6000000000004</v>
      </c>
      <c r="F60" s="106">
        <v>6</v>
      </c>
      <c r="G60" s="106">
        <v>3909.6000000000004</v>
      </c>
      <c r="H60" s="106">
        <v>7</v>
      </c>
      <c r="I60" s="106">
        <v>4561.2</v>
      </c>
      <c r="J60" s="106">
        <v>6</v>
      </c>
      <c r="K60" s="106">
        <v>3909.6000000000004</v>
      </c>
      <c r="L60" s="106">
        <v>40</v>
      </c>
      <c r="M60" s="106">
        <v>26064</v>
      </c>
      <c r="N60" s="106">
        <v>42</v>
      </c>
      <c r="O60" s="106">
        <v>27367.200000000001</v>
      </c>
      <c r="P60" s="106">
        <v>26</v>
      </c>
      <c r="Q60" s="106">
        <v>16941.600000000002</v>
      </c>
      <c r="R60" s="106">
        <v>40</v>
      </c>
      <c r="S60" s="106">
        <v>26064</v>
      </c>
      <c r="T60" s="106">
        <v>4</v>
      </c>
      <c r="U60" s="106">
        <v>2606.4</v>
      </c>
      <c r="V60" s="106">
        <v>3</v>
      </c>
      <c r="W60" s="106">
        <v>1954.8000000000002</v>
      </c>
      <c r="X60" s="106">
        <v>4</v>
      </c>
      <c r="Y60" s="106">
        <v>2606.4</v>
      </c>
      <c r="Z60" s="106">
        <v>3</v>
      </c>
      <c r="AA60" s="106">
        <v>1954.8000000000002</v>
      </c>
      <c r="AB60" s="106">
        <v>9</v>
      </c>
      <c r="AC60" s="106">
        <v>5864.4000000000005</v>
      </c>
      <c r="AD60" s="106">
        <v>8</v>
      </c>
      <c r="AE60" s="106">
        <v>5212.8</v>
      </c>
      <c r="AF60" s="106">
        <v>7</v>
      </c>
      <c r="AG60" s="106">
        <v>4561.2</v>
      </c>
      <c r="AH60" s="106">
        <v>6</v>
      </c>
      <c r="AI60" s="106">
        <v>3909.6000000000004</v>
      </c>
      <c r="AJ60" s="106">
        <v>9</v>
      </c>
      <c r="AK60" s="106">
        <v>5864.4000000000005</v>
      </c>
      <c r="AL60" s="106">
        <v>7</v>
      </c>
      <c r="AM60" s="106">
        <v>4561.2</v>
      </c>
      <c r="AN60" s="106">
        <v>8</v>
      </c>
      <c r="AO60" s="106">
        <v>5212.8</v>
      </c>
      <c r="AP60" s="106">
        <v>6</v>
      </c>
      <c r="AQ60" s="106">
        <v>3909.6000000000004</v>
      </c>
      <c r="AR60" s="106">
        <v>6</v>
      </c>
      <c r="AS60" s="106">
        <v>3909.6000000000004</v>
      </c>
      <c r="AT60" s="106">
        <v>4</v>
      </c>
      <c r="AU60" s="106">
        <v>2606.4</v>
      </c>
      <c r="AV60" s="106">
        <v>3</v>
      </c>
      <c r="AW60" s="106">
        <v>1954.8000000000002</v>
      </c>
      <c r="AX60" s="106">
        <v>5</v>
      </c>
      <c r="AY60" s="106">
        <v>3258</v>
      </c>
      <c r="AZ60" s="106">
        <v>8</v>
      </c>
      <c r="BA60" s="106">
        <v>5212.8</v>
      </c>
      <c r="BB60" s="106">
        <v>9</v>
      </c>
      <c r="BC60" s="106">
        <v>5864.4000000000005</v>
      </c>
      <c r="BD60" s="106">
        <v>7</v>
      </c>
      <c r="BE60" s="106">
        <v>4561.2</v>
      </c>
      <c r="BF60" s="106">
        <v>7</v>
      </c>
      <c r="BG60" s="106">
        <v>4561.2</v>
      </c>
      <c r="BH60" s="106">
        <v>4</v>
      </c>
      <c r="BI60" s="106">
        <v>2606.4</v>
      </c>
      <c r="BJ60" s="106">
        <v>5</v>
      </c>
      <c r="BK60" s="106">
        <v>3258</v>
      </c>
      <c r="BL60" s="106">
        <v>4</v>
      </c>
      <c r="BM60" s="106">
        <v>2606.4</v>
      </c>
      <c r="BN60" s="106">
        <v>6</v>
      </c>
      <c r="BO60" s="106">
        <v>3909.6000000000004</v>
      </c>
      <c r="BP60" s="106">
        <v>3</v>
      </c>
      <c r="BQ60" s="106">
        <v>1954.8000000000002</v>
      </c>
      <c r="BR60" s="106">
        <v>2</v>
      </c>
      <c r="BS60" s="106">
        <v>1303.2</v>
      </c>
      <c r="BT60" s="106">
        <v>4</v>
      </c>
      <c r="BU60" s="106">
        <v>2606.4</v>
      </c>
      <c r="BV60" s="106">
        <v>3</v>
      </c>
      <c r="BW60" s="106">
        <v>1954.8000000000002</v>
      </c>
      <c r="BX60" s="106">
        <v>57</v>
      </c>
      <c r="BY60" s="106">
        <v>37141.200000000004</v>
      </c>
      <c r="BZ60" s="106">
        <v>71</v>
      </c>
      <c r="CA60" s="106">
        <v>46263.6</v>
      </c>
      <c r="CB60" s="106">
        <v>55</v>
      </c>
      <c r="CC60" s="106">
        <v>35838</v>
      </c>
      <c r="CD60" s="106">
        <v>55</v>
      </c>
      <c r="CE60" s="106">
        <v>35838</v>
      </c>
      <c r="CF60" s="106">
        <v>26</v>
      </c>
      <c r="CG60" s="106">
        <v>16941.600000000002</v>
      </c>
      <c r="CH60" s="106">
        <v>22</v>
      </c>
      <c r="CI60" s="106">
        <v>14335.2</v>
      </c>
      <c r="CJ60" s="106">
        <v>17</v>
      </c>
      <c r="CK60" s="106">
        <v>11077.2</v>
      </c>
      <c r="CL60" s="106">
        <v>22</v>
      </c>
      <c r="CM60" s="106">
        <v>14335.2</v>
      </c>
      <c r="CN60" s="106">
        <v>3</v>
      </c>
      <c r="CO60" s="106">
        <v>1954.8000000000002</v>
      </c>
      <c r="CP60" s="106">
        <v>2</v>
      </c>
      <c r="CQ60" s="106">
        <v>1303.2</v>
      </c>
      <c r="CR60" s="106">
        <v>4</v>
      </c>
      <c r="CS60" s="106">
        <v>2606.4</v>
      </c>
      <c r="CT60" s="106">
        <v>4</v>
      </c>
      <c r="CU60" s="106">
        <v>2606.4</v>
      </c>
    </row>
    <row r="61" spans="2:99" x14ac:dyDescent="0.2">
      <c r="C61" s="105" t="s">
        <v>227</v>
      </c>
      <c r="D61" s="106">
        <v>6</v>
      </c>
      <c r="E61" s="106">
        <v>5709.5999999999995</v>
      </c>
      <c r="F61" s="106">
        <v>6</v>
      </c>
      <c r="G61" s="106">
        <v>5709.5999999999995</v>
      </c>
      <c r="H61" s="106">
        <v>7</v>
      </c>
      <c r="I61" s="106">
        <v>6661.1999999999989</v>
      </c>
      <c r="J61" s="106">
        <v>5</v>
      </c>
      <c r="K61" s="106">
        <v>4758</v>
      </c>
      <c r="L61" s="106">
        <v>36</v>
      </c>
      <c r="M61" s="106">
        <v>34257.599999999999</v>
      </c>
      <c r="N61" s="106">
        <v>35</v>
      </c>
      <c r="O61" s="106">
        <v>33306</v>
      </c>
      <c r="P61" s="106">
        <v>26</v>
      </c>
      <c r="Q61" s="106">
        <v>24741.599999999999</v>
      </c>
      <c r="R61" s="106">
        <v>33</v>
      </c>
      <c r="S61" s="106">
        <v>31402.799999999996</v>
      </c>
      <c r="T61" s="106">
        <v>4</v>
      </c>
      <c r="U61" s="106">
        <v>3806.3999999999996</v>
      </c>
      <c r="V61" s="106">
        <v>3</v>
      </c>
      <c r="W61" s="106">
        <v>2854.7999999999997</v>
      </c>
      <c r="X61" s="106">
        <v>4</v>
      </c>
      <c r="Y61" s="106">
        <v>3806.3999999999996</v>
      </c>
      <c r="Z61" s="106">
        <v>3</v>
      </c>
      <c r="AA61" s="106">
        <v>2854.7999999999997</v>
      </c>
      <c r="AB61" s="106">
        <v>9</v>
      </c>
      <c r="AC61" s="106">
        <v>8564.4</v>
      </c>
      <c r="AD61" s="106">
        <v>7</v>
      </c>
      <c r="AE61" s="106">
        <v>6661.1999999999989</v>
      </c>
      <c r="AF61" s="106">
        <v>7</v>
      </c>
      <c r="AG61" s="106">
        <v>6661.1999999999989</v>
      </c>
      <c r="AH61" s="106">
        <v>6</v>
      </c>
      <c r="AI61" s="106">
        <v>5709.5999999999995</v>
      </c>
      <c r="AJ61" s="106">
        <v>8</v>
      </c>
      <c r="AK61" s="106">
        <v>7612.7999999999993</v>
      </c>
      <c r="AL61" s="106">
        <v>6</v>
      </c>
      <c r="AM61" s="106">
        <v>5709.5999999999995</v>
      </c>
      <c r="AN61" s="106">
        <v>6</v>
      </c>
      <c r="AO61" s="106">
        <v>5709.5999999999995</v>
      </c>
      <c r="AP61" s="106">
        <v>6</v>
      </c>
      <c r="AQ61" s="106">
        <v>5709.5999999999995</v>
      </c>
      <c r="AR61" s="106">
        <v>5</v>
      </c>
      <c r="AS61" s="106">
        <v>4758</v>
      </c>
      <c r="AT61" s="106">
        <v>4</v>
      </c>
      <c r="AU61" s="106">
        <v>3806.3999999999996</v>
      </c>
      <c r="AV61" s="106">
        <v>3</v>
      </c>
      <c r="AW61" s="106">
        <v>2854.7999999999997</v>
      </c>
      <c r="AX61" s="106">
        <v>5</v>
      </c>
      <c r="AY61" s="106">
        <v>4758</v>
      </c>
      <c r="AZ61" s="106">
        <v>7</v>
      </c>
      <c r="BA61" s="106">
        <v>6661.1999999999989</v>
      </c>
      <c r="BB61" s="106">
        <v>8</v>
      </c>
      <c r="BC61" s="106">
        <v>7612.7999999999993</v>
      </c>
      <c r="BD61" s="106">
        <v>7</v>
      </c>
      <c r="BE61" s="106">
        <v>6661.1999999999989</v>
      </c>
      <c r="BF61" s="106">
        <v>8</v>
      </c>
      <c r="BG61" s="106">
        <v>7612.7999999999993</v>
      </c>
      <c r="BH61" s="106">
        <v>4</v>
      </c>
      <c r="BI61" s="106">
        <v>3806.3999999999996</v>
      </c>
      <c r="BJ61" s="106">
        <v>5</v>
      </c>
      <c r="BK61" s="106">
        <v>4758</v>
      </c>
      <c r="BL61" s="106">
        <v>4</v>
      </c>
      <c r="BM61" s="106">
        <v>3806.3999999999996</v>
      </c>
      <c r="BN61" s="106">
        <v>6</v>
      </c>
      <c r="BO61" s="106">
        <v>5709.5999999999995</v>
      </c>
      <c r="BP61" s="106">
        <v>4</v>
      </c>
      <c r="BQ61" s="106">
        <v>3806.3999999999996</v>
      </c>
      <c r="BR61" s="106">
        <v>2</v>
      </c>
      <c r="BS61" s="106">
        <v>1903.1999999999998</v>
      </c>
      <c r="BT61" s="106">
        <v>4</v>
      </c>
      <c r="BU61" s="106">
        <v>3806.3999999999996</v>
      </c>
      <c r="BV61" s="106">
        <v>3</v>
      </c>
      <c r="BW61" s="106">
        <v>2854.7999999999997</v>
      </c>
      <c r="BX61" s="106">
        <v>57</v>
      </c>
      <c r="BY61" s="106">
        <v>54241.2</v>
      </c>
      <c r="BZ61" s="106">
        <v>65</v>
      </c>
      <c r="CA61" s="106">
        <v>61853.999999999993</v>
      </c>
      <c r="CB61" s="106">
        <v>47</v>
      </c>
      <c r="CC61" s="106">
        <v>44725.2</v>
      </c>
      <c r="CD61" s="106">
        <v>55</v>
      </c>
      <c r="CE61" s="106">
        <v>52337.999999999993</v>
      </c>
      <c r="CF61" s="106">
        <v>24</v>
      </c>
      <c r="CG61" s="106">
        <v>22838.399999999998</v>
      </c>
      <c r="CH61" s="106">
        <v>19</v>
      </c>
      <c r="CI61" s="106">
        <v>18080.399999999998</v>
      </c>
      <c r="CJ61" s="106">
        <v>17</v>
      </c>
      <c r="CK61" s="106">
        <v>16177.199999999999</v>
      </c>
      <c r="CL61" s="106">
        <v>20</v>
      </c>
      <c r="CM61" s="106">
        <v>19032</v>
      </c>
      <c r="CN61" s="106">
        <v>3</v>
      </c>
      <c r="CO61" s="106">
        <v>2854.7999999999997</v>
      </c>
      <c r="CP61" s="106">
        <v>2</v>
      </c>
      <c r="CQ61" s="106">
        <v>1903.1999999999998</v>
      </c>
      <c r="CR61" s="106">
        <v>4</v>
      </c>
      <c r="CS61" s="106">
        <v>3806.3999999999996</v>
      </c>
      <c r="CT61" s="106">
        <v>4</v>
      </c>
      <c r="CU61" s="106">
        <v>3806.3999999999996</v>
      </c>
    </row>
    <row r="62" spans="2:99" x14ac:dyDescent="0.2">
      <c r="C62" s="105" t="s">
        <v>228</v>
      </c>
      <c r="D62" s="106">
        <v>5</v>
      </c>
      <c r="E62" s="106">
        <v>8526</v>
      </c>
      <c r="F62" s="106">
        <v>5</v>
      </c>
      <c r="G62" s="106">
        <v>8526</v>
      </c>
      <c r="H62" s="106">
        <v>7</v>
      </c>
      <c r="I62" s="106">
        <v>11936.4</v>
      </c>
      <c r="J62" s="106">
        <v>5</v>
      </c>
      <c r="K62" s="106">
        <v>8526</v>
      </c>
      <c r="L62" s="106">
        <v>29</v>
      </c>
      <c r="M62" s="106">
        <v>49450.8</v>
      </c>
      <c r="N62" s="106">
        <v>34</v>
      </c>
      <c r="O62" s="106">
        <v>57976.800000000003</v>
      </c>
      <c r="P62" s="106">
        <v>25</v>
      </c>
      <c r="Q62" s="106">
        <v>42630</v>
      </c>
      <c r="R62" s="106">
        <v>32</v>
      </c>
      <c r="S62" s="106">
        <v>54566.400000000001</v>
      </c>
      <c r="T62" s="106">
        <v>4</v>
      </c>
      <c r="U62" s="106">
        <v>6820.8</v>
      </c>
      <c r="V62" s="106">
        <v>3</v>
      </c>
      <c r="W62" s="106">
        <v>5115.6000000000004</v>
      </c>
      <c r="X62" s="106">
        <v>4</v>
      </c>
      <c r="Y62" s="106">
        <v>6820.8</v>
      </c>
      <c r="Z62" s="106">
        <v>3</v>
      </c>
      <c r="AA62" s="106">
        <v>5115.6000000000004</v>
      </c>
      <c r="AB62" s="106">
        <v>8</v>
      </c>
      <c r="AC62" s="106">
        <v>13641.6</v>
      </c>
      <c r="AD62" s="106">
        <v>7</v>
      </c>
      <c r="AE62" s="106">
        <v>11936.4</v>
      </c>
      <c r="AF62" s="106">
        <v>6</v>
      </c>
      <c r="AG62" s="106">
        <v>10231.200000000001</v>
      </c>
      <c r="AH62" s="106">
        <v>6</v>
      </c>
      <c r="AI62" s="106">
        <v>10231.200000000001</v>
      </c>
      <c r="AJ62" s="106">
        <v>8</v>
      </c>
      <c r="AK62" s="106">
        <v>13641.6</v>
      </c>
      <c r="AL62" s="106">
        <v>6</v>
      </c>
      <c r="AM62" s="106">
        <v>10231.200000000001</v>
      </c>
      <c r="AN62" s="106">
        <v>6</v>
      </c>
      <c r="AO62" s="106">
        <v>10231.200000000001</v>
      </c>
      <c r="AP62" s="106">
        <v>5</v>
      </c>
      <c r="AQ62" s="106">
        <v>8526</v>
      </c>
      <c r="AR62" s="106">
        <v>5</v>
      </c>
      <c r="AS62" s="106">
        <v>8526</v>
      </c>
      <c r="AT62" s="106">
        <v>3</v>
      </c>
      <c r="AU62" s="106">
        <v>5115.6000000000004</v>
      </c>
      <c r="AV62" s="106">
        <v>2</v>
      </c>
      <c r="AW62" s="106">
        <v>3410.4</v>
      </c>
      <c r="AX62" s="106">
        <v>5</v>
      </c>
      <c r="AY62" s="106">
        <v>8526</v>
      </c>
      <c r="AZ62" s="106">
        <v>7</v>
      </c>
      <c r="BA62" s="106">
        <v>11936.4</v>
      </c>
      <c r="BB62" s="106">
        <v>7</v>
      </c>
      <c r="BC62" s="106">
        <v>11936.4</v>
      </c>
      <c r="BD62" s="106">
        <v>6</v>
      </c>
      <c r="BE62" s="106">
        <v>10231.200000000001</v>
      </c>
      <c r="BF62" s="106">
        <v>8</v>
      </c>
      <c r="BG62" s="106">
        <v>13641.6</v>
      </c>
      <c r="BH62" s="106">
        <v>4</v>
      </c>
      <c r="BI62" s="106">
        <v>6820.8</v>
      </c>
      <c r="BJ62" s="106">
        <v>5</v>
      </c>
      <c r="BK62" s="106">
        <v>8526</v>
      </c>
      <c r="BL62" s="106">
        <v>4</v>
      </c>
      <c r="BM62" s="106">
        <v>6820.8</v>
      </c>
      <c r="BN62" s="106">
        <v>5</v>
      </c>
      <c r="BO62" s="106">
        <v>8526</v>
      </c>
      <c r="BP62" s="106">
        <v>4</v>
      </c>
      <c r="BQ62" s="106">
        <v>6820.8</v>
      </c>
      <c r="BR62" s="106">
        <v>2</v>
      </c>
      <c r="BS62" s="106">
        <v>3410.4</v>
      </c>
      <c r="BT62" s="106">
        <v>3</v>
      </c>
      <c r="BU62" s="106">
        <v>5115.6000000000004</v>
      </c>
      <c r="BV62" s="106">
        <v>3</v>
      </c>
      <c r="BW62" s="106">
        <v>5115.6000000000004</v>
      </c>
      <c r="BX62" s="106">
        <v>46</v>
      </c>
      <c r="BY62" s="106">
        <v>78439.199999999997</v>
      </c>
      <c r="BZ62" s="106">
        <v>61</v>
      </c>
      <c r="CA62" s="106">
        <v>104017.2</v>
      </c>
      <c r="CB62" s="106">
        <v>45</v>
      </c>
      <c r="CC62" s="106">
        <v>76734</v>
      </c>
      <c r="CD62" s="106">
        <v>45</v>
      </c>
      <c r="CE62" s="106">
        <v>76734</v>
      </c>
      <c r="CF62" s="106">
        <v>21</v>
      </c>
      <c r="CG62" s="106">
        <v>35809.200000000004</v>
      </c>
      <c r="CH62" s="106">
        <v>20</v>
      </c>
      <c r="CI62" s="106">
        <v>34104</v>
      </c>
      <c r="CJ62" s="106">
        <v>14</v>
      </c>
      <c r="CK62" s="106">
        <v>23872.799999999999</v>
      </c>
      <c r="CL62" s="106">
        <v>16</v>
      </c>
      <c r="CM62" s="106">
        <v>27283.200000000001</v>
      </c>
      <c r="CN62" s="106">
        <v>3</v>
      </c>
      <c r="CO62" s="106">
        <v>5115.6000000000004</v>
      </c>
      <c r="CP62" s="106">
        <v>2</v>
      </c>
      <c r="CQ62" s="106">
        <v>3410.4</v>
      </c>
      <c r="CR62" s="106">
        <v>3</v>
      </c>
      <c r="CS62" s="106">
        <v>5115.6000000000004</v>
      </c>
      <c r="CT62" s="106">
        <v>3</v>
      </c>
      <c r="CU62" s="106">
        <v>5115.6000000000004</v>
      </c>
    </row>
    <row r="63" spans="2:99" x14ac:dyDescent="0.2">
      <c r="C63" s="105" t="s">
        <v>229</v>
      </c>
      <c r="D63" s="106">
        <v>6</v>
      </c>
      <c r="E63" s="106">
        <v>4773.6000000000004</v>
      </c>
      <c r="F63" s="106">
        <v>6</v>
      </c>
      <c r="G63" s="106">
        <v>4773.6000000000004</v>
      </c>
      <c r="H63" s="106">
        <v>8</v>
      </c>
      <c r="I63" s="106">
        <v>6364.8</v>
      </c>
      <c r="J63" s="106">
        <v>5</v>
      </c>
      <c r="K63" s="106">
        <v>3978</v>
      </c>
      <c r="L63" s="106">
        <v>35</v>
      </c>
      <c r="M63" s="106">
        <v>27846</v>
      </c>
      <c r="N63" s="106">
        <v>38</v>
      </c>
      <c r="O63" s="106">
        <v>30232.799999999999</v>
      </c>
      <c r="P63" s="106">
        <v>26</v>
      </c>
      <c r="Q63" s="106">
        <v>20685.600000000002</v>
      </c>
      <c r="R63" s="106">
        <v>34</v>
      </c>
      <c r="S63" s="106">
        <v>27050.400000000001</v>
      </c>
      <c r="T63" s="106">
        <v>4</v>
      </c>
      <c r="U63" s="106">
        <v>3182.4</v>
      </c>
      <c r="V63" s="106">
        <v>4</v>
      </c>
      <c r="W63" s="106">
        <v>3182.4</v>
      </c>
      <c r="X63" s="106">
        <v>4</v>
      </c>
      <c r="Y63" s="106">
        <v>3182.4</v>
      </c>
      <c r="Z63" s="106">
        <v>3</v>
      </c>
      <c r="AA63" s="106">
        <v>2386.8000000000002</v>
      </c>
      <c r="AB63" s="106">
        <v>8</v>
      </c>
      <c r="AC63" s="106">
        <v>6364.8</v>
      </c>
      <c r="AD63" s="106">
        <v>8</v>
      </c>
      <c r="AE63" s="106">
        <v>6364.8</v>
      </c>
      <c r="AF63" s="106">
        <v>8</v>
      </c>
      <c r="AG63" s="106">
        <v>6364.8</v>
      </c>
      <c r="AH63" s="106">
        <v>6</v>
      </c>
      <c r="AI63" s="106">
        <v>4773.6000000000004</v>
      </c>
      <c r="AJ63" s="106">
        <v>9</v>
      </c>
      <c r="AK63" s="106">
        <v>7160.4000000000005</v>
      </c>
      <c r="AL63" s="106">
        <v>7</v>
      </c>
      <c r="AM63" s="106">
        <v>5569.2</v>
      </c>
      <c r="AN63" s="106">
        <v>7</v>
      </c>
      <c r="AO63" s="106">
        <v>5569.2</v>
      </c>
      <c r="AP63" s="106">
        <v>6</v>
      </c>
      <c r="AQ63" s="106">
        <v>4773.6000000000004</v>
      </c>
      <c r="AR63" s="106">
        <v>5</v>
      </c>
      <c r="AS63" s="106">
        <v>3978</v>
      </c>
      <c r="AT63" s="106">
        <v>3</v>
      </c>
      <c r="AU63" s="106">
        <v>2386.8000000000002</v>
      </c>
      <c r="AV63" s="106">
        <v>3</v>
      </c>
      <c r="AW63" s="106">
        <v>2386.8000000000002</v>
      </c>
      <c r="AX63" s="106">
        <v>5</v>
      </c>
      <c r="AY63" s="106">
        <v>3978</v>
      </c>
      <c r="AZ63" s="106">
        <v>7</v>
      </c>
      <c r="BA63" s="106">
        <v>5569.2</v>
      </c>
      <c r="BB63" s="106">
        <v>8</v>
      </c>
      <c r="BC63" s="106">
        <v>6364.8</v>
      </c>
      <c r="BD63" s="106">
        <v>7</v>
      </c>
      <c r="BE63" s="106">
        <v>5569.2</v>
      </c>
      <c r="BF63" s="106">
        <v>7</v>
      </c>
      <c r="BG63" s="106">
        <v>5569.2</v>
      </c>
      <c r="BH63" s="106">
        <v>4</v>
      </c>
      <c r="BI63" s="106">
        <v>3182.4</v>
      </c>
      <c r="BJ63" s="106">
        <v>5</v>
      </c>
      <c r="BK63" s="106">
        <v>3978</v>
      </c>
      <c r="BL63" s="106">
        <v>4</v>
      </c>
      <c r="BM63" s="106">
        <v>3182.4</v>
      </c>
      <c r="BN63" s="106">
        <v>6</v>
      </c>
      <c r="BO63" s="106">
        <v>4773.6000000000004</v>
      </c>
      <c r="BP63" s="106">
        <v>4</v>
      </c>
      <c r="BQ63" s="106">
        <v>3182.4</v>
      </c>
      <c r="BR63" s="106">
        <v>3</v>
      </c>
      <c r="BS63" s="106">
        <v>2386.8000000000002</v>
      </c>
      <c r="BT63" s="106">
        <v>3</v>
      </c>
      <c r="BU63" s="106">
        <v>2386.8000000000002</v>
      </c>
      <c r="BV63" s="106">
        <v>3</v>
      </c>
      <c r="BW63" s="106">
        <v>2386.8000000000002</v>
      </c>
      <c r="BX63" s="106">
        <v>56</v>
      </c>
      <c r="BY63" s="106">
        <v>44553.599999999999</v>
      </c>
      <c r="BZ63" s="106">
        <v>66</v>
      </c>
      <c r="CA63" s="106">
        <v>52509.599999999999</v>
      </c>
      <c r="CB63" s="106">
        <v>55</v>
      </c>
      <c r="CC63" s="106">
        <v>43758</v>
      </c>
      <c r="CD63" s="106">
        <v>55</v>
      </c>
      <c r="CE63" s="106">
        <v>43758</v>
      </c>
      <c r="CF63" s="106">
        <v>27</v>
      </c>
      <c r="CG63" s="106">
        <v>21481.200000000001</v>
      </c>
      <c r="CH63" s="106">
        <v>21</v>
      </c>
      <c r="CI63" s="106">
        <v>16707.600000000002</v>
      </c>
      <c r="CJ63" s="106">
        <v>17</v>
      </c>
      <c r="CK63" s="106">
        <v>13525.2</v>
      </c>
      <c r="CL63" s="106">
        <v>18</v>
      </c>
      <c r="CM63" s="106">
        <v>14320.800000000001</v>
      </c>
      <c r="CN63" s="106">
        <v>3</v>
      </c>
      <c r="CO63" s="106">
        <v>2386.8000000000002</v>
      </c>
      <c r="CP63" s="106">
        <v>2</v>
      </c>
      <c r="CQ63" s="106">
        <v>1591.2</v>
      </c>
      <c r="CR63" s="106">
        <v>4</v>
      </c>
      <c r="CS63" s="106">
        <v>3182.4</v>
      </c>
      <c r="CT63" s="106">
        <v>4</v>
      </c>
      <c r="CU63" s="106">
        <v>3182.4</v>
      </c>
    </row>
    <row r="64" spans="2:99" x14ac:dyDescent="0.2">
      <c r="C64" s="105" t="s">
        <v>230</v>
      </c>
      <c r="D64" s="106">
        <v>6</v>
      </c>
      <c r="E64" s="106">
        <v>6055.1999999999989</v>
      </c>
      <c r="F64" s="106">
        <v>6</v>
      </c>
      <c r="G64" s="106">
        <v>6055.1999999999989</v>
      </c>
      <c r="H64" s="106">
        <v>7</v>
      </c>
      <c r="I64" s="106">
        <v>7064.3999999999987</v>
      </c>
      <c r="J64" s="106">
        <v>6</v>
      </c>
      <c r="K64" s="106">
        <v>6055.1999999999989</v>
      </c>
      <c r="L64" s="106">
        <v>34</v>
      </c>
      <c r="M64" s="106">
        <v>34312.799999999996</v>
      </c>
      <c r="N64" s="106">
        <v>36</v>
      </c>
      <c r="O64" s="106">
        <v>36331.199999999997</v>
      </c>
      <c r="P64" s="106">
        <v>28</v>
      </c>
      <c r="Q64" s="106">
        <v>28257.599999999995</v>
      </c>
      <c r="R64" s="106">
        <v>38</v>
      </c>
      <c r="S64" s="106">
        <v>38349.599999999991</v>
      </c>
      <c r="T64" s="106">
        <v>4</v>
      </c>
      <c r="U64" s="106">
        <v>4036.7999999999993</v>
      </c>
      <c r="V64" s="106">
        <v>3</v>
      </c>
      <c r="W64" s="106">
        <v>3027.5999999999995</v>
      </c>
      <c r="X64" s="106">
        <v>4</v>
      </c>
      <c r="Y64" s="106">
        <v>4036.7999999999993</v>
      </c>
      <c r="Z64" s="106">
        <v>3</v>
      </c>
      <c r="AA64" s="106">
        <v>3027.5999999999995</v>
      </c>
      <c r="AB64" s="106">
        <v>8</v>
      </c>
      <c r="AC64" s="106">
        <v>8073.5999999999985</v>
      </c>
      <c r="AD64" s="106">
        <v>8</v>
      </c>
      <c r="AE64" s="106">
        <v>8073.5999999999985</v>
      </c>
      <c r="AF64" s="106">
        <v>6</v>
      </c>
      <c r="AG64" s="106">
        <v>6055.1999999999989</v>
      </c>
      <c r="AH64" s="106">
        <v>6</v>
      </c>
      <c r="AI64" s="106">
        <v>6055.1999999999989</v>
      </c>
      <c r="AJ64" s="106">
        <v>9</v>
      </c>
      <c r="AK64" s="106">
        <v>9082.7999999999993</v>
      </c>
      <c r="AL64" s="106">
        <v>6</v>
      </c>
      <c r="AM64" s="106">
        <v>6055.1999999999989</v>
      </c>
      <c r="AN64" s="106">
        <v>6</v>
      </c>
      <c r="AO64" s="106">
        <v>6055.1999999999989</v>
      </c>
      <c r="AP64" s="106">
        <v>6</v>
      </c>
      <c r="AQ64" s="106">
        <v>6055.1999999999989</v>
      </c>
      <c r="AR64" s="106">
        <v>5</v>
      </c>
      <c r="AS64" s="106">
        <v>5045.9999999999991</v>
      </c>
      <c r="AT64" s="106">
        <v>3</v>
      </c>
      <c r="AU64" s="106">
        <v>3027.5999999999995</v>
      </c>
      <c r="AV64" s="106">
        <v>3</v>
      </c>
      <c r="AW64" s="106">
        <v>3027.5999999999995</v>
      </c>
      <c r="AX64" s="106">
        <v>5</v>
      </c>
      <c r="AY64" s="106">
        <v>5045.9999999999991</v>
      </c>
      <c r="AZ64" s="106">
        <v>7</v>
      </c>
      <c r="BA64" s="106">
        <v>7064.3999999999987</v>
      </c>
      <c r="BB64" s="106">
        <v>8</v>
      </c>
      <c r="BC64" s="106">
        <v>8073.5999999999985</v>
      </c>
      <c r="BD64" s="106">
        <v>7</v>
      </c>
      <c r="BE64" s="106">
        <v>7064.3999999999987</v>
      </c>
      <c r="BF64" s="106">
        <v>8</v>
      </c>
      <c r="BG64" s="106">
        <v>8073.5999999999985</v>
      </c>
      <c r="BH64" s="106">
        <v>4</v>
      </c>
      <c r="BI64" s="106">
        <v>4036.7999999999993</v>
      </c>
      <c r="BJ64" s="106">
        <v>5</v>
      </c>
      <c r="BK64" s="106">
        <v>5045.9999999999991</v>
      </c>
      <c r="BL64" s="106">
        <v>4</v>
      </c>
      <c r="BM64" s="106">
        <v>4036.7999999999993</v>
      </c>
      <c r="BN64" s="106">
        <v>5</v>
      </c>
      <c r="BO64" s="106">
        <v>5045.9999999999991</v>
      </c>
      <c r="BP64" s="106">
        <v>3</v>
      </c>
      <c r="BQ64" s="106">
        <v>3027.5999999999995</v>
      </c>
      <c r="BR64" s="106">
        <v>2</v>
      </c>
      <c r="BS64" s="106">
        <v>2018.3999999999996</v>
      </c>
      <c r="BT64" s="106">
        <v>4</v>
      </c>
      <c r="BU64" s="106">
        <v>4036.7999999999993</v>
      </c>
      <c r="BV64" s="106">
        <v>3</v>
      </c>
      <c r="BW64" s="106">
        <v>3027.5999999999995</v>
      </c>
      <c r="BX64" s="106">
        <v>58</v>
      </c>
      <c r="BY64" s="106">
        <v>58533.599999999991</v>
      </c>
      <c r="BZ64" s="106">
        <v>62</v>
      </c>
      <c r="CA64" s="106">
        <v>62570.399999999987</v>
      </c>
      <c r="CB64" s="106">
        <v>53</v>
      </c>
      <c r="CC64" s="106">
        <v>53487.599999999991</v>
      </c>
      <c r="CD64" s="106">
        <v>49</v>
      </c>
      <c r="CE64" s="106">
        <v>49450.799999999988</v>
      </c>
      <c r="CF64" s="106">
        <v>25</v>
      </c>
      <c r="CG64" s="106">
        <v>25229.999999999996</v>
      </c>
      <c r="CH64" s="106">
        <v>19</v>
      </c>
      <c r="CI64" s="106">
        <v>19174.799999999996</v>
      </c>
      <c r="CJ64" s="106">
        <v>16</v>
      </c>
      <c r="CK64" s="106">
        <v>16147.199999999997</v>
      </c>
      <c r="CL64" s="106">
        <v>19</v>
      </c>
      <c r="CM64" s="106">
        <v>19174.799999999996</v>
      </c>
      <c r="CN64" s="106">
        <v>3</v>
      </c>
      <c r="CO64" s="106">
        <v>3027.5999999999995</v>
      </c>
      <c r="CP64" s="106">
        <v>2</v>
      </c>
      <c r="CQ64" s="106">
        <v>2018.3999999999996</v>
      </c>
      <c r="CR64" s="106">
        <v>4</v>
      </c>
      <c r="CS64" s="106">
        <v>4036.7999999999993</v>
      </c>
      <c r="CT64" s="106">
        <v>4</v>
      </c>
      <c r="CU64" s="106">
        <v>4036.7999999999993</v>
      </c>
    </row>
    <row r="65" spans="2:99" x14ac:dyDescent="0.2">
      <c r="C65" s="105" t="s">
        <v>231</v>
      </c>
      <c r="D65" s="106">
        <v>6</v>
      </c>
      <c r="E65" s="106">
        <v>6156</v>
      </c>
      <c r="F65" s="106">
        <v>6</v>
      </c>
      <c r="G65" s="106">
        <v>6156</v>
      </c>
      <c r="H65" s="106">
        <v>7</v>
      </c>
      <c r="I65" s="106">
        <v>7182</v>
      </c>
      <c r="J65" s="106">
        <v>6</v>
      </c>
      <c r="K65" s="106">
        <v>6156</v>
      </c>
      <c r="L65" s="106">
        <v>37</v>
      </c>
      <c r="M65" s="106">
        <v>37962</v>
      </c>
      <c r="N65" s="106">
        <v>38</v>
      </c>
      <c r="O65" s="106">
        <v>38988</v>
      </c>
      <c r="P65" s="106">
        <v>27</v>
      </c>
      <c r="Q65" s="106">
        <v>27702</v>
      </c>
      <c r="R65" s="106">
        <v>34</v>
      </c>
      <c r="S65" s="106">
        <v>34884</v>
      </c>
      <c r="T65" s="106">
        <v>4</v>
      </c>
      <c r="U65" s="106">
        <v>4104</v>
      </c>
      <c r="V65" s="106">
        <v>3</v>
      </c>
      <c r="W65" s="106">
        <v>3078</v>
      </c>
      <c r="X65" s="106">
        <v>4</v>
      </c>
      <c r="Y65" s="106">
        <v>4104</v>
      </c>
      <c r="Z65" s="106">
        <v>3</v>
      </c>
      <c r="AA65" s="106">
        <v>3078</v>
      </c>
      <c r="AB65" s="106">
        <v>9</v>
      </c>
      <c r="AC65" s="106">
        <v>9234</v>
      </c>
      <c r="AD65" s="106">
        <v>9</v>
      </c>
      <c r="AE65" s="106">
        <v>9234</v>
      </c>
      <c r="AF65" s="106">
        <v>7</v>
      </c>
      <c r="AG65" s="106">
        <v>7182</v>
      </c>
      <c r="AH65" s="106">
        <v>6</v>
      </c>
      <c r="AI65" s="106">
        <v>6156</v>
      </c>
      <c r="AJ65" s="106">
        <v>8</v>
      </c>
      <c r="AK65" s="106">
        <v>8208</v>
      </c>
      <c r="AL65" s="106">
        <v>6</v>
      </c>
      <c r="AM65" s="106">
        <v>6156</v>
      </c>
      <c r="AN65" s="106">
        <v>6</v>
      </c>
      <c r="AO65" s="106">
        <v>6156</v>
      </c>
      <c r="AP65" s="106">
        <v>6</v>
      </c>
      <c r="AQ65" s="106">
        <v>6156</v>
      </c>
      <c r="AR65" s="106">
        <v>5</v>
      </c>
      <c r="AS65" s="106">
        <v>5130</v>
      </c>
      <c r="AT65" s="106">
        <v>3</v>
      </c>
      <c r="AU65" s="106">
        <v>3078</v>
      </c>
      <c r="AV65" s="106">
        <v>3</v>
      </c>
      <c r="AW65" s="106">
        <v>3078</v>
      </c>
      <c r="AX65" s="106">
        <v>5</v>
      </c>
      <c r="AY65" s="106">
        <v>5130</v>
      </c>
      <c r="AZ65" s="106">
        <v>7</v>
      </c>
      <c r="BA65" s="106">
        <v>7182</v>
      </c>
      <c r="BB65" s="106">
        <v>8</v>
      </c>
      <c r="BC65" s="106">
        <v>8208</v>
      </c>
      <c r="BD65" s="106">
        <v>7</v>
      </c>
      <c r="BE65" s="106">
        <v>7182</v>
      </c>
      <c r="BF65" s="106">
        <v>8</v>
      </c>
      <c r="BG65" s="106">
        <v>8208</v>
      </c>
      <c r="BH65" s="106">
        <v>4</v>
      </c>
      <c r="BI65" s="106">
        <v>4104</v>
      </c>
      <c r="BJ65" s="106">
        <v>5</v>
      </c>
      <c r="BK65" s="106">
        <v>5130</v>
      </c>
      <c r="BL65" s="106">
        <v>4</v>
      </c>
      <c r="BM65" s="106">
        <v>4104</v>
      </c>
      <c r="BN65" s="106">
        <v>5</v>
      </c>
      <c r="BO65" s="106">
        <v>5130</v>
      </c>
      <c r="BP65" s="106">
        <v>4</v>
      </c>
      <c r="BQ65" s="106">
        <v>4104</v>
      </c>
      <c r="BR65" s="106">
        <v>2</v>
      </c>
      <c r="BS65" s="106">
        <v>2052</v>
      </c>
      <c r="BT65" s="106">
        <v>4</v>
      </c>
      <c r="BU65" s="106">
        <v>4104</v>
      </c>
      <c r="BV65" s="106">
        <v>3</v>
      </c>
      <c r="BW65" s="106">
        <v>3078</v>
      </c>
      <c r="BX65" s="106">
        <v>49</v>
      </c>
      <c r="BY65" s="106">
        <v>50274</v>
      </c>
      <c r="BZ65" s="106">
        <v>60</v>
      </c>
      <c r="CA65" s="106">
        <v>61560</v>
      </c>
      <c r="CB65" s="106">
        <v>52</v>
      </c>
      <c r="CC65" s="106">
        <v>53352</v>
      </c>
      <c r="CD65" s="106">
        <v>50</v>
      </c>
      <c r="CE65" s="106">
        <v>51300</v>
      </c>
      <c r="CF65" s="106">
        <v>23</v>
      </c>
      <c r="CG65" s="106">
        <v>23598</v>
      </c>
      <c r="CH65" s="106">
        <v>19</v>
      </c>
      <c r="CI65" s="106">
        <v>19494</v>
      </c>
      <c r="CJ65" s="106">
        <v>18</v>
      </c>
      <c r="CK65" s="106">
        <v>18468</v>
      </c>
      <c r="CL65" s="106">
        <v>20</v>
      </c>
      <c r="CM65" s="106">
        <v>20520</v>
      </c>
      <c r="CN65" s="106">
        <v>3</v>
      </c>
      <c r="CO65" s="106">
        <v>3078</v>
      </c>
      <c r="CP65" s="106">
        <v>2</v>
      </c>
      <c r="CQ65" s="106">
        <v>2052</v>
      </c>
      <c r="CR65" s="106">
        <v>3</v>
      </c>
      <c r="CS65" s="106">
        <v>3078</v>
      </c>
      <c r="CT65" s="106">
        <v>4</v>
      </c>
      <c r="CU65" s="106">
        <v>4104</v>
      </c>
    </row>
    <row r="66" spans="2:99" x14ac:dyDescent="0.2">
      <c r="C66" s="105" t="s">
        <v>232</v>
      </c>
      <c r="D66" s="106">
        <v>6</v>
      </c>
      <c r="E66" s="106">
        <v>7142.4</v>
      </c>
      <c r="F66" s="106">
        <v>6</v>
      </c>
      <c r="G66" s="106">
        <v>7142.4</v>
      </c>
      <c r="H66" s="106">
        <v>7</v>
      </c>
      <c r="I66" s="106">
        <v>8332.7999999999993</v>
      </c>
      <c r="J66" s="106">
        <v>5</v>
      </c>
      <c r="K66" s="106">
        <v>5951.9999999999991</v>
      </c>
      <c r="L66" s="106">
        <v>32</v>
      </c>
      <c r="M66" s="106">
        <v>38092.799999999996</v>
      </c>
      <c r="N66" s="106">
        <v>36</v>
      </c>
      <c r="O66" s="106">
        <v>42854.399999999994</v>
      </c>
      <c r="P66" s="106">
        <v>28</v>
      </c>
      <c r="Q66" s="106">
        <v>33331.199999999997</v>
      </c>
      <c r="R66" s="106">
        <v>36</v>
      </c>
      <c r="S66" s="106">
        <v>42854.399999999994</v>
      </c>
      <c r="T66" s="106">
        <v>4</v>
      </c>
      <c r="U66" s="106">
        <v>4761.5999999999995</v>
      </c>
      <c r="V66" s="106">
        <v>3</v>
      </c>
      <c r="W66" s="106">
        <v>3571.2</v>
      </c>
      <c r="X66" s="106">
        <v>4</v>
      </c>
      <c r="Y66" s="106">
        <v>4761.5999999999995</v>
      </c>
      <c r="Z66" s="106">
        <v>2</v>
      </c>
      <c r="AA66" s="106">
        <v>2380.7999999999997</v>
      </c>
      <c r="AB66" s="106">
        <v>8</v>
      </c>
      <c r="AC66" s="106">
        <v>9523.1999999999989</v>
      </c>
      <c r="AD66" s="106">
        <v>7</v>
      </c>
      <c r="AE66" s="106">
        <v>8332.7999999999993</v>
      </c>
      <c r="AF66" s="106">
        <v>7</v>
      </c>
      <c r="AG66" s="106">
        <v>8332.7999999999993</v>
      </c>
      <c r="AH66" s="106">
        <v>6</v>
      </c>
      <c r="AI66" s="106">
        <v>7142.4</v>
      </c>
      <c r="AJ66" s="106">
        <v>8</v>
      </c>
      <c r="AK66" s="106">
        <v>9523.1999999999989</v>
      </c>
      <c r="AL66" s="106">
        <v>6</v>
      </c>
      <c r="AM66" s="106">
        <v>7142.4</v>
      </c>
      <c r="AN66" s="106">
        <v>7</v>
      </c>
      <c r="AO66" s="106">
        <v>8332.7999999999993</v>
      </c>
      <c r="AP66" s="106">
        <v>6</v>
      </c>
      <c r="AQ66" s="106">
        <v>7142.4</v>
      </c>
      <c r="AR66" s="106">
        <v>5</v>
      </c>
      <c r="AS66" s="106">
        <v>5951.9999999999991</v>
      </c>
      <c r="AT66" s="106">
        <v>3</v>
      </c>
      <c r="AU66" s="106">
        <v>3571.2</v>
      </c>
      <c r="AV66" s="106">
        <v>3</v>
      </c>
      <c r="AW66" s="106">
        <v>3571.2</v>
      </c>
      <c r="AX66" s="106">
        <v>5</v>
      </c>
      <c r="AY66" s="106">
        <v>5951.9999999999991</v>
      </c>
      <c r="AZ66" s="106">
        <v>7</v>
      </c>
      <c r="BA66" s="106">
        <v>8332.7999999999993</v>
      </c>
      <c r="BB66" s="106">
        <v>8</v>
      </c>
      <c r="BC66" s="106">
        <v>9523.1999999999989</v>
      </c>
      <c r="BD66" s="106">
        <v>7</v>
      </c>
      <c r="BE66" s="106">
        <v>8332.7999999999993</v>
      </c>
      <c r="BF66" s="106">
        <v>7</v>
      </c>
      <c r="BG66" s="106">
        <v>8332.7999999999993</v>
      </c>
      <c r="BH66" s="106">
        <v>4</v>
      </c>
      <c r="BI66" s="106">
        <v>4761.5999999999995</v>
      </c>
      <c r="BJ66" s="106">
        <v>5</v>
      </c>
      <c r="BK66" s="106">
        <v>5951.9999999999991</v>
      </c>
      <c r="BL66" s="106">
        <v>4</v>
      </c>
      <c r="BM66" s="106">
        <v>4761.5999999999995</v>
      </c>
      <c r="BN66" s="106">
        <v>5</v>
      </c>
      <c r="BO66" s="106">
        <v>5951.9999999999991</v>
      </c>
      <c r="BP66" s="106">
        <v>3</v>
      </c>
      <c r="BQ66" s="106">
        <v>3571.2</v>
      </c>
      <c r="BR66" s="106">
        <v>2</v>
      </c>
      <c r="BS66" s="106">
        <v>2380.7999999999997</v>
      </c>
      <c r="BT66" s="106">
        <v>4</v>
      </c>
      <c r="BU66" s="106">
        <v>4761.5999999999995</v>
      </c>
      <c r="BV66" s="106">
        <v>2</v>
      </c>
      <c r="BW66" s="106">
        <v>2380.7999999999997</v>
      </c>
      <c r="BX66" s="106">
        <v>51</v>
      </c>
      <c r="BY66" s="106">
        <v>60710.399999999994</v>
      </c>
      <c r="BZ66" s="106">
        <v>63</v>
      </c>
      <c r="CA66" s="106">
        <v>74995.199999999997</v>
      </c>
      <c r="CB66" s="106">
        <v>44</v>
      </c>
      <c r="CC66" s="106">
        <v>52377.599999999991</v>
      </c>
      <c r="CD66" s="106">
        <v>47</v>
      </c>
      <c r="CE66" s="106">
        <v>55948.799999999996</v>
      </c>
      <c r="CF66" s="106">
        <v>23</v>
      </c>
      <c r="CG66" s="106">
        <v>27379.199999999997</v>
      </c>
      <c r="CH66" s="106">
        <v>20</v>
      </c>
      <c r="CI66" s="106">
        <v>23807.999999999996</v>
      </c>
      <c r="CJ66" s="106">
        <v>15</v>
      </c>
      <c r="CK66" s="106">
        <v>17855.999999999996</v>
      </c>
      <c r="CL66" s="106">
        <v>19</v>
      </c>
      <c r="CM66" s="106">
        <v>22617.599999999999</v>
      </c>
      <c r="CN66" s="106">
        <v>3</v>
      </c>
      <c r="CO66" s="106">
        <v>3571.2</v>
      </c>
      <c r="CP66" s="106">
        <v>2</v>
      </c>
      <c r="CQ66" s="106">
        <v>2380.7999999999997</v>
      </c>
      <c r="CR66" s="106">
        <v>4</v>
      </c>
      <c r="CS66" s="106">
        <v>4761.5999999999995</v>
      </c>
      <c r="CT66" s="106">
        <v>4</v>
      </c>
      <c r="CU66" s="106">
        <v>4761.5999999999995</v>
      </c>
    </row>
    <row r="67" spans="2:99" x14ac:dyDescent="0.2">
      <c r="C67" s="105" t="s">
        <v>233</v>
      </c>
      <c r="D67" s="106">
        <v>6</v>
      </c>
      <c r="E67" s="106">
        <v>6739.2000000000007</v>
      </c>
      <c r="F67" s="106">
        <v>5</v>
      </c>
      <c r="G67" s="106">
        <v>5616</v>
      </c>
      <c r="H67" s="106">
        <v>7</v>
      </c>
      <c r="I67" s="106">
        <v>7862.4000000000005</v>
      </c>
      <c r="J67" s="106">
        <v>5</v>
      </c>
      <c r="K67" s="106">
        <v>5616</v>
      </c>
      <c r="L67" s="106">
        <v>39</v>
      </c>
      <c r="M67" s="106">
        <v>43804.800000000003</v>
      </c>
      <c r="N67" s="106">
        <v>39</v>
      </c>
      <c r="O67" s="106">
        <v>43804.800000000003</v>
      </c>
      <c r="P67" s="106">
        <v>23</v>
      </c>
      <c r="Q67" s="106">
        <v>25833.600000000002</v>
      </c>
      <c r="R67" s="106">
        <v>33</v>
      </c>
      <c r="S67" s="106">
        <v>37065.599999999999</v>
      </c>
      <c r="T67" s="106">
        <v>4</v>
      </c>
      <c r="U67" s="106">
        <v>4492.8</v>
      </c>
      <c r="V67" s="106">
        <v>3</v>
      </c>
      <c r="W67" s="106">
        <v>3369.6000000000004</v>
      </c>
      <c r="X67" s="106">
        <v>3</v>
      </c>
      <c r="Y67" s="106">
        <v>3369.6000000000004</v>
      </c>
      <c r="Z67" s="106">
        <v>3</v>
      </c>
      <c r="AA67" s="106">
        <v>3369.6000000000004</v>
      </c>
      <c r="AB67" s="106">
        <v>9</v>
      </c>
      <c r="AC67" s="106">
        <v>10108.800000000001</v>
      </c>
      <c r="AD67" s="106">
        <v>7</v>
      </c>
      <c r="AE67" s="106">
        <v>7862.4000000000005</v>
      </c>
      <c r="AF67" s="106">
        <v>7</v>
      </c>
      <c r="AG67" s="106">
        <v>7862.4000000000005</v>
      </c>
      <c r="AH67" s="106">
        <v>6</v>
      </c>
      <c r="AI67" s="106">
        <v>6739.2000000000007</v>
      </c>
      <c r="AJ67" s="106">
        <v>8</v>
      </c>
      <c r="AK67" s="106">
        <v>8985.6</v>
      </c>
      <c r="AL67" s="106">
        <v>7</v>
      </c>
      <c r="AM67" s="106">
        <v>7862.4000000000005</v>
      </c>
      <c r="AN67" s="106">
        <v>6</v>
      </c>
      <c r="AO67" s="106">
        <v>6739.2000000000007</v>
      </c>
      <c r="AP67" s="106">
        <v>6</v>
      </c>
      <c r="AQ67" s="106">
        <v>6739.2000000000007</v>
      </c>
      <c r="AR67" s="106">
        <v>5</v>
      </c>
      <c r="AS67" s="106">
        <v>5616</v>
      </c>
      <c r="AT67" s="106">
        <v>3</v>
      </c>
      <c r="AU67" s="106">
        <v>3369.6000000000004</v>
      </c>
      <c r="AV67" s="106">
        <v>3</v>
      </c>
      <c r="AW67" s="106">
        <v>3369.6000000000004</v>
      </c>
      <c r="AX67" s="106">
        <v>5</v>
      </c>
      <c r="AY67" s="106">
        <v>5616</v>
      </c>
      <c r="AZ67" s="106">
        <v>8</v>
      </c>
      <c r="BA67" s="106">
        <v>8985.6</v>
      </c>
      <c r="BB67" s="106">
        <v>7</v>
      </c>
      <c r="BC67" s="106">
        <v>7862.4000000000005</v>
      </c>
      <c r="BD67" s="106">
        <v>7</v>
      </c>
      <c r="BE67" s="106">
        <v>7862.4000000000005</v>
      </c>
      <c r="BF67" s="106">
        <v>7</v>
      </c>
      <c r="BG67" s="106">
        <v>7862.4000000000005</v>
      </c>
      <c r="BH67" s="106">
        <v>4</v>
      </c>
      <c r="BI67" s="106">
        <v>4492.8</v>
      </c>
      <c r="BJ67" s="106">
        <v>5</v>
      </c>
      <c r="BK67" s="106">
        <v>5616</v>
      </c>
      <c r="BL67" s="106">
        <v>4</v>
      </c>
      <c r="BM67" s="106">
        <v>4492.8</v>
      </c>
      <c r="BN67" s="106">
        <v>6</v>
      </c>
      <c r="BO67" s="106">
        <v>6739.2000000000007</v>
      </c>
      <c r="BP67" s="106">
        <v>4</v>
      </c>
      <c r="BQ67" s="106">
        <v>4492.8</v>
      </c>
      <c r="BR67" s="106">
        <v>3</v>
      </c>
      <c r="BS67" s="106">
        <v>3369.6000000000004</v>
      </c>
      <c r="BT67" s="106">
        <v>3</v>
      </c>
      <c r="BU67" s="106">
        <v>3369.6000000000004</v>
      </c>
      <c r="BV67" s="106">
        <v>3</v>
      </c>
      <c r="BW67" s="106">
        <v>3369.6000000000004</v>
      </c>
      <c r="BX67" s="106">
        <v>50</v>
      </c>
      <c r="BY67" s="106">
        <v>56160</v>
      </c>
      <c r="BZ67" s="106">
        <v>69</v>
      </c>
      <c r="CA67" s="106">
        <v>77500.800000000003</v>
      </c>
      <c r="CB67" s="106">
        <v>44</v>
      </c>
      <c r="CC67" s="106">
        <v>49420.800000000003</v>
      </c>
      <c r="CD67" s="106">
        <v>47</v>
      </c>
      <c r="CE67" s="106">
        <v>52790.400000000001</v>
      </c>
      <c r="CF67" s="106">
        <v>23</v>
      </c>
      <c r="CG67" s="106">
        <v>25833.600000000002</v>
      </c>
      <c r="CH67" s="106">
        <v>22</v>
      </c>
      <c r="CI67" s="106">
        <v>24710.400000000001</v>
      </c>
      <c r="CJ67" s="106">
        <v>17</v>
      </c>
      <c r="CK67" s="106">
        <v>19094.400000000001</v>
      </c>
      <c r="CL67" s="106">
        <v>18</v>
      </c>
      <c r="CM67" s="106">
        <v>20217.600000000002</v>
      </c>
      <c r="CN67" s="106">
        <v>3</v>
      </c>
      <c r="CO67" s="106">
        <v>3369.6000000000004</v>
      </c>
      <c r="CP67" s="106">
        <v>2</v>
      </c>
      <c r="CQ67" s="106">
        <v>2246.4</v>
      </c>
      <c r="CR67" s="106">
        <v>4</v>
      </c>
      <c r="CS67" s="106">
        <v>4492.8</v>
      </c>
      <c r="CT67" s="106">
        <v>3</v>
      </c>
      <c r="CU67" s="106">
        <v>3369.6000000000004</v>
      </c>
    </row>
    <row r="68" spans="2:99" x14ac:dyDescent="0.2">
      <c r="C68" s="105" t="s">
        <v>234</v>
      </c>
      <c r="D68" s="106">
        <v>6</v>
      </c>
      <c r="E68" s="106">
        <v>6199.2000000000007</v>
      </c>
      <c r="F68" s="106">
        <v>6</v>
      </c>
      <c r="G68" s="106">
        <v>6199.2000000000007</v>
      </c>
      <c r="H68" s="106">
        <v>7</v>
      </c>
      <c r="I68" s="106">
        <v>7232.4000000000005</v>
      </c>
      <c r="J68" s="106">
        <v>6</v>
      </c>
      <c r="K68" s="106">
        <v>6199.2000000000007</v>
      </c>
      <c r="L68" s="106">
        <v>40</v>
      </c>
      <c r="M68" s="106">
        <v>41328</v>
      </c>
      <c r="N68" s="106">
        <v>36</v>
      </c>
      <c r="O68" s="106">
        <v>37195.200000000004</v>
      </c>
      <c r="P68" s="106">
        <v>25</v>
      </c>
      <c r="Q68" s="106">
        <v>25830</v>
      </c>
      <c r="R68" s="106">
        <v>34</v>
      </c>
      <c r="S68" s="106">
        <v>35128.800000000003</v>
      </c>
      <c r="T68" s="106">
        <v>4</v>
      </c>
      <c r="U68" s="106">
        <v>4132.8</v>
      </c>
      <c r="V68" s="106">
        <v>3</v>
      </c>
      <c r="W68" s="106">
        <v>3099.6000000000004</v>
      </c>
      <c r="X68" s="106">
        <v>3</v>
      </c>
      <c r="Y68" s="106">
        <v>3099.6000000000004</v>
      </c>
      <c r="Z68" s="106">
        <v>2</v>
      </c>
      <c r="AA68" s="106">
        <v>2066.4</v>
      </c>
      <c r="AB68" s="106">
        <v>9</v>
      </c>
      <c r="AC68" s="106">
        <v>9298.8000000000011</v>
      </c>
      <c r="AD68" s="106">
        <v>8</v>
      </c>
      <c r="AE68" s="106">
        <v>8265.6</v>
      </c>
      <c r="AF68" s="106">
        <v>7</v>
      </c>
      <c r="AG68" s="106">
        <v>7232.4000000000005</v>
      </c>
      <c r="AH68" s="106">
        <v>6</v>
      </c>
      <c r="AI68" s="106">
        <v>6199.2000000000007</v>
      </c>
      <c r="AJ68" s="106">
        <v>9</v>
      </c>
      <c r="AK68" s="106">
        <v>9298.8000000000011</v>
      </c>
      <c r="AL68" s="106">
        <v>6</v>
      </c>
      <c r="AM68" s="106">
        <v>6199.2000000000007</v>
      </c>
      <c r="AN68" s="106">
        <v>7</v>
      </c>
      <c r="AO68" s="106">
        <v>7232.4000000000005</v>
      </c>
      <c r="AP68" s="106">
        <v>6</v>
      </c>
      <c r="AQ68" s="106">
        <v>6199.2000000000007</v>
      </c>
      <c r="AR68" s="106">
        <v>5</v>
      </c>
      <c r="AS68" s="106">
        <v>5166</v>
      </c>
      <c r="AT68" s="106">
        <v>3</v>
      </c>
      <c r="AU68" s="106">
        <v>3099.6000000000004</v>
      </c>
      <c r="AV68" s="106">
        <v>3</v>
      </c>
      <c r="AW68" s="106">
        <v>3099.6000000000004</v>
      </c>
      <c r="AX68" s="106">
        <v>5</v>
      </c>
      <c r="AY68" s="106">
        <v>5166</v>
      </c>
      <c r="AZ68" s="106">
        <v>8</v>
      </c>
      <c r="BA68" s="106">
        <v>8265.6</v>
      </c>
      <c r="BB68" s="106">
        <v>8</v>
      </c>
      <c r="BC68" s="106">
        <v>8265.6</v>
      </c>
      <c r="BD68" s="106">
        <v>8</v>
      </c>
      <c r="BE68" s="106">
        <v>8265.6</v>
      </c>
      <c r="BF68" s="106">
        <v>8</v>
      </c>
      <c r="BG68" s="106">
        <v>8265.6</v>
      </c>
      <c r="BH68" s="106">
        <v>4</v>
      </c>
      <c r="BI68" s="106">
        <v>4132.8</v>
      </c>
      <c r="BJ68" s="106">
        <v>5</v>
      </c>
      <c r="BK68" s="106">
        <v>5166</v>
      </c>
      <c r="BL68" s="106">
        <v>4</v>
      </c>
      <c r="BM68" s="106">
        <v>4132.8</v>
      </c>
      <c r="BN68" s="106">
        <v>6</v>
      </c>
      <c r="BO68" s="106">
        <v>6199.2000000000007</v>
      </c>
      <c r="BP68" s="106">
        <v>4</v>
      </c>
      <c r="BQ68" s="106">
        <v>4132.8</v>
      </c>
      <c r="BR68" s="106">
        <v>3</v>
      </c>
      <c r="BS68" s="106">
        <v>3099.6000000000004</v>
      </c>
      <c r="BT68" s="106">
        <v>4</v>
      </c>
      <c r="BU68" s="106">
        <v>4132.8</v>
      </c>
      <c r="BV68" s="106">
        <v>3</v>
      </c>
      <c r="BW68" s="106">
        <v>3099.6000000000004</v>
      </c>
      <c r="BX68" s="106">
        <v>53</v>
      </c>
      <c r="BY68" s="106">
        <v>54759.600000000006</v>
      </c>
      <c r="BZ68" s="106">
        <v>61</v>
      </c>
      <c r="CA68" s="106">
        <v>63025.200000000004</v>
      </c>
      <c r="CB68" s="106">
        <v>53</v>
      </c>
      <c r="CC68" s="106">
        <v>54759.600000000006</v>
      </c>
      <c r="CD68" s="106">
        <v>48</v>
      </c>
      <c r="CE68" s="106">
        <v>49593.600000000006</v>
      </c>
      <c r="CF68" s="106">
        <v>26</v>
      </c>
      <c r="CG68" s="106">
        <v>26863.200000000001</v>
      </c>
      <c r="CH68" s="106">
        <v>23</v>
      </c>
      <c r="CI68" s="106">
        <v>23763.600000000002</v>
      </c>
      <c r="CJ68" s="106">
        <v>16</v>
      </c>
      <c r="CK68" s="106">
        <v>16531.2</v>
      </c>
      <c r="CL68" s="106">
        <v>19</v>
      </c>
      <c r="CM68" s="106">
        <v>19630.8</v>
      </c>
      <c r="CN68" s="106">
        <v>3</v>
      </c>
      <c r="CO68" s="106">
        <v>3099.6000000000004</v>
      </c>
      <c r="CP68" s="106">
        <v>2</v>
      </c>
      <c r="CQ68" s="106">
        <v>2066.4</v>
      </c>
      <c r="CR68" s="106">
        <v>4</v>
      </c>
      <c r="CS68" s="106">
        <v>4132.8</v>
      </c>
      <c r="CT68" s="106">
        <v>4</v>
      </c>
      <c r="CU68" s="106">
        <v>4132.8</v>
      </c>
    </row>
    <row r="69" spans="2:99" x14ac:dyDescent="0.2">
      <c r="C69" s="105" t="s">
        <v>235</v>
      </c>
      <c r="D69" s="106">
        <v>7</v>
      </c>
      <c r="E69" s="106">
        <v>5308.8</v>
      </c>
      <c r="F69" s="106">
        <v>6</v>
      </c>
      <c r="G69" s="106">
        <v>4550.3999999999996</v>
      </c>
      <c r="H69" s="106">
        <v>8</v>
      </c>
      <c r="I69" s="106">
        <v>6067.2</v>
      </c>
      <c r="J69" s="106">
        <v>6</v>
      </c>
      <c r="K69" s="106">
        <v>4550.3999999999996</v>
      </c>
      <c r="L69" s="106">
        <v>39</v>
      </c>
      <c r="M69" s="106">
        <v>29577.599999999999</v>
      </c>
      <c r="N69" s="106">
        <v>40</v>
      </c>
      <c r="O69" s="106">
        <v>30336</v>
      </c>
      <c r="P69" s="106">
        <v>28</v>
      </c>
      <c r="Q69" s="106">
        <v>21235.200000000001</v>
      </c>
      <c r="R69" s="106">
        <v>33</v>
      </c>
      <c r="S69" s="106">
        <v>25027.200000000001</v>
      </c>
      <c r="T69" s="106">
        <v>4</v>
      </c>
      <c r="U69" s="106">
        <v>3033.6</v>
      </c>
      <c r="V69" s="106">
        <v>3</v>
      </c>
      <c r="W69" s="106">
        <v>2275.1999999999998</v>
      </c>
      <c r="X69" s="106">
        <v>4</v>
      </c>
      <c r="Y69" s="106">
        <v>3033.6</v>
      </c>
      <c r="Z69" s="106">
        <v>3</v>
      </c>
      <c r="AA69" s="106">
        <v>2275.1999999999998</v>
      </c>
      <c r="AB69" s="106">
        <v>9</v>
      </c>
      <c r="AC69" s="106">
        <v>6825.5999999999995</v>
      </c>
      <c r="AD69" s="106">
        <v>8</v>
      </c>
      <c r="AE69" s="106">
        <v>6067.2</v>
      </c>
      <c r="AF69" s="106">
        <v>8</v>
      </c>
      <c r="AG69" s="106">
        <v>6067.2</v>
      </c>
      <c r="AH69" s="106">
        <v>6</v>
      </c>
      <c r="AI69" s="106">
        <v>4550.3999999999996</v>
      </c>
      <c r="AJ69" s="106">
        <v>8</v>
      </c>
      <c r="AK69" s="106">
        <v>6067.2</v>
      </c>
      <c r="AL69" s="106">
        <v>7</v>
      </c>
      <c r="AM69" s="106">
        <v>5308.8</v>
      </c>
      <c r="AN69" s="106">
        <v>8</v>
      </c>
      <c r="AO69" s="106">
        <v>6067.2</v>
      </c>
      <c r="AP69" s="106">
        <v>6</v>
      </c>
      <c r="AQ69" s="106">
        <v>4550.3999999999996</v>
      </c>
      <c r="AR69" s="106">
        <v>5</v>
      </c>
      <c r="AS69" s="106">
        <v>3792</v>
      </c>
      <c r="AT69" s="106">
        <v>3</v>
      </c>
      <c r="AU69" s="106">
        <v>2275.1999999999998</v>
      </c>
      <c r="AV69" s="106">
        <v>3</v>
      </c>
      <c r="AW69" s="106">
        <v>2275.1999999999998</v>
      </c>
      <c r="AX69" s="106">
        <v>5</v>
      </c>
      <c r="AY69" s="106">
        <v>3792</v>
      </c>
      <c r="AZ69" s="106">
        <v>7</v>
      </c>
      <c r="BA69" s="106">
        <v>5308.8</v>
      </c>
      <c r="BB69" s="106">
        <v>8</v>
      </c>
      <c r="BC69" s="106">
        <v>6067.2</v>
      </c>
      <c r="BD69" s="106">
        <v>7</v>
      </c>
      <c r="BE69" s="106">
        <v>5308.8</v>
      </c>
      <c r="BF69" s="106">
        <v>9</v>
      </c>
      <c r="BG69" s="106">
        <v>6825.5999999999995</v>
      </c>
      <c r="BH69" s="106">
        <v>4</v>
      </c>
      <c r="BI69" s="106">
        <v>3033.6</v>
      </c>
      <c r="BJ69" s="106">
        <v>5</v>
      </c>
      <c r="BK69" s="106">
        <v>3792</v>
      </c>
      <c r="BL69" s="106">
        <v>4</v>
      </c>
      <c r="BM69" s="106">
        <v>3033.6</v>
      </c>
      <c r="BN69" s="106">
        <v>6</v>
      </c>
      <c r="BO69" s="106">
        <v>4550.3999999999996</v>
      </c>
      <c r="BP69" s="106">
        <v>3</v>
      </c>
      <c r="BQ69" s="106">
        <v>2275.1999999999998</v>
      </c>
      <c r="BR69" s="106">
        <v>2</v>
      </c>
      <c r="BS69" s="106">
        <v>1516.8</v>
      </c>
      <c r="BT69" s="106">
        <v>4</v>
      </c>
      <c r="BU69" s="106">
        <v>3033.6</v>
      </c>
      <c r="BV69" s="106">
        <v>3</v>
      </c>
      <c r="BW69" s="106">
        <v>2275.1999999999998</v>
      </c>
      <c r="BX69" s="106">
        <v>60</v>
      </c>
      <c r="BY69" s="106">
        <v>45504</v>
      </c>
      <c r="BZ69" s="106">
        <v>67</v>
      </c>
      <c r="CA69" s="106">
        <v>50812.799999999996</v>
      </c>
      <c r="CB69" s="106">
        <v>48</v>
      </c>
      <c r="CC69" s="106">
        <v>36403.199999999997</v>
      </c>
      <c r="CD69" s="106">
        <v>50</v>
      </c>
      <c r="CE69" s="106">
        <v>37920</v>
      </c>
      <c r="CF69" s="106">
        <v>24</v>
      </c>
      <c r="CG69" s="106">
        <v>18201.599999999999</v>
      </c>
      <c r="CH69" s="106">
        <v>22</v>
      </c>
      <c r="CI69" s="106">
        <v>16684.8</v>
      </c>
      <c r="CJ69" s="106">
        <v>19</v>
      </c>
      <c r="CK69" s="106">
        <v>14409.6</v>
      </c>
      <c r="CL69" s="106">
        <v>22</v>
      </c>
      <c r="CM69" s="106">
        <v>16684.8</v>
      </c>
      <c r="CN69" s="106">
        <v>3</v>
      </c>
      <c r="CO69" s="106">
        <v>2275.1999999999998</v>
      </c>
      <c r="CP69" s="106">
        <v>2</v>
      </c>
      <c r="CQ69" s="106">
        <v>1516.8</v>
      </c>
      <c r="CR69" s="106">
        <v>4</v>
      </c>
      <c r="CS69" s="106">
        <v>3033.6</v>
      </c>
      <c r="CT69" s="106">
        <v>4</v>
      </c>
      <c r="CU69" s="106">
        <v>3033.6</v>
      </c>
    </row>
    <row r="70" spans="2:99" x14ac:dyDescent="0.2">
      <c r="C70" s="105" t="s">
        <v>236</v>
      </c>
      <c r="D70" s="106">
        <v>6</v>
      </c>
      <c r="E70" s="106">
        <v>3211.2</v>
      </c>
      <c r="F70" s="106">
        <v>6</v>
      </c>
      <c r="G70" s="106">
        <v>3211.2</v>
      </c>
      <c r="H70" s="106">
        <v>8</v>
      </c>
      <c r="I70" s="106">
        <v>4281.5999999999995</v>
      </c>
      <c r="J70" s="106">
        <v>6</v>
      </c>
      <c r="K70" s="106">
        <v>3211.2</v>
      </c>
      <c r="L70" s="106">
        <v>42</v>
      </c>
      <c r="M70" s="106">
        <v>22478.399999999998</v>
      </c>
      <c r="N70" s="106">
        <v>37</v>
      </c>
      <c r="O70" s="106">
        <v>19802.399999999998</v>
      </c>
      <c r="P70" s="106">
        <v>30</v>
      </c>
      <c r="Q70" s="106">
        <v>16055.999999999998</v>
      </c>
      <c r="R70" s="106">
        <v>36</v>
      </c>
      <c r="S70" s="106">
        <v>19267.199999999997</v>
      </c>
      <c r="T70" s="106">
        <v>4</v>
      </c>
      <c r="U70" s="106">
        <v>2140.7999999999997</v>
      </c>
      <c r="V70" s="106">
        <v>4</v>
      </c>
      <c r="W70" s="106">
        <v>2140.7999999999997</v>
      </c>
      <c r="X70" s="106">
        <v>4</v>
      </c>
      <c r="Y70" s="106">
        <v>2140.7999999999997</v>
      </c>
      <c r="Z70" s="106">
        <v>3</v>
      </c>
      <c r="AA70" s="106">
        <v>1605.6</v>
      </c>
      <c r="AB70" s="106">
        <v>9</v>
      </c>
      <c r="AC70" s="106">
        <v>4816.7999999999993</v>
      </c>
      <c r="AD70" s="106">
        <v>8</v>
      </c>
      <c r="AE70" s="106">
        <v>4281.5999999999995</v>
      </c>
      <c r="AF70" s="106">
        <v>7</v>
      </c>
      <c r="AG70" s="106">
        <v>3746.3999999999996</v>
      </c>
      <c r="AH70" s="106">
        <v>7</v>
      </c>
      <c r="AI70" s="106">
        <v>3746.3999999999996</v>
      </c>
      <c r="AJ70" s="106">
        <v>9</v>
      </c>
      <c r="AK70" s="106">
        <v>4816.7999999999993</v>
      </c>
      <c r="AL70" s="106">
        <v>6</v>
      </c>
      <c r="AM70" s="106">
        <v>3211.2</v>
      </c>
      <c r="AN70" s="106">
        <v>7</v>
      </c>
      <c r="AO70" s="106">
        <v>3746.3999999999996</v>
      </c>
      <c r="AP70" s="106">
        <v>5</v>
      </c>
      <c r="AQ70" s="106">
        <v>2675.9999999999995</v>
      </c>
      <c r="AR70" s="106">
        <v>6</v>
      </c>
      <c r="AS70" s="106">
        <v>3211.2</v>
      </c>
      <c r="AT70" s="106">
        <v>4</v>
      </c>
      <c r="AU70" s="106">
        <v>2140.7999999999997</v>
      </c>
      <c r="AV70" s="106">
        <v>3</v>
      </c>
      <c r="AW70" s="106">
        <v>1605.6</v>
      </c>
      <c r="AX70" s="106">
        <v>5</v>
      </c>
      <c r="AY70" s="106">
        <v>2675.9999999999995</v>
      </c>
      <c r="AZ70" s="106">
        <v>7</v>
      </c>
      <c r="BA70" s="106">
        <v>3746.3999999999996</v>
      </c>
      <c r="BB70" s="106">
        <v>8</v>
      </c>
      <c r="BC70" s="106">
        <v>4281.5999999999995</v>
      </c>
      <c r="BD70" s="106">
        <v>8</v>
      </c>
      <c r="BE70" s="106">
        <v>4281.5999999999995</v>
      </c>
      <c r="BF70" s="106">
        <v>8</v>
      </c>
      <c r="BG70" s="106">
        <v>4281.5999999999995</v>
      </c>
      <c r="BH70" s="106">
        <v>4</v>
      </c>
      <c r="BI70" s="106">
        <v>2140.7999999999997</v>
      </c>
      <c r="BJ70" s="106">
        <v>5</v>
      </c>
      <c r="BK70" s="106">
        <v>2675.9999999999995</v>
      </c>
      <c r="BL70" s="106">
        <v>4</v>
      </c>
      <c r="BM70" s="106">
        <v>2140.7999999999997</v>
      </c>
      <c r="BN70" s="106">
        <v>6</v>
      </c>
      <c r="BO70" s="106">
        <v>3211.2</v>
      </c>
      <c r="BP70" s="106">
        <v>3</v>
      </c>
      <c r="BQ70" s="106">
        <v>1605.6</v>
      </c>
      <c r="BR70" s="106">
        <v>3</v>
      </c>
      <c r="BS70" s="106">
        <v>1605.6</v>
      </c>
      <c r="BT70" s="106">
        <v>4</v>
      </c>
      <c r="BU70" s="106">
        <v>2140.7999999999997</v>
      </c>
      <c r="BV70" s="106">
        <v>3</v>
      </c>
      <c r="BW70" s="106">
        <v>1605.6</v>
      </c>
      <c r="BX70" s="106">
        <v>63</v>
      </c>
      <c r="BY70" s="106">
        <v>33717.599999999999</v>
      </c>
      <c r="BZ70" s="106">
        <v>68</v>
      </c>
      <c r="CA70" s="106">
        <v>36393.599999999999</v>
      </c>
      <c r="CB70" s="106">
        <v>59</v>
      </c>
      <c r="CC70" s="106">
        <v>31576.799999999996</v>
      </c>
      <c r="CD70" s="106">
        <v>58</v>
      </c>
      <c r="CE70" s="106">
        <v>31041.599999999995</v>
      </c>
      <c r="CF70" s="106">
        <v>27</v>
      </c>
      <c r="CG70" s="106">
        <v>14450.399999999998</v>
      </c>
      <c r="CH70" s="106">
        <v>23</v>
      </c>
      <c r="CI70" s="106">
        <v>12309.599999999999</v>
      </c>
      <c r="CJ70" s="106">
        <v>19</v>
      </c>
      <c r="CK70" s="106">
        <v>10168.799999999999</v>
      </c>
      <c r="CL70" s="106">
        <v>20</v>
      </c>
      <c r="CM70" s="106">
        <v>10703.999999999998</v>
      </c>
      <c r="CN70" s="106">
        <v>3</v>
      </c>
      <c r="CO70" s="106">
        <v>1605.6</v>
      </c>
      <c r="CP70" s="106">
        <v>2</v>
      </c>
      <c r="CQ70" s="106">
        <v>1070.3999999999999</v>
      </c>
      <c r="CR70" s="106">
        <v>3</v>
      </c>
      <c r="CS70" s="106">
        <v>1605.6</v>
      </c>
      <c r="CT70" s="106">
        <v>4</v>
      </c>
      <c r="CU70" s="106">
        <v>2140.7999999999997</v>
      </c>
    </row>
    <row r="71" spans="2:99" x14ac:dyDescent="0.2">
      <c r="B71" s="105" t="s">
        <v>130</v>
      </c>
      <c r="C71" s="105" t="s">
        <v>237</v>
      </c>
      <c r="D71" s="106">
        <v>18</v>
      </c>
      <c r="E71" s="106">
        <v>10152</v>
      </c>
      <c r="F71" s="106">
        <v>20</v>
      </c>
      <c r="G71" s="106">
        <v>11280</v>
      </c>
      <c r="H71" s="106">
        <v>20</v>
      </c>
      <c r="I71" s="106">
        <v>11280</v>
      </c>
      <c r="J71" s="106">
        <v>20</v>
      </c>
      <c r="K71" s="106">
        <v>11280</v>
      </c>
      <c r="L71" s="106">
        <v>17</v>
      </c>
      <c r="M71" s="106">
        <v>9588</v>
      </c>
      <c r="N71" s="106">
        <v>12</v>
      </c>
      <c r="O71" s="106">
        <v>6768</v>
      </c>
      <c r="P71" s="106">
        <v>12</v>
      </c>
      <c r="Q71" s="106">
        <v>6768</v>
      </c>
      <c r="R71" s="106">
        <v>19</v>
      </c>
      <c r="S71" s="106">
        <v>10716</v>
      </c>
      <c r="T71" s="106">
        <v>6</v>
      </c>
      <c r="U71" s="106">
        <v>3384</v>
      </c>
      <c r="V71" s="106">
        <v>7</v>
      </c>
      <c r="W71" s="106">
        <v>3948</v>
      </c>
      <c r="X71" s="106">
        <v>5</v>
      </c>
      <c r="Y71" s="106">
        <v>2820</v>
      </c>
      <c r="Z71" s="106">
        <v>7</v>
      </c>
      <c r="AA71" s="106">
        <v>3948</v>
      </c>
      <c r="AB71" s="106">
        <v>10</v>
      </c>
      <c r="AC71" s="106">
        <v>5640</v>
      </c>
      <c r="AD71" s="106">
        <v>6</v>
      </c>
      <c r="AE71" s="106">
        <v>3384</v>
      </c>
      <c r="AF71" s="106">
        <v>7</v>
      </c>
      <c r="AG71" s="106">
        <v>3948</v>
      </c>
      <c r="AH71" s="106">
        <v>11</v>
      </c>
      <c r="AI71" s="106">
        <v>6204</v>
      </c>
      <c r="AJ71" s="106">
        <v>4</v>
      </c>
      <c r="AK71" s="106">
        <v>2256</v>
      </c>
      <c r="AL71" s="106">
        <v>6</v>
      </c>
      <c r="AM71" s="106">
        <v>3384</v>
      </c>
      <c r="AN71" s="106">
        <v>5</v>
      </c>
      <c r="AO71" s="106">
        <v>2820</v>
      </c>
      <c r="AP71" s="106">
        <v>5</v>
      </c>
      <c r="AQ71" s="106">
        <v>2820</v>
      </c>
      <c r="AR71" s="106">
        <v>37</v>
      </c>
      <c r="AS71" s="106">
        <v>20868</v>
      </c>
      <c r="AT71" s="106">
        <v>35</v>
      </c>
      <c r="AU71" s="106">
        <v>19740</v>
      </c>
      <c r="AV71" s="106">
        <v>28</v>
      </c>
      <c r="AW71" s="106">
        <v>15792</v>
      </c>
      <c r="AX71" s="106">
        <v>46</v>
      </c>
      <c r="AY71" s="106">
        <v>25944</v>
      </c>
      <c r="AZ71" s="106">
        <v>45</v>
      </c>
      <c r="BA71" s="106">
        <v>25380</v>
      </c>
      <c r="BB71" s="106">
        <v>52</v>
      </c>
      <c r="BC71" s="106">
        <v>29328</v>
      </c>
      <c r="BD71" s="106">
        <v>63</v>
      </c>
      <c r="BE71" s="106">
        <v>35532</v>
      </c>
      <c r="BF71" s="106">
        <v>61</v>
      </c>
      <c r="BG71" s="106">
        <v>34404</v>
      </c>
      <c r="BH71" s="106">
        <v>4</v>
      </c>
      <c r="BI71" s="106">
        <v>2256</v>
      </c>
      <c r="BJ71" s="106">
        <v>4</v>
      </c>
      <c r="BK71" s="106">
        <v>2256</v>
      </c>
      <c r="BL71" s="106">
        <v>4</v>
      </c>
      <c r="BM71" s="106">
        <v>2256</v>
      </c>
      <c r="BN71" s="106">
        <v>6</v>
      </c>
      <c r="BO71" s="106">
        <v>3384</v>
      </c>
      <c r="BP71" s="106">
        <v>4</v>
      </c>
      <c r="BQ71" s="106">
        <v>2256</v>
      </c>
      <c r="BR71" s="106">
        <v>5</v>
      </c>
      <c r="BS71" s="106">
        <v>2820</v>
      </c>
      <c r="BT71" s="106">
        <v>3</v>
      </c>
      <c r="BU71" s="106">
        <v>1692</v>
      </c>
      <c r="BV71" s="106">
        <v>4</v>
      </c>
      <c r="BW71" s="106">
        <v>2256</v>
      </c>
      <c r="BX71" s="106">
        <v>6</v>
      </c>
      <c r="BY71" s="106">
        <v>3384</v>
      </c>
      <c r="BZ71" s="106">
        <v>6</v>
      </c>
      <c r="CA71" s="106">
        <v>3384</v>
      </c>
      <c r="CB71" s="106">
        <v>4</v>
      </c>
      <c r="CC71" s="106">
        <v>2256</v>
      </c>
      <c r="CD71" s="106">
        <v>5</v>
      </c>
      <c r="CE71" s="106">
        <v>2820</v>
      </c>
      <c r="CF71" s="106">
        <v>28</v>
      </c>
      <c r="CG71" s="106">
        <v>15792</v>
      </c>
      <c r="CH71" s="106">
        <v>22</v>
      </c>
      <c r="CI71" s="106">
        <v>12408</v>
      </c>
      <c r="CJ71" s="106">
        <v>34</v>
      </c>
      <c r="CK71" s="106">
        <v>19176</v>
      </c>
      <c r="CL71" s="106">
        <v>33</v>
      </c>
      <c r="CM71" s="106">
        <v>18612</v>
      </c>
      <c r="CN71" s="106">
        <v>4</v>
      </c>
      <c r="CO71" s="106">
        <v>2256</v>
      </c>
      <c r="CP71" s="106">
        <v>2</v>
      </c>
      <c r="CQ71" s="106">
        <v>1128</v>
      </c>
      <c r="CR71" s="106">
        <v>3</v>
      </c>
      <c r="CS71" s="106">
        <v>1692</v>
      </c>
      <c r="CT71" s="106">
        <v>4</v>
      </c>
      <c r="CU71" s="106">
        <v>2256</v>
      </c>
    </row>
    <row r="72" spans="2:99" x14ac:dyDescent="0.2">
      <c r="C72" s="105" t="s">
        <v>238</v>
      </c>
      <c r="D72" s="106">
        <v>18</v>
      </c>
      <c r="E72" s="106">
        <v>1339.1999999999998</v>
      </c>
      <c r="F72" s="106">
        <v>22</v>
      </c>
      <c r="G72" s="106">
        <v>1636.7999999999997</v>
      </c>
      <c r="H72" s="106">
        <v>20</v>
      </c>
      <c r="I72" s="106">
        <v>1487.9999999999998</v>
      </c>
      <c r="J72" s="106">
        <v>22</v>
      </c>
      <c r="K72" s="106">
        <v>1636.7999999999997</v>
      </c>
      <c r="L72" s="106">
        <v>19</v>
      </c>
      <c r="M72" s="106">
        <v>1413.6</v>
      </c>
      <c r="N72" s="106">
        <v>13</v>
      </c>
      <c r="O72" s="106">
        <v>967.19999999999993</v>
      </c>
      <c r="P72" s="106">
        <v>13</v>
      </c>
      <c r="Q72" s="106">
        <v>967.19999999999993</v>
      </c>
      <c r="R72" s="106">
        <v>20</v>
      </c>
      <c r="S72" s="106">
        <v>1487.9999999999998</v>
      </c>
      <c r="T72" s="106">
        <v>6</v>
      </c>
      <c r="U72" s="106">
        <v>446.4</v>
      </c>
      <c r="V72" s="106">
        <v>7</v>
      </c>
      <c r="W72" s="106">
        <v>520.79999999999995</v>
      </c>
      <c r="X72" s="106">
        <v>6</v>
      </c>
      <c r="Y72" s="106">
        <v>446.4</v>
      </c>
      <c r="Z72" s="106">
        <v>7</v>
      </c>
      <c r="AA72" s="106">
        <v>520.79999999999995</v>
      </c>
      <c r="AB72" s="106">
        <v>12</v>
      </c>
      <c r="AC72" s="106">
        <v>892.8</v>
      </c>
      <c r="AD72" s="106">
        <v>7</v>
      </c>
      <c r="AE72" s="106">
        <v>520.79999999999995</v>
      </c>
      <c r="AF72" s="106">
        <v>8</v>
      </c>
      <c r="AG72" s="106">
        <v>595.19999999999993</v>
      </c>
      <c r="AH72" s="106">
        <v>12</v>
      </c>
      <c r="AI72" s="106">
        <v>892.8</v>
      </c>
      <c r="AJ72" s="106">
        <v>5</v>
      </c>
      <c r="AK72" s="106">
        <v>371.99999999999994</v>
      </c>
      <c r="AL72" s="106">
        <v>6</v>
      </c>
      <c r="AM72" s="106">
        <v>446.4</v>
      </c>
      <c r="AN72" s="106">
        <v>6</v>
      </c>
      <c r="AO72" s="106">
        <v>446.4</v>
      </c>
      <c r="AP72" s="106">
        <v>6</v>
      </c>
      <c r="AQ72" s="106">
        <v>446.4</v>
      </c>
      <c r="AR72" s="106">
        <v>41</v>
      </c>
      <c r="AS72" s="106">
        <v>3050.3999999999996</v>
      </c>
      <c r="AT72" s="106">
        <v>37</v>
      </c>
      <c r="AU72" s="106">
        <v>2752.7999999999997</v>
      </c>
      <c r="AV72" s="106">
        <v>32</v>
      </c>
      <c r="AW72" s="106">
        <v>2380.7999999999997</v>
      </c>
      <c r="AX72" s="106">
        <v>51</v>
      </c>
      <c r="AY72" s="106">
        <v>3794.3999999999996</v>
      </c>
      <c r="AZ72" s="106">
        <v>49</v>
      </c>
      <c r="BA72" s="106">
        <v>3645.5999999999995</v>
      </c>
      <c r="BB72" s="106">
        <v>62</v>
      </c>
      <c r="BC72" s="106">
        <v>4612.7999999999993</v>
      </c>
      <c r="BD72" s="106">
        <v>70</v>
      </c>
      <c r="BE72" s="106">
        <v>5207.9999999999991</v>
      </c>
      <c r="BF72" s="106">
        <v>70</v>
      </c>
      <c r="BG72" s="106">
        <v>5207.9999999999991</v>
      </c>
      <c r="BH72" s="106">
        <v>4</v>
      </c>
      <c r="BI72" s="106">
        <v>297.59999999999997</v>
      </c>
      <c r="BJ72" s="106">
        <v>5</v>
      </c>
      <c r="BK72" s="106">
        <v>371.99999999999994</v>
      </c>
      <c r="BL72" s="106">
        <v>5</v>
      </c>
      <c r="BM72" s="106">
        <v>371.99999999999994</v>
      </c>
      <c r="BN72" s="106">
        <v>7</v>
      </c>
      <c r="BO72" s="106">
        <v>520.79999999999995</v>
      </c>
      <c r="BP72" s="106">
        <v>4</v>
      </c>
      <c r="BQ72" s="106">
        <v>297.59999999999997</v>
      </c>
      <c r="BR72" s="106">
        <v>6</v>
      </c>
      <c r="BS72" s="106">
        <v>446.4</v>
      </c>
      <c r="BT72" s="106">
        <v>3</v>
      </c>
      <c r="BU72" s="106">
        <v>223.2</v>
      </c>
      <c r="BV72" s="106">
        <v>5</v>
      </c>
      <c r="BW72" s="106">
        <v>371.99999999999994</v>
      </c>
      <c r="BX72" s="106">
        <v>6</v>
      </c>
      <c r="BY72" s="106">
        <v>446.4</v>
      </c>
      <c r="BZ72" s="106">
        <v>5</v>
      </c>
      <c r="CA72" s="106">
        <v>371.99999999999994</v>
      </c>
      <c r="CB72" s="106">
        <v>4</v>
      </c>
      <c r="CC72" s="106">
        <v>297.59999999999997</v>
      </c>
      <c r="CD72" s="106">
        <v>6</v>
      </c>
      <c r="CE72" s="106">
        <v>446.4</v>
      </c>
      <c r="CF72" s="106">
        <v>30</v>
      </c>
      <c r="CG72" s="106">
        <v>2231.9999999999995</v>
      </c>
      <c r="CH72" s="106">
        <v>23</v>
      </c>
      <c r="CI72" s="106">
        <v>1711.1999999999998</v>
      </c>
      <c r="CJ72" s="106">
        <v>39</v>
      </c>
      <c r="CK72" s="106">
        <v>2901.5999999999995</v>
      </c>
      <c r="CL72" s="106">
        <v>31</v>
      </c>
      <c r="CM72" s="106">
        <v>2306.3999999999996</v>
      </c>
      <c r="CN72" s="106">
        <v>4</v>
      </c>
      <c r="CO72" s="106">
        <v>297.59999999999997</v>
      </c>
      <c r="CP72" s="106">
        <v>3</v>
      </c>
      <c r="CQ72" s="106">
        <v>223.2</v>
      </c>
      <c r="CR72" s="106">
        <v>4</v>
      </c>
      <c r="CS72" s="106">
        <v>297.59999999999997</v>
      </c>
      <c r="CT72" s="106">
        <v>4</v>
      </c>
      <c r="CU72" s="106">
        <v>297.59999999999997</v>
      </c>
    </row>
    <row r="73" spans="2:99" x14ac:dyDescent="0.2">
      <c r="C73" s="105" t="s">
        <v>239</v>
      </c>
      <c r="D73" s="106">
        <v>16</v>
      </c>
      <c r="E73" s="106">
        <v>8947.1999999999989</v>
      </c>
      <c r="F73" s="106">
        <v>21</v>
      </c>
      <c r="G73" s="106">
        <v>11743.199999999999</v>
      </c>
      <c r="H73" s="106">
        <v>18</v>
      </c>
      <c r="I73" s="106">
        <v>10065.599999999999</v>
      </c>
      <c r="J73" s="106">
        <v>19</v>
      </c>
      <c r="K73" s="106">
        <v>10624.8</v>
      </c>
      <c r="L73" s="106">
        <v>16</v>
      </c>
      <c r="M73" s="106">
        <v>8947.1999999999989</v>
      </c>
      <c r="N73" s="106">
        <v>12</v>
      </c>
      <c r="O73" s="106">
        <v>6710.4</v>
      </c>
      <c r="P73" s="106">
        <v>13</v>
      </c>
      <c r="Q73" s="106">
        <v>7269.5999999999995</v>
      </c>
      <c r="R73" s="106">
        <v>21</v>
      </c>
      <c r="S73" s="106">
        <v>11743.199999999999</v>
      </c>
      <c r="T73" s="106">
        <v>7</v>
      </c>
      <c r="U73" s="106">
        <v>3914.3999999999996</v>
      </c>
      <c r="V73" s="106">
        <v>7</v>
      </c>
      <c r="W73" s="106">
        <v>3914.3999999999996</v>
      </c>
      <c r="X73" s="106">
        <v>6</v>
      </c>
      <c r="Y73" s="106">
        <v>3355.2</v>
      </c>
      <c r="Z73" s="106">
        <v>6</v>
      </c>
      <c r="AA73" s="106">
        <v>3355.2</v>
      </c>
      <c r="AB73" s="106">
        <v>11</v>
      </c>
      <c r="AC73" s="106">
        <v>6151.1999999999989</v>
      </c>
      <c r="AD73" s="106">
        <v>7</v>
      </c>
      <c r="AE73" s="106">
        <v>3914.3999999999996</v>
      </c>
      <c r="AF73" s="106">
        <v>6</v>
      </c>
      <c r="AG73" s="106">
        <v>3355.2</v>
      </c>
      <c r="AH73" s="106">
        <v>11</v>
      </c>
      <c r="AI73" s="106">
        <v>6151.1999999999989</v>
      </c>
      <c r="AJ73" s="106">
        <v>5</v>
      </c>
      <c r="AK73" s="106">
        <v>2795.9999999999995</v>
      </c>
      <c r="AL73" s="106">
        <v>6</v>
      </c>
      <c r="AM73" s="106">
        <v>3355.2</v>
      </c>
      <c r="AN73" s="106">
        <v>5</v>
      </c>
      <c r="AO73" s="106">
        <v>2795.9999999999995</v>
      </c>
      <c r="AP73" s="106">
        <v>6</v>
      </c>
      <c r="AQ73" s="106">
        <v>3355.2</v>
      </c>
      <c r="AR73" s="106">
        <v>40</v>
      </c>
      <c r="AS73" s="106">
        <v>22367.999999999996</v>
      </c>
      <c r="AT73" s="106">
        <v>35</v>
      </c>
      <c r="AU73" s="106">
        <v>19571.999999999996</v>
      </c>
      <c r="AV73" s="106">
        <v>28</v>
      </c>
      <c r="AW73" s="106">
        <v>15657.599999999999</v>
      </c>
      <c r="AX73" s="106">
        <v>43</v>
      </c>
      <c r="AY73" s="106">
        <v>24045.599999999999</v>
      </c>
      <c r="AZ73" s="106">
        <v>41</v>
      </c>
      <c r="BA73" s="106">
        <v>22927.199999999997</v>
      </c>
      <c r="BB73" s="106">
        <v>62</v>
      </c>
      <c r="BC73" s="106">
        <v>34670.399999999994</v>
      </c>
      <c r="BD73" s="106">
        <v>63</v>
      </c>
      <c r="BE73" s="106">
        <v>35229.599999999999</v>
      </c>
      <c r="BF73" s="106">
        <v>55</v>
      </c>
      <c r="BG73" s="106">
        <v>30755.999999999996</v>
      </c>
      <c r="BH73" s="106">
        <v>4</v>
      </c>
      <c r="BI73" s="106">
        <v>2236.7999999999997</v>
      </c>
      <c r="BJ73" s="106">
        <v>5</v>
      </c>
      <c r="BK73" s="106">
        <v>2795.9999999999995</v>
      </c>
      <c r="BL73" s="106">
        <v>4</v>
      </c>
      <c r="BM73" s="106">
        <v>2236.7999999999997</v>
      </c>
      <c r="BN73" s="106">
        <v>6</v>
      </c>
      <c r="BO73" s="106">
        <v>3355.2</v>
      </c>
      <c r="BP73" s="106">
        <v>4</v>
      </c>
      <c r="BQ73" s="106">
        <v>2236.7999999999997</v>
      </c>
      <c r="BR73" s="106">
        <v>5</v>
      </c>
      <c r="BS73" s="106">
        <v>2795.9999999999995</v>
      </c>
      <c r="BT73" s="106">
        <v>3</v>
      </c>
      <c r="BU73" s="106">
        <v>1677.6</v>
      </c>
      <c r="BV73" s="106">
        <v>4</v>
      </c>
      <c r="BW73" s="106">
        <v>2236.7999999999997</v>
      </c>
      <c r="BX73" s="106">
        <v>6</v>
      </c>
      <c r="BY73" s="106">
        <v>3355.2</v>
      </c>
      <c r="BZ73" s="106">
        <v>6</v>
      </c>
      <c r="CA73" s="106">
        <v>3355.2</v>
      </c>
      <c r="CB73" s="106">
        <v>4</v>
      </c>
      <c r="CC73" s="106">
        <v>2236.7999999999997</v>
      </c>
      <c r="CD73" s="106">
        <v>5</v>
      </c>
      <c r="CE73" s="106">
        <v>2795.9999999999995</v>
      </c>
      <c r="CF73" s="106">
        <v>28</v>
      </c>
      <c r="CG73" s="106">
        <v>15657.599999999999</v>
      </c>
      <c r="CH73" s="106">
        <v>20</v>
      </c>
      <c r="CI73" s="106">
        <v>11183.999999999998</v>
      </c>
      <c r="CJ73" s="106">
        <v>33</v>
      </c>
      <c r="CK73" s="106">
        <v>18453.599999999999</v>
      </c>
      <c r="CL73" s="106">
        <v>28</v>
      </c>
      <c r="CM73" s="106">
        <v>15657.599999999999</v>
      </c>
      <c r="CN73" s="106">
        <v>4</v>
      </c>
      <c r="CO73" s="106">
        <v>2236.7999999999997</v>
      </c>
      <c r="CP73" s="106">
        <v>2</v>
      </c>
      <c r="CQ73" s="106">
        <v>1118.3999999999999</v>
      </c>
      <c r="CR73" s="106">
        <v>4</v>
      </c>
      <c r="CS73" s="106">
        <v>2236.7999999999997</v>
      </c>
      <c r="CT73" s="106">
        <v>4</v>
      </c>
      <c r="CU73" s="106">
        <v>2236.7999999999997</v>
      </c>
    </row>
    <row r="74" spans="2:99" x14ac:dyDescent="0.2">
      <c r="C74" s="105" t="s">
        <v>240</v>
      </c>
      <c r="D74" s="106">
        <v>17</v>
      </c>
      <c r="E74" s="106">
        <v>6854.4</v>
      </c>
      <c r="F74" s="106">
        <v>23</v>
      </c>
      <c r="G74" s="106">
        <v>9273.6</v>
      </c>
      <c r="H74" s="106">
        <v>17</v>
      </c>
      <c r="I74" s="106">
        <v>6854.4</v>
      </c>
      <c r="J74" s="106">
        <v>22</v>
      </c>
      <c r="K74" s="106">
        <v>8870.4</v>
      </c>
      <c r="L74" s="106">
        <v>18</v>
      </c>
      <c r="M74" s="106">
        <v>7257.5999999999995</v>
      </c>
      <c r="N74" s="106">
        <v>12</v>
      </c>
      <c r="O74" s="106">
        <v>4838.3999999999996</v>
      </c>
      <c r="P74" s="106">
        <v>14</v>
      </c>
      <c r="Q74" s="106">
        <v>5644.8</v>
      </c>
      <c r="R74" s="106">
        <v>19</v>
      </c>
      <c r="S74" s="106">
        <v>7660.8</v>
      </c>
      <c r="T74" s="106">
        <v>6</v>
      </c>
      <c r="U74" s="106">
        <v>2419.1999999999998</v>
      </c>
      <c r="V74" s="106">
        <v>7</v>
      </c>
      <c r="W74" s="106">
        <v>2822.4</v>
      </c>
      <c r="X74" s="106">
        <v>6</v>
      </c>
      <c r="Y74" s="106">
        <v>2419.1999999999998</v>
      </c>
      <c r="Z74" s="106">
        <v>7</v>
      </c>
      <c r="AA74" s="106">
        <v>2822.4</v>
      </c>
      <c r="AB74" s="106">
        <v>11</v>
      </c>
      <c r="AC74" s="106">
        <v>4435.2</v>
      </c>
      <c r="AD74" s="106">
        <v>6</v>
      </c>
      <c r="AE74" s="106">
        <v>2419.1999999999998</v>
      </c>
      <c r="AF74" s="106">
        <v>7</v>
      </c>
      <c r="AG74" s="106">
        <v>2822.4</v>
      </c>
      <c r="AH74" s="106">
        <v>11</v>
      </c>
      <c r="AI74" s="106">
        <v>4435.2</v>
      </c>
      <c r="AJ74" s="106">
        <v>5</v>
      </c>
      <c r="AK74" s="106">
        <v>2016</v>
      </c>
      <c r="AL74" s="106">
        <v>6</v>
      </c>
      <c r="AM74" s="106">
        <v>2419.1999999999998</v>
      </c>
      <c r="AN74" s="106">
        <v>6</v>
      </c>
      <c r="AO74" s="106">
        <v>2419.1999999999998</v>
      </c>
      <c r="AP74" s="106">
        <v>6</v>
      </c>
      <c r="AQ74" s="106">
        <v>2419.1999999999998</v>
      </c>
      <c r="AR74" s="106">
        <v>41</v>
      </c>
      <c r="AS74" s="106">
        <v>16531.2</v>
      </c>
      <c r="AT74" s="106">
        <v>33</v>
      </c>
      <c r="AU74" s="106">
        <v>13305.6</v>
      </c>
      <c r="AV74" s="106">
        <v>28</v>
      </c>
      <c r="AW74" s="106">
        <v>11289.6</v>
      </c>
      <c r="AX74" s="106">
        <v>46</v>
      </c>
      <c r="AY74" s="106">
        <v>18547.2</v>
      </c>
      <c r="AZ74" s="106">
        <v>46</v>
      </c>
      <c r="BA74" s="106">
        <v>18547.2</v>
      </c>
      <c r="BB74" s="106">
        <v>60</v>
      </c>
      <c r="BC74" s="106">
        <v>24192</v>
      </c>
      <c r="BD74" s="106">
        <v>74</v>
      </c>
      <c r="BE74" s="106">
        <v>29836.799999999999</v>
      </c>
      <c r="BF74" s="106">
        <v>65</v>
      </c>
      <c r="BG74" s="106">
        <v>26208</v>
      </c>
      <c r="BH74" s="106">
        <v>4</v>
      </c>
      <c r="BI74" s="106">
        <v>1612.8</v>
      </c>
      <c r="BJ74" s="106">
        <v>4</v>
      </c>
      <c r="BK74" s="106">
        <v>1612.8</v>
      </c>
      <c r="BL74" s="106">
        <v>4</v>
      </c>
      <c r="BM74" s="106">
        <v>1612.8</v>
      </c>
      <c r="BN74" s="106">
        <v>6</v>
      </c>
      <c r="BO74" s="106">
        <v>2419.1999999999998</v>
      </c>
      <c r="BP74" s="106">
        <v>3</v>
      </c>
      <c r="BQ74" s="106">
        <v>1209.5999999999999</v>
      </c>
      <c r="BR74" s="106">
        <v>5</v>
      </c>
      <c r="BS74" s="106">
        <v>2016</v>
      </c>
      <c r="BT74" s="106">
        <v>3</v>
      </c>
      <c r="BU74" s="106">
        <v>1209.5999999999999</v>
      </c>
      <c r="BV74" s="106">
        <v>4</v>
      </c>
      <c r="BW74" s="106">
        <v>1612.8</v>
      </c>
      <c r="BX74" s="106">
        <v>7</v>
      </c>
      <c r="BY74" s="106">
        <v>2822.4</v>
      </c>
      <c r="BZ74" s="106">
        <v>6</v>
      </c>
      <c r="CA74" s="106">
        <v>2419.1999999999998</v>
      </c>
      <c r="CB74" s="106">
        <v>4</v>
      </c>
      <c r="CC74" s="106">
        <v>1612.8</v>
      </c>
      <c r="CD74" s="106">
        <v>5</v>
      </c>
      <c r="CE74" s="106">
        <v>2016</v>
      </c>
      <c r="CF74" s="106">
        <v>33</v>
      </c>
      <c r="CG74" s="106">
        <v>13305.6</v>
      </c>
      <c r="CH74" s="106">
        <v>21</v>
      </c>
      <c r="CI74" s="106">
        <v>8467.1999999999989</v>
      </c>
      <c r="CJ74" s="106">
        <v>36</v>
      </c>
      <c r="CK74" s="106">
        <v>14515.199999999999</v>
      </c>
      <c r="CL74" s="106">
        <v>31</v>
      </c>
      <c r="CM74" s="106">
        <v>12499.199999999999</v>
      </c>
      <c r="CN74" s="106">
        <v>4</v>
      </c>
      <c r="CO74" s="106">
        <v>1612.8</v>
      </c>
      <c r="CP74" s="106">
        <v>2</v>
      </c>
      <c r="CQ74" s="106">
        <v>806.4</v>
      </c>
      <c r="CR74" s="106">
        <v>3</v>
      </c>
      <c r="CS74" s="106">
        <v>1209.5999999999999</v>
      </c>
      <c r="CT74" s="106">
        <v>4</v>
      </c>
      <c r="CU74" s="106">
        <v>1612.8</v>
      </c>
    </row>
    <row r="75" spans="2:99" x14ac:dyDescent="0.2">
      <c r="C75" s="105" t="s">
        <v>241</v>
      </c>
      <c r="D75" s="106">
        <v>18</v>
      </c>
      <c r="E75" s="106">
        <v>11577.599999999999</v>
      </c>
      <c r="F75" s="106">
        <v>22</v>
      </c>
      <c r="G75" s="106">
        <v>14150.399999999998</v>
      </c>
      <c r="H75" s="106">
        <v>20</v>
      </c>
      <c r="I75" s="106">
        <v>12863.999999999998</v>
      </c>
      <c r="J75" s="106">
        <v>19</v>
      </c>
      <c r="K75" s="106">
        <v>12220.8</v>
      </c>
      <c r="L75" s="106">
        <v>18</v>
      </c>
      <c r="M75" s="106">
        <v>11577.599999999999</v>
      </c>
      <c r="N75" s="106">
        <v>12</v>
      </c>
      <c r="O75" s="106">
        <v>7718.4</v>
      </c>
      <c r="P75" s="106">
        <v>12</v>
      </c>
      <c r="Q75" s="106">
        <v>7718.4</v>
      </c>
      <c r="R75" s="106">
        <v>18</v>
      </c>
      <c r="S75" s="106">
        <v>11577.599999999999</v>
      </c>
      <c r="T75" s="106">
        <v>6</v>
      </c>
      <c r="U75" s="106">
        <v>3859.2</v>
      </c>
      <c r="V75" s="106">
        <v>7</v>
      </c>
      <c r="W75" s="106">
        <v>4502.3999999999996</v>
      </c>
      <c r="X75" s="106">
        <v>5</v>
      </c>
      <c r="Y75" s="106">
        <v>3215.9999999999995</v>
      </c>
      <c r="Z75" s="106">
        <v>6</v>
      </c>
      <c r="AA75" s="106">
        <v>3859.2</v>
      </c>
      <c r="AB75" s="106">
        <v>10</v>
      </c>
      <c r="AC75" s="106">
        <v>6431.9999999999991</v>
      </c>
      <c r="AD75" s="106">
        <v>6</v>
      </c>
      <c r="AE75" s="106">
        <v>3859.2</v>
      </c>
      <c r="AF75" s="106">
        <v>7</v>
      </c>
      <c r="AG75" s="106">
        <v>4502.3999999999996</v>
      </c>
      <c r="AH75" s="106">
        <v>10</v>
      </c>
      <c r="AI75" s="106">
        <v>6431.9999999999991</v>
      </c>
      <c r="AJ75" s="106">
        <v>4</v>
      </c>
      <c r="AK75" s="106">
        <v>2572.7999999999997</v>
      </c>
      <c r="AL75" s="106">
        <v>6</v>
      </c>
      <c r="AM75" s="106">
        <v>3859.2</v>
      </c>
      <c r="AN75" s="106">
        <v>5</v>
      </c>
      <c r="AO75" s="106">
        <v>3215.9999999999995</v>
      </c>
      <c r="AP75" s="106">
        <v>5</v>
      </c>
      <c r="AQ75" s="106">
        <v>3215.9999999999995</v>
      </c>
      <c r="AR75" s="106">
        <v>37</v>
      </c>
      <c r="AS75" s="106">
        <v>23798.399999999998</v>
      </c>
      <c r="AT75" s="106">
        <v>31</v>
      </c>
      <c r="AU75" s="106">
        <v>19939.199999999997</v>
      </c>
      <c r="AV75" s="106">
        <v>28</v>
      </c>
      <c r="AW75" s="106">
        <v>18009.599999999999</v>
      </c>
      <c r="AX75" s="106">
        <v>44</v>
      </c>
      <c r="AY75" s="106">
        <v>28300.799999999996</v>
      </c>
      <c r="AZ75" s="106">
        <v>43</v>
      </c>
      <c r="BA75" s="106">
        <v>27657.599999999999</v>
      </c>
      <c r="BB75" s="106">
        <v>59</v>
      </c>
      <c r="BC75" s="106">
        <v>37948.799999999996</v>
      </c>
      <c r="BD75" s="106">
        <v>59</v>
      </c>
      <c r="BE75" s="106">
        <v>37948.799999999996</v>
      </c>
      <c r="BF75" s="106">
        <v>60</v>
      </c>
      <c r="BG75" s="106">
        <v>38591.999999999993</v>
      </c>
      <c r="BH75" s="106">
        <v>4</v>
      </c>
      <c r="BI75" s="106">
        <v>2572.7999999999997</v>
      </c>
      <c r="BJ75" s="106">
        <v>5</v>
      </c>
      <c r="BK75" s="106">
        <v>3215.9999999999995</v>
      </c>
      <c r="BL75" s="106">
        <v>4</v>
      </c>
      <c r="BM75" s="106">
        <v>2572.7999999999997</v>
      </c>
      <c r="BN75" s="106">
        <v>7</v>
      </c>
      <c r="BO75" s="106">
        <v>4502.3999999999996</v>
      </c>
      <c r="BP75" s="106">
        <v>4</v>
      </c>
      <c r="BQ75" s="106">
        <v>2572.7999999999997</v>
      </c>
      <c r="BR75" s="106">
        <v>5</v>
      </c>
      <c r="BS75" s="106">
        <v>3215.9999999999995</v>
      </c>
      <c r="BT75" s="106">
        <v>4</v>
      </c>
      <c r="BU75" s="106">
        <v>2572.7999999999997</v>
      </c>
      <c r="BV75" s="106">
        <v>4</v>
      </c>
      <c r="BW75" s="106">
        <v>2572.7999999999997</v>
      </c>
      <c r="BX75" s="106">
        <v>6</v>
      </c>
      <c r="BY75" s="106">
        <v>3859.2</v>
      </c>
      <c r="BZ75" s="106">
        <v>5</v>
      </c>
      <c r="CA75" s="106">
        <v>3215.9999999999995</v>
      </c>
      <c r="CB75" s="106">
        <v>4</v>
      </c>
      <c r="CC75" s="106">
        <v>2572.7999999999997</v>
      </c>
      <c r="CD75" s="106">
        <v>5</v>
      </c>
      <c r="CE75" s="106">
        <v>3215.9999999999995</v>
      </c>
      <c r="CF75" s="106">
        <v>32</v>
      </c>
      <c r="CG75" s="106">
        <v>20582.399999999998</v>
      </c>
      <c r="CH75" s="106">
        <v>22</v>
      </c>
      <c r="CI75" s="106">
        <v>14150.399999999998</v>
      </c>
      <c r="CJ75" s="106">
        <v>32</v>
      </c>
      <c r="CK75" s="106">
        <v>20582.399999999998</v>
      </c>
      <c r="CL75" s="106">
        <v>28</v>
      </c>
      <c r="CM75" s="106">
        <v>18009.599999999999</v>
      </c>
      <c r="CN75" s="106">
        <v>4</v>
      </c>
      <c r="CO75" s="106">
        <v>2572.7999999999997</v>
      </c>
      <c r="CP75" s="106">
        <v>2</v>
      </c>
      <c r="CQ75" s="106">
        <v>1286.3999999999999</v>
      </c>
      <c r="CR75" s="106">
        <v>3</v>
      </c>
      <c r="CS75" s="106">
        <v>1929.6</v>
      </c>
      <c r="CT75" s="106">
        <v>4</v>
      </c>
      <c r="CU75" s="106">
        <v>2572.7999999999997</v>
      </c>
    </row>
    <row r="76" spans="2:99" x14ac:dyDescent="0.2">
      <c r="C76" s="105" t="s">
        <v>242</v>
      </c>
      <c r="D76" s="106">
        <v>18</v>
      </c>
      <c r="E76" s="106">
        <v>14018.4</v>
      </c>
      <c r="F76" s="106">
        <v>19</v>
      </c>
      <c r="G76" s="106">
        <v>14797.199999999999</v>
      </c>
      <c r="H76" s="106">
        <v>19</v>
      </c>
      <c r="I76" s="106">
        <v>14797.199999999999</v>
      </c>
      <c r="J76" s="106">
        <v>21</v>
      </c>
      <c r="K76" s="106">
        <v>16354.8</v>
      </c>
      <c r="L76" s="106">
        <v>18</v>
      </c>
      <c r="M76" s="106">
        <v>14018.4</v>
      </c>
      <c r="N76" s="106">
        <v>11</v>
      </c>
      <c r="O76" s="106">
        <v>8566.7999999999993</v>
      </c>
      <c r="P76" s="106">
        <v>13</v>
      </c>
      <c r="Q76" s="106">
        <v>10124.4</v>
      </c>
      <c r="R76" s="106">
        <v>18</v>
      </c>
      <c r="S76" s="106">
        <v>14018.4</v>
      </c>
      <c r="T76" s="106">
        <v>6</v>
      </c>
      <c r="U76" s="106">
        <v>4672.7999999999993</v>
      </c>
      <c r="V76" s="106">
        <v>7</v>
      </c>
      <c r="W76" s="106">
        <v>5451.5999999999995</v>
      </c>
      <c r="X76" s="106">
        <v>6</v>
      </c>
      <c r="Y76" s="106">
        <v>4672.7999999999993</v>
      </c>
      <c r="Z76" s="106">
        <v>6</v>
      </c>
      <c r="AA76" s="106">
        <v>4672.7999999999993</v>
      </c>
      <c r="AB76" s="106">
        <v>10</v>
      </c>
      <c r="AC76" s="106">
        <v>7788</v>
      </c>
      <c r="AD76" s="106">
        <v>6</v>
      </c>
      <c r="AE76" s="106">
        <v>4672.7999999999993</v>
      </c>
      <c r="AF76" s="106">
        <v>7</v>
      </c>
      <c r="AG76" s="106">
        <v>5451.5999999999995</v>
      </c>
      <c r="AH76" s="106">
        <v>11</v>
      </c>
      <c r="AI76" s="106">
        <v>8566.7999999999993</v>
      </c>
      <c r="AJ76" s="106">
        <v>5</v>
      </c>
      <c r="AK76" s="106">
        <v>3894</v>
      </c>
      <c r="AL76" s="106">
        <v>5</v>
      </c>
      <c r="AM76" s="106">
        <v>3894</v>
      </c>
      <c r="AN76" s="106">
        <v>5</v>
      </c>
      <c r="AO76" s="106">
        <v>3894</v>
      </c>
      <c r="AP76" s="106">
        <v>6</v>
      </c>
      <c r="AQ76" s="106">
        <v>4672.7999999999993</v>
      </c>
      <c r="AR76" s="106">
        <v>37</v>
      </c>
      <c r="AS76" s="106">
        <v>28815.599999999999</v>
      </c>
      <c r="AT76" s="106">
        <v>32</v>
      </c>
      <c r="AU76" s="106">
        <v>24921.599999999999</v>
      </c>
      <c r="AV76" s="106">
        <v>28</v>
      </c>
      <c r="AW76" s="106">
        <v>21806.399999999998</v>
      </c>
      <c r="AX76" s="106">
        <v>39</v>
      </c>
      <c r="AY76" s="106">
        <v>30373.199999999997</v>
      </c>
      <c r="AZ76" s="106">
        <v>39</v>
      </c>
      <c r="BA76" s="106">
        <v>30373.199999999997</v>
      </c>
      <c r="BB76" s="106">
        <v>60</v>
      </c>
      <c r="BC76" s="106">
        <v>46728</v>
      </c>
      <c r="BD76" s="106">
        <v>62</v>
      </c>
      <c r="BE76" s="106">
        <v>48285.599999999999</v>
      </c>
      <c r="BF76" s="106">
        <v>56</v>
      </c>
      <c r="BG76" s="106">
        <v>43612.799999999996</v>
      </c>
      <c r="BH76" s="106">
        <v>3</v>
      </c>
      <c r="BI76" s="106">
        <v>2336.3999999999996</v>
      </c>
      <c r="BJ76" s="106">
        <v>4</v>
      </c>
      <c r="BK76" s="106">
        <v>3115.2</v>
      </c>
      <c r="BL76" s="106">
        <v>4</v>
      </c>
      <c r="BM76" s="106">
        <v>3115.2</v>
      </c>
      <c r="BN76" s="106">
        <v>6</v>
      </c>
      <c r="BO76" s="106">
        <v>4672.7999999999993</v>
      </c>
      <c r="BP76" s="106">
        <v>4</v>
      </c>
      <c r="BQ76" s="106">
        <v>3115.2</v>
      </c>
      <c r="BR76" s="106">
        <v>5</v>
      </c>
      <c r="BS76" s="106">
        <v>3894</v>
      </c>
      <c r="BT76" s="106">
        <v>3</v>
      </c>
      <c r="BU76" s="106">
        <v>2336.3999999999996</v>
      </c>
      <c r="BV76" s="106">
        <v>4</v>
      </c>
      <c r="BW76" s="106">
        <v>3115.2</v>
      </c>
      <c r="BX76" s="106">
        <v>6</v>
      </c>
      <c r="BY76" s="106">
        <v>4672.7999999999993</v>
      </c>
      <c r="BZ76" s="106">
        <v>5</v>
      </c>
      <c r="CA76" s="106">
        <v>3894</v>
      </c>
      <c r="CB76" s="106">
        <v>4</v>
      </c>
      <c r="CC76" s="106">
        <v>3115.2</v>
      </c>
      <c r="CD76" s="106">
        <v>5</v>
      </c>
      <c r="CE76" s="106">
        <v>3894</v>
      </c>
      <c r="CF76" s="106">
        <v>26</v>
      </c>
      <c r="CG76" s="106">
        <v>20248.8</v>
      </c>
      <c r="CH76" s="106">
        <v>20</v>
      </c>
      <c r="CI76" s="106">
        <v>15576</v>
      </c>
      <c r="CJ76" s="106">
        <v>34</v>
      </c>
      <c r="CK76" s="106">
        <v>26479.199999999997</v>
      </c>
      <c r="CL76" s="106">
        <v>31</v>
      </c>
      <c r="CM76" s="106">
        <v>24142.799999999999</v>
      </c>
      <c r="CN76" s="106">
        <v>4</v>
      </c>
      <c r="CO76" s="106">
        <v>3115.2</v>
      </c>
      <c r="CP76" s="106">
        <v>2</v>
      </c>
      <c r="CQ76" s="106">
        <v>1557.6</v>
      </c>
      <c r="CR76" s="106">
        <v>4</v>
      </c>
      <c r="CS76" s="106">
        <v>3115.2</v>
      </c>
      <c r="CT76" s="106">
        <v>4</v>
      </c>
      <c r="CU76" s="106">
        <v>3115.2</v>
      </c>
    </row>
    <row r="77" spans="2:99" x14ac:dyDescent="0.2">
      <c r="C77" s="105" t="s">
        <v>243</v>
      </c>
      <c r="D77" s="106">
        <v>17</v>
      </c>
      <c r="E77" s="106">
        <v>4732.7999999999993</v>
      </c>
      <c r="F77" s="106">
        <v>20</v>
      </c>
      <c r="G77" s="106">
        <v>5568</v>
      </c>
      <c r="H77" s="106">
        <v>19</v>
      </c>
      <c r="I77" s="106">
        <v>5289.5999999999995</v>
      </c>
      <c r="J77" s="106">
        <v>21</v>
      </c>
      <c r="K77" s="106">
        <v>5846.4</v>
      </c>
      <c r="L77" s="106">
        <v>20</v>
      </c>
      <c r="M77" s="106">
        <v>5568</v>
      </c>
      <c r="N77" s="106">
        <v>14</v>
      </c>
      <c r="O77" s="106">
        <v>3897.5999999999995</v>
      </c>
      <c r="P77" s="106">
        <v>14</v>
      </c>
      <c r="Q77" s="106">
        <v>3897.5999999999995</v>
      </c>
      <c r="R77" s="106">
        <v>22</v>
      </c>
      <c r="S77" s="106">
        <v>6124.7999999999993</v>
      </c>
      <c r="T77" s="106">
        <v>6</v>
      </c>
      <c r="U77" s="106">
        <v>1670.3999999999999</v>
      </c>
      <c r="V77" s="106">
        <v>7</v>
      </c>
      <c r="W77" s="106">
        <v>1948.7999999999997</v>
      </c>
      <c r="X77" s="106">
        <v>7</v>
      </c>
      <c r="Y77" s="106">
        <v>1948.7999999999997</v>
      </c>
      <c r="Z77" s="106">
        <v>6</v>
      </c>
      <c r="AA77" s="106">
        <v>1670.3999999999999</v>
      </c>
      <c r="AB77" s="106">
        <v>10</v>
      </c>
      <c r="AC77" s="106">
        <v>2784</v>
      </c>
      <c r="AD77" s="106">
        <v>7</v>
      </c>
      <c r="AE77" s="106">
        <v>1948.7999999999997</v>
      </c>
      <c r="AF77" s="106">
        <v>8</v>
      </c>
      <c r="AG77" s="106">
        <v>2227.1999999999998</v>
      </c>
      <c r="AH77" s="106">
        <v>12</v>
      </c>
      <c r="AI77" s="106">
        <v>3340.7999999999997</v>
      </c>
      <c r="AJ77" s="106">
        <v>5</v>
      </c>
      <c r="AK77" s="106">
        <v>1392</v>
      </c>
      <c r="AL77" s="106">
        <v>6</v>
      </c>
      <c r="AM77" s="106">
        <v>1670.3999999999999</v>
      </c>
      <c r="AN77" s="106">
        <v>5</v>
      </c>
      <c r="AO77" s="106">
        <v>1392</v>
      </c>
      <c r="AP77" s="106">
        <v>5</v>
      </c>
      <c r="AQ77" s="106">
        <v>1392</v>
      </c>
      <c r="AR77" s="106">
        <v>39</v>
      </c>
      <c r="AS77" s="106">
        <v>10857.599999999999</v>
      </c>
      <c r="AT77" s="106">
        <v>34</v>
      </c>
      <c r="AU77" s="106">
        <v>9465.5999999999985</v>
      </c>
      <c r="AV77" s="106">
        <v>34</v>
      </c>
      <c r="AW77" s="106">
        <v>9465.5999999999985</v>
      </c>
      <c r="AX77" s="106">
        <v>50</v>
      </c>
      <c r="AY77" s="106">
        <v>13919.999999999998</v>
      </c>
      <c r="AZ77" s="106">
        <v>50</v>
      </c>
      <c r="BA77" s="106">
        <v>13919.999999999998</v>
      </c>
      <c r="BB77" s="106">
        <v>65</v>
      </c>
      <c r="BC77" s="106">
        <v>18096</v>
      </c>
      <c r="BD77" s="106">
        <v>72</v>
      </c>
      <c r="BE77" s="106">
        <v>20044.8</v>
      </c>
      <c r="BF77" s="106">
        <v>65</v>
      </c>
      <c r="BG77" s="106">
        <v>18096</v>
      </c>
      <c r="BH77" s="106">
        <v>4</v>
      </c>
      <c r="BI77" s="106">
        <v>1113.5999999999999</v>
      </c>
      <c r="BJ77" s="106">
        <v>5</v>
      </c>
      <c r="BK77" s="106">
        <v>1392</v>
      </c>
      <c r="BL77" s="106">
        <v>4</v>
      </c>
      <c r="BM77" s="106">
        <v>1113.5999999999999</v>
      </c>
      <c r="BN77" s="106">
        <v>6</v>
      </c>
      <c r="BO77" s="106">
        <v>1670.3999999999999</v>
      </c>
      <c r="BP77" s="106">
        <v>4</v>
      </c>
      <c r="BQ77" s="106">
        <v>1113.5999999999999</v>
      </c>
      <c r="BR77" s="106">
        <v>5</v>
      </c>
      <c r="BS77" s="106">
        <v>1392</v>
      </c>
      <c r="BT77" s="106">
        <v>4</v>
      </c>
      <c r="BU77" s="106">
        <v>1113.5999999999999</v>
      </c>
      <c r="BV77" s="106">
        <v>4</v>
      </c>
      <c r="BW77" s="106">
        <v>1113.5999999999999</v>
      </c>
      <c r="BX77" s="106">
        <v>6</v>
      </c>
      <c r="BY77" s="106">
        <v>1670.3999999999999</v>
      </c>
      <c r="BZ77" s="106">
        <v>6</v>
      </c>
      <c r="CA77" s="106">
        <v>1670.3999999999999</v>
      </c>
      <c r="CB77" s="106">
        <v>4</v>
      </c>
      <c r="CC77" s="106">
        <v>1113.5999999999999</v>
      </c>
      <c r="CD77" s="106">
        <v>6</v>
      </c>
      <c r="CE77" s="106">
        <v>1670.3999999999999</v>
      </c>
      <c r="CF77" s="106">
        <v>32</v>
      </c>
      <c r="CG77" s="106">
        <v>8908.7999999999993</v>
      </c>
      <c r="CH77" s="106">
        <v>20</v>
      </c>
      <c r="CI77" s="106">
        <v>5568</v>
      </c>
      <c r="CJ77" s="106">
        <v>36</v>
      </c>
      <c r="CK77" s="106">
        <v>10022.4</v>
      </c>
      <c r="CL77" s="106">
        <v>33</v>
      </c>
      <c r="CM77" s="106">
        <v>9187.1999999999989</v>
      </c>
      <c r="CN77" s="106">
        <v>4</v>
      </c>
      <c r="CO77" s="106">
        <v>1113.5999999999999</v>
      </c>
      <c r="CP77" s="106">
        <v>3</v>
      </c>
      <c r="CQ77" s="106">
        <v>835.19999999999993</v>
      </c>
      <c r="CR77" s="106">
        <v>4</v>
      </c>
      <c r="CS77" s="106">
        <v>1113.5999999999999</v>
      </c>
      <c r="CT77" s="106">
        <v>4</v>
      </c>
      <c r="CU77" s="106">
        <v>1113.5999999999999</v>
      </c>
    </row>
    <row r="78" spans="2:99" x14ac:dyDescent="0.2">
      <c r="C78" s="105" t="s">
        <v>244</v>
      </c>
      <c r="D78" s="106">
        <v>17</v>
      </c>
      <c r="E78" s="106">
        <v>9384</v>
      </c>
      <c r="F78" s="106">
        <v>21</v>
      </c>
      <c r="G78" s="106">
        <v>11592</v>
      </c>
      <c r="H78" s="106">
        <v>18</v>
      </c>
      <c r="I78" s="106">
        <v>9936</v>
      </c>
      <c r="J78" s="106">
        <v>21</v>
      </c>
      <c r="K78" s="106">
        <v>11592</v>
      </c>
      <c r="L78" s="106">
        <v>19</v>
      </c>
      <c r="M78" s="106">
        <v>10488</v>
      </c>
      <c r="N78" s="106">
        <v>11</v>
      </c>
      <c r="O78" s="106">
        <v>6072</v>
      </c>
      <c r="P78" s="106">
        <v>12</v>
      </c>
      <c r="Q78" s="106">
        <v>6624</v>
      </c>
      <c r="R78" s="106">
        <v>20</v>
      </c>
      <c r="S78" s="106">
        <v>11040</v>
      </c>
      <c r="T78" s="106">
        <v>6</v>
      </c>
      <c r="U78" s="106">
        <v>3312</v>
      </c>
      <c r="V78" s="106">
        <v>6</v>
      </c>
      <c r="W78" s="106">
        <v>3312</v>
      </c>
      <c r="X78" s="106">
        <v>6</v>
      </c>
      <c r="Y78" s="106">
        <v>3312</v>
      </c>
      <c r="Z78" s="106">
        <v>6</v>
      </c>
      <c r="AA78" s="106">
        <v>3312</v>
      </c>
      <c r="AB78" s="106">
        <v>10</v>
      </c>
      <c r="AC78" s="106">
        <v>5520</v>
      </c>
      <c r="AD78" s="106">
        <v>6</v>
      </c>
      <c r="AE78" s="106">
        <v>3312</v>
      </c>
      <c r="AF78" s="106">
        <v>7</v>
      </c>
      <c r="AG78" s="106">
        <v>3864</v>
      </c>
      <c r="AH78" s="106">
        <v>11</v>
      </c>
      <c r="AI78" s="106">
        <v>6072</v>
      </c>
      <c r="AJ78" s="106">
        <v>4</v>
      </c>
      <c r="AK78" s="106">
        <v>2208</v>
      </c>
      <c r="AL78" s="106">
        <v>6</v>
      </c>
      <c r="AM78" s="106">
        <v>3312</v>
      </c>
      <c r="AN78" s="106">
        <v>6</v>
      </c>
      <c r="AO78" s="106">
        <v>3312</v>
      </c>
      <c r="AP78" s="106">
        <v>6</v>
      </c>
      <c r="AQ78" s="106">
        <v>3312</v>
      </c>
      <c r="AR78" s="106">
        <v>35</v>
      </c>
      <c r="AS78" s="106">
        <v>19320</v>
      </c>
      <c r="AT78" s="106">
        <v>37</v>
      </c>
      <c r="AU78" s="106">
        <v>20424</v>
      </c>
      <c r="AV78" s="106">
        <v>31</v>
      </c>
      <c r="AW78" s="106">
        <v>17112</v>
      </c>
      <c r="AX78" s="106">
        <v>46</v>
      </c>
      <c r="AY78" s="106">
        <v>25392</v>
      </c>
      <c r="AZ78" s="106">
        <v>45</v>
      </c>
      <c r="BA78" s="106">
        <v>24840</v>
      </c>
      <c r="BB78" s="106">
        <v>54</v>
      </c>
      <c r="BC78" s="106">
        <v>29808</v>
      </c>
      <c r="BD78" s="106">
        <v>70</v>
      </c>
      <c r="BE78" s="106">
        <v>38640</v>
      </c>
      <c r="BF78" s="106">
        <v>58</v>
      </c>
      <c r="BG78" s="106">
        <v>32016</v>
      </c>
      <c r="BH78" s="106">
        <v>4</v>
      </c>
      <c r="BI78" s="106">
        <v>2208</v>
      </c>
      <c r="BJ78" s="106">
        <v>5</v>
      </c>
      <c r="BK78" s="106">
        <v>2760</v>
      </c>
      <c r="BL78" s="106">
        <v>4</v>
      </c>
      <c r="BM78" s="106">
        <v>2208</v>
      </c>
      <c r="BN78" s="106">
        <v>6</v>
      </c>
      <c r="BO78" s="106">
        <v>3312</v>
      </c>
      <c r="BP78" s="106">
        <v>4</v>
      </c>
      <c r="BQ78" s="106">
        <v>2208</v>
      </c>
      <c r="BR78" s="106">
        <v>5</v>
      </c>
      <c r="BS78" s="106">
        <v>2760</v>
      </c>
      <c r="BT78" s="106">
        <v>3</v>
      </c>
      <c r="BU78" s="106">
        <v>1656</v>
      </c>
      <c r="BV78" s="106">
        <v>4</v>
      </c>
      <c r="BW78" s="106">
        <v>2208</v>
      </c>
      <c r="BX78" s="106">
        <v>6</v>
      </c>
      <c r="BY78" s="106">
        <v>3312</v>
      </c>
      <c r="BZ78" s="106">
        <v>5</v>
      </c>
      <c r="CA78" s="106">
        <v>2760</v>
      </c>
      <c r="CB78" s="106">
        <v>4</v>
      </c>
      <c r="CC78" s="106">
        <v>2208</v>
      </c>
      <c r="CD78" s="106">
        <v>5</v>
      </c>
      <c r="CE78" s="106">
        <v>2760</v>
      </c>
      <c r="CF78" s="106">
        <v>33</v>
      </c>
      <c r="CG78" s="106">
        <v>18216</v>
      </c>
      <c r="CH78" s="106">
        <v>19</v>
      </c>
      <c r="CI78" s="106">
        <v>10488</v>
      </c>
      <c r="CJ78" s="106">
        <v>34</v>
      </c>
      <c r="CK78" s="106">
        <v>18768</v>
      </c>
      <c r="CL78" s="106">
        <v>28</v>
      </c>
      <c r="CM78" s="106">
        <v>15456</v>
      </c>
      <c r="CN78" s="106">
        <v>4</v>
      </c>
      <c r="CO78" s="106">
        <v>2208</v>
      </c>
      <c r="CP78" s="106">
        <v>2</v>
      </c>
      <c r="CQ78" s="106">
        <v>1104</v>
      </c>
      <c r="CR78" s="106">
        <v>3</v>
      </c>
      <c r="CS78" s="106">
        <v>1656</v>
      </c>
      <c r="CT78" s="106">
        <v>4</v>
      </c>
      <c r="CU78" s="106">
        <v>2208</v>
      </c>
    </row>
    <row r="79" spans="2:99" x14ac:dyDescent="0.2">
      <c r="C79" s="105" t="s">
        <v>245</v>
      </c>
      <c r="D79" s="106">
        <v>17</v>
      </c>
      <c r="E79" s="106">
        <v>12872.4</v>
      </c>
      <c r="F79" s="106">
        <v>21</v>
      </c>
      <c r="G79" s="106">
        <v>15901.199999999999</v>
      </c>
      <c r="H79" s="106">
        <v>20</v>
      </c>
      <c r="I79" s="106">
        <v>15143.999999999998</v>
      </c>
      <c r="J79" s="106">
        <v>19</v>
      </c>
      <c r="K79" s="106">
        <v>14386.8</v>
      </c>
      <c r="L79" s="106">
        <v>18</v>
      </c>
      <c r="M79" s="106">
        <v>13629.599999999999</v>
      </c>
      <c r="N79" s="106">
        <v>12</v>
      </c>
      <c r="O79" s="106">
        <v>9086.4</v>
      </c>
      <c r="P79" s="106">
        <v>14</v>
      </c>
      <c r="Q79" s="106">
        <v>10600.8</v>
      </c>
      <c r="R79" s="106">
        <v>18</v>
      </c>
      <c r="S79" s="106">
        <v>13629.599999999999</v>
      </c>
      <c r="T79" s="106">
        <v>6</v>
      </c>
      <c r="U79" s="106">
        <v>4543.2</v>
      </c>
      <c r="V79" s="106">
        <v>6</v>
      </c>
      <c r="W79" s="106">
        <v>4543.2</v>
      </c>
      <c r="X79" s="106">
        <v>6</v>
      </c>
      <c r="Y79" s="106">
        <v>4543.2</v>
      </c>
      <c r="Z79" s="106">
        <v>6</v>
      </c>
      <c r="AA79" s="106">
        <v>4543.2</v>
      </c>
      <c r="AB79" s="106">
        <v>10</v>
      </c>
      <c r="AC79" s="106">
        <v>7571.9999999999991</v>
      </c>
      <c r="AD79" s="106">
        <v>6</v>
      </c>
      <c r="AE79" s="106">
        <v>4543.2</v>
      </c>
      <c r="AF79" s="106">
        <v>7</v>
      </c>
      <c r="AG79" s="106">
        <v>5300.4</v>
      </c>
      <c r="AH79" s="106">
        <v>11</v>
      </c>
      <c r="AI79" s="106">
        <v>8329.1999999999989</v>
      </c>
      <c r="AJ79" s="106">
        <v>4</v>
      </c>
      <c r="AK79" s="106">
        <v>3028.7999999999997</v>
      </c>
      <c r="AL79" s="106">
        <v>6</v>
      </c>
      <c r="AM79" s="106">
        <v>4543.2</v>
      </c>
      <c r="AN79" s="106">
        <v>6</v>
      </c>
      <c r="AO79" s="106">
        <v>4543.2</v>
      </c>
      <c r="AP79" s="106">
        <v>5</v>
      </c>
      <c r="AQ79" s="106">
        <v>3785.9999999999995</v>
      </c>
      <c r="AR79" s="106">
        <v>36</v>
      </c>
      <c r="AS79" s="106">
        <v>27259.199999999997</v>
      </c>
      <c r="AT79" s="106">
        <v>31</v>
      </c>
      <c r="AU79" s="106">
        <v>23473.199999999997</v>
      </c>
      <c r="AV79" s="106">
        <v>26</v>
      </c>
      <c r="AW79" s="106">
        <v>19687.199999999997</v>
      </c>
      <c r="AX79" s="106">
        <v>39</v>
      </c>
      <c r="AY79" s="106">
        <v>29530.799999999996</v>
      </c>
      <c r="AZ79" s="106">
        <v>43</v>
      </c>
      <c r="BA79" s="106">
        <v>32559.599999999999</v>
      </c>
      <c r="BB79" s="106">
        <v>55</v>
      </c>
      <c r="BC79" s="106">
        <v>41645.999999999993</v>
      </c>
      <c r="BD79" s="106">
        <v>63</v>
      </c>
      <c r="BE79" s="106">
        <v>47703.6</v>
      </c>
      <c r="BF79" s="106">
        <v>55</v>
      </c>
      <c r="BG79" s="106">
        <v>41645.999999999993</v>
      </c>
      <c r="BH79" s="106">
        <v>3</v>
      </c>
      <c r="BI79" s="106">
        <v>2271.6</v>
      </c>
      <c r="BJ79" s="106">
        <v>5</v>
      </c>
      <c r="BK79" s="106">
        <v>3785.9999999999995</v>
      </c>
      <c r="BL79" s="106">
        <v>4</v>
      </c>
      <c r="BM79" s="106">
        <v>3028.7999999999997</v>
      </c>
      <c r="BN79" s="106">
        <v>6</v>
      </c>
      <c r="BO79" s="106">
        <v>4543.2</v>
      </c>
      <c r="BP79" s="106">
        <v>4</v>
      </c>
      <c r="BQ79" s="106">
        <v>3028.7999999999997</v>
      </c>
      <c r="BR79" s="106">
        <v>5</v>
      </c>
      <c r="BS79" s="106">
        <v>3785.9999999999995</v>
      </c>
      <c r="BT79" s="106">
        <v>3</v>
      </c>
      <c r="BU79" s="106">
        <v>2271.6</v>
      </c>
      <c r="BV79" s="106">
        <v>4</v>
      </c>
      <c r="BW79" s="106">
        <v>3028.7999999999997</v>
      </c>
      <c r="BX79" s="106">
        <v>5</v>
      </c>
      <c r="BY79" s="106">
        <v>3785.9999999999995</v>
      </c>
      <c r="BZ79" s="106">
        <v>5</v>
      </c>
      <c r="CA79" s="106">
        <v>3785.9999999999995</v>
      </c>
      <c r="CB79" s="106">
        <v>4</v>
      </c>
      <c r="CC79" s="106">
        <v>3028.7999999999997</v>
      </c>
      <c r="CD79" s="106">
        <v>5</v>
      </c>
      <c r="CE79" s="106">
        <v>3785.9999999999995</v>
      </c>
      <c r="CF79" s="106">
        <v>32</v>
      </c>
      <c r="CG79" s="106">
        <v>24230.399999999998</v>
      </c>
      <c r="CH79" s="106">
        <v>20</v>
      </c>
      <c r="CI79" s="106">
        <v>15143.999999999998</v>
      </c>
      <c r="CJ79" s="106">
        <v>34</v>
      </c>
      <c r="CK79" s="106">
        <v>25744.799999999999</v>
      </c>
      <c r="CL79" s="106">
        <v>31</v>
      </c>
      <c r="CM79" s="106">
        <v>23473.199999999997</v>
      </c>
      <c r="CN79" s="106">
        <v>4</v>
      </c>
      <c r="CO79" s="106">
        <v>3028.7999999999997</v>
      </c>
      <c r="CP79" s="106">
        <v>2</v>
      </c>
      <c r="CQ79" s="106">
        <v>1514.3999999999999</v>
      </c>
      <c r="CR79" s="106">
        <v>4</v>
      </c>
      <c r="CS79" s="106">
        <v>3028.7999999999997</v>
      </c>
      <c r="CT79" s="106">
        <v>4</v>
      </c>
      <c r="CU79" s="106">
        <v>3028.7999999999997</v>
      </c>
    </row>
    <row r="80" spans="2:99" x14ac:dyDescent="0.2">
      <c r="C80" s="105" t="s">
        <v>246</v>
      </c>
      <c r="D80" s="106">
        <v>18</v>
      </c>
      <c r="E80" s="106">
        <v>14493.599999999999</v>
      </c>
      <c r="F80" s="106">
        <v>20</v>
      </c>
      <c r="G80" s="106">
        <v>16103.999999999998</v>
      </c>
      <c r="H80" s="106">
        <v>18</v>
      </c>
      <c r="I80" s="106">
        <v>14493.599999999999</v>
      </c>
      <c r="J80" s="106">
        <v>20</v>
      </c>
      <c r="K80" s="106">
        <v>16103.999999999998</v>
      </c>
      <c r="L80" s="106">
        <v>15</v>
      </c>
      <c r="M80" s="106">
        <v>12077.999999999998</v>
      </c>
      <c r="N80" s="106">
        <v>11</v>
      </c>
      <c r="O80" s="106">
        <v>8857.1999999999989</v>
      </c>
      <c r="P80" s="106">
        <v>12</v>
      </c>
      <c r="Q80" s="106">
        <v>9662.4</v>
      </c>
      <c r="R80" s="106">
        <v>18</v>
      </c>
      <c r="S80" s="106">
        <v>14493.599999999999</v>
      </c>
      <c r="T80" s="106">
        <v>6</v>
      </c>
      <c r="U80" s="106">
        <v>4831.2</v>
      </c>
      <c r="V80" s="106">
        <v>7</v>
      </c>
      <c r="W80" s="106">
        <v>5636.4</v>
      </c>
      <c r="X80" s="106">
        <v>6</v>
      </c>
      <c r="Y80" s="106">
        <v>4831.2</v>
      </c>
      <c r="Z80" s="106">
        <v>7</v>
      </c>
      <c r="AA80" s="106">
        <v>5636.4</v>
      </c>
      <c r="AB80" s="106">
        <v>10</v>
      </c>
      <c r="AC80" s="106">
        <v>8051.9999999999991</v>
      </c>
      <c r="AD80" s="106">
        <v>6</v>
      </c>
      <c r="AE80" s="106">
        <v>4831.2</v>
      </c>
      <c r="AF80" s="106">
        <v>7</v>
      </c>
      <c r="AG80" s="106">
        <v>5636.4</v>
      </c>
      <c r="AH80" s="106">
        <v>10</v>
      </c>
      <c r="AI80" s="106">
        <v>8051.9999999999991</v>
      </c>
      <c r="AJ80" s="106">
        <v>5</v>
      </c>
      <c r="AK80" s="106">
        <v>4025.9999999999995</v>
      </c>
      <c r="AL80" s="106">
        <v>5</v>
      </c>
      <c r="AM80" s="106">
        <v>4025.9999999999995</v>
      </c>
      <c r="AN80" s="106">
        <v>6</v>
      </c>
      <c r="AO80" s="106">
        <v>4831.2</v>
      </c>
      <c r="AP80" s="106">
        <v>5</v>
      </c>
      <c r="AQ80" s="106">
        <v>4025.9999999999995</v>
      </c>
      <c r="AR80" s="106">
        <v>35</v>
      </c>
      <c r="AS80" s="106">
        <v>28181.999999999996</v>
      </c>
      <c r="AT80" s="106">
        <v>36</v>
      </c>
      <c r="AU80" s="106">
        <v>28987.199999999997</v>
      </c>
      <c r="AV80" s="106">
        <v>27</v>
      </c>
      <c r="AW80" s="106">
        <v>21740.399999999998</v>
      </c>
      <c r="AX80" s="106">
        <v>37</v>
      </c>
      <c r="AY80" s="106">
        <v>29792.399999999998</v>
      </c>
      <c r="AZ80" s="106">
        <v>43</v>
      </c>
      <c r="BA80" s="106">
        <v>34623.599999999999</v>
      </c>
      <c r="BB80" s="106">
        <v>53</v>
      </c>
      <c r="BC80" s="106">
        <v>42675.6</v>
      </c>
      <c r="BD80" s="106">
        <v>65</v>
      </c>
      <c r="BE80" s="106">
        <v>52337.999999999993</v>
      </c>
      <c r="BF80" s="106">
        <v>56</v>
      </c>
      <c r="BG80" s="106">
        <v>45091.199999999997</v>
      </c>
      <c r="BH80" s="106">
        <v>4</v>
      </c>
      <c r="BI80" s="106">
        <v>3220.7999999999997</v>
      </c>
      <c r="BJ80" s="106">
        <v>4</v>
      </c>
      <c r="BK80" s="106">
        <v>3220.7999999999997</v>
      </c>
      <c r="BL80" s="106">
        <v>4</v>
      </c>
      <c r="BM80" s="106">
        <v>3220.7999999999997</v>
      </c>
      <c r="BN80" s="106">
        <v>6</v>
      </c>
      <c r="BO80" s="106">
        <v>4831.2</v>
      </c>
      <c r="BP80" s="106">
        <v>4</v>
      </c>
      <c r="BQ80" s="106">
        <v>3220.7999999999997</v>
      </c>
      <c r="BR80" s="106">
        <v>5</v>
      </c>
      <c r="BS80" s="106">
        <v>4025.9999999999995</v>
      </c>
      <c r="BT80" s="106">
        <v>3</v>
      </c>
      <c r="BU80" s="106">
        <v>2415.6</v>
      </c>
      <c r="BV80" s="106">
        <v>4</v>
      </c>
      <c r="BW80" s="106">
        <v>3220.7999999999997</v>
      </c>
      <c r="BX80" s="106">
        <v>6</v>
      </c>
      <c r="BY80" s="106">
        <v>4831.2</v>
      </c>
      <c r="BZ80" s="106">
        <v>6</v>
      </c>
      <c r="CA80" s="106">
        <v>4831.2</v>
      </c>
      <c r="CB80" s="106">
        <v>4</v>
      </c>
      <c r="CC80" s="106">
        <v>3220.7999999999997</v>
      </c>
      <c r="CD80" s="106">
        <v>5</v>
      </c>
      <c r="CE80" s="106">
        <v>4025.9999999999995</v>
      </c>
      <c r="CF80" s="106">
        <v>31</v>
      </c>
      <c r="CG80" s="106">
        <v>24961.199999999997</v>
      </c>
      <c r="CH80" s="106">
        <v>19</v>
      </c>
      <c r="CI80" s="106">
        <v>15298.8</v>
      </c>
      <c r="CJ80" s="106">
        <v>34</v>
      </c>
      <c r="CK80" s="106">
        <v>27376.799999999999</v>
      </c>
      <c r="CL80" s="106">
        <v>27</v>
      </c>
      <c r="CM80" s="106">
        <v>21740.399999999998</v>
      </c>
      <c r="CN80" s="106">
        <v>4</v>
      </c>
      <c r="CO80" s="106">
        <v>3220.7999999999997</v>
      </c>
      <c r="CP80" s="106">
        <v>3</v>
      </c>
      <c r="CQ80" s="106">
        <v>2415.6</v>
      </c>
      <c r="CR80" s="106">
        <v>3</v>
      </c>
      <c r="CS80" s="106">
        <v>2415.6</v>
      </c>
      <c r="CT80" s="106">
        <v>3</v>
      </c>
      <c r="CU80" s="106">
        <v>2415.6</v>
      </c>
    </row>
    <row r="81" spans="2:99" x14ac:dyDescent="0.2">
      <c r="C81" s="105" t="s">
        <v>247</v>
      </c>
      <c r="D81" s="106">
        <v>19</v>
      </c>
      <c r="E81" s="106">
        <v>14318.4</v>
      </c>
      <c r="F81" s="106">
        <v>19</v>
      </c>
      <c r="G81" s="106">
        <v>14318.4</v>
      </c>
      <c r="H81" s="106">
        <v>18</v>
      </c>
      <c r="I81" s="106">
        <v>13564.800000000001</v>
      </c>
      <c r="J81" s="106">
        <v>19</v>
      </c>
      <c r="K81" s="106">
        <v>14318.4</v>
      </c>
      <c r="L81" s="106">
        <v>16</v>
      </c>
      <c r="M81" s="106">
        <v>12057.6</v>
      </c>
      <c r="N81" s="106">
        <v>11</v>
      </c>
      <c r="O81" s="106">
        <v>8289.6</v>
      </c>
      <c r="P81" s="106">
        <v>13</v>
      </c>
      <c r="Q81" s="106">
        <v>9796.8000000000011</v>
      </c>
      <c r="R81" s="106">
        <v>20</v>
      </c>
      <c r="S81" s="106">
        <v>15072</v>
      </c>
      <c r="T81" s="106">
        <v>6</v>
      </c>
      <c r="U81" s="106">
        <v>4521.6000000000004</v>
      </c>
      <c r="V81" s="106">
        <v>6</v>
      </c>
      <c r="W81" s="106">
        <v>4521.6000000000004</v>
      </c>
      <c r="X81" s="106">
        <v>6</v>
      </c>
      <c r="Y81" s="106">
        <v>4521.6000000000004</v>
      </c>
      <c r="Z81" s="106">
        <v>7</v>
      </c>
      <c r="AA81" s="106">
        <v>5275.2</v>
      </c>
      <c r="AB81" s="106">
        <v>10</v>
      </c>
      <c r="AC81" s="106">
        <v>7536</v>
      </c>
      <c r="AD81" s="106">
        <v>6</v>
      </c>
      <c r="AE81" s="106">
        <v>4521.6000000000004</v>
      </c>
      <c r="AF81" s="106">
        <v>7</v>
      </c>
      <c r="AG81" s="106">
        <v>5275.2</v>
      </c>
      <c r="AH81" s="106">
        <v>12</v>
      </c>
      <c r="AI81" s="106">
        <v>9043.2000000000007</v>
      </c>
      <c r="AJ81" s="106">
        <v>4</v>
      </c>
      <c r="AK81" s="106">
        <v>3014.4</v>
      </c>
      <c r="AL81" s="106">
        <v>5</v>
      </c>
      <c r="AM81" s="106">
        <v>3768</v>
      </c>
      <c r="AN81" s="106">
        <v>5</v>
      </c>
      <c r="AO81" s="106">
        <v>3768</v>
      </c>
      <c r="AP81" s="106">
        <v>5</v>
      </c>
      <c r="AQ81" s="106">
        <v>3768</v>
      </c>
      <c r="AR81" s="106">
        <v>34</v>
      </c>
      <c r="AS81" s="106">
        <v>25622.400000000001</v>
      </c>
      <c r="AT81" s="106">
        <v>31</v>
      </c>
      <c r="AU81" s="106">
        <v>23361.600000000002</v>
      </c>
      <c r="AV81" s="106">
        <v>30</v>
      </c>
      <c r="AW81" s="106">
        <v>22608</v>
      </c>
      <c r="AX81" s="106">
        <v>40</v>
      </c>
      <c r="AY81" s="106">
        <v>30144</v>
      </c>
      <c r="AZ81" s="106">
        <v>38</v>
      </c>
      <c r="BA81" s="106">
        <v>28636.799999999999</v>
      </c>
      <c r="BB81" s="106">
        <v>52</v>
      </c>
      <c r="BC81" s="106">
        <v>39187.200000000004</v>
      </c>
      <c r="BD81" s="106">
        <v>62</v>
      </c>
      <c r="BE81" s="106">
        <v>46723.200000000004</v>
      </c>
      <c r="BF81" s="106">
        <v>59</v>
      </c>
      <c r="BG81" s="106">
        <v>44462.400000000001</v>
      </c>
      <c r="BH81" s="106">
        <v>4</v>
      </c>
      <c r="BI81" s="106">
        <v>3014.4</v>
      </c>
      <c r="BJ81" s="106">
        <v>5</v>
      </c>
      <c r="BK81" s="106">
        <v>3768</v>
      </c>
      <c r="BL81" s="106">
        <v>4</v>
      </c>
      <c r="BM81" s="106">
        <v>3014.4</v>
      </c>
      <c r="BN81" s="106">
        <v>6</v>
      </c>
      <c r="BO81" s="106">
        <v>4521.6000000000004</v>
      </c>
      <c r="BP81" s="106">
        <v>4</v>
      </c>
      <c r="BQ81" s="106">
        <v>3014.4</v>
      </c>
      <c r="BR81" s="106">
        <v>5</v>
      </c>
      <c r="BS81" s="106">
        <v>3768</v>
      </c>
      <c r="BT81" s="106">
        <v>3</v>
      </c>
      <c r="BU81" s="106">
        <v>2260.8000000000002</v>
      </c>
      <c r="BV81" s="106">
        <v>4</v>
      </c>
      <c r="BW81" s="106">
        <v>3014.4</v>
      </c>
      <c r="BX81" s="106">
        <v>6</v>
      </c>
      <c r="BY81" s="106">
        <v>4521.6000000000004</v>
      </c>
      <c r="BZ81" s="106">
        <v>5</v>
      </c>
      <c r="CA81" s="106">
        <v>3768</v>
      </c>
      <c r="CB81" s="106">
        <v>4</v>
      </c>
      <c r="CC81" s="106">
        <v>3014.4</v>
      </c>
      <c r="CD81" s="106">
        <v>6</v>
      </c>
      <c r="CE81" s="106">
        <v>4521.6000000000004</v>
      </c>
      <c r="CF81" s="106">
        <v>27</v>
      </c>
      <c r="CG81" s="106">
        <v>20347.2</v>
      </c>
      <c r="CH81" s="106">
        <v>21</v>
      </c>
      <c r="CI81" s="106">
        <v>15825.6</v>
      </c>
      <c r="CJ81" s="106">
        <v>31</v>
      </c>
      <c r="CK81" s="106">
        <v>23361.600000000002</v>
      </c>
      <c r="CL81" s="106">
        <v>31</v>
      </c>
      <c r="CM81" s="106">
        <v>23361.600000000002</v>
      </c>
      <c r="CN81" s="106">
        <v>3</v>
      </c>
      <c r="CO81" s="106">
        <v>2260.8000000000002</v>
      </c>
      <c r="CP81" s="106">
        <v>2</v>
      </c>
      <c r="CQ81" s="106">
        <v>1507.2</v>
      </c>
      <c r="CR81" s="106">
        <v>3</v>
      </c>
      <c r="CS81" s="106">
        <v>2260.8000000000002</v>
      </c>
      <c r="CT81" s="106">
        <v>3</v>
      </c>
      <c r="CU81" s="106">
        <v>2260.8000000000002</v>
      </c>
    </row>
    <row r="82" spans="2:99" x14ac:dyDescent="0.2">
      <c r="C82" s="105" t="s">
        <v>248</v>
      </c>
      <c r="D82" s="106">
        <v>17</v>
      </c>
      <c r="E82" s="106">
        <v>8649.5999999999985</v>
      </c>
      <c r="F82" s="106">
        <v>19</v>
      </c>
      <c r="G82" s="106">
        <v>9667.1999999999989</v>
      </c>
      <c r="H82" s="106">
        <v>17</v>
      </c>
      <c r="I82" s="106">
        <v>8649.5999999999985</v>
      </c>
      <c r="J82" s="106">
        <v>20</v>
      </c>
      <c r="K82" s="106">
        <v>10175.999999999998</v>
      </c>
      <c r="L82" s="106">
        <v>18</v>
      </c>
      <c r="M82" s="106">
        <v>9158.3999999999978</v>
      </c>
      <c r="N82" s="106">
        <v>14</v>
      </c>
      <c r="O82" s="106">
        <v>7123.1999999999989</v>
      </c>
      <c r="P82" s="106">
        <v>14</v>
      </c>
      <c r="Q82" s="106">
        <v>7123.1999999999989</v>
      </c>
      <c r="R82" s="106">
        <v>19</v>
      </c>
      <c r="S82" s="106">
        <v>9667.1999999999989</v>
      </c>
      <c r="T82" s="106">
        <v>6</v>
      </c>
      <c r="U82" s="106">
        <v>3052.7999999999993</v>
      </c>
      <c r="V82" s="106">
        <v>7</v>
      </c>
      <c r="W82" s="106">
        <v>3561.5999999999995</v>
      </c>
      <c r="X82" s="106">
        <v>6</v>
      </c>
      <c r="Y82" s="106">
        <v>3052.7999999999993</v>
      </c>
      <c r="Z82" s="106">
        <v>7</v>
      </c>
      <c r="AA82" s="106">
        <v>3561.5999999999995</v>
      </c>
      <c r="AB82" s="106">
        <v>11</v>
      </c>
      <c r="AC82" s="106">
        <v>5596.7999999999993</v>
      </c>
      <c r="AD82" s="106">
        <v>6</v>
      </c>
      <c r="AE82" s="106">
        <v>3052.7999999999993</v>
      </c>
      <c r="AF82" s="106">
        <v>6</v>
      </c>
      <c r="AG82" s="106">
        <v>3052.7999999999993</v>
      </c>
      <c r="AH82" s="106">
        <v>11</v>
      </c>
      <c r="AI82" s="106">
        <v>5596.7999999999993</v>
      </c>
      <c r="AJ82" s="106">
        <v>5</v>
      </c>
      <c r="AK82" s="106">
        <v>2543.9999999999995</v>
      </c>
      <c r="AL82" s="106">
        <v>6</v>
      </c>
      <c r="AM82" s="106">
        <v>3052.7999999999993</v>
      </c>
      <c r="AN82" s="106">
        <v>6</v>
      </c>
      <c r="AO82" s="106">
        <v>3052.7999999999993</v>
      </c>
      <c r="AP82" s="106">
        <v>6</v>
      </c>
      <c r="AQ82" s="106">
        <v>3052.7999999999993</v>
      </c>
      <c r="AR82" s="106">
        <v>38</v>
      </c>
      <c r="AS82" s="106">
        <v>19334.399999999998</v>
      </c>
      <c r="AT82" s="106">
        <v>36</v>
      </c>
      <c r="AU82" s="106">
        <v>18316.799999999996</v>
      </c>
      <c r="AV82" s="106">
        <v>29</v>
      </c>
      <c r="AW82" s="106">
        <v>14755.199999999997</v>
      </c>
      <c r="AX82" s="106">
        <v>46</v>
      </c>
      <c r="AY82" s="106">
        <v>23404.799999999996</v>
      </c>
      <c r="AZ82" s="106">
        <v>42</v>
      </c>
      <c r="BA82" s="106">
        <v>21369.599999999995</v>
      </c>
      <c r="BB82" s="106">
        <v>62</v>
      </c>
      <c r="BC82" s="106">
        <v>31545.599999999995</v>
      </c>
      <c r="BD82" s="106">
        <v>62</v>
      </c>
      <c r="BE82" s="106">
        <v>31545.599999999995</v>
      </c>
      <c r="BF82" s="106">
        <v>60</v>
      </c>
      <c r="BG82" s="106">
        <v>30527.999999999993</v>
      </c>
      <c r="BH82" s="106">
        <v>4</v>
      </c>
      <c r="BI82" s="106">
        <v>2035.1999999999996</v>
      </c>
      <c r="BJ82" s="106">
        <v>4</v>
      </c>
      <c r="BK82" s="106">
        <v>2035.1999999999996</v>
      </c>
      <c r="BL82" s="106">
        <v>4</v>
      </c>
      <c r="BM82" s="106">
        <v>2035.1999999999996</v>
      </c>
      <c r="BN82" s="106">
        <v>6</v>
      </c>
      <c r="BO82" s="106">
        <v>3052.7999999999993</v>
      </c>
      <c r="BP82" s="106">
        <v>4</v>
      </c>
      <c r="BQ82" s="106">
        <v>2035.1999999999996</v>
      </c>
      <c r="BR82" s="106">
        <v>5</v>
      </c>
      <c r="BS82" s="106">
        <v>2543.9999999999995</v>
      </c>
      <c r="BT82" s="106">
        <v>3</v>
      </c>
      <c r="BU82" s="106">
        <v>1526.3999999999996</v>
      </c>
      <c r="BV82" s="106">
        <v>4</v>
      </c>
      <c r="BW82" s="106">
        <v>2035.1999999999996</v>
      </c>
      <c r="BX82" s="106">
        <v>6</v>
      </c>
      <c r="BY82" s="106">
        <v>3052.7999999999993</v>
      </c>
      <c r="BZ82" s="106">
        <v>6</v>
      </c>
      <c r="CA82" s="106">
        <v>3052.7999999999993</v>
      </c>
      <c r="CB82" s="106">
        <v>4</v>
      </c>
      <c r="CC82" s="106">
        <v>2035.1999999999996</v>
      </c>
      <c r="CD82" s="106">
        <v>5</v>
      </c>
      <c r="CE82" s="106">
        <v>2543.9999999999995</v>
      </c>
      <c r="CF82" s="106">
        <v>30</v>
      </c>
      <c r="CG82" s="106">
        <v>15263.999999999996</v>
      </c>
      <c r="CH82" s="106">
        <v>22</v>
      </c>
      <c r="CI82" s="106">
        <v>11193.599999999999</v>
      </c>
      <c r="CJ82" s="106">
        <v>31</v>
      </c>
      <c r="CK82" s="106">
        <v>15772.799999999997</v>
      </c>
      <c r="CL82" s="106">
        <v>29</v>
      </c>
      <c r="CM82" s="106">
        <v>14755.199999999997</v>
      </c>
      <c r="CN82" s="106">
        <v>4</v>
      </c>
      <c r="CO82" s="106">
        <v>2035.1999999999996</v>
      </c>
      <c r="CP82" s="106">
        <v>3</v>
      </c>
      <c r="CQ82" s="106">
        <v>1526.3999999999996</v>
      </c>
      <c r="CR82" s="106">
        <v>4</v>
      </c>
      <c r="CS82" s="106">
        <v>2035.1999999999996</v>
      </c>
      <c r="CT82" s="106">
        <v>4</v>
      </c>
      <c r="CU82" s="106">
        <v>2035.1999999999996</v>
      </c>
    </row>
    <row r="83" spans="2:99" x14ac:dyDescent="0.2">
      <c r="C83" s="105" t="s">
        <v>249</v>
      </c>
      <c r="D83" s="106">
        <v>17</v>
      </c>
      <c r="E83" s="106">
        <v>14626.8</v>
      </c>
      <c r="F83" s="106">
        <v>18</v>
      </c>
      <c r="G83" s="106">
        <v>15487.199999999999</v>
      </c>
      <c r="H83" s="106">
        <v>18</v>
      </c>
      <c r="I83" s="106">
        <v>15487.199999999999</v>
      </c>
      <c r="J83" s="106">
        <v>19</v>
      </c>
      <c r="K83" s="106">
        <v>16347.6</v>
      </c>
      <c r="L83" s="106">
        <v>17</v>
      </c>
      <c r="M83" s="106">
        <v>14626.8</v>
      </c>
      <c r="N83" s="106">
        <v>12</v>
      </c>
      <c r="O83" s="106">
        <v>10324.799999999999</v>
      </c>
      <c r="P83" s="106">
        <v>13</v>
      </c>
      <c r="Q83" s="106">
        <v>11185.199999999999</v>
      </c>
      <c r="R83" s="106">
        <v>18</v>
      </c>
      <c r="S83" s="106">
        <v>15487.199999999999</v>
      </c>
      <c r="T83" s="106">
        <v>6</v>
      </c>
      <c r="U83" s="106">
        <v>5162.3999999999996</v>
      </c>
      <c r="V83" s="106">
        <v>6</v>
      </c>
      <c r="W83" s="106">
        <v>5162.3999999999996</v>
      </c>
      <c r="X83" s="106">
        <v>6</v>
      </c>
      <c r="Y83" s="106">
        <v>5162.3999999999996</v>
      </c>
      <c r="Z83" s="106">
        <v>6</v>
      </c>
      <c r="AA83" s="106">
        <v>5162.3999999999996</v>
      </c>
      <c r="AB83" s="106">
        <v>10</v>
      </c>
      <c r="AC83" s="106">
        <v>8604</v>
      </c>
      <c r="AD83" s="106">
        <v>6</v>
      </c>
      <c r="AE83" s="106">
        <v>5162.3999999999996</v>
      </c>
      <c r="AF83" s="106">
        <v>7</v>
      </c>
      <c r="AG83" s="106">
        <v>6022.8</v>
      </c>
      <c r="AH83" s="106">
        <v>10</v>
      </c>
      <c r="AI83" s="106">
        <v>8604</v>
      </c>
      <c r="AJ83" s="106">
        <v>5</v>
      </c>
      <c r="AK83" s="106">
        <v>4302</v>
      </c>
      <c r="AL83" s="106">
        <v>6</v>
      </c>
      <c r="AM83" s="106">
        <v>5162.3999999999996</v>
      </c>
      <c r="AN83" s="106">
        <v>6</v>
      </c>
      <c r="AO83" s="106">
        <v>5162.3999999999996</v>
      </c>
      <c r="AP83" s="106">
        <v>6</v>
      </c>
      <c r="AQ83" s="106">
        <v>5162.3999999999996</v>
      </c>
      <c r="AR83" s="106">
        <v>38</v>
      </c>
      <c r="AS83" s="106">
        <v>32695.200000000001</v>
      </c>
      <c r="AT83" s="106">
        <v>35</v>
      </c>
      <c r="AU83" s="106">
        <v>30114</v>
      </c>
      <c r="AV83" s="106">
        <v>30</v>
      </c>
      <c r="AW83" s="106">
        <v>25812</v>
      </c>
      <c r="AX83" s="106">
        <v>42</v>
      </c>
      <c r="AY83" s="106">
        <v>36136.799999999996</v>
      </c>
      <c r="AZ83" s="106">
        <v>42</v>
      </c>
      <c r="BA83" s="106">
        <v>36136.799999999996</v>
      </c>
      <c r="BB83" s="106">
        <v>57</v>
      </c>
      <c r="BC83" s="106">
        <v>49042.799999999996</v>
      </c>
      <c r="BD83" s="106">
        <v>60</v>
      </c>
      <c r="BE83" s="106">
        <v>51624</v>
      </c>
      <c r="BF83" s="106">
        <v>60</v>
      </c>
      <c r="BG83" s="106">
        <v>51624</v>
      </c>
      <c r="BH83" s="106">
        <v>4</v>
      </c>
      <c r="BI83" s="106">
        <v>3441.6</v>
      </c>
      <c r="BJ83" s="106">
        <v>4</v>
      </c>
      <c r="BK83" s="106">
        <v>3441.6</v>
      </c>
      <c r="BL83" s="106">
        <v>4</v>
      </c>
      <c r="BM83" s="106">
        <v>3441.6</v>
      </c>
      <c r="BN83" s="106">
        <v>6</v>
      </c>
      <c r="BO83" s="106">
        <v>5162.3999999999996</v>
      </c>
      <c r="BP83" s="106">
        <v>3</v>
      </c>
      <c r="BQ83" s="106">
        <v>2581.1999999999998</v>
      </c>
      <c r="BR83" s="106">
        <v>4</v>
      </c>
      <c r="BS83" s="106">
        <v>3441.6</v>
      </c>
      <c r="BT83" s="106">
        <v>3</v>
      </c>
      <c r="BU83" s="106">
        <v>2581.1999999999998</v>
      </c>
      <c r="BV83" s="106">
        <v>4</v>
      </c>
      <c r="BW83" s="106">
        <v>3441.6</v>
      </c>
      <c r="BX83" s="106">
        <v>6</v>
      </c>
      <c r="BY83" s="106">
        <v>5162.3999999999996</v>
      </c>
      <c r="BZ83" s="106">
        <v>6</v>
      </c>
      <c r="CA83" s="106">
        <v>5162.3999999999996</v>
      </c>
      <c r="CB83" s="106">
        <v>4</v>
      </c>
      <c r="CC83" s="106">
        <v>3441.6</v>
      </c>
      <c r="CD83" s="106">
        <v>5</v>
      </c>
      <c r="CE83" s="106">
        <v>4302</v>
      </c>
      <c r="CF83" s="106">
        <v>28</v>
      </c>
      <c r="CG83" s="106">
        <v>24091.200000000001</v>
      </c>
      <c r="CH83" s="106">
        <v>20</v>
      </c>
      <c r="CI83" s="106">
        <v>17208</v>
      </c>
      <c r="CJ83" s="106">
        <v>29</v>
      </c>
      <c r="CK83" s="106">
        <v>24951.599999999999</v>
      </c>
      <c r="CL83" s="106">
        <v>27</v>
      </c>
      <c r="CM83" s="106">
        <v>23230.799999999999</v>
      </c>
      <c r="CN83" s="106">
        <v>4</v>
      </c>
      <c r="CO83" s="106">
        <v>3441.6</v>
      </c>
      <c r="CP83" s="106">
        <v>2</v>
      </c>
      <c r="CQ83" s="106">
        <v>1720.8</v>
      </c>
      <c r="CR83" s="106">
        <v>3</v>
      </c>
      <c r="CS83" s="106">
        <v>2581.1999999999998</v>
      </c>
      <c r="CT83" s="106">
        <v>4</v>
      </c>
      <c r="CU83" s="106">
        <v>3441.6</v>
      </c>
    </row>
    <row r="84" spans="2:99" x14ac:dyDescent="0.2">
      <c r="C84" s="105" t="s">
        <v>250</v>
      </c>
      <c r="D84" s="106">
        <v>18</v>
      </c>
      <c r="E84" s="106">
        <v>14061.599999999999</v>
      </c>
      <c r="F84" s="106">
        <v>20</v>
      </c>
      <c r="G84" s="106">
        <v>15623.999999999998</v>
      </c>
      <c r="H84" s="106">
        <v>19</v>
      </c>
      <c r="I84" s="106">
        <v>14842.8</v>
      </c>
      <c r="J84" s="106">
        <v>21</v>
      </c>
      <c r="K84" s="106">
        <v>16405.199999999997</v>
      </c>
      <c r="L84" s="106">
        <v>18</v>
      </c>
      <c r="M84" s="106">
        <v>14061.599999999999</v>
      </c>
      <c r="N84" s="106">
        <v>11</v>
      </c>
      <c r="O84" s="106">
        <v>8593.1999999999989</v>
      </c>
      <c r="P84" s="106">
        <v>12</v>
      </c>
      <c r="Q84" s="106">
        <v>9374.4</v>
      </c>
      <c r="R84" s="106">
        <v>19</v>
      </c>
      <c r="S84" s="106">
        <v>14842.8</v>
      </c>
      <c r="T84" s="106">
        <v>6</v>
      </c>
      <c r="U84" s="106">
        <v>4687.2</v>
      </c>
      <c r="V84" s="106">
        <v>6</v>
      </c>
      <c r="W84" s="106">
        <v>4687.2</v>
      </c>
      <c r="X84" s="106">
        <v>6</v>
      </c>
      <c r="Y84" s="106">
        <v>4687.2</v>
      </c>
      <c r="Z84" s="106">
        <v>6</v>
      </c>
      <c r="AA84" s="106">
        <v>4687.2</v>
      </c>
      <c r="AB84" s="106">
        <v>11</v>
      </c>
      <c r="AC84" s="106">
        <v>8593.1999999999989</v>
      </c>
      <c r="AD84" s="106">
        <v>6</v>
      </c>
      <c r="AE84" s="106">
        <v>4687.2</v>
      </c>
      <c r="AF84" s="106">
        <v>7</v>
      </c>
      <c r="AG84" s="106">
        <v>5468.4</v>
      </c>
      <c r="AH84" s="106">
        <v>11</v>
      </c>
      <c r="AI84" s="106">
        <v>8593.1999999999989</v>
      </c>
      <c r="AJ84" s="106">
        <v>5</v>
      </c>
      <c r="AK84" s="106">
        <v>3905.9999999999995</v>
      </c>
      <c r="AL84" s="106">
        <v>6</v>
      </c>
      <c r="AM84" s="106">
        <v>4687.2</v>
      </c>
      <c r="AN84" s="106">
        <v>5</v>
      </c>
      <c r="AO84" s="106">
        <v>3905.9999999999995</v>
      </c>
      <c r="AP84" s="106">
        <v>5</v>
      </c>
      <c r="AQ84" s="106">
        <v>3905.9999999999995</v>
      </c>
      <c r="AR84" s="106">
        <v>33</v>
      </c>
      <c r="AS84" s="106">
        <v>25779.599999999999</v>
      </c>
      <c r="AT84" s="106">
        <v>36</v>
      </c>
      <c r="AU84" s="106">
        <v>28123.199999999997</v>
      </c>
      <c r="AV84" s="106">
        <v>29</v>
      </c>
      <c r="AW84" s="106">
        <v>22654.799999999999</v>
      </c>
      <c r="AX84" s="106">
        <v>41</v>
      </c>
      <c r="AY84" s="106">
        <v>32029.199999999997</v>
      </c>
      <c r="AZ84" s="106">
        <v>42</v>
      </c>
      <c r="BA84" s="106">
        <v>32810.399999999994</v>
      </c>
      <c r="BB84" s="106">
        <v>53</v>
      </c>
      <c r="BC84" s="106">
        <v>41403.599999999999</v>
      </c>
      <c r="BD84" s="106">
        <v>63</v>
      </c>
      <c r="BE84" s="106">
        <v>49215.6</v>
      </c>
      <c r="BF84" s="106">
        <v>58</v>
      </c>
      <c r="BG84" s="106">
        <v>45309.599999999999</v>
      </c>
      <c r="BH84" s="106">
        <v>4</v>
      </c>
      <c r="BI84" s="106">
        <v>3124.7999999999997</v>
      </c>
      <c r="BJ84" s="106">
        <v>5</v>
      </c>
      <c r="BK84" s="106">
        <v>3905.9999999999995</v>
      </c>
      <c r="BL84" s="106">
        <v>4</v>
      </c>
      <c r="BM84" s="106">
        <v>3124.7999999999997</v>
      </c>
      <c r="BN84" s="106">
        <v>6</v>
      </c>
      <c r="BO84" s="106">
        <v>4687.2</v>
      </c>
      <c r="BP84" s="106">
        <v>4</v>
      </c>
      <c r="BQ84" s="106">
        <v>3124.7999999999997</v>
      </c>
      <c r="BR84" s="106">
        <v>5</v>
      </c>
      <c r="BS84" s="106">
        <v>3905.9999999999995</v>
      </c>
      <c r="BT84" s="106">
        <v>3</v>
      </c>
      <c r="BU84" s="106">
        <v>2343.6</v>
      </c>
      <c r="BV84" s="106">
        <v>4</v>
      </c>
      <c r="BW84" s="106">
        <v>3124.7999999999997</v>
      </c>
      <c r="BX84" s="106">
        <v>5</v>
      </c>
      <c r="BY84" s="106">
        <v>3905.9999999999995</v>
      </c>
      <c r="BZ84" s="106">
        <v>6</v>
      </c>
      <c r="CA84" s="106">
        <v>4687.2</v>
      </c>
      <c r="CB84" s="106">
        <v>4</v>
      </c>
      <c r="CC84" s="106">
        <v>3124.7999999999997</v>
      </c>
      <c r="CD84" s="106">
        <v>5</v>
      </c>
      <c r="CE84" s="106">
        <v>3905.9999999999995</v>
      </c>
      <c r="CF84" s="106">
        <v>27</v>
      </c>
      <c r="CG84" s="106">
        <v>21092.399999999998</v>
      </c>
      <c r="CH84" s="106">
        <v>20</v>
      </c>
      <c r="CI84" s="106">
        <v>15623.999999999998</v>
      </c>
      <c r="CJ84" s="106">
        <v>32</v>
      </c>
      <c r="CK84" s="106">
        <v>24998.399999999998</v>
      </c>
      <c r="CL84" s="106">
        <v>27</v>
      </c>
      <c r="CM84" s="106">
        <v>21092.399999999998</v>
      </c>
      <c r="CN84" s="106">
        <v>3</v>
      </c>
      <c r="CO84" s="106">
        <v>2343.6</v>
      </c>
      <c r="CP84" s="106">
        <v>2</v>
      </c>
      <c r="CQ84" s="106">
        <v>1562.3999999999999</v>
      </c>
      <c r="CR84" s="106">
        <v>3</v>
      </c>
      <c r="CS84" s="106">
        <v>2343.6</v>
      </c>
      <c r="CT84" s="106">
        <v>3</v>
      </c>
      <c r="CU84" s="106">
        <v>2343.6</v>
      </c>
    </row>
    <row r="85" spans="2:99" x14ac:dyDescent="0.2">
      <c r="C85" s="105" t="s">
        <v>251</v>
      </c>
      <c r="D85" s="106">
        <v>20</v>
      </c>
      <c r="E85" s="106">
        <v>3000</v>
      </c>
      <c r="F85" s="106">
        <v>22</v>
      </c>
      <c r="G85" s="106">
        <v>3300</v>
      </c>
      <c r="H85" s="106">
        <v>21</v>
      </c>
      <c r="I85" s="106">
        <v>3150</v>
      </c>
      <c r="J85" s="106">
        <v>22</v>
      </c>
      <c r="K85" s="106">
        <v>3300</v>
      </c>
      <c r="L85" s="106">
        <v>18</v>
      </c>
      <c r="M85" s="106">
        <v>2700</v>
      </c>
      <c r="N85" s="106">
        <v>14</v>
      </c>
      <c r="O85" s="106">
        <v>2100</v>
      </c>
      <c r="P85" s="106">
        <v>15</v>
      </c>
      <c r="Q85" s="106">
        <v>2250</v>
      </c>
      <c r="R85" s="106">
        <v>21</v>
      </c>
      <c r="S85" s="106">
        <v>3150</v>
      </c>
      <c r="T85" s="106">
        <v>7</v>
      </c>
      <c r="U85" s="106">
        <v>1050</v>
      </c>
      <c r="V85" s="106">
        <v>7</v>
      </c>
      <c r="W85" s="106">
        <v>1050</v>
      </c>
      <c r="X85" s="106">
        <v>6</v>
      </c>
      <c r="Y85" s="106">
        <v>900</v>
      </c>
      <c r="Z85" s="106">
        <v>7</v>
      </c>
      <c r="AA85" s="106">
        <v>1050</v>
      </c>
      <c r="AB85" s="106">
        <v>12</v>
      </c>
      <c r="AC85" s="106">
        <v>1800</v>
      </c>
      <c r="AD85" s="106">
        <v>7</v>
      </c>
      <c r="AE85" s="106">
        <v>1050</v>
      </c>
      <c r="AF85" s="106">
        <v>7</v>
      </c>
      <c r="AG85" s="106">
        <v>1050</v>
      </c>
      <c r="AH85" s="106">
        <v>13</v>
      </c>
      <c r="AI85" s="106">
        <v>1950</v>
      </c>
      <c r="AJ85" s="106">
        <v>5</v>
      </c>
      <c r="AK85" s="106">
        <v>750</v>
      </c>
      <c r="AL85" s="106">
        <v>6</v>
      </c>
      <c r="AM85" s="106">
        <v>900</v>
      </c>
      <c r="AN85" s="106">
        <v>6</v>
      </c>
      <c r="AO85" s="106">
        <v>900</v>
      </c>
      <c r="AP85" s="106">
        <v>6</v>
      </c>
      <c r="AQ85" s="106">
        <v>900</v>
      </c>
      <c r="AR85" s="106">
        <v>37</v>
      </c>
      <c r="AS85" s="106">
        <v>5550</v>
      </c>
      <c r="AT85" s="106">
        <v>34</v>
      </c>
      <c r="AU85" s="106">
        <v>5100</v>
      </c>
      <c r="AV85" s="106">
        <v>30</v>
      </c>
      <c r="AW85" s="106">
        <v>4500</v>
      </c>
      <c r="AX85" s="106">
        <v>50</v>
      </c>
      <c r="AY85" s="106">
        <v>7500</v>
      </c>
      <c r="AZ85" s="106">
        <v>48</v>
      </c>
      <c r="BA85" s="106">
        <v>7200</v>
      </c>
      <c r="BB85" s="106">
        <v>69</v>
      </c>
      <c r="BC85" s="106">
        <v>10350</v>
      </c>
      <c r="BD85" s="106">
        <v>77</v>
      </c>
      <c r="BE85" s="106">
        <v>11550</v>
      </c>
      <c r="BF85" s="106">
        <v>67</v>
      </c>
      <c r="BG85" s="106">
        <v>10050</v>
      </c>
      <c r="BH85" s="106">
        <v>4</v>
      </c>
      <c r="BI85" s="106">
        <v>600</v>
      </c>
      <c r="BJ85" s="106">
        <v>4</v>
      </c>
      <c r="BK85" s="106">
        <v>600</v>
      </c>
      <c r="BL85" s="106">
        <v>4</v>
      </c>
      <c r="BM85" s="106">
        <v>600</v>
      </c>
      <c r="BN85" s="106">
        <v>7</v>
      </c>
      <c r="BO85" s="106">
        <v>1050</v>
      </c>
      <c r="BP85" s="106">
        <v>4</v>
      </c>
      <c r="BQ85" s="106">
        <v>600</v>
      </c>
      <c r="BR85" s="106">
        <v>5</v>
      </c>
      <c r="BS85" s="106">
        <v>750</v>
      </c>
      <c r="BT85" s="106">
        <v>3</v>
      </c>
      <c r="BU85" s="106">
        <v>450</v>
      </c>
      <c r="BV85" s="106">
        <v>4</v>
      </c>
      <c r="BW85" s="106">
        <v>600</v>
      </c>
      <c r="BX85" s="106">
        <v>7</v>
      </c>
      <c r="BY85" s="106">
        <v>1050</v>
      </c>
      <c r="BZ85" s="106">
        <v>6</v>
      </c>
      <c r="CA85" s="106">
        <v>900</v>
      </c>
      <c r="CB85" s="106">
        <v>4</v>
      </c>
      <c r="CC85" s="106">
        <v>600</v>
      </c>
      <c r="CD85" s="106">
        <v>5</v>
      </c>
      <c r="CE85" s="106">
        <v>750</v>
      </c>
      <c r="CF85" s="106">
        <v>32</v>
      </c>
      <c r="CG85" s="106">
        <v>4800</v>
      </c>
      <c r="CH85" s="106">
        <v>21</v>
      </c>
      <c r="CI85" s="106">
        <v>3150</v>
      </c>
      <c r="CJ85" s="106">
        <v>35</v>
      </c>
      <c r="CK85" s="106">
        <v>5250</v>
      </c>
      <c r="CL85" s="106">
        <v>32</v>
      </c>
      <c r="CM85" s="106">
        <v>4800</v>
      </c>
      <c r="CN85" s="106">
        <v>4</v>
      </c>
      <c r="CO85" s="106">
        <v>600</v>
      </c>
      <c r="CP85" s="106">
        <v>2</v>
      </c>
      <c r="CQ85" s="106">
        <v>300</v>
      </c>
      <c r="CR85" s="106">
        <v>3</v>
      </c>
      <c r="CS85" s="106">
        <v>450</v>
      </c>
      <c r="CT85" s="106">
        <v>4</v>
      </c>
      <c r="CU85" s="106">
        <v>600</v>
      </c>
    </row>
    <row r="86" spans="2:99" x14ac:dyDescent="0.2">
      <c r="C86" s="105" t="s">
        <v>252</v>
      </c>
      <c r="D86" s="106">
        <v>17</v>
      </c>
      <c r="E86" s="106">
        <v>9180</v>
      </c>
      <c r="F86" s="106">
        <v>19</v>
      </c>
      <c r="G86" s="106">
        <v>10260</v>
      </c>
      <c r="H86" s="106">
        <v>19</v>
      </c>
      <c r="I86" s="106">
        <v>10260</v>
      </c>
      <c r="J86" s="106">
        <v>22</v>
      </c>
      <c r="K86" s="106">
        <v>11880</v>
      </c>
      <c r="L86" s="106">
        <v>17</v>
      </c>
      <c r="M86" s="106">
        <v>9180</v>
      </c>
      <c r="N86" s="106">
        <v>13</v>
      </c>
      <c r="O86" s="106">
        <v>7020</v>
      </c>
      <c r="P86" s="106">
        <v>13</v>
      </c>
      <c r="Q86" s="106">
        <v>7020</v>
      </c>
      <c r="R86" s="106">
        <v>19</v>
      </c>
      <c r="S86" s="106">
        <v>10260</v>
      </c>
      <c r="T86" s="106">
        <v>7</v>
      </c>
      <c r="U86" s="106">
        <v>3780</v>
      </c>
      <c r="V86" s="106">
        <v>6</v>
      </c>
      <c r="W86" s="106">
        <v>3240</v>
      </c>
      <c r="X86" s="106">
        <v>6</v>
      </c>
      <c r="Y86" s="106">
        <v>3240</v>
      </c>
      <c r="Z86" s="106">
        <v>7</v>
      </c>
      <c r="AA86" s="106">
        <v>3780</v>
      </c>
      <c r="AB86" s="106">
        <v>11</v>
      </c>
      <c r="AC86" s="106">
        <v>5940</v>
      </c>
      <c r="AD86" s="106">
        <v>6</v>
      </c>
      <c r="AE86" s="106">
        <v>3240</v>
      </c>
      <c r="AF86" s="106">
        <v>6</v>
      </c>
      <c r="AG86" s="106">
        <v>3240</v>
      </c>
      <c r="AH86" s="106">
        <v>11</v>
      </c>
      <c r="AI86" s="106">
        <v>5940</v>
      </c>
      <c r="AJ86" s="106">
        <v>4</v>
      </c>
      <c r="AK86" s="106">
        <v>2160</v>
      </c>
      <c r="AL86" s="106">
        <v>6</v>
      </c>
      <c r="AM86" s="106">
        <v>3240</v>
      </c>
      <c r="AN86" s="106">
        <v>6</v>
      </c>
      <c r="AO86" s="106">
        <v>3240</v>
      </c>
      <c r="AP86" s="106">
        <v>5</v>
      </c>
      <c r="AQ86" s="106">
        <v>2700</v>
      </c>
      <c r="AR86" s="106">
        <v>40</v>
      </c>
      <c r="AS86" s="106">
        <v>21600</v>
      </c>
      <c r="AT86" s="106">
        <v>38</v>
      </c>
      <c r="AU86" s="106">
        <v>20520</v>
      </c>
      <c r="AV86" s="106">
        <v>29</v>
      </c>
      <c r="AW86" s="106">
        <v>15660</v>
      </c>
      <c r="AX86" s="106">
        <v>44</v>
      </c>
      <c r="AY86" s="106">
        <v>23760</v>
      </c>
      <c r="AZ86" s="106">
        <v>45</v>
      </c>
      <c r="BA86" s="106">
        <v>24300</v>
      </c>
      <c r="BB86" s="106">
        <v>59</v>
      </c>
      <c r="BC86" s="106">
        <v>31860</v>
      </c>
      <c r="BD86" s="106">
        <v>68</v>
      </c>
      <c r="BE86" s="106">
        <v>36720</v>
      </c>
      <c r="BF86" s="106">
        <v>61</v>
      </c>
      <c r="BG86" s="106">
        <v>32940</v>
      </c>
      <c r="BH86" s="106">
        <v>4</v>
      </c>
      <c r="BI86" s="106">
        <v>2160</v>
      </c>
      <c r="BJ86" s="106">
        <v>4</v>
      </c>
      <c r="BK86" s="106">
        <v>2160</v>
      </c>
      <c r="BL86" s="106">
        <v>4</v>
      </c>
      <c r="BM86" s="106">
        <v>2160</v>
      </c>
      <c r="BN86" s="106">
        <v>7</v>
      </c>
      <c r="BO86" s="106">
        <v>3780</v>
      </c>
      <c r="BP86" s="106">
        <v>4</v>
      </c>
      <c r="BQ86" s="106">
        <v>2160</v>
      </c>
      <c r="BR86" s="106">
        <v>5</v>
      </c>
      <c r="BS86" s="106">
        <v>2700</v>
      </c>
      <c r="BT86" s="106">
        <v>3</v>
      </c>
      <c r="BU86" s="106">
        <v>1620</v>
      </c>
      <c r="BV86" s="106">
        <v>4</v>
      </c>
      <c r="BW86" s="106">
        <v>2160</v>
      </c>
      <c r="BX86" s="106">
        <v>6</v>
      </c>
      <c r="BY86" s="106">
        <v>3240</v>
      </c>
      <c r="BZ86" s="106">
        <v>6</v>
      </c>
      <c r="CA86" s="106">
        <v>3240</v>
      </c>
      <c r="CB86" s="106">
        <v>4</v>
      </c>
      <c r="CC86" s="106">
        <v>2160</v>
      </c>
      <c r="CD86" s="106">
        <v>5</v>
      </c>
      <c r="CE86" s="106">
        <v>2700</v>
      </c>
      <c r="CF86" s="106">
        <v>29</v>
      </c>
      <c r="CG86" s="106">
        <v>15660</v>
      </c>
      <c r="CH86" s="106">
        <v>23</v>
      </c>
      <c r="CI86" s="106">
        <v>12420</v>
      </c>
      <c r="CJ86" s="106">
        <v>31</v>
      </c>
      <c r="CK86" s="106">
        <v>16740</v>
      </c>
      <c r="CL86" s="106">
        <v>33</v>
      </c>
      <c r="CM86" s="106">
        <v>17820</v>
      </c>
      <c r="CN86" s="106">
        <v>4</v>
      </c>
      <c r="CO86" s="106">
        <v>2160</v>
      </c>
      <c r="CP86" s="106">
        <v>2</v>
      </c>
      <c r="CQ86" s="106">
        <v>1080</v>
      </c>
      <c r="CR86" s="106">
        <v>3</v>
      </c>
      <c r="CS86" s="106">
        <v>1620</v>
      </c>
      <c r="CT86" s="106">
        <v>3</v>
      </c>
      <c r="CU86" s="106">
        <v>1620</v>
      </c>
    </row>
    <row r="87" spans="2:99" x14ac:dyDescent="0.2">
      <c r="B87" s="105" t="s">
        <v>131</v>
      </c>
      <c r="C87" s="105" t="s">
        <v>253</v>
      </c>
      <c r="D87" s="106">
        <v>4</v>
      </c>
      <c r="E87" s="106">
        <v>7819.2</v>
      </c>
      <c r="F87" s="106">
        <v>6</v>
      </c>
      <c r="G87" s="106">
        <v>11728.8</v>
      </c>
      <c r="H87" s="106">
        <v>6</v>
      </c>
      <c r="I87" s="106">
        <v>11728.8</v>
      </c>
      <c r="J87" s="106">
        <v>6</v>
      </c>
      <c r="K87" s="106">
        <v>11728.8</v>
      </c>
      <c r="L87" s="106">
        <v>7</v>
      </c>
      <c r="M87" s="106">
        <v>13683.6</v>
      </c>
      <c r="N87" s="106">
        <v>6</v>
      </c>
      <c r="O87" s="106">
        <v>11728.8</v>
      </c>
      <c r="P87" s="106">
        <v>10</v>
      </c>
      <c r="Q87" s="106">
        <v>19548</v>
      </c>
      <c r="R87" s="106">
        <v>7</v>
      </c>
      <c r="S87" s="106">
        <v>13683.6</v>
      </c>
      <c r="T87" s="106">
        <v>7</v>
      </c>
      <c r="U87" s="106">
        <v>13683.6</v>
      </c>
      <c r="V87" s="106">
        <v>9</v>
      </c>
      <c r="W87" s="106">
        <v>17593.2</v>
      </c>
      <c r="X87" s="106">
        <v>8</v>
      </c>
      <c r="Y87" s="106">
        <v>15638.4</v>
      </c>
      <c r="Z87" s="106">
        <v>7</v>
      </c>
      <c r="AA87" s="106">
        <v>13683.6</v>
      </c>
      <c r="AB87" s="106">
        <v>16</v>
      </c>
      <c r="AC87" s="106">
        <v>31276.799999999999</v>
      </c>
      <c r="AD87" s="106">
        <v>21</v>
      </c>
      <c r="AE87" s="106">
        <v>41050.799999999996</v>
      </c>
      <c r="AF87" s="106">
        <v>16</v>
      </c>
      <c r="AG87" s="106">
        <v>31276.799999999999</v>
      </c>
      <c r="AH87" s="106">
        <v>13</v>
      </c>
      <c r="AI87" s="106">
        <v>25412.399999999998</v>
      </c>
      <c r="AJ87" s="106">
        <v>3</v>
      </c>
      <c r="AK87" s="106">
        <v>5864.4</v>
      </c>
      <c r="AL87" s="106">
        <v>4</v>
      </c>
      <c r="AM87" s="106">
        <v>7819.2</v>
      </c>
      <c r="AN87" s="106">
        <v>3</v>
      </c>
      <c r="AO87" s="106">
        <v>5864.4</v>
      </c>
      <c r="AP87" s="106">
        <v>3</v>
      </c>
      <c r="AQ87" s="106">
        <v>5864.4</v>
      </c>
      <c r="AR87" s="106">
        <v>36</v>
      </c>
      <c r="AS87" s="106">
        <v>70372.800000000003</v>
      </c>
      <c r="AT87" s="106">
        <v>35</v>
      </c>
      <c r="AU87" s="106">
        <v>68418</v>
      </c>
      <c r="AV87" s="106">
        <v>36</v>
      </c>
      <c r="AW87" s="106">
        <v>70372.800000000003</v>
      </c>
      <c r="AX87" s="106">
        <v>30</v>
      </c>
      <c r="AY87" s="106">
        <v>58644</v>
      </c>
      <c r="AZ87" s="106">
        <v>36</v>
      </c>
      <c r="BA87" s="106">
        <v>70372.800000000003</v>
      </c>
      <c r="BB87" s="106">
        <v>37</v>
      </c>
      <c r="BC87" s="106">
        <v>72327.599999999991</v>
      </c>
      <c r="BD87" s="106">
        <v>23</v>
      </c>
      <c r="BE87" s="106">
        <v>44960.4</v>
      </c>
      <c r="BF87" s="106">
        <v>23</v>
      </c>
      <c r="BG87" s="106">
        <v>44960.4</v>
      </c>
      <c r="BH87" s="106">
        <v>4</v>
      </c>
      <c r="BI87" s="106">
        <v>7819.2</v>
      </c>
      <c r="BJ87" s="106">
        <v>4</v>
      </c>
      <c r="BK87" s="106">
        <v>7819.2</v>
      </c>
      <c r="BL87" s="106">
        <v>4</v>
      </c>
      <c r="BM87" s="106">
        <v>7819.2</v>
      </c>
      <c r="BN87" s="106">
        <v>4</v>
      </c>
      <c r="BO87" s="106">
        <v>7819.2</v>
      </c>
      <c r="BP87" s="106">
        <v>11</v>
      </c>
      <c r="BQ87" s="106">
        <v>21502.799999999999</v>
      </c>
      <c r="BR87" s="106">
        <v>12</v>
      </c>
      <c r="BS87" s="106">
        <v>23457.599999999999</v>
      </c>
      <c r="BT87" s="106">
        <v>12</v>
      </c>
      <c r="BU87" s="106">
        <v>23457.599999999999</v>
      </c>
      <c r="BV87" s="106">
        <v>17</v>
      </c>
      <c r="BW87" s="106">
        <v>33231.599999999999</v>
      </c>
      <c r="BX87" s="106">
        <v>6</v>
      </c>
      <c r="BY87" s="106">
        <v>11728.8</v>
      </c>
      <c r="BZ87" s="106">
        <v>9</v>
      </c>
      <c r="CA87" s="106">
        <v>17593.2</v>
      </c>
      <c r="CB87" s="106">
        <v>8</v>
      </c>
      <c r="CC87" s="106">
        <v>15638.4</v>
      </c>
      <c r="CD87" s="106">
        <v>8</v>
      </c>
      <c r="CE87" s="106">
        <v>15638.4</v>
      </c>
      <c r="CF87" s="106">
        <v>7</v>
      </c>
      <c r="CG87" s="106">
        <v>13683.6</v>
      </c>
      <c r="CH87" s="106">
        <v>8</v>
      </c>
      <c r="CI87" s="106">
        <v>15638.4</v>
      </c>
      <c r="CJ87" s="106">
        <v>10</v>
      </c>
      <c r="CK87" s="106">
        <v>19548</v>
      </c>
      <c r="CL87" s="106">
        <v>8</v>
      </c>
      <c r="CM87" s="106">
        <v>15638.4</v>
      </c>
      <c r="CN87" s="106">
        <v>15</v>
      </c>
      <c r="CO87" s="106">
        <v>29322</v>
      </c>
      <c r="CP87" s="106">
        <v>29</v>
      </c>
      <c r="CQ87" s="106">
        <v>56689.2</v>
      </c>
      <c r="CR87" s="106">
        <v>28</v>
      </c>
      <c r="CS87" s="106">
        <v>54734.400000000001</v>
      </c>
      <c r="CT87" s="106">
        <v>28</v>
      </c>
      <c r="CU87" s="106">
        <v>54734.400000000001</v>
      </c>
    </row>
    <row r="88" spans="2:99" x14ac:dyDescent="0.2">
      <c r="C88" s="105" t="s">
        <v>254</v>
      </c>
      <c r="D88" s="106">
        <v>4</v>
      </c>
      <c r="E88" s="106">
        <v>7569.5999999999995</v>
      </c>
      <c r="F88" s="106">
        <v>6</v>
      </c>
      <c r="G88" s="106">
        <v>11354.4</v>
      </c>
      <c r="H88" s="106">
        <v>5</v>
      </c>
      <c r="I88" s="106">
        <v>9462</v>
      </c>
      <c r="J88" s="106">
        <v>6</v>
      </c>
      <c r="K88" s="106">
        <v>11354.4</v>
      </c>
      <c r="L88" s="106">
        <v>8</v>
      </c>
      <c r="M88" s="106">
        <v>15139.199999999999</v>
      </c>
      <c r="N88" s="106">
        <v>6</v>
      </c>
      <c r="O88" s="106">
        <v>11354.4</v>
      </c>
      <c r="P88" s="106">
        <v>9</v>
      </c>
      <c r="Q88" s="106">
        <v>17031.599999999999</v>
      </c>
      <c r="R88" s="106">
        <v>7</v>
      </c>
      <c r="S88" s="106">
        <v>13246.8</v>
      </c>
      <c r="T88" s="106">
        <v>7</v>
      </c>
      <c r="U88" s="106">
        <v>13246.8</v>
      </c>
      <c r="V88" s="106">
        <v>9</v>
      </c>
      <c r="W88" s="106">
        <v>17031.599999999999</v>
      </c>
      <c r="X88" s="106">
        <v>10</v>
      </c>
      <c r="Y88" s="106">
        <v>18924</v>
      </c>
      <c r="Z88" s="106">
        <v>7</v>
      </c>
      <c r="AA88" s="106">
        <v>13246.8</v>
      </c>
      <c r="AB88" s="106">
        <v>16</v>
      </c>
      <c r="AC88" s="106">
        <v>30278.399999999998</v>
      </c>
      <c r="AD88" s="106">
        <v>21</v>
      </c>
      <c r="AE88" s="106">
        <v>39740.399999999994</v>
      </c>
      <c r="AF88" s="106">
        <v>18</v>
      </c>
      <c r="AG88" s="106">
        <v>34063.199999999997</v>
      </c>
      <c r="AH88" s="106">
        <v>12</v>
      </c>
      <c r="AI88" s="106">
        <v>22708.799999999999</v>
      </c>
      <c r="AJ88" s="106">
        <v>3</v>
      </c>
      <c r="AK88" s="106">
        <v>5677.2</v>
      </c>
      <c r="AL88" s="106">
        <v>3</v>
      </c>
      <c r="AM88" s="106">
        <v>5677.2</v>
      </c>
      <c r="AN88" s="106">
        <v>3</v>
      </c>
      <c r="AO88" s="106">
        <v>5677.2</v>
      </c>
      <c r="AP88" s="106">
        <v>3</v>
      </c>
      <c r="AQ88" s="106">
        <v>5677.2</v>
      </c>
      <c r="AR88" s="106">
        <v>37</v>
      </c>
      <c r="AS88" s="106">
        <v>70018.799999999988</v>
      </c>
      <c r="AT88" s="106">
        <v>33</v>
      </c>
      <c r="AU88" s="106">
        <v>62449.2</v>
      </c>
      <c r="AV88" s="106">
        <v>36</v>
      </c>
      <c r="AW88" s="106">
        <v>68126.399999999994</v>
      </c>
      <c r="AX88" s="106">
        <v>33</v>
      </c>
      <c r="AY88" s="106">
        <v>62449.2</v>
      </c>
      <c r="AZ88" s="106">
        <v>38</v>
      </c>
      <c r="BA88" s="106">
        <v>71911.199999999997</v>
      </c>
      <c r="BB88" s="106">
        <v>43</v>
      </c>
      <c r="BC88" s="106">
        <v>81373.2</v>
      </c>
      <c r="BD88" s="106">
        <v>26</v>
      </c>
      <c r="BE88" s="106">
        <v>49202.399999999994</v>
      </c>
      <c r="BF88" s="106">
        <v>26</v>
      </c>
      <c r="BG88" s="106">
        <v>49202.399999999994</v>
      </c>
      <c r="BH88" s="106">
        <v>4</v>
      </c>
      <c r="BI88" s="106">
        <v>7569.5999999999995</v>
      </c>
      <c r="BJ88" s="106">
        <v>4</v>
      </c>
      <c r="BK88" s="106">
        <v>7569.5999999999995</v>
      </c>
      <c r="BL88" s="106">
        <v>4</v>
      </c>
      <c r="BM88" s="106">
        <v>7569.5999999999995</v>
      </c>
      <c r="BN88" s="106">
        <v>4</v>
      </c>
      <c r="BO88" s="106">
        <v>7569.5999999999995</v>
      </c>
      <c r="BP88" s="106">
        <v>12</v>
      </c>
      <c r="BQ88" s="106">
        <v>22708.799999999999</v>
      </c>
      <c r="BR88" s="106">
        <v>14</v>
      </c>
      <c r="BS88" s="106">
        <v>26493.599999999999</v>
      </c>
      <c r="BT88" s="106">
        <v>12</v>
      </c>
      <c r="BU88" s="106">
        <v>22708.799999999999</v>
      </c>
      <c r="BV88" s="106">
        <v>19</v>
      </c>
      <c r="BW88" s="106">
        <v>35955.599999999999</v>
      </c>
      <c r="BX88" s="106">
        <v>6</v>
      </c>
      <c r="BY88" s="106">
        <v>11354.4</v>
      </c>
      <c r="BZ88" s="106">
        <v>9</v>
      </c>
      <c r="CA88" s="106">
        <v>17031.599999999999</v>
      </c>
      <c r="CB88" s="106">
        <v>8</v>
      </c>
      <c r="CC88" s="106">
        <v>15139.199999999999</v>
      </c>
      <c r="CD88" s="106">
        <v>8</v>
      </c>
      <c r="CE88" s="106">
        <v>15139.199999999999</v>
      </c>
      <c r="CF88" s="106">
        <v>7</v>
      </c>
      <c r="CG88" s="106">
        <v>13246.8</v>
      </c>
      <c r="CH88" s="106">
        <v>8</v>
      </c>
      <c r="CI88" s="106">
        <v>15139.199999999999</v>
      </c>
      <c r="CJ88" s="106">
        <v>11</v>
      </c>
      <c r="CK88" s="106">
        <v>20816.399999999998</v>
      </c>
      <c r="CL88" s="106">
        <v>8</v>
      </c>
      <c r="CM88" s="106">
        <v>15139.199999999999</v>
      </c>
      <c r="CN88" s="106">
        <v>17</v>
      </c>
      <c r="CO88" s="106">
        <v>32170.799999999999</v>
      </c>
      <c r="CP88" s="106">
        <v>30</v>
      </c>
      <c r="CQ88" s="106">
        <v>56771.999999999993</v>
      </c>
      <c r="CR88" s="106">
        <v>28</v>
      </c>
      <c r="CS88" s="106">
        <v>52987.199999999997</v>
      </c>
      <c r="CT88" s="106">
        <v>25</v>
      </c>
      <c r="CU88" s="106">
        <v>47310</v>
      </c>
    </row>
    <row r="89" spans="2:99" x14ac:dyDescent="0.2">
      <c r="C89" s="105" t="s">
        <v>255</v>
      </c>
      <c r="D89" s="106">
        <v>4</v>
      </c>
      <c r="E89" s="106">
        <v>9590.4</v>
      </c>
      <c r="F89" s="106">
        <v>6</v>
      </c>
      <c r="G89" s="106">
        <v>14385.599999999999</v>
      </c>
      <c r="H89" s="106">
        <v>5</v>
      </c>
      <c r="I89" s="106">
        <v>11988</v>
      </c>
      <c r="J89" s="106">
        <v>6</v>
      </c>
      <c r="K89" s="106">
        <v>14385.599999999999</v>
      </c>
      <c r="L89" s="106">
        <v>7</v>
      </c>
      <c r="M89" s="106">
        <v>16783.2</v>
      </c>
      <c r="N89" s="106">
        <v>6</v>
      </c>
      <c r="O89" s="106">
        <v>14385.599999999999</v>
      </c>
      <c r="P89" s="106">
        <v>10</v>
      </c>
      <c r="Q89" s="106">
        <v>23976</v>
      </c>
      <c r="R89" s="106">
        <v>6</v>
      </c>
      <c r="S89" s="106">
        <v>14385.599999999999</v>
      </c>
      <c r="T89" s="106">
        <v>6</v>
      </c>
      <c r="U89" s="106">
        <v>14385.599999999999</v>
      </c>
      <c r="V89" s="106">
        <v>9</v>
      </c>
      <c r="W89" s="106">
        <v>21578.399999999998</v>
      </c>
      <c r="X89" s="106">
        <v>8</v>
      </c>
      <c r="Y89" s="106">
        <v>19180.8</v>
      </c>
      <c r="Z89" s="106">
        <v>7</v>
      </c>
      <c r="AA89" s="106">
        <v>16783.2</v>
      </c>
      <c r="AB89" s="106">
        <v>14</v>
      </c>
      <c r="AC89" s="106">
        <v>33566.400000000001</v>
      </c>
      <c r="AD89" s="106">
        <v>20</v>
      </c>
      <c r="AE89" s="106">
        <v>47952</v>
      </c>
      <c r="AF89" s="106">
        <v>17</v>
      </c>
      <c r="AG89" s="106">
        <v>40759.199999999997</v>
      </c>
      <c r="AH89" s="106">
        <v>14</v>
      </c>
      <c r="AI89" s="106">
        <v>33566.400000000001</v>
      </c>
      <c r="AJ89" s="106">
        <v>3</v>
      </c>
      <c r="AK89" s="106">
        <v>7192.7999999999993</v>
      </c>
      <c r="AL89" s="106">
        <v>3</v>
      </c>
      <c r="AM89" s="106">
        <v>7192.7999999999993</v>
      </c>
      <c r="AN89" s="106">
        <v>4</v>
      </c>
      <c r="AO89" s="106">
        <v>9590.4</v>
      </c>
      <c r="AP89" s="106">
        <v>3</v>
      </c>
      <c r="AQ89" s="106">
        <v>7192.7999999999993</v>
      </c>
      <c r="AR89" s="106">
        <v>32</v>
      </c>
      <c r="AS89" s="106">
        <v>76723.199999999997</v>
      </c>
      <c r="AT89" s="106">
        <v>34</v>
      </c>
      <c r="AU89" s="106">
        <v>81518.399999999994</v>
      </c>
      <c r="AV89" s="106">
        <v>33</v>
      </c>
      <c r="AW89" s="106">
        <v>79120.800000000003</v>
      </c>
      <c r="AX89" s="106">
        <v>34</v>
      </c>
      <c r="AY89" s="106">
        <v>81518.399999999994</v>
      </c>
      <c r="AZ89" s="106">
        <v>37</v>
      </c>
      <c r="BA89" s="106">
        <v>88711.2</v>
      </c>
      <c r="BB89" s="106">
        <v>34</v>
      </c>
      <c r="BC89" s="106">
        <v>81518.399999999994</v>
      </c>
      <c r="BD89" s="106">
        <v>20</v>
      </c>
      <c r="BE89" s="106">
        <v>47952</v>
      </c>
      <c r="BF89" s="106">
        <v>25</v>
      </c>
      <c r="BG89" s="106">
        <v>59940</v>
      </c>
      <c r="BH89" s="106">
        <v>4</v>
      </c>
      <c r="BI89" s="106">
        <v>9590.4</v>
      </c>
      <c r="BJ89" s="106">
        <v>4</v>
      </c>
      <c r="BK89" s="106">
        <v>9590.4</v>
      </c>
      <c r="BL89" s="106">
        <v>4</v>
      </c>
      <c r="BM89" s="106">
        <v>9590.4</v>
      </c>
      <c r="BN89" s="106">
        <v>4</v>
      </c>
      <c r="BO89" s="106">
        <v>9590.4</v>
      </c>
      <c r="BP89" s="106">
        <v>11</v>
      </c>
      <c r="BQ89" s="106">
        <v>26373.599999999999</v>
      </c>
      <c r="BR89" s="106">
        <v>11</v>
      </c>
      <c r="BS89" s="106">
        <v>26373.599999999999</v>
      </c>
      <c r="BT89" s="106">
        <v>12</v>
      </c>
      <c r="BU89" s="106">
        <v>28771.199999999997</v>
      </c>
      <c r="BV89" s="106">
        <v>17</v>
      </c>
      <c r="BW89" s="106">
        <v>40759.199999999997</v>
      </c>
      <c r="BX89" s="106">
        <v>6</v>
      </c>
      <c r="BY89" s="106">
        <v>14385.599999999999</v>
      </c>
      <c r="BZ89" s="106">
        <v>8</v>
      </c>
      <c r="CA89" s="106">
        <v>19180.8</v>
      </c>
      <c r="CB89" s="106">
        <v>7</v>
      </c>
      <c r="CC89" s="106">
        <v>16783.2</v>
      </c>
      <c r="CD89" s="106">
        <v>8</v>
      </c>
      <c r="CE89" s="106">
        <v>19180.8</v>
      </c>
      <c r="CF89" s="106">
        <v>7</v>
      </c>
      <c r="CG89" s="106">
        <v>16783.2</v>
      </c>
      <c r="CH89" s="106">
        <v>7</v>
      </c>
      <c r="CI89" s="106">
        <v>16783.2</v>
      </c>
      <c r="CJ89" s="106">
        <v>8</v>
      </c>
      <c r="CK89" s="106">
        <v>19180.8</v>
      </c>
      <c r="CL89" s="106">
        <v>8</v>
      </c>
      <c r="CM89" s="106">
        <v>19180.8</v>
      </c>
      <c r="CN89" s="106">
        <v>13</v>
      </c>
      <c r="CO89" s="106">
        <v>31168.799999999999</v>
      </c>
      <c r="CP89" s="106">
        <v>23</v>
      </c>
      <c r="CQ89" s="106">
        <v>55144.799999999996</v>
      </c>
      <c r="CR89" s="106">
        <v>28</v>
      </c>
      <c r="CS89" s="106">
        <v>67132.800000000003</v>
      </c>
      <c r="CT89" s="106">
        <v>26</v>
      </c>
      <c r="CU89" s="106">
        <v>62337.599999999999</v>
      </c>
    </row>
    <row r="90" spans="2:99" x14ac:dyDescent="0.2">
      <c r="C90" s="105" t="s">
        <v>256</v>
      </c>
      <c r="D90" s="106">
        <v>4</v>
      </c>
      <c r="E90" s="106">
        <v>8788.7999999999993</v>
      </c>
      <c r="F90" s="106">
        <v>6</v>
      </c>
      <c r="G90" s="106">
        <v>13183.199999999999</v>
      </c>
      <c r="H90" s="106">
        <v>5</v>
      </c>
      <c r="I90" s="106">
        <v>10986</v>
      </c>
      <c r="J90" s="106">
        <v>6</v>
      </c>
      <c r="K90" s="106">
        <v>13183.199999999999</v>
      </c>
      <c r="L90" s="106">
        <v>7</v>
      </c>
      <c r="M90" s="106">
        <v>15380.399999999998</v>
      </c>
      <c r="N90" s="106">
        <v>6</v>
      </c>
      <c r="O90" s="106">
        <v>13183.199999999999</v>
      </c>
      <c r="P90" s="106">
        <v>9</v>
      </c>
      <c r="Q90" s="106">
        <v>19774.8</v>
      </c>
      <c r="R90" s="106">
        <v>7</v>
      </c>
      <c r="S90" s="106">
        <v>15380.399999999998</v>
      </c>
      <c r="T90" s="106">
        <v>7</v>
      </c>
      <c r="U90" s="106">
        <v>15380.399999999998</v>
      </c>
      <c r="V90" s="106">
        <v>10</v>
      </c>
      <c r="W90" s="106">
        <v>21972</v>
      </c>
      <c r="X90" s="106">
        <v>8</v>
      </c>
      <c r="Y90" s="106">
        <v>17577.599999999999</v>
      </c>
      <c r="Z90" s="106">
        <v>7</v>
      </c>
      <c r="AA90" s="106">
        <v>15380.399999999998</v>
      </c>
      <c r="AB90" s="106">
        <v>15</v>
      </c>
      <c r="AC90" s="106">
        <v>32958</v>
      </c>
      <c r="AD90" s="106">
        <v>19</v>
      </c>
      <c r="AE90" s="106">
        <v>41746.799999999996</v>
      </c>
      <c r="AF90" s="106">
        <v>18</v>
      </c>
      <c r="AG90" s="106">
        <v>39549.599999999999</v>
      </c>
      <c r="AH90" s="106">
        <v>12</v>
      </c>
      <c r="AI90" s="106">
        <v>26366.399999999998</v>
      </c>
      <c r="AJ90" s="106">
        <v>3</v>
      </c>
      <c r="AK90" s="106">
        <v>6591.5999999999995</v>
      </c>
      <c r="AL90" s="106">
        <v>3</v>
      </c>
      <c r="AM90" s="106">
        <v>6591.5999999999995</v>
      </c>
      <c r="AN90" s="106">
        <v>3</v>
      </c>
      <c r="AO90" s="106">
        <v>6591.5999999999995</v>
      </c>
      <c r="AP90" s="106">
        <v>2</v>
      </c>
      <c r="AQ90" s="106">
        <v>4394.3999999999996</v>
      </c>
      <c r="AR90" s="106">
        <v>31</v>
      </c>
      <c r="AS90" s="106">
        <v>68113.2</v>
      </c>
      <c r="AT90" s="106">
        <v>36</v>
      </c>
      <c r="AU90" s="106">
        <v>79099.199999999997</v>
      </c>
      <c r="AV90" s="106">
        <v>34</v>
      </c>
      <c r="AW90" s="106">
        <v>74704.799999999988</v>
      </c>
      <c r="AX90" s="106">
        <v>34</v>
      </c>
      <c r="AY90" s="106">
        <v>74704.799999999988</v>
      </c>
      <c r="AZ90" s="106">
        <v>34</v>
      </c>
      <c r="BA90" s="106">
        <v>74704.799999999988</v>
      </c>
      <c r="BB90" s="106">
        <v>38</v>
      </c>
      <c r="BC90" s="106">
        <v>83493.599999999991</v>
      </c>
      <c r="BD90" s="106">
        <v>24</v>
      </c>
      <c r="BE90" s="106">
        <v>52732.799999999996</v>
      </c>
      <c r="BF90" s="106">
        <v>23</v>
      </c>
      <c r="BG90" s="106">
        <v>50535.6</v>
      </c>
      <c r="BH90" s="106">
        <v>4</v>
      </c>
      <c r="BI90" s="106">
        <v>8788.7999999999993</v>
      </c>
      <c r="BJ90" s="106">
        <v>4</v>
      </c>
      <c r="BK90" s="106">
        <v>8788.7999999999993</v>
      </c>
      <c r="BL90" s="106">
        <v>4</v>
      </c>
      <c r="BM90" s="106">
        <v>8788.7999999999993</v>
      </c>
      <c r="BN90" s="106">
        <v>4</v>
      </c>
      <c r="BO90" s="106">
        <v>8788.7999999999993</v>
      </c>
      <c r="BP90" s="106">
        <v>12</v>
      </c>
      <c r="BQ90" s="106">
        <v>26366.399999999998</v>
      </c>
      <c r="BR90" s="106">
        <v>11</v>
      </c>
      <c r="BS90" s="106">
        <v>24169.199999999997</v>
      </c>
      <c r="BT90" s="106">
        <v>12</v>
      </c>
      <c r="BU90" s="106">
        <v>26366.399999999998</v>
      </c>
      <c r="BV90" s="106">
        <v>17</v>
      </c>
      <c r="BW90" s="106">
        <v>37352.399999999994</v>
      </c>
      <c r="BX90" s="106">
        <v>6</v>
      </c>
      <c r="BY90" s="106">
        <v>13183.199999999999</v>
      </c>
      <c r="BZ90" s="106">
        <v>9</v>
      </c>
      <c r="CA90" s="106">
        <v>19774.8</v>
      </c>
      <c r="CB90" s="106">
        <v>7</v>
      </c>
      <c r="CC90" s="106">
        <v>15380.399999999998</v>
      </c>
      <c r="CD90" s="106">
        <v>7</v>
      </c>
      <c r="CE90" s="106">
        <v>15380.399999999998</v>
      </c>
      <c r="CF90" s="106">
        <v>7</v>
      </c>
      <c r="CG90" s="106">
        <v>15380.399999999998</v>
      </c>
      <c r="CH90" s="106">
        <v>7</v>
      </c>
      <c r="CI90" s="106">
        <v>15380.399999999998</v>
      </c>
      <c r="CJ90" s="106">
        <v>10</v>
      </c>
      <c r="CK90" s="106">
        <v>21972</v>
      </c>
      <c r="CL90" s="106">
        <v>8</v>
      </c>
      <c r="CM90" s="106">
        <v>17577.599999999999</v>
      </c>
      <c r="CN90" s="106">
        <v>16</v>
      </c>
      <c r="CO90" s="106">
        <v>35155.199999999997</v>
      </c>
      <c r="CP90" s="106">
        <v>25</v>
      </c>
      <c r="CQ90" s="106">
        <v>54929.999999999993</v>
      </c>
      <c r="CR90" s="106">
        <v>26</v>
      </c>
      <c r="CS90" s="106">
        <v>57127.199999999997</v>
      </c>
      <c r="CT90" s="106">
        <v>26</v>
      </c>
      <c r="CU90" s="106">
        <v>57127.199999999997</v>
      </c>
    </row>
    <row r="91" spans="2:99" x14ac:dyDescent="0.2">
      <c r="C91" s="105" t="s">
        <v>257</v>
      </c>
      <c r="D91" s="106">
        <v>4</v>
      </c>
      <c r="E91" s="106">
        <v>9187.1999999999989</v>
      </c>
      <c r="F91" s="106">
        <v>5</v>
      </c>
      <c r="G91" s="106">
        <v>11483.999999999998</v>
      </c>
      <c r="H91" s="106">
        <v>6</v>
      </c>
      <c r="I91" s="106">
        <v>13780.8</v>
      </c>
      <c r="J91" s="106">
        <v>5</v>
      </c>
      <c r="K91" s="106">
        <v>11483.999999999998</v>
      </c>
      <c r="L91" s="106">
        <v>7</v>
      </c>
      <c r="M91" s="106">
        <v>16077.599999999999</v>
      </c>
      <c r="N91" s="106">
        <v>6</v>
      </c>
      <c r="O91" s="106">
        <v>13780.8</v>
      </c>
      <c r="P91" s="106">
        <v>9</v>
      </c>
      <c r="Q91" s="106">
        <v>20671.199999999997</v>
      </c>
      <c r="R91" s="106">
        <v>6</v>
      </c>
      <c r="S91" s="106">
        <v>13780.8</v>
      </c>
      <c r="T91" s="106">
        <v>6</v>
      </c>
      <c r="U91" s="106">
        <v>13780.8</v>
      </c>
      <c r="V91" s="106">
        <v>8</v>
      </c>
      <c r="W91" s="106">
        <v>18374.399999999998</v>
      </c>
      <c r="X91" s="106">
        <v>9</v>
      </c>
      <c r="Y91" s="106">
        <v>20671.199999999997</v>
      </c>
      <c r="Z91" s="106">
        <v>8</v>
      </c>
      <c r="AA91" s="106">
        <v>18374.399999999998</v>
      </c>
      <c r="AB91" s="106">
        <v>17</v>
      </c>
      <c r="AC91" s="106">
        <v>39045.599999999999</v>
      </c>
      <c r="AD91" s="106">
        <v>18</v>
      </c>
      <c r="AE91" s="106">
        <v>41342.399999999994</v>
      </c>
      <c r="AF91" s="106">
        <v>16</v>
      </c>
      <c r="AG91" s="106">
        <v>36748.799999999996</v>
      </c>
      <c r="AH91" s="106">
        <v>12</v>
      </c>
      <c r="AI91" s="106">
        <v>27561.599999999999</v>
      </c>
      <c r="AJ91" s="106">
        <v>3</v>
      </c>
      <c r="AK91" s="106">
        <v>6890.4</v>
      </c>
      <c r="AL91" s="106">
        <v>3</v>
      </c>
      <c r="AM91" s="106">
        <v>6890.4</v>
      </c>
      <c r="AN91" s="106">
        <v>4</v>
      </c>
      <c r="AO91" s="106">
        <v>9187.1999999999989</v>
      </c>
      <c r="AP91" s="106">
        <v>3</v>
      </c>
      <c r="AQ91" s="106">
        <v>6890.4</v>
      </c>
      <c r="AR91" s="106">
        <v>32</v>
      </c>
      <c r="AS91" s="106">
        <v>73497.599999999991</v>
      </c>
      <c r="AT91" s="106">
        <v>34</v>
      </c>
      <c r="AU91" s="106">
        <v>78091.199999999997</v>
      </c>
      <c r="AV91" s="106">
        <v>35</v>
      </c>
      <c r="AW91" s="106">
        <v>80387.999999999985</v>
      </c>
      <c r="AX91" s="106">
        <v>33</v>
      </c>
      <c r="AY91" s="106">
        <v>75794.399999999994</v>
      </c>
      <c r="AZ91" s="106">
        <v>36</v>
      </c>
      <c r="BA91" s="106">
        <v>82684.799999999988</v>
      </c>
      <c r="BB91" s="106">
        <v>37</v>
      </c>
      <c r="BC91" s="106">
        <v>84981.599999999991</v>
      </c>
      <c r="BD91" s="106">
        <v>23</v>
      </c>
      <c r="BE91" s="106">
        <v>52826.399999999994</v>
      </c>
      <c r="BF91" s="106">
        <v>22</v>
      </c>
      <c r="BG91" s="106">
        <v>50529.599999999991</v>
      </c>
      <c r="BH91" s="106">
        <v>4</v>
      </c>
      <c r="BI91" s="106">
        <v>9187.1999999999989</v>
      </c>
      <c r="BJ91" s="106">
        <v>4</v>
      </c>
      <c r="BK91" s="106">
        <v>9187.1999999999989</v>
      </c>
      <c r="BL91" s="106">
        <v>4</v>
      </c>
      <c r="BM91" s="106">
        <v>9187.1999999999989</v>
      </c>
      <c r="BN91" s="106">
        <v>4</v>
      </c>
      <c r="BO91" s="106">
        <v>9187.1999999999989</v>
      </c>
      <c r="BP91" s="106">
        <v>11</v>
      </c>
      <c r="BQ91" s="106">
        <v>25264.799999999996</v>
      </c>
      <c r="BR91" s="106">
        <v>13</v>
      </c>
      <c r="BS91" s="106">
        <v>29858.399999999998</v>
      </c>
      <c r="BT91" s="106">
        <v>12</v>
      </c>
      <c r="BU91" s="106">
        <v>27561.599999999999</v>
      </c>
      <c r="BV91" s="106">
        <v>17</v>
      </c>
      <c r="BW91" s="106">
        <v>39045.599999999999</v>
      </c>
      <c r="BX91" s="106">
        <v>5</v>
      </c>
      <c r="BY91" s="106">
        <v>11483.999999999998</v>
      </c>
      <c r="BZ91" s="106">
        <v>9</v>
      </c>
      <c r="CA91" s="106">
        <v>20671.199999999997</v>
      </c>
      <c r="CB91" s="106">
        <v>7</v>
      </c>
      <c r="CC91" s="106">
        <v>16077.599999999999</v>
      </c>
      <c r="CD91" s="106">
        <v>9</v>
      </c>
      <c r="CE91" s="106">
        <v>20671.199999999997</v>
      </c>
      <c r="CF91" s="106">
        <v>6</v>
      </c>
      <c r="CG91" s="106">
        <v>13780.8</v>
      </c>
      <c r="CH91" s="106">
        <v>7</v>
      </c>
      <c r="CI91" s="106">
        <v>16077.599999999999</v>
      </c>
      <c r="CJ91" s="106">
        <v>10</v>
      </c>
      <c r="CK91" s="106">
        <v>22967.999999999996</v>
      </c>
      <c r="CL91" s="106">
        <v>7</v>
      </c>
      <c r="CM91" s="106">
        <v>16077.599999999999</v>
      </c>
      <c r="CN91" s="106">
        <v>15</v>
      </c>
      <c r="CO91" s="106">
        <v>34451.999999999993</v>
      </c>
      <c r="CP91" s="106">
        <v>24</v>
      </c>
      <c r="CQ91" s="106">
        <v>55123.199999999997</v>
      </c>
      <c r="CR91" s="106">
        <v>28</v>
      </c>
      <c r="CS91" s="106">
        <v>64310.399999999994</v>
      </c>
      <c r="CT91" s="106">
        <v>26</v>
      </c>
      <c r="CU91" s="106">
        <v>59716.799999999996</v>
      </c>
    </row>
    <row r="92" spans="2:99" x14ac:dyDescent="0.2">
      <c r="C92" s="105" t="s">
        <v>258</v>
      </c>
      <c r="D92" s="106">
        <v>4</v>
      </c>
      <c r="E92" s="106">
        <v>5683.2</v>
      </c>
      <c r="F92" s="106">
        <v>6</v>
      </c>
      <c r="G92" s="106">
        <v>8524.7999999999993</v>
      </c>
      <c r="H92" s="106">
        <v>6</v>
      </c>
      <c r="I92" s="106">
        <v>8524.7999999999993</v>
      </c>
      <c r="J92" s="106">
        <v>6</v>
      </c>
      <c r="K92" s="106">
        <v>8524.7999999999993</v>
      </c>
      <c r="L92" s="106">
        <v>7</v>
      </c>
      <c r="M92" s="106">
        <v>9945.6</v>
      </c>
      <c r="N92" s="106">
        <v>6</v>
      </c>
      <c r="O92" s="106">
        <v>8524.7999999999993</v>
      </c>
      <c r="P92" s="106">
        <v>11</v>
      </c>
      <c r="Q92" s="106">
        <v>15628.8</v>
      </c>
      <c r="R92" s="106">
        <v>7</v>
      </c>
      <c r="S92" s="106">
        <v>9945.6</v>
      </c>
      <c r="T92" s="106">
        <v>7</v>
      </c>
      <c r="U92" s="106">
        <v>9945.6</v>
      </c>
      <c r="V92" s="106">
        <v>10</v>
      </c>
      <c r="W92" s="106">
        <v>14208</v>
      </c>
      <c r="X92" s="106">
        <v>9</v>
      </c>
      <c r="Y92" s="106">
        <v>12787.199999999999</v>
      </c>
      <c r="Z92" s="106">
        <v>8</v>
      </c>
      <c r="AA92" s="106">
        <v>11366.4</v>
      </c>
      <c r="AB92" s="106">
        <v>19</v>
      </c>
      <c r="AC92" s="106">
        <v>26995.200000000001</v>
      </c>
      <c r="AD92" s="106">
        <v>20</v>
      </c>
      <c r="AE92" s="106">
        <v>28416</v>
      </c>
      <c r="AF92" s="106">
        <v>20</v>
      </c>
      <c r="AG92" s="106">
        <v>28416</v>
      </c>
      <c r="AH92" s="106">
        <v>14</v>
      </c>
      <c r="AI92" s="106">
        <v>19891.2</v>
      </c>
      <c r="AJ92" s="106">
        <v>3</v>
      </c>
      <c r="AK92" s="106">
        <v>4262.3999999999996</v>
      </c>
      <c r="AL92" s="106">
        <v>3</v>
      </c>
      <c r="AM92" s="106">
        <v>4262.3999999999996</v>
      </c>
      <c r="AN92" s="106">
        <v>4</v>
      </c>
      <c r="AO92" s="106">
        <v>5683.2</v>
      </c>
      <c r="AP92" s="106">
        <v>3</v>
      </c>
      <c r="AQ92" s="106">
        <v>4262.3999999999996</v>
      </c>
      <c r="AR92" s="106">
        <v>42</v>
      </c>
      <c r="AS92" s="106">
        <v>59673.599999999999</v>
      </c>
      <c r="AT92" s="106">
        <v>42</v>
      </c>
      <c r="AU92" s="106">
        <v>59673.599999999999</v>
      </c>
      <c r="AV92" s="106">
        <v>35</v>
      </c>
      <c r="AW92" s="106">
        <v>49728</v>
      </c>
      <c r="AX92" s="106">
        <v>40</v>
      </c>
      <c r="AY92" s="106">
        <v>56832</v>
      </c>
      <c r="AZ92" s="106">
        <v>45</v>
      </c>
      <c r="BA92" s="106">
        <v>63936</v>
      </c>
      <c r="BB92" s="106">
        <v>42</v>
      </c>
      <c r="BC92" s="106">
        <v>59673.599999999999</v>
      </c>
      <c r="BD92" s="106">
        <v>28</v>
      </c>
      <c r="BE92" s="106">
        <v>39782.400000000001</v>
      </c>
      <c r="BF92" s="106">
        <v>29</v>
      </c>
      <c r="BG92" s="106">
        <v>41203.199999999997</v>
      </c>
      <c r="BH92" s="106">
        <v>4</v>
      </c>
      <c r="BI92" s="106">
        <v>5683.2</v>
      </c>
      <c r="BJ92" s="106">
        <v>4</v>
      </c>
      <c r="BK92" s="106">
        <v>5683.2</v>
      </c>
      <c r="BL92" s="106">
        <v>4</v>
      </c>
      <c r="BM92" s="106">
        <v>5683.2</v>
      </c>
      <c r="BN92" s="106">
        <v>4</v>
      </c>
      <c r="BO92" s="106">
        <v>5683.2</v>
      </c>
      <c r="BP92" s="106">
        <v>13</v>
      </c>
      <c r="BQ92" s="106">
        <v>18470.399999999998</v>
      </c>
      <c r="BR92" s="106">
        <v>14</v>
      </c>
      <c r="BS92" s="106">
        <v>19891.2</v>
      </c>
      <c r="BT92" s="106">
        <v>13</v>
      </c>
      <c r="BU92" s="106">
        <v>18470.399999999998</v>
      </c>
      <c r="BV92" s="106">
        <v>18</v>
      </c>
      <c r="BW92" s="106">
        <v>25574.399999999998</v>
      </c>
      <c r="BX92" s="106">
        <v>7</v>
      </c>
      <c r="BY92" s="106">
        <v>9945.6</v>
      </c>
      <c r="BZ92" s="106">
        <v>9</v>
      </c>
      <c r="CA92" s="106">
        <v>12787.199999999999</v>
      </c>
      <c r="CB92" s="106">
        <v>9</v>
      </c>
      <c r="CC92" s="106">
        <v>12787.199999999999</v>
      </c>
      <c r="CD92" s="106">
        <v>9</v>
      </c>
      <c r="CE92" s="106">
        <v>12787.199999999999</v>
      </c>
      <c r="CF92" s="106">
        <v>6</v>
      </c>
      <c r="CG92" s="106">
        <v>8524.7999999999993</v>
      </c>
      <c r="CH92" s="106">
        <v>8</v>
      </c>
      <c r="CI92" s="106">
        <v>11366.4</v>
      </c>
      <c r="CJ92" s="106">
        <v>10</v>
      </c>
      <c r="CK92" s="106">
        <v>14208</v>
      </c>
      <c r="CL92" s="106">
        <v>7</v>
      </c>
      <c r="CM92" s="106">
        <v>9945.6</v>
      </c>
      <c r="CN92" s="106">
        <v>17</v>
      </c>
      <c r="CO92" s="106">
        <v>24153.599999999999</v>
      </c>
      <c r="CP92" s="106">
        <v>31</v>
      </c>
      <c r="CQ92" s="106">
        <v>44044.799999999996</v>
      </c>
      <c r="CR92" s="106">
        <v>35</v>
      </c>
      <c r="CS92" s="106">
        <v>49728</v>
      </c>
      <c r="CT92" s="106">
        <v>26</v>
      </c>
      <c r="CU92" s="106">
        <v>36940.799999999996</v>
      </c>
    </row>
    <row r="93" spans="2:99" x14ac:dyDescent="0.2">
      <c r="C93" s="105" t="s">
        <v>259</v>
      </c>
      <c r="D93" s="106">
        <v>4</v>
      </c>
      <c r="E93" s="106">
        <v>7089.5999999999995</v>
      </c>
      <c r="F93" s="106">
        <v>5</v>
      </c>
      <c r="G93" s="106">
        <v>8862</v>
      </c>
      <c r="H93" s="106">
        <v>6</v>
      </c>
      <c r="I93" s="106">
        <v>10634.4</v>
      </c>
      <c r="J93" s="106">
        <v>6</v>
      </c>
      <c r="K93" s="106">
        <v>10634.4</v>
      </c>
      <c r="L93" s="106">
        <v>8</v>
      </c>
      <c r="M93" s="106">
        <v>14179.199999999999</v>
      </c>
      <c r="N93" s="106">
        <v>7</v>
      </c>
      <c r="O93" s="106">
        <v>12406.8</v>
      </c>
      <c r="P93" s="106">
        <v>9</v>
      </c>
      <c r="Q93" s="106">
        <v>15951.599999999999</v>
      </c>
      <c r="R93" s="106">
        <v>7</v>
      </c>
      <c r="S93" s="106">
        <v>12406.8</v>
      </c>
      <c r="T93" s="106">
        <v>7</v>
      </c>
      <c r="U93" s="106">
        <v>12406.8</v>
      </c>
      <c r="V93" s="106">
        <v>9</v>
      </c>
      <c r="W93" s="106">
        <v>15951.599999999999</v>
      </c>
      <c r="X93" s="106">
        <v>9</v>
      </c>
      <c r="Y93" s="106">
        <v>15951.599999999999</v>
      </c>
      <c r="Z93" s="106">
        <v>8</v>
      </c>
      <c r="AA93" s="106">
        <v>14179.199999999999</v>
      </c>
      <c r="AB93" s="106">
        <v>18</v>
      </c>
      <c r="AC93" s="106">
        <v>31903.199999999997</v>
      </c>
      <c r="AD93" s="106">
        <v>18</v>
      </c>
      <c r="AE93" s="106">
        <v>31903.199999999997</v>
      </c>
      <c r="AF93" s="106">
        <v>16</v>
      </c>
      <c r="AG93" s="106">
        <v>28358.399999999998</v>
      </c>
      <c r="AH93" s="106">
        <v>13</v>
      </c>
      <c r="AI93" s="106">
        <v>23041.199999999997</v>
      </c>
      <c r="AJ93" s="106">
        <v>3</v>
      </c>
      <c r="AK93" s="106">
        <v>5317.2</v>
      </c>
      <c r="AL93" s="106">
        <v>4</v>
      </c>
      <c r="AM93" s="106">
        <v>7089.5999999999995</v>
      </c>
      <c r="AN93" s="106">
        <v>3</v>
      </c>
      <c r="AO93" s="106">
        <v>5317.2</v>
      </c>
      <c r="AP93" s="106">
        <v>3</v>
      </c>
      <c r="AQ93" s="106">
        <v>5317.2</v>
      </c>
      <c r="AR93" s="106">
        <v>37</v>
      </c>
      <c r="AS93" s="106">
        <v>65578.799999999988</v>
      </c>
      <c r="AT93" s="106">
        <v>37</v>
      </c>
      <c r="AU93" s="106">
        <v>65578.799999999988</v>
      </c>
      <c r="AV93" s="106">
        <v>37</v>
      </c>
      <c r="AW93" s="106">
        <v>65578.799999999988</v>
      </c>
      <c r="AX93" s="106">
        <v>33</v>
      </c>
      <c r="AY93" s="106">
        <v>58489.2</v>
      </c>
      <c r="AZ93" s="106">
        <v>35</v>
      </c>
      <c r="BA93" s="106">
        <v>62033.999999999993</v>
      </c>
      <c r="BB93" s="106">
        <v>40</v>
      </c>
      <c r="BC93" s="106">
        <v>70896</v>
      </c>
      <c r="BD93" s="106">
        <v>23</v>
      </c>
      <c r="BE93" s="106">
        <v>40765.199999999997</v>
      </c>
      <c r="BF93" s="106">
        <v>27</v>
      </c>
      <c r="BG93" s="106">
        <v>47854.799999999996</v>
      </c>
      <c r="BH93" s="106">
        <v>5</v>
      </c>
      <c r="BI93" s="106">
        <v>8862</v>
      </c>
      <c r="BJ93" s="106">
        <v>4</v>
      </c>
      <c r="BK93" s="106">
        <v>7089.5999999999995</v>
      </c>
      <c r="BL93" s="106">
        <v>4</v>
      </c>
      <c r="BM93" s="106">
        <v>7089.5999999999995</v>
      </c>
      <c r="BN93" s="106">
        <v>4</v>
      </c>
      <c r="BO93" s="106">
        <v>7089.5999999999995</v>
      </c>
      <c r="BP93" s="106">
        <v>13</v>
      </c>
      <c r="BQ93" s="106">
        <v>23041.199999999997</v>
      </c>
      <c r="BR93" s="106">
        <v>12</v>
      </c>
      <c r="BS93" s="106">
        <v>21268.799999999999</v>
      </c>
      <c r="BT93" s="106">
        <v>12</v>
      </c>
      <c r="BU93" s="106">
        <v>21268.799999999999</v>
      </c>
      <c r="BV93" s="106">
        <v>16</v>
      </c>
      <c r="BW93" s="106">
        <v>28358.399999999998</v>
      </c>
      <c r="BX93" s="106">
        <v>6</v>
      </c>
      <c r="BY93" s="106">
        <v>10634.4</v>
      </c>
      <c r="BZ93" s="106">
        <v>8</v>
      </c>
      <c r="CA93" s="106">
        <v>14179.199999999999</v>
      </c>
      <c r="CB93" s="106">
        <v>8</v>
      </c>
      <c r="CC93" s="106">
        <v>14179.199999999999</v>
      </c>
      <c r="CD93" s="106">
        <v>8</v>
      </c>
      <c r="CE93" s="106">
        <v>14179.199999999999</v>
      </c>
      <c r="CF93" s="106">
        <v>7</v>
      </c>
      <c r="CG93" s="106">
        <v>12406.8</v>
      </c>
      <c r="CH93" s="106">
        <v>8</v>
      </c>
      <c r="CI93" s="106">
        <v>14179.199999999999</v>
      </c>
      <c r="CJ93" s="106">
        <v>11</v>
      </c>
      <c r="CK93" s="106">
        <v>19496.399999999998</v>
      </c>
      <c r="CL93" s="106">
        <v>8</v>
      </c>
      <c r="CM93" s="106">
        <v>14179.199999999999</v>
      </c>
      <c r="CN93" s="106">
        <v>16</v>
      </c>
      <c r="CO93" s="106">
        <v>28358.399999999998</v>
      </c>
      <c r="CP93" s="106">
        <v>29</v>
      </c>
      <c r="CQ93" s="106">
        <v>51399.6</v>
      </c>
      <c r="CR93" s="106">
        <v>31</v>
      </c>
      <c r="CS93" s="106">
        <v>54944.399999999994</v>
      </c>
      <c r="CT93" s="106">
        <v>26</v>
      </c>
      <c r="CU93" s="106">
        <v>46082.399999999994</v>
      </c>
    </row>
    <row r="94" spans="2:99" x14ac:dyDescent="0.2">
      <c r="C94" s="105" t="s">
        <v>260</v>
      </c>
      <c r="D94" s="106">
        <v>4</v>
      </c>
      <c r="E94" s="106">
        <v>9580.7999999999993</v>
      </c>
      <c r="F94" s="106">
        <v>6</v>
      </c>
      <c r="G94" s="106">
        <v>14371.199999999999</v>
      </c>
      <c r="H94" s="106">
        <v>5</v>
      </c>
      <c r="I94" s="106">
        <v>11976</v>
      </c>
      <c r="J94" s="106">
        <v>6</v>
      </c>
      <c r="K94" s="106">
        <v>14371.199999999999</v>
      </c>
      <c r="L94" s="106">
        <v>7</v>
      </c>
      <c r="M94" s="106">
        <v>16766.399999999998</v>
      </c>
      <c r="N94" s="106">
        <v>6</v>
      </c>
      <c r="O94" s="106">
        <v>14371.199999999999</v>
      </c>
      <c r="P94" s="106">
        <v>10</v>
      </c>
      <c r="Q94" s="106">
        <v>23952</v>
      </c>
      <c r="R94" s="106">
        <v>7</v>
      </c>
      <c r="S94" s="106">
        <v>16766.399999999998</v>
      </c>
      <c r="T94" s="106">
        <v>6</v>
      </c>
      <c r="U94" s="106">
        <v>14371.199999999999</v>
      </c>
      <c r="V94" s="106">
        <v>9</v>
      </c>
      <c r="W94" s="106">
        <v>21556.799999999999</v>
      </c>
      <c r="X94" s="106">
        <v>9</v>
      </c>
      <c r="Y94" s="106">
        <v>21556.799999999999</v>
      </c>
      <c r="Z94" s="106">
        <v>8</v>
      </c>
      <c r="AA94" s="106">
        <v>19161.599999999999</v>
      </c>
      <c r="AB94" s="106">
        <v>14</v>
      </c>
      <c r="AC94" s="106">
        <v>33532.799999999996</v>
      </c>
      <c r="AD94" s="106">
        <v>18</v>
      </c>
      <c r="AE94" s="106">
        <v>43113.599999999999</v>
      </c>
      <c r="AF94" s="106">
        <v>16</v>
      </c>
      <c r="AG94" s="106">
        <v>38323.199999999997</v>
      </c>
      <c r="AH94" s="106">
        <v>13</v>
      </c>
      <c r="AI94" s="106">
        <v>31137.599999999999</v>
      </c>
      <c r="AJ94" s="106">
        <v>3</v>
      </c>
      <c r="AK94" s="106">
        <v>7185.5999999999995</v>
      </c>
      <c r="AL94" s="106">
        <v>3</v>
      </c>
      <c r="AM94" s="106">
        <v>7185.5999999999995</v>
      </c>
      <c r="AN94" s="106">
        <v>3</v>
      </c>
      <c r="AO94" s="106">
        <v>7185.5999999999995</v>
      </c>
      <c r="AP94" s="106">
        <v>3</v>
      </c>
      <c r="AQ94" s="106">
        <v>7185.5999999999995</v>
      </c>
      <c r="AR94" s="106">
        <v>35</v>
      </c>
      <c r="AS94" s="106">
        <v>83832</v>
      </c>
      <c r="AT94" s="106">
        <v>34</v>
      </c>
      <c r="AU94" s="106">
        <v>81436.799999999988</v>
      </c>
      <c r="AV94" s="106">
        <v>32</v>
      </c>
      <c r="AW94" s="106">
        <v>76646.399999999994</v>
      </c>
      <c r="AX94" s="106">
        <v>32</v>
      </c>
      <c r="AY94" s="106">
        <v>76646.399999999994</v>
      </c>
      <c r="AZ94" s="106">
        <v>37</v>
      </c>
      <c r="BA94" s="106">
        <v>88622.399999999994</v>
      </c>
      <c r="BB94" s="106">
        <v>33</v>
      </c>
      <c r="BC94" s="106">
        <v>79041.599999999991</v>
      </c>
      <c r="BD94" s="106">
        <v>22</v>
      </c>
      <c r="BE94" s="106">
        <v>52694.399999999994</v>
      </c>
      <c r="BF94" s="106">
        <v>21</v>
      </c>
      <c r="BG94" s="106">
        <v>50299.199999999997</v>
      </c>
      <c r="BH94" s="106">
        <v>4</v>
      </c>
      <c r="BI94" s="106">
        <v>9580.7999999999993</v>
      </c>
      <c r="BJ94" s="106">
        <v>4</v>
      </c>
      <c r="BK94" s="106">
        <v>9580.7999999999993</v>
      </c>
      <c r="BL94" s="106">
        <v>4</v>
      </c>
      <c r="BM94" s="106">
        <v>9580.7999999999993</v>
      </c>
      <c r="BN94" s="106">
        <v>4</v>
      </c>
      <c r="BO94" s="106">
        <v>9580.7999999999993</v>
      </c>
      <c r="BP94" s="106">
        <v>12</v>
      </c>
      <c r="BQ94" s="106">
        <v>28742.399999999998</v>
      </c>
      <c r="BR94" s="106">
        <v>12</v>
      </c>
      <c r="BS94" s="106">
        <v>28742.399999999998</v>
      </c>
      <c r="BT94" s="106">
        <v>11</v>
      </c>
      <c r="BU94" s="106">
        <v>26347.199999999997</v>
      </c>
      <c r="BV94" s="106">
        <v>18</v>
      </c>
      <c r="BW94" s="106">
        <v>43113.599999999999</v>
      </c>
      <c r="BX94" s="106">
        <v>6</v>
      </c>
      <c r="BY94" s="106">
        <v>14371.199999999999</v>
      </c>
      <c r="BZ94" s="106">
        <v>9</v>
      </c>
      <c r="CA94" s="106">
        <v>21556.799999999999</v>
      </c>
      <c r="CB94" s="106">
        <v>7</v>
      </c>
      <c r="CC94" s="106">
        <v>16766.399999999998</v>
      </c>
      <c r="CD94" s="106">
        <v>8</v>
      </c>
      <c r="CE94" s="106">
        <v>19161.599999999999</v>
      </c>
      <c r="CF94" s="106">
        <v>7</v>
      </c>
      <c r="CG94" s="106">
        <v>16766.399999999998</v>
      </c>
      <c r="CH94" s="106">
        <v>7</v>
      </c>
      <c r="CI94" s="106">
        <v>16766.399999999998</v>
      </c>
      <c r="CJ94" s="106">
        <v>9</v>
      </c>
      <c r="CK94" s="106">
        <v>21556.799999999999</v>
      </c>
      <c r="CL94" s="106">
        <v>6</v>
      </c>
      <c r="CM94" s="106">
        <v>14371.199999999999</v>
      </c>
      <c r="CN94" s="106">
        <v>16</v>
      </c>
      <c r="CO94" s="106">
        <v>38323.199999999997</v>
      </c>
      <c r="CP94" s="106">
        <v>27</v>
      </c>
      <c r="CQ94" s="106">
        <v>64670.399999999994</v>
      </c>
      <c r="CR94" s="106">
        <v>27</v>
      </c>
      <c r="CS94" s="106">
        <v>64670.399999999994</v>
      </c>
      <c r="CT94" s="106">
        <v>22</v>
      </c>
      <c r="CU94" s="106">
        <v>52694.399999999994</v>
      </c>
    </row>
    <row r="95" spans="2:99" x14ac:dyDescent="0.2">
      <c r="B95" s="105" t="s">
        <v>132</v>
      </c>
      <c r="C95" s="105" t="s">
        <v>261</v>
      </c>
      <c r="D95" s="106">
        <v>7</v>
      </c>
      <c r="E95" s="106">
        <v>12129.6</v>
      </c>
      <c r="F95" s="106">
        <v>5</v>
      </c>
      <c r="G95" s="106">
        <v>8664</v>
      </c>
      <c r="H95" s="106">
        <v>4</v>
      </c>
      <c r="I95" s="106">
        <v>6931.2</v>
      </c>
      <c r="J95" s="106">
        <v>5</v>
      </c>
      <c r="K95" s="106">
        <v>8664</v>
      </c>
      <c r="L95" s="106">
        <v>3</v>
      </c>
      <c r="M95" s="106">
        <v>5198.3999999999996</v>
      </c>
      <c r="N95" s="106">
        <v>4</v>
      </c>
      <c r="O95" s="106">
        <v>6931.2</v>
      </c>
      <c r="P95" s="106">
        <v>2</v>
      </c>
      <c r="Q95" s="106">
        <v>3465.6</v>
      </c>
      <c r="R95" s="106">
        <v>4</v>
      </c>
      <c r="S95" s="106">
        <v>6931.2</v>
      </c>
      <c r="T95" s="106">
        <v>8</v>
      </c>
      <c r="U95" s="106">
        <v>13862.4</v>
      </c>
      <c r="V95" s="106">
        <v>6</v>
      </c>
      <c r="W95" s="106">
        <v>10396.799999999999</v>
      </c>
      <c r="X95" s="106">
        <v>9</v>
      </c>
      <c r="Y95" s="106">
        <v>15595.199999999999</v>
      </c>
      <c r="Z95" s="106">
        <v>8</v>
      </c>
      <c r="AA95" s="106">
        <v>13862.4</v>
      </c>
      <c r="AB95" s="106">
        <v>6</v>
      </c>
      <c r="AC95" s="106">
        <v>10396.799999999999</v>
      </c>
      <c r="AD95" s="106">
        <v>7</v>
      </c>
      <c r="AE95" s="106">
        <v>12129.6</v>
      </c>
      <c r="AF95" s="106">
        <v>6</v>
      </c>
      <c r="AG95" s="106">
        <v>10396.799999999999</v>
      </c>
      <c r="AH95" s="106">
        <v>7</v>
      </c>
      <c r="AI95" s="106">
        <v>12129.6</v>
      </c>
      <c r="AJ95" s="106">
        <v>34</v>
      </c>
      <c r="AK95" s="106">
        <v>58915.199999999997</v>
      </c>
      <c r="AL95" s="106">
        <v>31</v>
      </c>
      <c r="AM95" s="106">
        <v>53716.799999999996</v>
      </c>
      <c r="AN95" s="106">
        <v>41</v>
      </c>
      <c r="AO95" s="106">
        <v>71044.800000000003</v>
      </c>
      <c r="AP95" s="106">
        <v>31</v>
      </c>
      <c r="AQ95" s="106">
        <v>53716.799999999996</v>
      </c>
      <c r="AR95" s="106">
        <v>3</v>
      </c>
      <c r="AS95" s="106">
        <v>5198.3999999999996</v>
      </c>
      <c r="AT95" s="106">
        <v>4</v>
      </c>
      <c r="AU95" s="106">
        <v>6931.2</v>
      </c>
      <c r="AV95" s="106">
        <v>4</v>
      </c>
      <c r="AW95" s="106">
        <v>6931.2</v>
      </c>
      <c r="AX95" s="106">
        <v>3</v>
      </c>
      <c r="AY95" s="106">
        <v>5198.3999999999996</v>
      </c>
      <c r="AZ95" s="106">
        <v>9</v>
      </c>
      <c r="BA95" s="106">
        <v>15595.199999999999</v>
      </c>
      <c r="BB95" s="106">
        <v>9</v>
      </c>
      <c r="BC95" s="106">
        <v>15595.199999999999</v>
      </c>
      <c r="BD95" s="106">
        <v>12</v>
      </c>
      <c r="BE95" s="106">
        <v>20793.599999999999</v>
      </c>
      <c r="BF95" s="106">
        <v>8</v>
      </c>
      <c r="BG95" s="106">
        <v>13862.4</v>
      </c>
      <c r="BH95" s="106">
        <v>8</v>
      </c>
      <c r="BI95" s="106">
        <v>13862.4</v>
      </c>
      <c r="BJ95" s="106">
        <v>12</v>
      </c>
      <c r="BK95" s="106">
        <v>20793.599999999999</v>
      </c>
      <c r="BL95" s="106">
        <v>12</v>
      </c>
      <c r="BM95" s="106">
        <v>20793.599999999999</v>
      </c>
      <c r="BN95" s="106">
        <v>7</v>
      </c>
      <c r="BO95" s="106">
        <v>12129.6</v>
      </c>
      <c r="BP95" s="106">
        <v>6</v>
      </c>
      <c r="BQ95" s="106">
        <v>10396.799999999999</v>
      </c>
      <c r="BR95" s="106">
        <v>4</v>
      </c>
      <c r="BS95" s="106">
        <v>6931.2</v>
      </c>
      <c r="BT95" s="106">
        <v>5</v>
      </c>
      <c r="BU95" s="106">
        <v>8664</v>
      </c>
      <c r="BV95" s="106">
        <v>5</v>
      </c>
      <c r="BW95" s="106">
        <v>8664</v>
      </c>
      <c r="BX95" s="106">
        <v>10</v>
      </c>
      <c r="BY95" s="106">
        <v>17328</v>
      </c>
      <c r="BZ95" s="106">
        <v>10</v>
      </c>
      <c r="CA95" s="106">
        <v>17328</v>
      </c>
      <c r="CB95" s="106">
        <v>14</v>
      </c>
      <c r="CC95" s="106">
        <v>24259.200000000001</v>
      </c>
      <c r="CD95" s="106">
        <v>8</v>
      </c>
      <c r="CE95" s="106">
        <v>13862.4</v>
      </c>
      <c r="CF95" s="106">
        <v>3</v>
      </c>
      <c r="CG95" s="106">
        <v>5198.3999999999996</v>
      </c>
      <c r="CH95" s="106">
        <v>3</v>
      </c>
      <c r="CI95" s="106">
        <v>5198.3999999999996</v>
      </c>
      <c r="CJ95" s="106">
        <v>4</v>
      </c>
      <c r="CK95" s="106">
        <v>6931.2</v>
      </c>
      <c r="CL95" s="106">
        <v>3</v>
      </c>
      <c r="CM95" s="106">
        <v>5198.3999999999996</v>
      </c>
      <c r="CN95" s="106">
        <v>3</v>
      </c>
      <c r="CO95" s="106">
        <v>5198.3999999999996</v>
      </c>
      <c r="CP95" s="106">
        <v>4</v>
      </c>
      <c r="CQ95" s="106">
        <v>6931.2</v>
      </c>
      <c r="CR95" s="106">
        <v>4</v>
      </c>
      <c r="CS95" s="106">
        <v>6931.2</v>
      </c>
      <c r="CT95" s="106">
        <v>3</v>
      </c>
      <c r="CU95" s="106">
        <v>5198.3999999999996</v>
      </c>
    </row>
    <row r="96" spans="2:99" x14ac:dyDescent="0.2">
      <c r="C96" s="105" t="s">
        <v>262</v>
      </c>
      <c r="D96" s="106">
        <v>7</v>
      </c>
      <c r="E96" s="106">
        <v>5762.4</v>
      </c>
      <c r="F96" s="106">
        <v>5</v>
      </c>
      <c r="G96" s="106">
        <v>4116</v>
      </c>
      <c r="H96" s="106">
        <v>4</v>
      </c>
      <c r="I96" s="106">
        <v>3292.7999999999997</v>
      </c>
      <c r="J96" s="106">
        <v>7</v>
      </c>
      <c r="K96" s="106">
        <v>5762.4</v>
      </c>
      <c r="L96" s="106">
        <v>4</v>
      </c>
      <c r="M96" s="106">
        <v>3292.7999999999997</v>
      </c>
      <c r="N96" s="106">
        <v>4</v>
      </c>
      <c r="O96" s="106">
        <v>3292.7999999999997</v>
      </c>
      <c r="P96" s="106">
        <v>2</v>
      </c>
      <c r="Q96" s="106">
        <v>1646.3999999999999</v>
      </c>
      <c r="R96" s="106">
        <v>4</v>
      </c>
      <c r="S96" s="106">
        <v>3292.7999999999997</v>
      </c>
      <c r="T96" s="106">
        <v>8</v>
      </c>
      <c r="U96" s="106">
        <v>6585.5999999999995</v>
      </c>
      <c r="V96" s="106">
        <v>6</v>
      </c>
      <c r="W96" s="106">
        <v>4939.2</v>
      </c>
      <c r="X96" s="106">
        <v>9</v>
      </c>
      <c r="Y96" s="106">
        <v>7408.7999999999993</v>
      </c>
      <c r="Z96" s="106">
        <v>9</v>
      </c>
      <c r="AA96" s="106">
        <v>7408.7999999999993</v>
      </c>
      <c r="AB96" s="106">
        <v>6</v>
      </c>
      <c r="AC96" s="106">
        <v>4939.2</v>
      </c>
      <c r="AD96" s="106">
        <v>8</v>
      </c>
      <c r="AE96" s="106">
        <v>6585.5999999999995</v>
      </c>
      <c r="AF96" s="106">
        <v>7</v>
      </c>
      <c r="AG96" s="106">
        <v>5762.4</v>
      </c>
      <c r="AH96" s="106">
        <v>7</v>
      </c>
      <c r="AI96" s="106">
        <v>5762.4</v>
      </c>
      <c r="AJ96" s="106">
        <v>44</v>
      </c>
      <c r="AK96" s="106">
        <v>36220.799999999996</v>
      </c>
      <c r="AL96" s="106">
        <v>38</v>
      </c>
      <c r="AM96" s="106">
        <v>31281.599999999999</v>
      </c>
      <c r="AN96" s="106">
        <v>49</v>
      </c>
      <c r="AO96" s="106">
        <v>40336.799999999996</v>
      </c>
      <c r="AP96" s="106">
        <v>35</v>
      </c>
      <c r="AQ96" s="106">
        <v>28811.999999999996</v>
      </c>
      <c r="AR96" s="106">
        <v>3</v>
      </c>
      <c r="AS96" s="106">
        <v>2469.6</v>
      </c>
      <c r="AT96" s="106">
        <v>4</v>
      </c>
      <c r="AU96" s="106">
        <v>3292.7999999999997</v>
      </c>
      <c r="AV96" s="106">
        <v>5</v>
      </c>
      <c r="AW96" s="106">
        <v>4116</v>
      </c>
      <c r="AX96" s="106">
        <v>4</v>
      </c>
      <c r="AY96" s="106">
        <v>3292.7999999999997</v>
      </c>
      <c r="AZ96" s="106">
        <v>10</v>
      </c>
      <c r="BA96" s="106">
        <v>8232</v>
      </c>
      <c r="BB96" s="106">
        <v>10</v>
      </c>
      <c r="BC96" s="106">
        <v>8232</v>
      </c>
      <c r="BD96" s="106">
        <v>11</v>
      </c>
      <c r="BE96" s="106">
        <v>9055.1999999999989</v>
      </c>
      <c r="BF96" s="106">
        <v>10</v>
      </c>
      <c r="BG96" s="106">
        <v>8232</v>
      </c>
      <c r="BH96" s="106">
        <v>10</v>
      </c>
      <c r="BI96" s="106">
        <v>8232</v>
      </c>
      <c r="BJ96" s="106">
        <v>15</v>
      </c>
      <c r="BK96" s="106">
        <v>12347.999999999998</v>
      </c>
      <c r="BL96" s="106">
        <v>14</v>
      </c>
      <c r="BM96" s="106">
        <v>11524.8</v>
      </c>
      <c r="BN96" s="106">
        <v>9</v>
      </c>
      <c r="BO96" s="106">
        <v>7408.7999999999993</v>
      </c>
      <c r="BP96" s="106">
        <v>7</v>
      </c>
      <c r="BQ96" s="106">
        <v>5762.4</v>
      </c>
      <c r="BR96" s="106">
        <v>5</v>
      </c>
      <c r="BS96" s="106">
        <v>4116</v>
      </c>
      <c r="BT96" s="106">
        <v>5</v>
      </c>
      <c r="BU96" s="106">
        <v>4116</v>
      </c>
      <c r="BV96" s="106">
        <v>5</v>
      </c>
      <c r="BW96" s="106">
        <v>4116</v>
      </c>
      <c r="BX96" s="106">
        <v>10</v>
      </c>
      <c r="BY96" s="106">
        <v>8232</v>
      </c>
      <c r="BZ96" s="106">
        <v>13</v>
      </c>
      <c r="CA96" s="106">
        <v>10701.599999999999</v>
      </c>
      <c r="CB96" s="106">
        <v>16</v>
      </c>
      <c r="CC96" s="106">
        <v>13171.199999999999</v>
      </c>
      <c r="CD96" s="106">
        <v>9</v>
      </c>
      <c r="CE96" s="106">
        <v>7408.7999999999993</v>
      </c>
      <c r="CF96" s="106">
        <v>4</v>
      </c>
      <c r="CG96" s="106">
        <v>3292.7999999999997</v>
      </c>
      <c r="CH96" s="106">
        <v>3</v>
      </c>
      <c r="CI96" s="106">
        <v>2469.6</v>
      </c>
      <c r="CJ96" s="106">
        <v>4</v>
      </c>
      <c r="CK96" s="106">
        <v>3292.7999999999997</v>
      </c>
      <c r="CL96" s="106">
        <v>3</v>
      </c>
      <c r="CM96" s="106">
        <v>2469.6</v>
      </c>
      <c r="CN96" s="106">
        <v>3</v>
      </c>
      <c r="CO96" s="106">
        <v>2469.6</v>
      </c>
      <c r="CP96" s="106">
        <v>5</v>
      </c>
      <c r="CQ96" s="106">
        <v>4116</v>
      </c>
      <c r="CR96" s="106">
        <v>5</v>
      </c>
      <c r="CS96" s="106">
        <v>4116</v>
      </c>
      <c r="CT96" s="106">
        <v>3</v>
      </c>
      <c r="CU96" s="106">
        <v>2469.6</v>
      </c>
    </row>
    <row r="97" spans="2:99" x14ac:dyDescent="0.2">
      <c r="C97" s="105" t="s">
        <v>263</v>
      </c>
      <c r="D97" s="106">
        <v>7</v>
      </c>
      <c r="E97" s="106">
        <v>12801.6</v>
      </c>
      <c r="F97" s="106">
        <v>5</v>
      </c>
      <c r="G97" s="106">
        <v>9144</v>
      </c>
      <c r="H97" s="106">
        <v>4</v>
      </c>
      <c r="I97" s="106">
        <v>7315.2</v>
      </c>
      <c r="J97" s="106">
        <v>6</v>
      </c>
      <c r="K97" s="106">
        <v>10972.8</v>
      </c>
      <c r="L97" s="106">
        <v>3</v>
      </c>
      <c r="M97" s="106">
        <v>5486.4</v>
      </c>
      <c r="N97" s="106">
        <v>4</v>
      </c>
      <c r="O97" s="106">
        <v>7315.2</v>
      </c>
      <c r="P97" s="106">
        <v>2</v>
      </c>
      <c r="Q97" s="106">
        <v>3657.6</v>
      </c>
      <c r="R97" s="106">
        <v>4</v>
      </c>
      <c r="S97" s="106">
        <v>7315.2</v>
      </c>
      <c r="T97" s="106">
        <v>7</v>
      </c>
      <c r="U97" s="106">
        <v>12801.6</v>
      </c>
      <c r="V97" s="106">
        <v>7</v>
      </c>
      <c r="W97" s="106">
        <v>12801.6</v>
      </c>
      <c r="X97" s="106">
        <v>9</v>
      </c>
      <c r="Y97" s="106">
        <v>16459.2</v>
      </c>
      <c r="Z97" s="106">
        <v>9</v>
      </c>
      <c r="AA97" s="106">
        <v>16459.2</v>
      </c>
      <c r="AB97" s="106">
        <v>6</v>
      </c>
      <c r="AC97" s="106">
        <v>10972.8</v>
      </c>
      <c r="AD97" s="106">
        <v>7</v>
      </c>
      <c r="AE97" s="106">
        <v>12801.6</v>
      </c>
      <c r="AF97" s="106">
        <v>6</v>
      </c>
      <c r="AG97" s="106">
        <v>10972.8</v>
      </c>
      <c r="AH97" s="106">
        <v>6</v>
      </c>
      <c r="AI97" s="106">
        <v>10972.8</v>
      </c>
      <c r="AJ97" s="106">
        <v>38</v>
      </c>
      <c r="AK97" s="106">
        <v>69494.399999999994</v>
      </c>
      <c r="AL97" s="106">
        <v>29</v>
      </c>
      <c r="AM97" s="106">
        <v>53035.199999999997</v>
      </c>
      <c r="AN97" s="106">
        <v>40</v>
      </c>
      <c r="AO97" s="106">
        <v>73152</v>
      </c>
      <c r="AP97" s="106">
        <v>26</v>
      </c>
      <c r="AQ97" s="106">
        <v>47548.799999999996</v>
      </c>
      <c r="AR97" s="106">
        <v>3</v>
      </c>
      <c r="AS97" s="106">
        <v>5486.4</v>
      </c>
      <c r="AT97" s="106">
        <v>4</v>
      </c>
      <c r="AU97" s="106">
        <v>7315.2</v>
      </c>
      <c r="AV97" s="106">
        <v>4</v>
      </c>
      <c r="AW97" s="106">
        <v>7315.2</v>
      </c>
      <c r="AX97" s="106">
        <v>4</v>
      </c>
      <c r="AY97" s="106">
        <v>7315.2</v>
      </c>
      <c r="AZ97" s="106">
        <v>9</v>
      </c>
      <c r="BA97" s="106">
        <v>16459.2</v>
      </c>
      <c r="BB97" s="106">
        <v>9</v>
      </c>
      <c r="BC97" s="106">
        <v>16459.2</v>
      </c>
      <c r="BD97" s="106">
        <v>12</v>
      </c>
      <c r="BE97" s="106">
        <v>21945.599999999999</v>
      </c>
      <c r="BF97" s="106">
        <v>9</v>
      </c>
      <c r="BG97" s="106">
        <v>16459.2</v>
      </c>
      <c r="BH97" s="106">
        <v>8</v>
      </c>
      <c r="BI97" s="106">
        <v>14630.4</v>
      </c>
      <c r="BJ97" s="106">
        <v>13</v>
      </c>
      <c r="BK97" s="106">
        <v>23774.399999999998</v>
      </c>
      <c r="BL97" s="106">
        <v>11</v>
      </c>
      <c r="BM97" s="106">
        <v>20116.8</v>
      </c>
      <c r="BN97" s="106">
        <v>7</v>
      </c>
      <c r="BO97" s="106">
        <v>12801.6</v>
      </c>
      <c r="BP97" s="106">
        <v>5</v>
      </c>
      <c r="BQ97" s="106">
        <v>9144</v>
      </c>
      <c r="BR97" s="106">
        <v>5</v>
      </c>
      <c r="BS97" s="106">
        <v>9144</v>
      </c>
      <c r="BT97" s="106">
        <v>4</v>
      </c>
      <c r="BU97" s="106">
        <v>7315.2</v>
      </c>
      <c r="BV97" s="106">
        <v>4</v>
      </c>
      <c r="BW97" s="106">
        <v>7315.2</v>
      </c>
      <c r="BX97" s="106">
        <v>10</v>
      </c>
      <c r="BY97" s="106">
        <v>18288</v>
      </c>
      <c r="BZ97" s="106">
        <v>10</v>
      </c>
      <c r="CA97" s="106">
        <v>18288</v>
      </c>
      <c r="CB97" s="106">
        <v>15</v>
      </c>
      <c r="CC97" s="106">
        <v>27432</v>
      </c>
      <c r="CD97" s="106">
        <v>8</v>
      </c>
      <c r="CE97" s="106">
        <v>14630.4</v>
      </c>
      <c r="CF97" s="106">
        <v>4</v>
      </c>
      <c r="CG97" s="106">
        <v>7315.2</v>
      </c>
      <c r="CH97" s="106">
        <v>3</v>
      </c>
      <c r="CI97" s="106">
        <v>5486.4</v>
      </c>
      <c r="CJ97" s="106">
        <v>4</v>
      </c>
      <c r="CK97" s="106">
        <v>7315.2</v>
      </c>
      <c r="CL97" s="106">
        <v>2</v>
      </c>
      <c r="CM97" s="106">
        <v>3657.6</v>
      </c>
      <c r="CN97" s="106">
        <v>4</v>
      </c>
      <c r="CO97" s="106">
        <v>7315.2</v>
      </c>
      <c r="CP97" s="106">
        <v>5</v>
      </c>
      <c r="CQ97" s="106">
        <v>9144</v>
      </c>
      <c r="CR97" s="106">
        <v>4</v>
      </c>
      <c r="CS97" s="106">
        <v>7315.2</v>
      </c>
      <c r="CT97" s="106">
        <v>3</v>
      </c>
      <c r="CU97" s="106">
        <v>5486.4</v>
      </c>
    </row>
    <row r="98" spans="2:99" x14ac:dyDescent="0.2">
      <c r="C98" s="105" t="s">
        <v>264</v>
      </c>
      <c r="D98" s="106">
        <v>7</v>
      </c>
      <c r="E98" s="106">
        <v>8845.1999999999989</v>
      </c>
      <c r="F98" s="106">
        <v>6</v>
      </c>
      <c r="G98" s="106">
        <v>7581.5999999999995</v>
      </c>
      <c r="H98" s="106">
        <v>5</v>
      </c>
      <c r="I98" s="106">
        <v>6318</v>
      </c>
      <c r="J98" s="106">
        <v>6</v>
      </c>
      <c r="K98" s="106">
        <v>7581.5999999999995</v>
      </c>
      <c r="L98" s="106">
        <v>4</v>
      </c>
      <c r="M98" s="106">
        <v>5054.3999999999996</v>
      </c>
      <c r="N98" s="106">
        <v>4</v>
      </c>
      <c r="O98" s="106">
        <v>5054.3999999999996</v>
      </c>
      <c r="P98" s="106">
        <v>2</v>
      </c>
      <c r="Q98" s="106">
        <v>2527.1999999999998</v>
      </c>
      <c r="R98" s="106">
        <v>4</v>
      </c>
      <c r="S98" s="106">
        <v>5054.3999999999996</v>
      </c>
      <c r="T98" s="106">
        <v>9</v>
      </c>
      <c r="U98" s="106">
        <v>11372.4</v>
      </c>
      <c r="V98" s="106">
        <v>7</v>
      </c>
      <c r="W98" s="106">
        <v>8845.1999999999989</v>
      </c>
      <c r="X98" s="106">
        <v>10</v>
      </c>
      <c r="Y98" s="106">
        <v>12636</v>
      </c>
      <c r="Z98" s="106">
        <v>8</v>
      </c>
      <c r="AA98" s="106">
        <v>10108.799999999999</v>
      </c>
      <c r="AB98" s="106">
        <v>6</v>
      </c>
      <c r="AC98" s="106">
        <v>7581.5999999999995</v>
      </c>
      <c r="AD98" s="106">
        <v>7</v>
      </c>
      <c r="AE98" s="106">
        <v>8845.1999999999989</v>
      </c>
      <c r="AF98" s="106">
        <v>6</v>
      </c>
      <c r="AG98" s="106">
        <v>7581.5999999999995</v>
      </c>
      <c r="AH98" s="106">
        <v>7</v>
      </c>
      <c r="AI98" s="106">
        <v>8845.1999999999989</v>
      </c>
      <c r="AJ98" s="106">
        <v>39</v>
      </c>
      <c r="AK98" s="106">
        <v>49280.399999999994</v>
      </c>
      <c r="AL98" s="106">
        <v>36</v>
      </c>
      <c r="AM98" s="106">
        <v>45489.599999999999</v>
      </c>
      <c r="AN98" s="106">
        <v>42</v>
      </c>
      <c r="AO98" s="106">
        <v>53071.199999999997</v>
      </c>
      <c r="AP98" s="106">
        <v>34</v>
      </c>
      <c r="AQ98" s="106">
        <v>42962.399999999994</v>
      </c>
      <c r="AR98" s="106">
        <v>4</v>
      </c>
      <c r="AS98" s="106">
        <v>5054.3999999999996</v>
      </c>
      <c r="AT98" s="106">
        <v>4</v>
      </c>
      <c r="AU98" s="106">
        <v>5054.3999999999996</v>
      </c>
      <c r="AV98" s="106">
        <v>4</v>
      </c>
      <c r="AW98" s="106">
        <v>5054.3999999999996</v>
      </c>
      <c r="AX98" s="106">
        <v>3</v>
      </c>
      <c r="AY98" s="106">
        <v>3790.7999999999997</v>
      </c>
      <c r="AZ98" s="106">
        <v>11</v>
      </c>
      <c r="BA98" s="106">
        <v>13899.599999999999</v>
      </c>
      <c r="BB98" s="106">
        <v>9</v>
      </c>
      <c r="BC98" s="106">
        <v>11372.4</v>
      </c>
      <c r="BD98" s="106">
        <v>11</v>
      </c>
      <c r="BE98" s="106">
        <v>13899.599999999999</v>
      </c>
      <c r="BF98" s="106">
        <v>10</v>
      </c>
      <c r="BG98" s="106">
        <v>12636</v>
      </c>
      <c r="BH98" s="106">
        <v>8</v>
      </c>
      <c r="BI98" s="106">
        <v>10108.799999999999</v>
      </c>
      <c r="BJ98" s="106">
        <v>13</v>
      </c>
      <c r="BK98" s="106">
        <v>16426.8</v>
      </c>
      <c r="BL98" s="106">
        <v>13</v>
      </c>
      <c r="BM98" s="106">
        <v>16426.8</v>
      </c>
      <c r="BN98" s="106">
        <v>8</v>
      </c>
      <c r="BO98" s="106">
        <v>10108.799999999999</v>
      </c>
      <c r="BP98" s="106">
        <v>6</v>
      </c>
      <c r="BQ98" s="106">
        <v>7581.5999999999995</v>
      </c>
      <c r="BR98" s="106">
        <v>5</v>
      </c>
      <c r="BS98" s="106">
        <v>6318</v>
      </c>
      <c r="BT98" s="106">
        <v>6</v>
      </c>
      <c r="BU98" s="106">
        <v>7581.5999999999995</v>
      </c>
      <c r="BV98" s="106">
        <v>5</v>
      </c>
      <c r="BW98" s="106">
        <v>6318</v>
      </c>
      <c r="BX98" s="106">
        <v>11</v>
      </c>
      <c r="BY98" s="106">
        <v>13899.599999999999</v>
      </c>
      <c r="BZ98" s="106">
        <v>10</v>
      </c>
      <c r="CA98" s="106">
        <v>12636</v>
      </c>
      <c r="CB98" s="106">
        <v>17</v>
      </c>
      <c r="CC98" s="106">
        <v>21481.199999999997</v>
      </c>
      <c r="CD98" s="106">
        <v>8</v>
      </c>
      <c r="CE98" s="106">
        <v>10108.799999999999</v>
      </c>
      <c r="CF98" s="106">
        <v>4</v>
      </c>
      <c r="CG98" s="106">
        <v>5054.3999999999996</v>
      </c>
      <c r="CH98" s="106">
        <v>3</v>
      </c>
      <c r="CI98" s="106">
        <v>3790.7999999999997</v>
      </c>
      <c r="CJ98" s="106">
        <v>4</v>
      </c>
      <c r="CK98" s="106">
        <v>5054.3999999999996</v>
      </c>
      <c r="CL98" s="106">
        <v>3</v>
      </c>
      <c r="CM98" s="106">
        <v>3790.7999999999997</v>
      </c>
      <c r="CN98" s="106">
        <v>4</v>
      </c>
      <c r="CO98" s="106">
        <v>5054.3999999999996</v>
      </c>
      <c r="CP98" s="106">
        <v>5</v>
      </c>
      <c r="CQ98" s="106">
        <v>6318</v>
      </c>
      <c r="CR98" s="106">
        <v>5</v>
      </c>
      <c r="CS98" s="106">
        <v>6318</v>
      </c>
      <c r="CT98" s="106">
        <v>3</v>
      </c>
      <c r="CU98" s="106">
        <v>3790.7999999999997</v>
      </c>
    </row>
    <row r="99" spans="2:99" x14ac:dyDescent="0.2">
      <c r="C99" s="105" t="s">
        <v>265</v>
      </c>
      <c r="D99" s="106">
        <v>5</v>
      </c>
      <c r="E99" s="106">
        <v>27407.999999999996</v>
      </c>
      <c r="F99" s="106">
        <v>4</v>
      </c>
      <c r="G99" s="106">
        <v>21926.399999999998</v>
      </c>
      <c r="H99" s="106">
        <v>3</v>
      </c>
      <c r="I99" s="106">
        <v>16444.8</v>
      </c>
      <c r="J99" s="106">
        <v>5</v>
      </c>
      <c r="K99" s="106">
        <v>27407.999999999996</v>
      </c>
      <c r="L99" s="106">
        <v>3</v>
      </c>
      <c r="M99" s="106">
        <v>16444.8</v>
      </c>
      <c r="N99" s="106">
        <v>3</v>
      </c>
      <c r="O99" s="106">
        <v>16444.8</v>
      </c>
      <c r="P99" s="106">
        <v>2</v>
      </c>
      <c r="Q99" s="106">
        <v>10963.199999999999</v>
      </c>
      <c r="R99" s="106">
        <v>3</v>
      </c>
      <c r="S99" s="106">
        <v>16444.8</v>
      </c>
      <c r="T99" s="106">
        <v>6</v>
      </c>
      <c r="U99" s="106">
        <v>32889.599999999999</v>
      </c>
      <c r="V99" s="106">
        <v>4</v>
      </c>
      <c r="W99" s="106">
        <v>21926.399999999998</v>
      </c>
      <c r="X99" s="106">
        <v>6</v>
      </c>
      <c r="Y99" s="106">
        <v>32889.599999999999</v>
      </c>
      <c r="Z99" s="106">
        <v>5</v>
      </c>
      <c r="AA99" s="106">
        <v>27407.999999999996</v>
      </c>
      <c r="AB99" s="106">
        <v>5</v>
      </c>
      <c r="AC99" s="106">
        <v>27407.999999999996</v>
      </c>
      <c r="AD99" s="106">
        <v>5</v>
      </c>
      <c r="AE99" s="106">
        <v>27407.999999999996</v>
      </c>
      <c r="AF99" s="106">
        <v>4</v>
      </c>
      <c r="AG99" s="106">
        <v>21926.399999999998</v>
      </c>
      <c r="AH99" s="106">
        <v>5</v>
      </c>
      <c r="AI99" s="106">
        <v>27407.999999999996</v>
      </c>
      <c r="AJ99" s="106">
        <v>18</v>
      </c>
      <c r="AK99" s="106">
        <v>98668.799999999988</v>
      </c>
      <c r="AL99" s="106">
        <v>16</v>
      </c>
      <c r="AM99" s="106">
        <v>87705.599999999991</v>
      </c>
      <c r="AN99" s="106">
        <v>23</v>
      </c>
      <c r="AO99" s="106">
        <v>126076.79999999999</v>
      </c>
      <c r="AP99" s="106">
        <v>16</v>
      </c>
      <c r="AQ99" s="106">
        <v>87705.599999999991</v>
      </c>
      <c r="AR99" s="106">
        <v>2</v>
      </c>
      <c r="AS99" s="106">
        <v>10963.199999999999</v>
      </c>
      <c r="AT99" s="106">
        <v>3</v>
      </c>
      <c r="AU99" s="106">
        <v>16444.8</v>
      </c>
      <c r="AV99" s="106">
        <v>3</v>
      </c>
      <c r="AW99" s="106">
        <v>16444.8</v>
      </c>
      <c r="AX99" s="106">
        <v>2</v>
      </c>
      <c r="AY99" s="106">
        <v>10963.199999999999</v>
      </c>
      <c r="AZ99" s="106">
        <v>7</v>
      </c>
      <c r="BA99" s="106">
        <v>38371.199999999997</v>
      </c>
      <c r="BB99" s="106">
        <v>6</v>
      </c>
      <c r="BC99" s="106">
        <v>32889.599999999999</v>
      </c>
      <c r="BD99" s="106">
        <v>7</v>
      </c>
      <c r="BE99" s="106">
        <v>38371.199999999997</v>
      </c>
      <c r="BF99" s="106">
        <v>6</v>
      </c>
      <c r="BG99" s="106">
        <v>32889.599999999999</v>
      </c>
      <c r="BH99" s="106">
        <v>6</v>
      </c>
      <c r="BI99" s="106">
        <v>32889.599999999999</v>
      </c>
      <c r="BJ99" s="106">
        <v>9</v>
      </c>
      <c r="BK99" s="106">
        <v>49334.399999999994</v>
      </c>
      <c r="BL99" s="106">
        <v>7</v>
      </c>
      <c r="BM99" s="106">
        <v>38371.199999999997</v>
      </c>
      <c r="BN99" s="106">
        <v>6</v>
      </c>
      <c r="BO99" s="106">
        <v>32889.599999999999</v>
      </c>
      <c r="BP99" s="106">
        <v>4</v>
      </c>
      <c r="BQ99" s="106">
        <v>21926.399999999998</v>
      </c>
      <c r="BR99" s="106">
        <v>4</v>
      </c>
      <c r="BS99" s="106">
        <v>21926.399999999998</v>
      </c>
      <c r="BT99" s="106">
        <v>4</v>
      </c>
      <c r="BU99" s="106">
        <v>21926.399999999998</v>
      </c>
      <c r="BV99" s="106">
        <v>4</v>
      </c>
      <c r="BW99" s="106">
        <v>21926.399999999998</v>
      </c>
      <c r="BX99" s="106">
        <v>6</v>
      </c>
      <c r="BY99" s="106">
        <v>32889.599999999999</v>
      </c>
      <c r="BZ99" s="106">
        <v>8</v>
      </c>
      <c r="CA99" s="106">
        <v>43852.799999999996</v>
      </c>
      <c r="CB99" s="106">
        <v>9</v>
      </c>
      <c r="CC99" s="106">
        <v>49334.399999999994</v>
      </c>
      <c r="CD99" s="106">
        <v>6</v>
      </c>
      <c r="CE99" s="106">
        <v>32889.599999999999</v>
      </c>
      <c r="CF99" s="106">
        <v>3</v>
      </c>
      <c r="CG99" s="106">
        <v>16444.8</v>
      </c>
      <c r="CH99" s="106">
        <v>2</v>
      </c>
      <c r="CI99" s="106">
        <v>10963.199999999999</v>
      </c>
      <c r="CJ99" s="106">
        <v>3</v>
      </c>
      <c r="CK99" s="106">
        <v>16444.8</v>
      </c>
      <c r="CL99" s="106">
        <v>2</v>
      </c>
      <c r="CM99" s="106">
        <v>10963.199999999999</v>
      </c>
      <c r="CN99" s="106">
        <v>3</v>
      </c>
      <c r="CO99" s="106">
        <v>16444.8</v>
      </c>
      <c r="CP99" s="106">
        <v>3</v>
      </c>
      <c r="CQ99" s="106">
        <v>16444.8</v>
      </c>
      <c r="CR99" s="106">
        <v>3</v>
      </c>
      <c r="CS99" s="106">
        <v>16444.8</v>
      </c>
      <c r="CT99" s="106">
        <v>2</v>
      </c>
      <c r="CU99" s="106">
        <v>10963.199999999999</v>
      </c>
    </row>
    <row r="100" spans="2:99" x14ac:dyDescent="0.2">
      <c r="C100" s="105" t="s">
        <v>266</v>
      </c>
      <c r="D100" s="106">
        <v>6</v>
      </c>
      <c r="E100" s="106">
        <v>9734.4</v>
      </c>
      <c r="F100" s="106">
        <v>6</v>
      </c>
      <c r="G100" s="106">
        <v>9734.4</v>
      </c>
      <c r="H100" s="106">
        <v>4</v>
      </c>
      <c r="I100" s="106">
        <v>6489.5999999999995</v>
      </c>
      <c r="J100" s="106">
        <v>6</v>
      </c>
      <c r="K100" s="106">
        <v>9734.4</v>
      </c>
      <c r="L100" s="106">
        <v>4</v>
      </c>
      <c r="M100" s="106">
        <v>6489.5999999999995</v>
      </c>
      <c r="N100" s="106">
        <v>4</v>
      </c>
      <c r="O100" s="106">
        <v>6489.5999999999995</v>
      </c>
      <c r="P100" s="106">
        <v>2</v>
      </c>
      <c r="Q100" s="106">
        <v>3244.7999999999997</v>
      </c>
      <c r="R100" s="106">
        <v>4</v>
      </c>
      <c r="S100" s="106">
        <v>6489.5999999999995</v>
      </c>
      <c r="T100" s="106">
        <v>8</v>
      </c>
      <c r="U100" s="106">
        <v>12979.199999999999</v>
      </c>
      <c r="V100" s="106">
        <v>6</v>
      </c>
      <c r="W100" s="106">
        <v>9734.4</v>
      </c>
      <c r="X100" s="106">
        <v>9</v>
      </c>
      <c r="Y100" s="106">
        <v>14601.599999999999</v>
      </c>
      <c r="Z100" s="106">
        <v>9</v>
      </c>
      <c r="AA100" s="106">
        <v>14601.599999999999</v>
      </c>
      <c r="AB100" s="106">
        <v>7</v>
      </c>
      <c r="AC100" s="106">
        <v>11356.8</v>
      </c>
      <c r="AD100" s="106">
        <v>7</v>
      </c>
      <c r="AE100" s="106">
        <v>11356.8</v>
      </c>
      <c r="AF100" s="106">
        <v>6</v>
      </c>
      <c r="AG100" s="106">
        <v>9734.4</v>
      </c>
      <c r="AH100" s="106">
        <v>7</v>
      </c>
      <c r="AI100" s="106">
        <v>11356.8</v>
      </c>
      <c r="AJ100" s="106">
        <v>39</v>
      </c>
      <c r="AK100" s="106">
        <v>63273.599999999991</v>
      </c>
      <c r="AL100" s="106">
        <v>32</v>
      </c>
      <c r="AM100" s="106">
        <v>51916.799999999996</v>
      </c>
      <c r="AN100" s="106">
        <v>39</v>
      </c>
      <c r="AO100" s="106">
        <v>63273.599999999991</v>
      </c>
      <c r="AP100" s="106">
        <v>27</v>
      </c>
      <c r="AQ100" s="106">
        <v>43804.799999999996</v>
      </c>
      <c r="AR100" s="106">
        <v>3</v>
      </c>
      <c r="AS100" s="106">
        <v>4867.2</v>
      </c>
      <c r="AT100" s="106">
        <v>4</v>
      </c>
      <c r="AU100" s="106">
        <v>6489.5999999999995</v>
      </c>
      <c r="AV100" s="106">
        <v>4</v>
      </c>
      <c r="AW100" s="106">
        <v>6489.5999999999995</v>
      </c>
      <c r="AX100" s="106">
        <v>3</v>
      </c>
      <c r="AY100" s="106">
        <v>4867.2</v>
      </c>
      <c r="AZ100" s="106">
        <v>10</v>
      </c>
      <c r="BA100" s="106">
        <v>16223.999999999998</v>
      </c>
      <c r="BB100" s="106">
        <v>8</v>
      </c>
      <c r="BC100" s="106">
        <v>12979.199999999999</v>
      </c>
      <c r="BD100" s="106">
        <v>12</v>
      </c>
      <c r="BE100" s="106">
        <v>19468.8</v>
      </c>
      <c r="BF100" s="106">
        <v>8</v>
      </c>
      <c r="BG100" s="106">
        <v>12979.199999999999</v>
      </c>
      <c r="BH100" s="106">
        <v>9</v>
      </c>
      <c r="BI100" s="106">
        <v>14601.599999999999</v>
      </c>
      <c r="BJ100" s="106">
        <v>13</v>
      </c>
      <c r="BK100" s="106">
        <v>21091.199999999997</v>
      </c>
      <c r="BL100" s="106">
        <v>12</v>
      </c>
      <c r="BM100" s="106">
        <v>19468.8</v>
      </c>
      <c r="BN100" s="106">
        <v>8</v>
      </c>
      <c r="BO100" s="106">
        <v>12979.199999999999</v>
      </c>
      <c r="BP100" s="106">
        <v>6</v>
      </c>
      <c r="BQ100" s="106">
        <v>9734.4</v>
      </c>
      <c r="BR100" s="106">
        <v>5</v>
      </c>
      <c r="BS100" s="106">
        <v>8111.9999999999991</v>
      </c>
      <c r="BT100" s="106">
        <v>5</v>
      </c>
      <c r="BU100" s="106">
        <v>8111.9999999999991</v>
      </c>
      <c r="BV100" s="106">
        <v>5</v>
      </c>
      <c r="BW100" s="106">
        <v>8111.9999999999991</v>
      </c>
      <c r="BX100" s="106">
        <v>9</v>
      </c>
      <c r="BY100" s="106">
        <v>14601.599999999999</v>
      </c>
      <c r="BZ100" s="106">
        <v>10</v>
      </c>
      <c r="CA100" s="106">
        <v>16223.999999999998</v>
      </c>
      <c r="CB100" s="106">
        <v>16</v>
      </c>
      <c r="CC100" s="106">
        <v>25958.399999999998</v>
      </c>
      <c r="CD100" s="106">
        <v>9</v>
      </c>
      <c r="CE100" s="106">
        <v>14601.599999999999</v>
      </c>
      <c r="CF100" s="106">
        <v>4</v>
      </c>
      <c r="CG100" s="106">
        <v>6489.5999999999995</v>
      </c>
      <c r="CH100" s="106">
        <v>3</v>
      </c>
      <c r="CI100" s="106">
        <v>4867.2</v>
      </c>
      <c r="CJ100" s="106">
        <v>4</v>
      </c>
      <c r="CK100" s="106">
        <v>6489.5999999999995</v>
      </c>
      <c r="CL100" s="106">
        <v>3</v>
      </c>
      <c r="CM100" s="106">
        <v>4867.2</v>
      </c>
      <c r="CN100" s="106">
        <v>4</v>
      </c>
      <c r="CO100" s="106">
        <v>6489.5999999999995</v>
      </c>
      <c r="CP100" s="106">
        <v>4</v>
      </c>
      <c r="CQ100" s="106">
        <v>6489.5999999999995</v>
      </c>
      <c r="CR100" s="106">
        <v>5</v>
      </c>
      <c r="CS100" s="106">
        <v>8111.9999999999991</v>
      </c>
      <c r="CT100" s="106">
        <v>3</v>
      </c>
      <c r="CU100" s="106">
        <v>4867.2</v>
      </c>
    </row>
    <row r="101" spans="2:99" x14ac:dyDescent="0.2">
      <c r="C101" s="105" t="s">
        <v>267</v>
      </c>
      <c r="D101" s="106">
        <v>7</v>
      </c>
      <c r="E101" s="106">
        <v>8332.7999999999993</v>
      </c>
      <c r="F101" s="106">
        <v>6</v>
      </c>
      <c r="G101" s="106">
        <v>7142.4</v>
      </c>
      <c r="H101" s="106">
        <v>4</v>
      </c>
      <c r="I101" s="106">
        <v>4761.5999999999995</v>
      </c>
      <c r="J101" s="106">
        <v>7</v>
      </c>
      <c r="K101" s="106">
        <v>8332.7999999999993</v>
      </c>
      <c r="L101" s="106">
        <v>3</v>
      </c>
      <c r="M101" s="106">
        <v>3571.2</v>
      </c>
      <c r="N101" s="106">
        <v>4</v>
      </c>
      <c r="O101" s="106">
        <v>4761.5999999999995</v>
      </c>
      <c r="P101" s="106">
        <v>2</v>
      </c>
      <c r="Q101" s="106">
        <v>2380.7999999999997</v>
      </c>
      <c r="R101" s="106">
        <v>4</v>
      </c>
      <c r="S101" s="106">
        <v>4761.5999999999995</v>
      </c>
      <c r="T101" s="106">
        <v>9</v>
      </c>
      <c r="U101" s="106">
        <v>10713.599999999999</v>
      </c>
      <c r="V101" s="106">
        <v>7</v>
      </c>
      <c r="W101" s="106">
        <v>8332.7999999999993</v>
      </c>
      <c r="X101" s="106">
        <v>9</v>
      </c>
      <c r="Y101" s="106">
        <v>10713.599999999999</v>
      </c>
      <c r="Z101" s="106">
        <v>8</v>
      </c>
      <c r="AA101" s="106">
        <v>9523.1999999999989</v>
      </c>
      <c r="AB101" s="106">
        <v>6</v>
      </c>
      <c r="AC101" s="106">
        <v>7142.4</v>
      </c>
      <c r="AD101" s="106">
        <v>8</v>
      </c>
      <c r="AE101" s="106">
        <v>9523.1999999999989</v>
      </c>
      <c r="AF101" s="106">
        <v>6</v>
      </c>
      <c r="AG101" s="106">
        <v>7142.4</v>
      </c>
      <c r="AH101" s="106">
        <v>7</v>
      </c>
      <c r="AI101" s="106">
        <v>8332.7999999999993</v>
      </c>
      <c r="AJ101" s="106">
        <v>42</v>
      </c>
      <c r="AK101" s="106">
        <v>49996.799999999996</v>
      </c>
      <c r="AL101" s="106">
        <v>31</v>
      </c>
      <c r="AM101" s="106">
        <v>36902.399999999994</v>
      </c>
      <c r="AN101" s="106">
        <v>43</v>
      </c>
      <c r="AO101" s="106">
        <v>51187.199999999997</v>
      </c>
      <c r="AP101" s="106">
        <v>30</v>
      </c>
      <c r="AQ101" s="106">
        <v>35711.999999999993</v>
      </c>
      <c r="AR101" s="106">
        <v>4</v>
      </c>
      <c r="AS101" s="106">
        <v>4761.5999999999995</v>
      </c>
      <c r="AT101" s="106">
        <v>4</v>
      </c>
      <c r="AU101" s="106">
        <v>4761.5999999999995</v>
      </c>
      <c r="AV101" s="106">
        <v>5</v>
      </c>
      <c r="AW101" s="106">
        <v>5951.9999999999991</v>
      </c>
      <c r="AX101" s="106">
        <v>4</v>
      </c>
      <c r="AY101" s="106">
        <v>4761.5999999999995</v>
      </c>
      <c r="AZ101" s="106">
        <v>10</v>
      </c>
      <c r="BA101" s="106">
        <v>11903.999999999998</v>
      </c>
      <c r="BB101" s="106">
        <v>9</v>
      </c>
      <c r="BC101" s="106">
        <v>10713.599999999999</v>
      </c>
      <c r="BD101" s="106">
        <v>11</v>
      </c>
      <c r="BE101" s="106">
        <v>13094.399999999998</v>
      </c>
      <c r="BF101" s="106">
        <v>10</v>
      </c>
      <c r="BG101" s="106">
        <v>11903.999999999998</v>
      </c>
      <c r="BH101" s="106">
        <v>9</v>
      </c>
      <c r="BI101" s="106">
        <v>10713.599999999999</v>
      </c>
      <c r="BJ101" s="106">
        <v>14</v>
      </c>
      <c r="BK101" s="106">
        <v>16665.599999999999</v>
      </c>
      <c r="BL101" s="106">
        <v>11</v>
      </c>
      <c r="BM101" s="106">
        <v>13094.399999999998</v>
      </c>
      <c r="BN101" s="106">
        <v>9</v>
      </c>
      <c r="BO101" s="106">
        <v>10713.599999999999</v>
      </c>
      <c r="BP101" s="106">
        <v>7</v>
      </c>
      <c r="BQ101" s="106">
        <v>8332.7999999999993</v>
      </c>
      <c r="BR101" s="106">
        <v>5</v>
      </c>
      <c r="BS101" s="106">
        <v>5951.9999999999991</v>
      </c>
      <c r="BT101" s="106">
        <v>5</v>
      </c>
      <c r="BU101" s="106">
        <v>5951.9999999999991</v>
      </c>
      <c r="BV101" s="106">
        <v>5</v>
      </c>
      <c r="BW101" s="106">
        <v>5951.9999999999991</v>
      </c>
      <c r="BX101" s="106">
        <v>10</v>
      </c>
      <c r="BY101" s="106">
        <v>11903.999999999998</v>
      </c>
      <c r="BZ101" s="106">
        <v>12</v>
      </c>
      <c r="CA101" s="106">
        <v>14284.8</v>
      </c>
      <c r="CB101" s="106">
        <v>17</v>
      </c>
      <c r="CC101" s="106">
        <v>20236.8</v>
      </c>
      <c r="CD101" s="106">
        <v>9</v>
      </c>
      <c r="CE101" s="106">
        <v>10713.599999999999</v>
      </c>
      <c r="CF101" s="106">
        <v>4</v>
      </c>
      <c r="CG101" s="106">
        <v>4761.5999999999995</v>
      </c>
      <c r="CH101" s="106">
        <v>3</v>
      </c>
      <c r="CI101" s="106">
        <v>3571.2</v>
      </c>
      <c r="CJ101" s="106">
        <v>4</v>
      </c>
      <c r="CK101" s="106">
        <v>4761.5999999999995</v>
      </c>
      <c r="CL101" s="106">
        <v>3</v>
      </c>
      <c r="CM101" s="106">
        <v>3571.2</v>
      </c>
      <c r="CN101" s="106">
        <v>3</v>
      </c>
      <c r="CO101" s="106">
        <v>3571.2</v>
      </c>
      <c r="CP101" s="106">
        <v>5</v>
      </c>
      <c r="CQ101" s="106">
        <v>5951.9999999999991</v>
      </c>
      <c r="CR101" s="106">
        <v>4</v>
      </c>
      <c r="CS101" s="106">
        <v>4761.5999999999995</v>
      </c>
      <c r="CT101" s="106">
        <v>3</v>
      </c>
      <c r="CU101" s="106">
        <v>3571.2</v>
      </c>
    </row>
    <row r="102" spans="2:99" x14ac:dyDescent="0.2">
      <c r="C102" s="105" t="s">
        <v>268</v>
      </c>
      <c r="D102" s="106">
        <v>6</v>
      </c>
      <c r="E102" s="106">
        <v>11635.199999999999</v>
      </c>
      <c r="F102" s="106">
        <v>5</v>
      </c>
      <c r="G102" s="106">
        <v>9696</v>
      </c>
      <c r="H102" s="106">
        <v>4</v>
      </c>
      <c r="I102" s="106">
        <v>7756.7999999999993</v>
      </c>
      <c r="J102" s="106">
        <v>6</v>
      </c>
      <c r="K102" s="106">
        <v>11635.199999999999</v>
      </c>
      <c r="L102" s="106">
        <v>4</v>
      </c>
      <c r="M102" s="106">
        <v>7756.7999999999993</v>
      </c>
      <c r="N102" s="106">
        <v>4</v>
      </c>
      <c r="O102" s="106">
        <v>7756.7999999999993</v>
      </c>
      <c r="P102" s="106">
        <v>2</v>
      </c>
      <c r="Q102" s="106">
        <v>3878.3999999999996</v>
      </c>
      <c r="R102" s="106">
        <v>4</v>
      </c>
      <c r="S102" s="106">
        <v>7756.7999999999993</v>
      </c>
      <c r="T102" s="106">
        <v>8</v>
      </c>
      <c r="U102" s="106">
        <v>15513.599999999999</v>
      </c>
      <c r="V102" s="106">
        <v>6</v>
      </c>
      <c r="W102" s="106">
        <v>11635.199999999999</v>
      </c>
      <c r="X102" s="106">
        <v>8</v>
      </c>
      <c r="Y102" s="106">
        <v>15513.599999999999</v>
      </c>
      <c r="Z102" s="106">
        <v>8</v>
      </c>
      <c r="AA102" s="106">
        <v>15513.599999999999</v>
      </c>
      <c r="AB102" s="106">
        <v>6</v>
      </c>
      <c r="AC102" s="106">
        <v>11635.199999999999</v>
      </c>
      <c r="AD102" s="106">
        <v>7</v>
      </c>
      <c r="AE102" s="106">
        <v>13574.399999999998</v>
      </c>
      <c r="AF102" s="106">
        <v>6</v>
      </c>
      <c r="AG102" s="106">
        <v>11635.199999999999</v>
      </c>
      <c r="AH102" s="106">
        <v>6</v>
      </c>
      <c r="AI102" s="106">
        <v>11635.199999999999</v>
      </c>
      <c r="AJ102" s="106">
        <v>36</v>
      </c>
      <c r="AK102" s="106">
        <v>69811.199999999997</v>
      </c>
      <c r="AL102" s="106">
        <v>28</v>
      </c>
      <c r="AM102" s="106">
        <v>54297.599999999991</v>
      </c>
      <c r="AN102" s="106">
        <v>43</v>
      </c>
      <c r="AO102" s="106">
        <v>83385.599999999991</v>
      </c>
      <c r="AP102" s="106">
        <v>30</v>
      </c>
      <c r="AQ102" s="106">
        <v>58175.999999999993</v>
      </c>
      <c r="AR102" s="106">
        <v>3</v>
      </c>
      <c r="AS102" s="106">
        <v>5817.5999999999995</v>
      </c>
      <c r="AT102" s="106">
        <v>4</v>
      </c>
      <c r="AU102" s="106">
        <v>7756.7999999999993</v>
      </c>
      <c r="AV102" s="106">
        <v>4</v>
      </c>
      <c r="AW102" s="106">
        <v>7756.7999999999993</v>
      </c>
      <c r="AX102" s="106">
        <v>3</v>
      </c>
      <c r="AY102" s="106">
        <v>5817.5999999999995</v>
      </c>
      <c r="AZ102" s="106">
        <v>10</v>
      </c>
      <c r="BA102" s="106">
        <v>19392</v>
      </c>
      <c r="BB102" s="106">
        <v>9</v>
      </c>
      <c r="BC102" s="106">
        <v>17452.8</v>
      </c>
      <c r="BD102" s="106">
        <v>11</v>
      </c>
      <c r="BE102" s="106">
        <v>21331.199999999997</v>
      </c>
      <c r="BF102" s="106">
        <v>8</v>
      </c>
      <c r="BG102" s="106">
        <v>15513.599999999999</v>
      </c>
      <c r="BH102" s="106">
        <v>8</v>
      </c>
      <c r="BI102" s="106">
        <v>15513.599999999999</v>
      </c>
      <c r="BJ102" s="106">
        <v>12</v>
      </c>
      <c r="BK102" s="106">
        <v>23270.399999999998</v>
      </c>
      <c r="BL102" s="106">
        <v>11</v>
      </c>
      <c r="BM102" s="106">
        <v>21331.199999999997</v>
      </c>
      <c r="BN102" s="106">
        <v>7</v>
      </c>
      <c r="BO102" s="106">
        <v>13574.399999999998</v>
      </c>
      <c r="BP102" s="106">
        <v>6</v>
      </c>
      <c r="BQ102" s="106">
        <v>11635.199999999999</v>
      </c>
      <c r="BR102" s="106">
        <v>4</v>
      </c>
      <c r="BS102" s="106">
        <v>7756.7999999999993</v>
      </c>
      <c r="BT102" s="106">
        <v>5</v>
      </c>
      <c r="BU102" s="106">
        <v>9696</v>
      </c>
      <c r="BV102" s="106">
        <v>5</v>
      </c>
      <c r="BW102" s="106">
        <v>9696</v>
      </c>
      <c r="BX102" s="106">
        <v>10</v>
      </c>
      <c r="BY102" s="106">
        <v>19392</v>
      </c>
      <c r="BZ102" s="106">
        <v>9</v>
      </c>
      <c r="CA102" s="106">
        <v>17452.8</v>
      </c>
      <c r="CB102" s="106">
        <v>15</v>
      </c>
      <c r="CC102" s="106">
        <v>29087.999999999996</v>
      </c>
      <c r="CD102" s="106">
        <v>8</v>
      </c>
      <c r="CE102" s="106">
        <v>15513.599999999999</v>
      </c>
      <c r="CF102" s="106">
        <v>3</v>
      </c>
      <c r="CG102" s="106">
        <v>5817.5999999999995</v>
      </c>
      <c r="CH102" s="106">
        <v>3</v>
      </c>
      <c r="CI102" s="106">
        <v>5817.5999999999995</v>
      </c>
      <c r="CJ102" s="106">
        <v>4</v>
      </c>
      <c r="CK102" s="106">
        <v>7756.7999999999993</v>
      </c>
      <c r="CL102" s="106">
        <v>2</v>
      </c>
      <c r="CM102" s="106">
        <v>3878.3999999999996</v>
      </c>
      <c r="CN102" s="106">
        <v>4</v>
      </c>
      <c r="CO102" s="106">
        <v>7756.7999999999993</v>
      </c>
      <c r="CP102" s="106">
        <v>4</v>
      </c>
      <c r="CQ102" s="106">
        <v>7756.7999999999993</v>
      </c>
      <c r="CR102" s="106">
        <v>5</v>
      </c>
      <c r="CS102" s="106">
        <v>9696</v>
      </c>
      <c r="CT102" s="106">
        <v>3</v>
      </c>
      <c r="CU102" s="106">
        <v>5817.5999999999995</v>
      </c>
    </row>
    <row r="103" spans="2:99" x14ac:dyDescent="0.2">
      <c r="C103" s="105" t="s">
        <v>269</v>
      </c>
      <c r="D103" s="106">
        <v>6</v>
      </c>
      <c r="E103" s="106">
        <v>12168</v>
      </c>
      <c r="F103" s="106">
        <v>5</v>
      </c>
      <c r="G103" s="106">
        <v>10140</v>
      </c>
      <c r="H103" s="106">
        <v>4</v>
      </c>
      <c r="I103" s="106">
        <v>8112</v>
      </c>
      <c r="J103" s="106">
        <v>5</v>
      </c>
      <c r="K103" s="106">
        <v>10140</v>
      </c>
      <c r="L103" s="106">
        <v>3</v>
      </c>
      <c r="M103" s="106">
        <v>6084</v>
      </c>
      <c r="N103" s="106">
        <v>4</v>
      </c>
      <c r="O103" s="106">
        <v>8112</v>
      </c>
      <c r="P103" s="106">
        <v>2</v>
      </c>
      <c r="Q103" s="106">
        <v>4056</v>
      </c>
      <c r="R103" s="106">
        <v>3</v>
      </c>
      <c r="S103" s="106">
        <v>6084</v>
      </c>
      <c r="T103" s="106">
        <v>8</v>
      </c>
      <c r="U103" s="106">
        <v>16224</v>
      </c>
      <c r="V103" s="106">
        <v>7</v>
      </c>
      <c r="W103" s="106">
        <v>14196</v>
      </c>
      <c r="X103" s="106">
        <v>9</v>
      </c>
      <c r="Y103" s="106">
        <v>18252</v>
      </c>
      <c r="Z103" s="106">
        <v>8</v>
      </c>
      <c r="AA103" s="106">
        <v>16224</v>
      </c>
      <c r="AB103" s="106">
        <v>6</v>
      </c>
      <c r="AC103" s="106">
        <v>12168</v>
      </c>
      <c r="AD103" s="106">
        <v>7</v>
      </c>
      <c r="AE103" s="106">
        <v>14196</v>
      </c>
      <c r="AF103" s="106">
        <v>6</v>
      </c>
      <c r="AG103" s="106">
        <v>12168</v>
      </c>
      <c r="AH103" s="106">
        <v>7</v>
      </c>
      <c r="AI103" s="106">
        <v>14196</v>
      </c>
      <c r="AJ103" s="106">
        <v>36</v>
      </c>
      <c r="AK103" s="106">
        <v>73008</v>
      </c>
      <c r="AL103" s="106">
        <v>32</v>
      </c>
      <c r="AM103" s="106">
        <v>64896</v>
      </c>
      <c r="AN103" s="106">
        <v>36</v>
      </c>
      <c r="AO103" s="106">
        <v>73008</v>
      </c>
      <c r="AP103" s="106">
        <v>25</v>
      </c>
      <c r="AQ103" s="106">
        <v>50700</v>
      </c>
      <c r="AR103" s="106">
        <v>3</v>
      </c>
      <c r="AS103" s="106">
        <v>6084</v>
      </c>
      <c r="AT103" s="106">
        <v>4</v>
      </c>
      <c r="AU103" s="106">
        <v>8112</v>
      </c>
      <c r="AV103" s="106">
        <v>4</v>
      </c>
      <c r="AW103" s="106">
        <v>8112</v>
      </c>
      <c r="AX103" s="106">
        <v>3</v>
      </c>
      <c r="AY103" s="106">
        <v>6084</v>
      </c>
      <c r="AZ103" s="106">
        <v>10</v>
      </c>
      <c r="BA103" s="106">
        <v>20280</v>
      </c>
      <c r="BB103" s="106">
        <v>9</v>
      </c>
      <c r="BC103" s="106">
        <v>18252</v>
      </c>
      <c r="BD103" s="106">
        <v>11</v>
      </c>
      <c r="BE103" s="106">
        <v>22308</v>
      </c>
      <c r="BF103" s="106">
        <v>9</v>
      </c>
      <c r="BG103" s="106">
        <v>18252</v>
      </c>
      <c r="BH103" s="106">
        <v>8</v>
      </c>
      <c r="BI103" s="106">
        <v>16224</v>
      </c>
      <c r="BJ103" s="106">
        <v>12</v>
      </c>
      <c r="BK103" s="106">
        <v>24336</v>
      </c>
      <c r="BL103" s="106">
        <v>11</v>
      </c>
      <c r="BM103" s="106">
        <v>22308</v>
      </c>
      <c r="BN103" s="106">
        <v>8</v>
      </c>
      <c r="BO103" s="106">
        <v>16224</v>
      </c>
      <c r="BP103" s="106">
        <v>6</v>
      </c>
      <c r="BQ103" s="106">
        <v>12168</v>
      </c>
      <c r="BR103" s="106">
        <v>5</v>
      </c>
      <c r="BS103" s="106">
        <v>10140</v>
      </c>
      <c r="BT103" s="106">
        <v>5</v>
      </c>
      <c r="BU103" s="106">
        <v>10140</v>
      </c>
      <c r="BV103" s="106">
        <v>5</v>
      </c>
      <c r="BW103" s="106">
        <v>10140</v>
      </c>
      <c r="BX103" s="106">
        <v>9</v>
      </c>
      <c r="BY103" s="106">
        <v>18252</v>
      </c>
      <c r="BZ103" s="106">
        <v>11</v>
      </c>
      <c r="CA103" s="106">
        <v>22308</v>
      </c>
      <c r="CB103" s="106">
        <v>16</v>
      </c>
      <c r="CC103" s="106">
        <v>32448</v>
      </c>
      <c r="CD103" s="106">
        <v>9</v>
      </c>
      <c r="CE103" s="106">
        <v>18252</v>
      </c>
      <c r="CF103" s="106">
        <v>4</v>
      </c>
      <c r="CG103" s="106">
        <v>8112</v>
      </c>
      <c r="CH103" s="106">
        <v>3</v>
      </c>
      <c r="CI103" s="106">
        <v>6084</v>
      </c>
      <c r="CJ103" s="106">
        <v>4</v>
      </c>
      <c r="CK103" s="106">
        <v>8112</v>
      </c>
      <c r="CL103" s="106">
        <v>2</v>
      </c>
      <c r="CM103" s="106">
        <v>4056</v>
      </c>
      <c r="CN103" s="106">
        <v>3</v>
      </c>
      <c r="CO103" s="106">
        <v>6084</v>
      </c>
      <c r="CP103" s="106">
        <v>5</v>
      </c>
      <c r="CQ103" s="106">
        <v>10140</v>
      </c>
      <c r="CR103" s="106">
        <v>4</v>
      </c>
      <c r="CS103" s="106">
        <v>8112</v>
      </c>
      <c r="CT103" s="106">
        <v>3</v>
      </c>
      <c r="CU103" s="106">
        <v>6084</v>
      </c>
    </row>
    <row r="104" spans="2:99" x14ac:dyDescent="0.2">
      <c r="C104" s="105" t="s">
        <v>270</v>
      </c>
      <c r="D104" s="106">
        <v>6</v>
      </c>
      <c r="E104" s="106">
        <v>12434.400000000001</v>
      </c>
      <c r="F104" s="106">
        <v>5</v>
      </c>
      <c r="G104" s="106">
        <v>10362</v>
      </c>
      <c r="H104" s="106">
        <v>4</v>
      </c>
      <c r="I104" s="106">
        <v>8289.6</v>
      </c>
      <c r="J104" s="106">
        <v>6</v>
      </c>
      <c r="K104" s="106">
        <v>12434.400000000001</v>
      </c>
      <c r="L104" s="106">
        <v>3</v>
      </c>
      <c r="M104" s="106">
        <v>6217.2000000000007</v>
      </c>
      <c r="N104" s="106">
        <v>4</v>
      </c>
      <c r="O104" s="106">
        <v>8289.6</v>
      </c>
      <c r="P104" s="106">
        <v>2</v>
      </c>
      <c r="Q104" s="106">
        <v>4144.8</v>
      </c>
      <c r="R104" s="106">
        <v>3</v>
      </c>
      <c r="S104" s="106">
        <v>6217.2000000000007</v>
      </c>
      <c r="T104" s="106">
        <v>8</v>
      </c>
      <c r="U104" s="106">
        <v>16579.2</v>
      </c>
      <c r="V104" s="106">
        <v>6</v>
      </c>
      <c r="W104" s="106">
        <v>12434.400000000001</v>
      </c>
      <c r="X104" s="106">
        <v>8</v>
      </c>
      <c r="Y104" s="106">
        <v>16579.2</v>
      </c>
      <c r="Z104" s="106">
        <v>8</v>
      </c>
      <c r="AA104" s="106">
        <v>16579.2</v>
      </c>
      <c r="AB104" s="106">
        <v>7</v>
      </c>
      <c r="AC104" s="106">
        <v>14506.800000000001</v>
      </c>
      <c r="AD104" s="106">
        <v>7</v>
      </c>
      <c r="AE104" s="106">
        <v>14506.800000000001</v>
      </c>
      <c r="AF104" s="106">
        <v>6</v>
      </c>
      <c r="AG104" s="106">
        <v>12434.400000000001</v>
      </c>
      <c r="AH104" s="106">
        <v>6</v>
      </c>
      <c r="AI104" s="106">
        <v>12434.400000000001</v>
      </c>
      <c r="AJ104" s="106">
        <v>33</v>
      </c>
      <c r="AK104" s="106">
        <v>68389.2</v>
      </c>
      <c r="AL104" s="106">
        <v>31</v>
      </c>
      <c r="AM104" s="106">
        <v>64244.4</v>
      </c>
      <c r="AN104" s="106">
        <v>41</v>
      </c>
      <c r="AO104" s="106">
        <v>84968.400000000009</v>
      </c>
      <c r="AP104" s="106">
        <v>26</v>
      </c>
      <c r="AQ104" s="106">
        <v>53882.400000000001</v>
      </c>
      <c r="AR104" s="106">
        <v>3</v>
      </c>
      <c r="AS104" s="106">
        <v>6217.2000000000007</v>
      </c>
      <c r="AT104" s="106">
        <v>4</v>
      </c>
      <c r="AU104" s="106">
        <v>8289.6</v>
      </c>
      <c r="AV104" s="106">
        <v>4</v>
      </c>
      <c r="AW104" s="106">
        <v>8289.6</v>
      </c>
      <c r="AX104" s="106">
        <v>3</v>
      </c>
      <c r="AY104" s="106">
        <v>6217.2000000000007</v>
      </c>
      <c r="AZ104" s="106">
        <v>10</v>
      </c>
      <c r="BA104" s="106">
        <v>20724</v>
      </c>
      <c r="BB104" s="106">
        <v>8</v>
      </c>
      <c r="BC104" s="106">
        <v>16579.2</v>
      </c>
      <c r="BD104" s="106">
        <v>11</v>
      </c>
      <c r="BE104" s="106">
        <v>22796.400000000001</v>
      </c>
      <c r="BF104" s="106">
        <v>9</v>
      </c>
      <c r="BG104" s="106">
        <v>18651.600000000002</v>
      </c>
      <c r="BH104" s="106">
        <v>8</v>
      </c>
      <c r="BI104" s="106">
        <v>16579.2</v>
      </c>
      <c r="BJ104" s="106">
        <v>12</v>
      </c>
      <c r="BK104" s="106">
        <v>24868.800000000003</v>
      </c>
      <c r="BL104" s="106">
        <v>11</v>
      </c>
      <c r="BM104" s="106">
        <v>22796.400000000001</v>
      </c>
      <c r="BN104" s="106">
        <v>7</v>
      </c>
      <c r="BO104" s="106">
        <v>14506.800000000001</v>
      </c>
      <c r="BP104" s="106">
        <v>5</v>
      </c>
      <c r="BQ104" s="106">
        <v>10362</v>
      </c>
      <c r="BR104" s="106">
        <v>4</v>
      </c>
      <c r="BS104" s="106">
        <v>8289.6</v>
      </c>
      <c r="BT104" s="106">
        <v>5</v>
      </c>
      <c r="BU104" s="106">
        <v>10362</v>
      </c>
      <c r="BV104" s="106">
        <v>4</v>
      </c>
      <c r="BW104" s="106">
        <v>8289.6</v>
      </c>
      <c r="BX104" s="106">
        <v>11</v>
      </c>
      <c r="BY104" s="106">
        <v>22796.400000000001</v>
      </c>
      <c r="BZ104" s="106">
        <v>10</v>
      </c>
      <c r="CA104" s="106">
        <v>20724</v>
      </c>
      <c r="CB104" s="106">
        <v>15</v>
      </c>
      <c r="CC104" s="106">
        <v>31086</v>
      </c>
      <c r="CD104" s="106">
        <v>9</v>
      </c>
      <c r="CE104" s="106">
        <v>18651.600000000002</v>
      </c>
      <c r="CF104" s="106">
        <v>3</v>
      </c>
      <c r="CG104" s="106">
        <v>6217.2000000000007</v>
      </c>
      <c r="CH104" s="106">
        <v>3</v>
      </c>
      <c r="CI104" s="106">
        <v>6217.2000000000007</v>
      </c>
      <c r="CJ104" s="106">
        <v>4</v>
      </c>
      <c r="CK104" s="106">
        <v>8289.6</v>
      </c>
      <c r="CL104" s="106">
        <v>3</v>
      </c>
      <c r="CM104" s="106">
        <v>6217.2000000000007</v>
      </c>
      <c r="CN104" s="106">
        <v>4</v>
      </c>
      <c r="CO104" s="106">
        <v>8289.6</v>
      </c>
      <c r="CP104" s="106">
        <v>4</v>
      </c>
      <c r="CQ104" s="106">
        <v>8289.6</v>
      </c>
      <c r="CR104" s="106">
        <v>4</v>
      </c>
      <c r="CS104" s="106">
        <v>8289.6</v>
      </c>
      <c r="CT104" s="106">
        <v>3</v>
      </c>
      <c r="CU104" s="106">
        <v>6217.2000000000007</v>
      </c>
    </row>
    <row r="105" spans="2:99" x14ac:dyDescent="0.2">
      <c r="C105" s="105" t="s">
        <v>271</v>
      </c>
      <c r="D105" s="106">
        <v>6</v>
      </c>
      <c r="E105" s="106">
        <v>11988</v>
      </c>
      <c r="F105" s="106">
        <v>6</v>
      </c>
      <c r="G105" s="106">
        <v>11988</v>
      </c>
      <c r="H105" s="106">
        <v>4</v>
      </c>
      <c r="I105" s="106">
        <v>7992</v>
      </c>
      <c r="J105" s="106">
        <v>6</v>
      </c>
      <c r="K105" s="106">
        <v>11988</v>
      </c>
      <c r="L105" s="106">
        <v>3</v>
      </c>
      <c r="M105" s="106">
        <v>5994</v>
      </c>
      <c r="N105" s="106">
        <v>4</v>
      </c>
      <c r="O105" s="106">
        <v>7992</v>
      </c>
      <c r="P105" s="106">
        <v>2</v>
      </c>
      <c r="Q105" s="106">
        <v>3996</v>
      </c>
      <c r="R105" s="106">
        <v>3</v>
      </c>
      <c r="S105" s="106">
        <v>5994</v>
      </c>
      <c r="T105" s="106">
        <v>8</v>
      </c>
      <c r="U105" s="106">
        <v>15984</v>
      </c>
      <c r="V105" s="106">
        <v>6</v>
      </c>
      <c r="W105" s="106">
        <v>11988</v>
      </c>
      <c r="X105" s="106">
        <v>10</v>
      </c>
      <c r="Y105" s="106">
        <v>19980</v>
      </c>
      <c r="Z105" s="106">
        <v>8</v>
      </c>
      <c r="AA105" s="106">
        <v>15984</v>
      </c>
      <c r="AB105" s="106">
        <v>6</v>
      </c>
      <c r="AC105" s="106">
        <v>11988</v>
      </c>
      <c r="AD105" s="106">
        <v>7</v>
      </c>
      <c r="AE105" s="106">
        <v>13986</v>
      </c>
      <c r="AF105" s="106">
        <v>5</v>
      </c>
      <c r="AG105" s="106">
        <v>9990</v>
      </c>
      <c r="AH105" s="106">
        <v>7</v>
      </c>
      <c r="AI105" s="106">
        <v>13986</v>
      </c>
      <c r="AJ105" s="106">
        <v>32</v>
      </c>
      <c r="AK105" s="106">
        <v>63936</v>
      </c>
      <c r="AL105" s="106">
        <v>28</v>
      </c>
      <c r="AM105" s="106">
        <v>55944</v>
      </c>
      <c r="AN105" s="106">
        <v>42</v>
      </c>
      <c r="AO105" s="106">
        <v>83916</v>
      </c>
      <c r="AP105" s="106">
        <v>29</v>
      </c>
      <c r="AQ105" s="106">
        <v>57942</v>
      </c>
      <c r="AR105" s="106">
        <v>3</v>
      </c>
      <c r="AS105" s="106">
        <v>5994</v>
      </c>
      <c r="AT105" s="106">
        <v>4</v>
      </c>
      <c r="AU105" s="106">
        <v>7992</v>
      </c>
      <c r="AV105" s="106">
        <v>4</v>
      </c>
      <c r="AW105" s="106">
        <v>7992</v>
      </c>
      <c r="AX105" s="106">
        <v>3</v>
      </c>
      <c r="AY105" s="106">
        <v>5994</v>
      </c>
      <c r="AZ105" s="106">
        <v>9</v>
      </c>
      <c r="BA105" s="106">
        <v>17982</v>
      </c>
      <c r="BB105" s="106">
        <v>9</v>
      </c>
      <c r="BC105" s="106">
        <v>17982</v>
      </c>
      <c r="BD105" s="106">
        <v>11</v>
      </c>
      <c r="BE105" s="106">
        <v>21978</v>
      </c>
      <c r="BF105" s="106">
        <v>8</v>
      </c>
      <c r="BG105" s="106">
        <v>15984</v>
      </c>
      <c r="BH105" s="106">
        <v>8</v>
      </c>
      <c r="BI105" s="106">
        <v>15984</v>
      </c>
      <c r="BJ105" s="106">
        <v>12</v>
      </c>
      <c r="BK105" s="106">
        <v>23976</v>
      </c>
      <c r="BL105" s="106">
        <v>10</v>
      </c>
      <c r="BM105" s="106">
        <v>19980</v>
      </c>
      <c r="BN105" s="106">
        <v>8</v>
      </c>
      <c r="BO105" s="106">
        <v>15984</v>
      </c>
      <c r="BP105" s="106">
        <v>6</v>
      </c>
      <c r="BQ105" s="106">
        <v>11988</v>
      </c>
      <c r="BR105" s="106">
        <v>5</v>
      </c>
      <c r="BS105" s="106">
        <v>9990</v>
      </c>
      <c r="BT105" s="106">
        <v>5</v>
      </c>
      <c r="BU105" s="106">
        <v>9990</v>
      </c>
      <c r="BV105" s="106">
        <v>5</v>
      </c>
      <c r="BW105" s="106">
        <v>9990</v>
      </c>
      <c r="BX105" s="106">
        <v>10</v>
      </c>
      <c r="BY105" s="106">
        <v>19980</v>
      </c>
      <c r="BZ105" s="106">
        <v>10</v>
      </c>
      <c r="CA105" s="106">
        <v>19980</v>
      </c>
      <c r="CB105" s="106">
        <v>15</v>
      </c>
      <c r="CC105" s="106">
        <v>29970</v>
      </c>
      <c r="CD105" s="106">
        <v>9</v>
      </c>
      <c r="CE105" s="106">
        <v>17982</v>
      </c>
      <c r="CF105" s="106">
        <v>3</v>
      </c>
      <c r="CG105" s="106">
        <v>5994</v>
      </c>
      <c r="CH105" s="106">
        <v>3</v>
      </c>
      <c r="CI105" s="106">
        <v>5994</v>
      </c>
      <c r="CJ105" s="106">
        <v>4</v>
      </c>
      <c r="CK105" s="106">
        <v>7992</v>
      </c>
      <c r="CL105" s="106">
        <v>2</v>
      </c>
      <c r="CM105" s="106">
        <v>3996</v>
      </c>
      <c r="CN105" s="106">
        <v>3</v>
      </c>
      <c r="CO105" s="106">
        <v>5994</v>
      </c>
      <c r="CP105" s="106">
        <v>4</v>
      </c>
      <c r="CQ105" s="106">
        <v>7992</v>
      </c>
      <c r="CR105" s="106">
        <v>4</v>
      </c>
      <c r="CS105" s="106">
        <v>7992</v>
      </c>
      <c r="CT105" s="106">
        <v>3</v>
      </c>
      <c r="CU105" s="106">
        <v>5994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183</v>
      </c>
      <c r="E109" s="106">
        <f>SUM(L$6:L$19)+SUM(N$6:N$19)+SUM(P$6:P$19)+SUM(R$6:R$19)</f>
        <v>159</v>
      </c>
      <c r="F109" s="106">
        <f>SUM(T$6:T$19)+SUM(V$6:V$19)+SUM(X$6:X$19)+SUM(Z$6:Z$19)</f>
        <v>295</v>
      </c>
      <c r="G109" s="106">
        <f>SUM(AB$6:AB$19)+SUM(AD$6:AD$19)+SUM(AF$6:AF$19)+SUM(AH$6:AH$19)</f>
        <v>1617</v>
      </c>
      <c r="H109" s="106">
        <f>SUM(AJ$6:AJ$19)+SUM(AL$6:AL$19)+SUM(AN$6:AN$19)+SUM(AP$6:AP$19)</f>
        <v>225</v>
      </c>
      <c r="I109" s="106">
        <f>SUM(AR$6:AR$19)+SUM(AT$6:AT$19)+SUM(AV$6:AV$19)+SUM(AX$6:AX$19)</f>
        <v>564</v>
      </c>
      <c r="J109" s="106">
        <f>SUM(AZ$6:AZ$19)+SUM(BB$6:BB$19)+SUM(BD$6:BD$19)+SUM(BF$6:BF$19)</f>
        <v>236</v>
      </c>
      <c r="K109" s="106">
        <f>SUM(BH$6:BH$19)+SUM(BJ$6:BJ$19)+SUM(BL$6:BL$19)+SUM(BN$6:BN$19)</f>
        <v>391</v>
      </c>
      <c r="L109" s="106">
        <f>SUM(BP$6:BP$19)+SUM(BR$6:BR$19)+SUM(BT$6:BT$19)+SUM(BV$6:BV$19)</f>
        <v>2150</v>
      </c>
      <c r="M109" s="106">
        <f>SUM(BX$6:BX$19)+SUM(BZ$6:BZ$19)+SUM(CB$6:CB$19)+SUM(CD$6:CD$19)</f>
        <v>197</v>
      </c>
      <c r="N109" s="106">
        <f>SUM(CF$6:CF$19)+SUM(CH$6:CH$19)+SUM(CJ$6:CJ$19)+SUM(CL$6:CL$19)</f>
        <v>1683</v>
      </c>
      <c r="O109" s="106">
        <f>SUM(CN$6:CN$19)+SUM(CP$6:CP$19)+SUM(CR$6:CR$19)+SUM(CT$6:CT$19)</f>
        <v>478</v>
      </c>
    </row>
    <row r="110" spans="2:99" x14ac:dyDescent="0.2">
      <c r="C110" s="105" t="s">
        <v>127</v>
      </c>
      <c r="D110" s="106">
        <f>SUM(D$20:D$36)+SUM(F$20:F$36)+SUM(H$20:H$36)+SUM(J$20:J$36)</f>
        <v>227</v>
      </c>
      <c r="E110" s="106">
        <f>SUM(L$20:L$36)+SUM(N$20:N$36)+SUM(P$20:P$36)+SUM(R$20:R$36)</f>
        <v>1075</v>
      </c>
      <c r="F110" s="106">
        <f>SUM(T$20:T$36)+SUM(V$20:V$36)+SUM(X$20:X$36)+SUM(Z$20:Z$36)</f>
        <v>249</v>
      </c>
      <c r="G110" s="106">
        <f>SUM(AB$20:AB$36)+SUM(AD$20:AD$36)+SUM(AF$20:AF$36)+SUM(AH$20:AH$36)</f>
        <v>206</v>
      </c>
      <c r="H110" s="106">
        <f>SUM(AJ$20:AJ$36)+SUM(AL$20:AL$36)+SUM(AN$20:AN$36)+SUM(AP$20:AP$36)</f>
        <v>696</v>
      </c>
      <c r="I110" s="106">
        <f>SUM(AR$20:AR$36)+SUM(AT$20:AT$36)+SUM(AV$20:AV$36)+SUM(AX$20:AX$36)</f>
        <v>1847</v>
      </c>
      <c r="J110" s="106">
        <f>SUM(AZ$20:AZ$36)+SUM(BB$20:BB$36)+SUM(BD$20:BD$36)+SUM(BF$20:BF$36)</f>
        <v>208</v>
      </c>
      <c r="K110" s="106">
        <f>SUM(BH$20:BH$36)+SUM(BJ$20:BJ$36)+SUM(BL$20:BL$36)+SUM(BN$20:BN$36)</f>
        <v>861</v>
      </c>
      <c r="L110" s="106">
        <f>SUM(BP$20:BP$36)+SUM(BR$20:BR$36)+SUM(BT$20:BT$36)+SUM(BV$20:BV$36)</f>
        <v>200</v>
      </c>
      <c r="M110" s="106">
        <f>SUM(BX$20:BX$36)+SUM(BZ$20:BZ$36)+SUM(CB$20:CB$36)+SUM(CD$20:CD$36)</f>
        <v>1470</v>
      </c>
      <c r="N110" s="106">
        <f>SUM(CF$20:CF$36)+SUM(CH$20:CH$36)+SUM(CJ$20:CJ$36)+SUM(CL$20:CL$36)</f>
        <v>1621</v>
      </c>
      <c r="O110" s="106">
        <f>SUM(CN$20:CN$36)+SUM(CP$20:CP$36)+SUM(CR$20:CR$36)+SUM(CT$20:CT$36)</f>
        <v>1758</v>
      </c>
    </row>
    <row r="111" spans="2:99" x14ac:dyDescent="0.2">
      <c r="C111" s="105" t="s">
        <v>128</v>
      </c>
      <c r="D111" s="106">
        <f>SUM(D$37:D$48)+SUM(F$37:F$48)+SUM(H$37:H$48)+SUM(J$37:J$48)</f>
        <v>588</v>
      </c>
      <c r="E111" s="106">
        <f>SUM(L$37:L$48)+SUM(N$37:N$48)+SUM(P$37:P$48)+SUM(R$37:R$48)</f>
        <v>3669</v>
      </c>
      <c r="F111" s="106">
        <f>SUM(T$37:T$48)+SUM(V$37:V$48)+SUM(X$37:X$48)+SUM(Z$37:Z$48)</f>
        <v>228</v>
      </c>
      <c r="G111" s="106">
        <f>SUM(AB$37:AB$48)+SUM(AD$37:AD$48)+SUM(AF$37:AF$48)+SUM(AH$37:AH$48)</f>
        <v>3143</v>
      </c>
      <c r="H111" s="106">
        <f>SUM(AJ$37:AJ$48)+SUM(AL$37:AL$48)+SUM(AN$37:AN$48)+SUM(AP$37:AP$48)</f>
        <v>2367</v>
      </c>
      <c r="I111" s="106">
        <f>SUM(AR$37:AR$48)+SUM(AT$37:AT$48)+SUM(AV$37:AV$48)+SUM(AX$37:AX$48)</f>
        <v>1077</v>
      </c>
      <c r="J111" s="106">
        <f>SUM(AZ$37:AZ$48)+SUM(BB$37:BB$48)+SUM(BD$37:BD$48)+SUM(BF$37:BF$48)</f>
        <v>293</v>
      </c>
      <c r="K111" s="106">
        <f>SUM(BH$37:BH$48)+SUM(BJ$37:BJ$48)+SUM(BL$37:BL$48)+SUM(BN$37:BN$48)</f>
        <v>2916</v>
      </c>
      <c r="L111" s="106">
        <f>SUM(BP$37:BP$48)+SUM(BR$37:BR$48)+SUM(BT$37:BT$48)+SUM(BV$37:BV$48)</f>
        <v>1420</v>
      </c>
      <c r="M111" s="106">
        <f>SUM(BX$37:BX$48)+SUM(BZ$37:BZ$48)+SUM(CB$37:CB$48)+SUM(CD$37:CD$48)</f>
        <v>459</v>
      </c>
      <c r="N111" s="106">
        <f>SUM(CF$37:CF$48)+SUM(CH$37:CH$48)+SUM(CJ$37:CJ$48)+SUM(CL$37:CL$48)</f>
        <v>208</v>
      </c>
      <c r="O111" s="106">
        <f>SUM(CN$37:CN$48)+SUM(CP$37:CP$48)+SUM(CR$37:CR$48)+SUM(CT$37:CT$48)</f>
        <v>295</v>
      </c>
    </row>
    <row r="112" spans="2:99" x14ac:dyDescent="0.2">
      <c r="C112" s="105" t="s">
        <v>129</v>
      </c>
      <c r="D112" s="106">
        <f>SUM(D$49:D$70)+SUM(F$49:F$70)+SUM(H$49:H$70)+SUM(J$49:J$70)</f>
        <v>545</v>
      </c>
      <c r="E112" s="106">
        <f>SUM(L$49:L$70)+SUM(N$49:N$70)+SUM(P$49:P$70)+SUM(R$49:R$70)</f>
        <v>3056</v>
      </c>
      <c r="F112" s="106">
        <f>SUM(T$49:T$70)+SUM(V$49:V$70)+SUM(X$49:X$70)+SUM(Z$49:Z$70)</f>
        <v>313</v>
      </c>
      <c r="G112" s="106">
        <f>SUM(AB$49:AB$70)+SUM(AD$49:AD$70)+SUM(AF$49:AF$70)+SUM(AH$49:AH$70)</f>
        <v>646</v>
      </c>
      <c r="H112" s="106">
        <f>SUM(AJ$49:AJ$70)+SUM(AL$49:AL$70)+SUM(AN$49:AN$70)+SUM(AP$49:AP$70)</f>
        <v>614</v>
      </c>
      <c r="I112" s="106">
        <f>SUM(AR$49:AR$70)+SUM(AT$49:AT$70)+SUM(AV$49:AV$70)+SUM(AX$49:AX$70)</f>
        <v>357</v>
      </c>
      <c r="J112" s="106">
        <f>SUM(AZ$49:AZ$70)+SUM(BB$49:BB$70)+SUM(BD$49:BD$70)+SUM(BF$49:BF$70)</f>
        <v>666</v>
      </c>
      <c r="K112" s="106">
        <f>SUM(BH$49:BH$70)+SUM(BJ$49:BJ$70)+SUM(BL$49:BL$70)+SUM(BN$49:BN$70)</f>
        <v>414</v>
      </c>
      <c r="L112" s="106">
        <f>SUM(BP$49:BP$70)+SUM(BR$49:BR$70)+SUM(BT$49:BT$70)+SUM(BV$49:BV$70)</f>
        <v>277</v>
      </c>
      <c r="M112" s="106">
        <f>SUM(BX$49:BX$70)+SUM(BZ$49:BZ$70)+SUM(CB$49:CB$70)+SUM(CD$49:CD$70)</f>
        <v>5022</v>
      </c>
      <c r="N112" s="106">
        <f>SUM(CF$49:CF$70)+SUM(CH$49:CH$70)+SUM(CJ$49:CJ$70)+SUM(CL$49:CL$70)</f>
        <v>1847</v>
      </c>
      <c r="O112" s="106">
        <f>SUM(CN$49:CN$70)+SUM(CP$49:CP$70)+SUM(CR$49:CR$70)+SUM(CT$49:CT$70)</f>
        <v>283</v>
      </c>
    </row>
    <row r="113" spans="2:15" x14ac:dyDescent="0.2">
      <c r="C113" s="105" t="s">
        <v>130</v>
      </c>
      <c r="D113" s="106">
        <f>SUM(D$71:D$86)+SUM(F$71:F$86)+SUM(H$71:H$86)+SUM(J$71:J$86)</f>
        <v>1236</v>
      </c>
      <c r="E113" s="106">
        <f>SUM(L$71:L$86)+SUM(N$71:N$86)+SUM(P$71:P$86)+SUM(R$71:R$86)</f>
        <v>995</v>
      </c>
      <c r="F113" s="106">
        <f>SUM(T$71:T$86)+SUM(V$71:V$86)+SUM(X$71:X$86)+SUM(Z$71:Z$86)</f>
        <v>404</v>
      </c>
      <c r="G113" s="106">
        <f>SUM(AB$71:AB$86)+SUM(AD$71:AD$86)+SUM(AF$71:AF$86)+SUM(AH$71:AH$86)</f>
        <v>558</v>
      </c>
      <c r="H113" s="106">
        <f>SUM(AJ$71:AJ$86)+SUM(AL$71:AL$86)+SUM(AN$71:AN$86)+SUM(AP$71:AP$86)</f>
        <v>344</v>
      </c>
      <c r="I113" s="106">
        <f>SUM(AR$71:AR$86)+SUM(AT$71:AT$86)+SUM(AV$71:AV$86)+SUM(AX$71:AX$86)</f>
        <v>2320</v>
      </c>
      <c r="J113" s="106">
        <f>SUM(AZ$71:AZ$86)+SUM(BB$71:BB$86)+SUM(BD$71:BD$86)+SUM(BF$71:BF$86)</f>
        <v>3654</v>
      </c>
      <c r="K113" s="106">
        <f>SUM(BH$71:BH$86)+SUM(BJ$71:BJ$86)+SUM(BL$71:BL$86)+SUM(BN$71:BN$86)</f>
        <v>299</v>
      </c>
      <c r="L113" s="106">
        <f>SUM(BP$71:BP$86)+SUM(BR$71:BR$86)+SUM(BT$71:BT$86)+SUM(BV$71:BV$86)</f>
        <v>257</v>
      </c>
      <c r="M113" s="106">
        <f>SUM(BX$71:BX$86)+SUM(BZ$71:BZ$86)+SUM(CB$71:CB$86)+SUM(CD$71:CD$86)</f>
        <v>333</v>
      </c>
      <c r="N113" s="106">
        <f>SUM(CF$71:CF$86)+SUM(CH$71:CH$86)+SUM(CJ$71:CJ$86)+SUM(CL$71:CL$86)</f>
        <v>1826</v>
      </c>
      <c r="O113" s="106">
        <f>SUM(CN$71:CN$86)+SUM(CP$71:CP$86)+SUM(CR$71:CR$86)+SUM(CT$71:CT$86)</f>
        <v>212</v>
      </c>
    </row>
    <row r="114" spans="2:15" x14ac:dyDescent="0.2">
      <c r="C114" s="105" t="s">
        <v>131</v>
      </c>
      <c r="D114" s="106">
        <f>SUM(D$87:D$94)+SUM(F$87:F$94)+SUM(H$87:H$94)+SUM(J$87:J$94)</f>
        <v>169</v>
      </c>
      <c r="E114" s="106">
        <f>SUM(L$87:L$94)+SUM(N$87:N$94)+SUM(P$87:P$94)+SUM(R$87:R$94)</f>
        <v>238</v>
      </c>
      <c r="F114" s="106">
        <f>SUM(T$87:T$94)+SUM(V$87:V$94)+SUM(X$87:X$94)+SUM(Z$87:Z$94)</f>
        <v>256</v>
      </c>
      <c r="G114" s="106">
        <f>SUM(AB$87:AB$94)+SUM(AD$87:AD$94)+SUM(AF$87:AF$94)+SUM(AH$87:AH$94)</f>
        <v>524</v>
      </c>
      <c r="H114" s="106">
        <f>SUM(AJ$87:AJ$94)+SUM(AL$87:AL$94)+SUM(AN$87:AN$94)+SUM(AP$87:AP$94)</f>
        <v>100</v>
      </c>
      <c r="I114" s="106">
        <f>SUM(AR$87:AR$94)+SUM(AT$87:AT$94)+SUM(AV$87:AV$94)+SUM(AX$87:AX$94)</f>
        <v>1114</v>
      </c>
      <c r="J114" s="106">
        <f>SUM(AZ$87:AZ$94)+SUM(BB$87:BB$94)+SUM(BD$87:BD$94)+SUM(BF$87:BF$94)</f>
        <v>987</v>
      </c>
      <c r="K114" s="106">
        <f>SUM(BH$87:BH$94)+SUM(BJ$87:BJ$94)+SUM(BL$87:BL$94)+SUM(BN$87:BN$94)</f>
        <v>129</v>
      </c>
      <c r="L114" s="106">
        <f>SUM(BP$87:BP$94)+SUM(BR$87:BR$94)+SUM(BT$87:BT$94)+SUM(BV$87:BV$94)</f>
        <v>429</v>
      </c>
      <c r="M114" s="106">
        <f>SUM(BX$87:BX$94)+SUM(BZ$87:BZ$94)+SUM(CB$87:CB$94)+SUM(CD$87:CD$94)</f>
        <v>244</v>
      </c>
      <c r="N114" s="106">
        <f>SUM(CF$87:CF$94)+SUM(CH$87:CH$94)+SUM(CJ$87:CJ$94)+SUM(CL$87:CL$94)</f>
        <v>253</v>
      </c>
      <c r="O114" s="106">
        <f>SUM(CN$87:CN$94)+SUM(CP$87:CP$94)+SUM(CR$87:CR$94)+SUM(CT$87:CT$94)</f>
        <v>779</v>
      </c>
    </row>
    <row r="115" spans="2:15" x14ac:dyDescent="0.2">
      <c r="C115" s="105" t="s">
        <v>132</v>
      </c>
      <c r="D115" s="106">
        <f>SUM(D$95:D$105)+SUM(F$95:F$105)+SUM(H$95:H$105)+SUM(J$95:J$105)</f>
        <v>237</v>
      </c>
      <c r="E115" s="106">
        <f>SUM(L$95:L$105)+SUM(N$95:N$105)+SUM(P$95:P$105)+SUM(R$95:R$105)</f>
        <v>142</v>
      </c>
      <c r="F115" s="106">
        <f>SUM(T$95:T$105)+SUM(V$95:V$105)+SUM(X$95:X$105)+SUM(Z$95:Z$105)</f>
        <v>339</v>
      </c>
      <c r="G115" s="106">
        <f>SUM(AB$95:AB$105)+SUM(AD$95:AD$105)+SUM(AF$95:AF$105)+SUM(AH$95:AH$105)</f>
        <v>280</v>
      </c>
      <c r="H115" s="106">
        <f>SUM(AJ$95:AJ$105)+SUM(AL$95:AL$105)+SUM(AN$95:AN$105)+SUM(AP$95:AP$105)</f>
        <v>1471</v>
      </c>
      <c r="I115" s="106">
        <f>SUM(AR$95:AR$105)+SUM(AT$95:AT$105)+SUM(AV$95:AV$105)+SUM(AX$95:AX$105)</f>
        <v>157</v>
      </c>
      <c r="J115" s="106">
        <f>SUM(AZ$95:AZ$105)+SUM(BB$95:BB$105)+SUM(BD$95:BD$105)+SUM(BF$95:BF$105)</f>
        <v>415</v>
      </c>
      <c r="K115" s="106">
        <f>SUM(BH$95:BH$105)+SUM(BJ$95:BJ$105)+SUM(BL$95:BL$105)+SUM(BN$95:BN$105)</f>
        <v>434</v>
      </c>
      <c r="L115" s="106">
        <f>SUM(BP$95:BP$105)+SUM(BR$95:BR$105)+SUM(BT$95:BT$105)+SUM(BV$95:BV$105)</f>
        <v>221</v>
      </c>
      <c r="M115" s="106">
        <f>SUM(BX$95:BX$105)+SUM(BZ$95:BZ$105)+SUM(CB$95:CB$105)+SUM(CD$95:CD$105)</f>
        <v>476</v>
      </c>
      <c r="N115" s="106">
        <f>SUM(CF$95:CF$105)+SUM(CH$95:CH$105)+SUM(CJ$95:CJ$105)+SUM(CL$95:CL$105)</f>
        <v>142</v>
      </c>
      <c r="O115" s="106">
        <f>SUM(CN$95:CN$105)+SUM(CP$95:CP$105)+SUM(CR$95:CR$105)+SUM(CT$95:CT$105)</f>
        <v>165</v>
      </c>
    </row>
    <row r="116" spans="2:15" x14ac:dyDescent="0.2">
      <c r="C116" s="105" t="s">
        <v>278</v>
      </c>
      <c r="D116" s="106">
        <f t="shared" ref="D116:O116" si="0">SUM(D$109:D$115)</f>
        <v>3185</v>
      </c>
      <c r="E116" s="106">
        <f t="shared" si="0"/>
        <v>9334</v>
      </c>
      <c r="F116" s="106">
        <f t="shared" si="0"/>
        <v>2084</v>
      </c>
      <c r="G116" s="106">
        <f t="shared" si="0"/>
        <v>6974</v>
      </c>
      <c r="H116" s="106">
        <f t="shared" si="0"/>
        <v>5817</v>
      </c>
      <c r="I116" s="106">
        <f t="shared" si="0"/>
        <v>7436</v>
      </c>
      <c r="J116" s="106">
        <f t="shared" si="0"/>
        <v>6459</v>
      </c>
      <c r="K116" s="106">
        <f t="shared" si="0"/>
        <v>5444</v>
      </c>
      <c r="L116" s="106">
        <f t="shared" si="0"/>
        <v>4954</v>
      </c>
      <c r="M116" s="106">
        <f t="shared" si="0"/>
        <v>8201</v>
      </c>
      <c r="N116" s="106">
        <f t="shared" si="0"/>
        <v>7580</v>
      </c>
      <c r="O116" s="106">
        <f t="shared" si="0"/>
        <v>3970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1235626.7963587476</v>
      </c>
      <c r="E120" s="106">
        <f>E109*pricing!E33*2000</f>
        <v>1089272.3335886612</v>
      </c>
      <c r="F120" s="106">
        <f>F109*pricing!F33*2000</f>
        <v>1536012.8923374075</v>
      </c>
      <c r="G120" s="106">
        <f>G109*pricing!G33*2000</f>
        <v>4640182.5580457728</v>
      </c>
      <c r="H120" s="106">
        <f>H109*pricing!H33*2000</f>
        <v>1452373.0202372526</v>
      </c>
      <c r="I120" s="106">
        <f>I109*pricing!I33*2000</f>
        <v>2303823.3643159233</v>
      </c>
      <c r="J120" s="106">
        <f>J109*pricing!J33*2000</f>
        <v>1370484.4051873179</v>
      </c>
      <c r="K120" s="106">
        <f>K109*pricing!K33*2000</f>
        <v>2009993.1562803811</v>
      </c>
      <c r="L120" s="106">
        <f>L109*pricing!L33*2000</f>
        <v>5885406.3523330884</v>
      </c>
      <c r="M120" s="106">
        <f>M109*pricing!M33*2000</f>
        <v>1283590.8390355844</v>
      </c>
      <c r="N120" s="106">
        <f>N109*pricing!N33*2000</f>
        <v>4862263.7642919226</v>
      </c>
      <c r="O120" s="106">
        <f>O109*pricing!O33*2000</f>
        <v>2276568.5620652074</v>
      </c>
    </row>
    <row r="121" spans="2:15" x14ac:dyDescent="0.2">
      <c r="C121" s="105" t="s">
        <v>127</v>
      </c>
      <c r="D121" s="106">
        <f>D110*pricing!D34*2000</f>
        <v>1415905.885904697</v>
      </c>
      <c r="E121" s="106">
        <f>E110*pricing!E34*2000</f>
        <v>3324853.3567779255</v>
      </c>
      <c r="F121" s="106">
        <f>F110*pricing!F34*2000</f>
        <v>1499746.4274884141</v>
      </c>
      <c r="G121" s="106">
        <f>G110*pricing!G34*2000</f>
        <v>1297316.9691786717</v>
      </c>
      <c r="H121" s="106">
        <f>H110*pricing!H34*2000</f>
        <v>2689843.7120386446</v>
      </c>
      <c r="I121" s="106">
        <f>I110*pricing!I34*2000</f>
        <v>4902996.2912842575</v>
      </c>
      <c r="J121" s="106">
        <f>J110*pricing!J34*2000</f>
        <v>1371774.3029027178</v>
      </c>
      <c r="K121" s="106">
        <f>K110*pricing!K34*2000</f>
        <v>3229667.4505196465</v>
      </c>
      <c r="L121" s="106">
        <f>L110*pricing!L34*2000</f>
        <v>1335095.1106212086</v>
      </c>
      <c r="M121" s="106">
        <f>M110*pricing!M34*2000</f>
        <v>4550398.23931803</v>
      </c>
      <c r="N121" s="106">
        <f>N110*pricing!N34*2000</f>
        <v>4661376.8885531295</v>
      </c>
      <c r="O121" s="106">
        <f>O110*pricing!O34*2000</f>
        <v>5366777.1456770124</v>
      </c>
    </row>
    <row r="122" spans="2:15" x14ac:dyDescent="0.2">
      <c r="C122" s="105" t="s">
        <v>128</v>
      </c>
      <c r="D122" s="106">
        <f>D111*pricing!D35*2000</f>
        <v>2685754.343763608</v>
      </c>
      <c r="E122" s="106">
        <f>E111*pricing!E35*2000</f>
        <v>7962596.2200589739</v>
      </c>
      <c r="F122" s="106">
        <f>F111*pricing!F35*2000</f>
        <v>1502743.2874557336</v>
      </c>
      <c r="G122" s="106">
        <f>G111*pricing!G35*2000</f>
        <v>6982866.5737901814</v>
      </c>
      <c r="H122" s="106">
        <f>H111*pricing!H35*2000</f>
        <v>5686987.4674162734</v>
      </c>
      <c r="I122" s="106">
        <f>I111*pricing!I35*2000</f>
        <v>3812228.5067554405</v>
      </c>
      <c r="J122" s="106">
        <f>J111*pricing!J35*2000</f>
        <v>1784427.5546954751</v>
      </c>
      <c r="K122" s="106">
        <f>K111*pricing!K35*2000</f>
        <v>7195079.9768169122</v>
      </c>
      <c r="L122" s="106">
        <f>L111*pricing!L35*2000</f>
        <v>4444379.3688782072</v>
      </c>
      <c r="M122" s="106">
        <f>M111*pricing!M35*2000</f>
        <v>2365517.9831578461</v>
      </c>
      <c r="N122" s="106">
        <f>N111*pricing!N35*2000</f>
        <v>1351695.6351219795</v>
      </c>
      <c r="O122" s="106">
        <f>O111*pricing!O35*2000</f>
        <v>1775743.8588322797</v>
      </c>
    </row>
    <row r="123" spans="2:15" x14ac:dyDescent="0.2">
      <c r="C123" s="105" t="s">
        <v>129</v>
      </c>
      <c r="D123" s="106">
        <f>D112*pricing!D36*2000</f>
        <v>2861626.7337792767</v>
      </c>
      <c r="E123" s="106">
        <f>E112*pricing!E36*2000</f>
        <v>8233667.7196823005</v>
      </c>
      <c r="F123" s="106">
        <f>F112*pricing!F36*2000</f>
        <v>1958638.32700873</v>
      </c>
      <c r="G123" s="106">
        <f>G112*pricing!G36*2000</f>
        <v>3023312.1127648251</v>
      </c>
      <c r="H123" s="106">
        <f>H112*pricing!H36*2000</f>
        <v>3025207.4898914369</v>
      </c>
      <c r="I123" s="106">
        <f>I112*pricing!I36*2000</f>
        <v>2176968.6202669358</v>
      </c>
      <c r="J123" s="106">
        <f>J112*pricing!J36*2000</f>
        <v>3253176.4995020563</v>
      </c>
      <c r="K123" s="106">
        <f>K112*pricing!K36*2000</f>
        <v>2431886.4026254648</v>
      </c>
      <c r="L123" s="106">
        <f>L112*pricing!L36*2000</f>
        <v>1858348.2148997879</v>
      </c>
      <c r="M123" s="106">
        <f>M112*pricing!M36*2000</f>
        <v>10179828.979759354</v>
      </c>
      <c r="N123" s="106">
        <f>N112*pricing!N36*2000</f>
        <v>5604382.2383947195</v>
      </c>
      <c r="O123" s="106">
        <f>O112*pricing!O36*2000</f>
        <v>1870564.3633490365</v>
      </c>
    </row>
    <row r="124" spans="2:15" x14ac:dyDescent="0.2">
      <c r="C124" s="105" t="s">
        <v>130</v>
      </c>
      <c r="D124" s="106">
        <f>D113*pricing!D37*2000</f>
        <v>4070378.0399234151</v>
      </c>
      <c r="E124" s="106">
        <f>E113*pricing!E37*2000</f>
        <v>3207007.9014023044</v>
      </c>
      <c r="F124" s="106">
        <f>F113*pricing!F37*2000</f>
        <v>1995268.8480597043</v>
      </c>
      <c r="G124" s="106">
        <f>G113*pricing!G37*2000</f>
        <v>2370745.3490208099</v>
      </c>
      <c r="H124" s="106">
        <f>H113*pricing!H37*2000</f>
        <v>1895095.6510890156</v>
      </c>
      <c r="I124" s="106">
        <f>I113*pricing!I37*2000</f>
        <v>5688767.4687822377</v>
      </c>
      <c r="J124" s="106">
        <f>J113*pricing!J37*2000</f>
        <v>7526379.2561063347</v>
      </c>
      <c r="K124" s="106">
        <f>K113*pricing!K37*2000</f>
        <v>1599465.5705349031</v>
      </c>
      <c r="L124" s="106">
        <f>L113*pricing!L37*2000</f>
        <v>1471588.0190176708</v>
      </c>
      <c r="M124" s="106">
        <f>M113*pricing!M37*2000</f>
        <v>1835438.2938698339</v>
      </c>
      <c r="N124" s="106">
        <f>N113*pricing!N37*2000</f>
        <v>5210188.9356727116</v>
      </c>
      <c r="O124" s="106">
        <f>O113*pricing!O37*2000</f>
        <v>1305032.1487753002</v>
      </c>
    </row>
    <row r="125" spans="2:15" x14ac:dyDescent="0.2">
      <c r="C125" s="105" t="s">
        <v>131</v>
      </c>
      <c r="D125" s="106">
        <f>D114*pricing!D38*2000</f>
        <v>869493.70374025661</v>
      </c>
      <c r="E125" s="106">
        <f>E114*pricing!E38*2000</f>
        <v>1055230.3574538594</v>
      </c>
      <c r="F125" s="106">
        <f>F114*pricing!F38*2000</f>
        <v>1147921.202576847</v>
      </c>
      <c r="G125" s="106">
        <f>G114*pricing!G38*2000</f>
        <v>1643919.404353081</v>
      </c>
      <c r="H125" s="106">
        <f>H114*pricing!H38*2000</f>
        <v>677997.46825214883</v>
      </c>
      <c r="I125" s="106">
        <f>I114*pricing!I38*2000</f>
        <v>2653713.9108800101</v>
      </c>
      <c r="J125" s="106">
        <f>J114*pricing!J38*2000</f>
        <v>2443479.9730608314</v>
      </c>
      <c r="K125" s="106">
        <f>K114*pricing!K38*2000</f>
        <v>766172.46304592572</v>
      </c>
      <c r="L125" s="106">
        <f>L114*pricing!L38*2000</f>
        <v>1498528.400611904</v>
      </c>
      <c r="M125" s="106">
        <f>M114*pricing!M38*2000</f>
        <v>1102197.5222394867</v>
      </c>
      <c r="N125" s="106">
        <f>N114*pricing!N38*2000</f>
        <v>1110765.9558709199</v>
      </c>
      <c r="O125" s="106">
        <f>O114*pricing!O38*2000</f>
        <v>2247867.4939366276</v>
      </c>
    </row>
    <row r="126" spans="2:15" x14ac:dyDescent="0.2">
      <c r="C126" s="105" t="s">
        <v>132</v>
      </c>
      <c r="D126" s="106">
        <f>D115*pricing!D39*2000</f>
        <v>1357189.3425057649</v>
      </c>
      <c r="E126" s="106">
        <f>E115*pricing!E39*2000</f>
        <v>991028.2032251273</v>
      </c>
      <c r="F126" s="106">
        <f>F115*pricing!F39*2000</f>
        <v>1507237.8723685117</v>
      </c>
      <c r="G126" s="106">
        <f>G115*pricing!G39*2000</f>
        <v>1511244.6031738245</v>
      </c>
      <c r="H126" s="106">
        <f>H115*pricing!H39*2000</f>
        <v>3723748.4451954979</v>
      </c>
      <c r="I126" s="106">
        <f>I115*pricing!I39*2000</f>
        <v>1091513.7888466874</v>
      </c>
      <c r="J126" s="106">
        <f>J115*pricing!J39*2000</f>
        <v>1940807.6992617419</v>
      </c>
      <c r="K126" s="106">
        <f>K115*pricing!K39*2000</f>
        <v>1861841.2607548169</v>
      </c>
      <c r="L126" s="106">
        <f>L115*pricing!L39*2000</f>
        <v>1343484.6466642416</v>
      </c>
      <c r="M126" s="106">
        <f>M115*pricing!M39*2000</f>
        <v>1909745.6117578903</v>
      </c>
      <c r="N126" s="106">
        <f>N115*pricing!N39*2000</f>
        <v>989857.31425007363</v>
      </c>
      <c r="O126" s="106">
        <f>O115*pricing!O39*2000</f>
        <v>1086534.8372586456</v>
      </c>
    </row>
    <row r="127" spans="2:15" x14ac:dyDescent="0.2">
      <c r="C127" s="105" t="s">
        <v>278</v>
      </c>
      <c r="D127" s="106">
        <f>SUM(D$120:D$126)</f>
        <v>14495974.845975764</v>
      </c>
      <c r="E127" s="106">
        <f t="shared" ref="E127:O127" si="1">SUM(E$120:E$126)</f>
        <v>25863656.092189156</v>
      </c>
      <c r="F127" s="106">
        <f t="shared" si="1"/>
        <v>11147568.857295349</v>
      </c>
      <c r="G127" s="106">
        <f t="shared" si="1"/>
        <v>21469587.570327166</v>
      </c>
      <c r="H127" s="106">
        <f t="shared" si="1"/>
        <v>19151253.254120268</v>
      </c>
      <c r="I127" s="106">
        <f t="shared" si="1"/>
        <v>22630011.951131493</v>
      </c>
      <c r="J127" s="106">
        <f t="shared" si="1"/>
        <v>19690529.690716479</v>
      </c>
      <c r="K127" s="106">
        <f t="shared" si="1"/>
        <v>19094106.280578047</v>
      </c>
      <c r="L127" s="106">
        <f t="shared" si="1"/>
        <v>17836830.113026109</v>
      </c>
      <c r="M127" s="106">
        <f t="shared" si="1"/>
        <v>23226717.469138026</v>
      </c>
      <c r="N127" s="106">
        <f t="shared" si="1"/>
        <v>23790530.732155453</v>
      </c>
      <c r="O127" s="106">
        <f t="shared" si="1"/>
        <v>15929088.409894111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91699.199999999997</v>
      </c>
      <c r="E131" s="112">
        <f>SUM(M$6:M$19)+SUM(O$6:O$19)+SUM(Q$6:Q$19)+SUM(S$6:S$19)</f>
        <v>80205.600000000006</v>
      </c>
      <c r="F131" s="112">
        <f>SUM(U$6:U$19)+SUM(W$6:W$19)+SUM(Y$6:Y$19)+SUM(AA$6:AA$19)</f>
        <v>148515.6</v>
      </c>
      <c r="G131" s="112">
        <f>SUM(AC$6:AC$19)+SUM(AE$6:AE$19)+SUM(AG$6:AG$19)+SUM(AI$6:AI$19)</f>
        <v>812755.19999999984</v>
      </c>
      <c r="H131" s="112">
        <f>SUM(AK$6:AK$19)+SUM(AM$6:AM$19)+SUM(AO$6:AO$19)+SUM(AQ$6:AQ$19)</f>
        <v>114206.39999999999</v>
      </c>
      <c r="I131" s="112">
        <f>SUM(AS$6:AS$19)+SUM(AU$6:AU$19)+SUM(AW$6:AW$19)+SUM(AY$6:AY$19)</f>
        <v>282008.40000000002</v>
      </c>
      <c r="J131" s="112">
        <f>SUM(BA$6:BA$19)+SUM(BC$6:BC$19)+SUM(BE$6:BE$19)+SUM(BG$6:BG$19)</f>
        <v>118947.59999999999</v>
      </c>
      <c r="K131" s="112">
        <f>SUM(BI$6:BI$19)+SUM(BK$6:BK$19)+SUM(BM$6:BM$19)+SUM(BO$6:BO$19)</f>
        <v>196129.2</v>
      </c>
      <c r="L131" s="112">
        <f>SUM(BQ$6:BQ$19)+SUM(BS$6:BS$19)+SUM(BU$6:BU$19)+SUM(BW$6:BW$19)</f>
        <v>1079589.5999999999</v>
      </c>
      <c r="M131" s="112">
        <f>SUM(BY$6:BY$19)+SUM(CA$6:CA$19)+SUM(CC$6:CC$19)+SUM(CE$6:CE$19)</f>
        <v>98709.6</v>
      </c>
      <c r="N131" s="112">
        <f>SUM(CG$6:CG$19)+SUM(CI$6:CI$19)+SUM(CK$6:CK$19)+SUM(CM$6:CM$19)</f>
        <v>842140.79999999993</v>
      </c>
      <c r="O131" s="112">
        <f>SUM(CO$6:CO$19)+SUM(CQ$6:CQ$19)+SUM(CS$6:CS$19)+SUM(CU$6:CU$19)</f>
        <v>240168</v>
      </c>
    </row>
    <row r="132" spans="2:15" x14ac:dyDescent="0.2">
      <c r="C132" s="111" t="s">
        <v>127</v>
      </c>
      <c r="D132" s="112">
        <f>SUM(E$20:E$36)+SUM(G$20:G$36)+SUM(I$20:I$36)+SUM(K$20:K$36)</f>
        <v>98100</v>
      </c>
      <c r="E132" s="112">
        <f>SUM(M$20:M$36)+SUM(O$20:O$36)+SUM(Q$20:Q$36)+SUM(S$20:S$36)</f>
        <v>456424.8</v>
      </c>
      <c r="F132" s="112">
        <f>SUM(U$20:U$36)+SUM(W$20:W$36)+SUM(Y$20:Y$36)+SUM(AA$20:AA$36)</f>
        <v>105811.2</v>
      </c>
      <c r="G132" s="112">
        <f>SUM(AC$20:AC$36)+SUM(AE$20:AE$36)+SUM(AG$20:AG$36)+SUM(AI$20:AI$36)</f>
        <v>88899.6</v>
      </c>
      <c r="H132" s="112">
        <f>SUM(AK$20:AK$36)+SUM(AM$20:AM$36)+SUM(AO$20:AO$36)+SUM(AQ$20:AQ$36)</f>
        <v>294308.40000000002</v>
      </c>
      <c r="I132" s="112">
        <f>SUM(AS$20:AS$36)+SUM(AU$20:AU$36)+SUM(AW$20:AW$36)+SUM(AY$20:AY$36)</f>
        <v>777261.6</v>
      </c>
      <c r="J132" s="112">
        <f>SUM(BA$20:BA$36)+SUM(BC$20:BC$36)+SUM(BE$20:BE$36)+SUM(BG$20:BG$36)</f>
        <v>89368.8</v>
      </c>
      <c r="K132" s="112">
        <f>SUM(BI$20:BI$36)+SUM(BK$20:BK$36)+SUM(BM$20:BM$36)+SUM(BO$20:BO$36)</f>
        <v>366027.6</v>
      </c>
      <c r="L132" s="112">
        <f>SUM(BQ$20:BQ$36)+SUM(BS$20:BS$36)+SUM(BU$20:BU$36)+SUM(BW$20:BW$36)</f>
        <v>85202.4</v>
      </c>
      <c r="M132" s="112">
        <f>SUM(BY$20:BY$36)+SUM(CA$20:CA$36)+SUM(CC$20:CC$36)+SUM(CE$20:CE$36)</f>
        <v>621930</v>
      </c>
      <c r="N132" s="112">
        <f>SUM(CG$20:CG$36)+SUM(CI$20:CI$36)+SUM(CK$20:CK$36)+SUM(CM$20:CM$36)</f>
        <v>681067.19999999984</v>
      </c>
      <c r="O132" s="112">
        <f>SUM(CO$20:CO$36)+SUM(CQ$20:CQ$36)+SUM(CS$20:CS$36)+SUM(CU$20:CU$36)</f>
        <v>744569.99999999988</v>
      </c>
    </row>
    <row r="133" spans="2:15" x14ac:dyDescent="0.2">
      <c r="C133" s="111" t="s">
        <v>128</v>
      </c>
      <c r="D133" s="112">
        <f>SUM(E$37:E$48)+SUM(G$37:G$48)+SUM(I$37:I$48)+SUM(K$37:K$48)</f>
        <v>616696.80000000005</v>
      </c>
      <c r="E133" s="112">
        <f>SUM(M$37:M$48)+SUM(O$37:O$48)+SUM(Q$37:Q$48)+SUM(S$37:S$48)</f>
        <v>3812939.9999999995</v>
      </c>
      <c r="F133" s="112">
        <f>SUM(U$37:U$48)+SUM(W$37:W$48)+SUM(Y$37:Y$48)+SUM(AA$37:AA$48)</f>
        <v>239576.4</v>
      </c>
      <c r="G133" s="112">
        <f>SUM(AC$37:AC$48)+SUM(AE$37:AE$48)+SUM(AG$37:AG$48)+SUM(AI$37:AI$48)</f>
        <v>3273545.9999999995</v>
      </c>
      <c r="H133" s="112">
        <f>SUM(AK$37:AK$48)+SUM(AM$37:AM$48)+SUM(AO$37:AO$48)+SUM(AQ$37:AQ$48)</f>
        <v>2466457.2000000002</v>
      </c>
      <c r="I133" s="112">
        <f>SUM(AS$37:AS$48)+SUM(AU$37:AU$48)+SUM(AW$37:AW$48)+SUM(AY$37:AY$48)</f>
        <v>1131146.3999999999</v>
      </c>
      <c r="J133" s="112">
        <f>SUM(BA$37:BA$48)+SUM(BC$37:BC$48)+SUM(BE$37:BE$48)+SUM(BG$37:BG$48)</f>
        <v>308572.79999999999</v>
      </c>
      <c r="K133" s="112">
        <f>SUM(BI$37:BI$48)+SUM(BK$37:BK$48)+SUM(BM$37:BM$48)+SUM(BO$37:BO$48)</f>
        <v>3032200.8</v>
      </c>
      <c r="L133" s="112">
        <f>SUM(BQ$37:BQ$48)+SUM(BS$37:BS$48)+SUM(BU$37:BU$48)+SUM(BW$37:BW$48)</f>
        <v>1479951.6</v>
      </c>
      <c r="M133" s="112">
        <f>SUM(BY$37:BY$48)+SUM(CA$37:CA$48)+SUM(CC$37:CC$48)+SUM(CE$37:CE$48)</f>
        <v>477631.19999999995</v>
      </c>
      <c r="N133" s="112">
        <f>SUM(CG$37:CG$48)+SUM(CI$37:CI$48)+SUM(CK$37:CK$48)+SUM(CM$37:CM$48)</f>
        <v>218652</v>
      </c>
      <c r="O133" s="112">
        <f>SUM(CO$37:CO$48)+SUM(CQ$37:CQ$48)+SUM(CS$37:CS$48)+SUM(CU$37:CU$48)</f>
        <v>308853.59999999998</v>
      </c>
    </row>
    <row r="134" spans="2:15" x14ac:dyDescent="0.2">
      <c r="C134" s="111" t="s">
        <v>129</v>
      </c>
      <c r="D134" s="112">
        <f>SUM(E$49:E$70)+SUM(G$49:G$70)+SUM(I$49:I$70)+SUM(K$49:K$70)</f>
        <v>458309.99999999994</v>
      </c>
      <c r="E134" s="112">
        <f>SUM(M$49:M$70)+SUM(O$49:O$70)+SUM(Q$49:Q$70)+SUM(S$49:S$70)</f>
        <v>2548648.7999999998</v>
      </c>
      <c r="F134" s="112">
        <f>SUM(U$49:U$70)+SUM(W$49:W$70)+SUM(Y$49:Y$70)+SUM(AA$49:AA$70)</f>
        <v>265945.2</v>
      </c>
      <c r="G134" s="112">
        <f>SUM(AC$49:AC$70)+SUM(AE$49:AE$70)+SUM(AG$49:AG$70)+SUM(AI$49:AI$70)</f>
        <v>544453.19999999995</v>
      </c>
      <c r="H134" s="112">
        <f>SUM(AK$49:AK$70)+SUM(AM$49:AM$70)+SUM(AO$49:AO$70)+SUM(AQ$49:AQ$70)</f>
        <v>517647.59999999992</v>
      </c>
      <c r="I134" s="112">
        <f>SUM(AS$49:AS$70)+SUM(AU$49:AU$70)+SUM(AW$49:AW$70)+SUM(AY$49:AY$70)</f>
        <v>303518.39999999997</v>
      </c>
      <c r="J134" s="112">
        <f>SUM(BA$49:BA$70)+SUM(BC$49:BC$70)+SUM(BE$49:BE$70)+SUM(BG$49:BG$70)</f>
        <v>563112</v>
      </c>
      <c r="K134" s="112">
        <f>SUM(BI$49:BI$70)+SUM(BK$49:BK$70)+SUM(BM$49:BM$70)+SUM(BO$49:BO$70)</f>
        <v>352321.2</v>
      </c>
      <c r="L134" s="112">
        <f>SUM(BQ$49:BQ$70)+SUM(BS$49:BS$70)+SUM(BU$49:BU$70)+SUM(BW$49:BW$70)</f>
        <v>232899.60000000003</v>
      </c>
      <c r="M134" s="112">
        <f>SUM(BY$49:BY$70)+SUM(CA$49:CA$70)+SUM(CC$49:CC$70)+SUM(CE$49:CE$70)</f>
        <v>4171354.7999999993</v>
      </c>
      <c r="N134" s="112">
        <f>SUM(CG$49:CG$70)+SUM(CI$49:CI$70)+SUM(CK$49:CK$70)+SUM(CM$49:CM$70)</f>
        <v>1539272.4</v>
      </c>
      <c r="O134" s="112">
        <f>SUM(CO$49:CO$70)+SUM(CQ$49:CQ$70)+SUM(CS$49:CS$70)+SUM(CU$49:CU$70)</f>
        <v>239178.00000000003</v>
      </c>
    </row>
    <row r="135" spans="2:15" x14ac:dyDescent="0.2">
      <c r="C135" s="111" t="s">
        <v>130</v>
      </c>
      <c r="D135" s="112">
        <f>SUM(E$71:E$86)+SUM(G$71:G$86)+SUM(I$71:I$86)+SUM(K$71:K$86)</f>
        <v>688422</v>
      </c>
      <c r="E135" s="112">
        <f>SUM(M$71:M$86)+SUM(O$71:O$86)+SUM(Q$71:Q$86)+SUM(S$71:S$86)</f>
        <v>550281.6</v>
      </c>
      <c r="F135" s="112">
        <f>SUM(U$71:U$86)+SUM(W$71:W$86)+SUM(Y$71:Y$86)+SUM(AA$71:AA$86)</f>
        <v>225115.19999999998</v>
      </c>
      <c r="G135" s="112">
        <f>SUM(AC$71:AC$86)+SUM(AE$71:AE$86)+SUM(AG$71:AG$86)+SUM(AI$71:AI$86)</f>
        <v>308472</v>
      </c>
      <c r="H135" s="112">
        <f>SUM(AK$71:AK$86)+SUM(AM$71:AM$86)+SUM(AO$71:AO$86)+SUM(AQ$71:AQ$86)</f>
        <v>191592</v>
      </c>
      <c r="I135" s="112">
        <f>SUM(AS$71:AS$86)+SUM(AU$71:AU$86)+SUM(AW$71:AW$86)+SUM(AY$71:AY$86)</f>
        <v>1281295.1999999997</v>
      </c>
      <c r="J135" s="112">
        <f>SUM(BA$71:BA$86)+SUM(BC$71:BC$86)+SUM(BE$71:BE$86)+SUM(BG$71:BG$86)</f>
        <v>2006712</v>
      </c>
      <c r="K135" s="112">
        <f>SUM(BI$71:BI$86)+SUM(BK$71:BK$86)+SUM(BM$71:BM$86)+SUM(BO$71:BO$86)</f>
        <v>166518</v>
      </c>
      <c r="L135" s="112">
        <f>SUM(BQ$71:BQ$86)+SUM(BS$71:BS$86)+SUM(BU$71:BU$86)+SUM(BW$71:BW$86)</f>
        <v>143100</v>
      </c>
      <c r="M135" s="112">
        <f>SUM(BY$71:BY$86)+SUM(CA$71:CA$86)+SUM(CC$71:CC$86)+SUM(CE$71:CE$86)</f>
        <v>185763.6</v>
      </c>
      <c r="N135" s="112">
        <f>SUM(CG$71:CG$86)+SUM(CI$71:CI$86)+SUM(CK$71:CK$86)+SUM(CM$71:CM$86)</f>
        <v>1012045.2</v>
      </c>
      <c r="O135" s="112">
        <f>SUM(CO$71:CO$86)+SUM(CQ$71:CQ$86)+SUM(CS$71:CS$86)+SUM(CU$71:CU$86)</f>
        <v>117333.6</v>
      </c>
    </row>
    <row r="136" spans="2:15" x14ac:dyDescent="0.2">
      <c r="C136" s="111" t="s">
        <v>131</v>
      </c>
      <c r="D136" s="112">
        <f>SUM(E$87:E$94)+SUM(G$87:G$94)+SUM(I$87:I$94)+SUM(K$87:K$94)</f>
        <v>343949.99999999994</v>
      </c>
      <c r="E136" s="112">
        <f>SUM(M$87:M$94)+SUM(O$87:O$94)+SUM(Q$87:Q$94)+SUM(S$87:S$94)</f>
        <v>483820.79999999999</v>
      </c>
      <c r="F136" s="112">
        <f>SUM(U$87:U$94)+SUM(W$87:W$94)+SUM(Y$87:Y$94)+SUM(AA$87:AA$94)</f>
        <v>519929.99999999994</v>
      </c>
      <c r="G136" s="112">
        <f>SUM(AC$87:AC$94)+SUM(AE$87:AE$94)+SUM(AG$87:AG$94)+SUM(AI$87:AI$94)</f>
        <v>1062002.3999999999</v>
      </c>
      <c r="H136" s="112">
        <f>SUM(AK$87:AK$94)+SUM(AM$87:AM$94)+SUM(AO$87:AO$94)+SUM(AQ$87:AQ$94)</f>
        <v>203571.59999999998</v>
      </c>
      <c r="I136" s="112">
        <f>SUM(AS$87:AS$94)+SUM(AU$87:AU$94)+SUM(AW$87:AW$94)+SUM(AY$87:AY$94)</f>
        <v>2253819.5999999996</v>
      </c>
      <c r="J136" s="112">
        <f>SUM(BA$87:BA$94)+SUM(BC$87:BC$94)+SUM(BE$87:BE$94)+SUM(BG$87:BG$94)</f>
        <v>1991723.9999999998</v>
      </c>
      <c r="K136" s="112">
        <f>SUM(BI$87:BI$94)+SUM(BK$87:BK$94)+SUM(BM$87:BM$94)+SUM(BO$87:BO$94)</f>
        <v>263007.59999999998</v>
      </c>
      <c r="L136" s="112">
        <f>SUM(BQ$87:BQ$94)+SUM(BS$87:BS$94)+SUM(BU$87:BU$94)+SUM(BW$87:BW$94)</f>
        <v>871068</v>
      </c>
      <c r="M136" s="112">
        <f>SUM(BY$87:BY$94)+SUM(CA$87:CA$94)+SUM(CC$87:CC$94)+SUM(CE$87:CE$94)</f>
        <v>494751.6</v>
      </c>
      <c r="N136" s="112">
        <f>SUM(CG$87:CG$94)+SUM(CI$87:CI$94)+SUM(CK$87:CK$94)+SUM(CM$87:CM$94)</f>
        <v>513759.6</v>
      </c>
      <c r="O136" s="112">
        <f>SUM(CO$87:CO$94)+SUM(CQ$87:CQ$94)+SUM(CS$87:CS$94)+SUM(CU$87:CU$94)</f>
        <v>1574456.4</v>
      </c>
    </row>
    <row r="137" spans="2:15" x14ac:dyDescent="0.2">
      <c r="C137" s="111" t="s">
        <v>132</v>
      </c>
      <c r="D137" s="112">
        <f>SUM(E$95:E$105)+SUM(G$95:G$105)+SUM(I$95:I$105)+SUM(K$95:K$105)</f>
        <v>452091.6</v>
      </c>
      <c r="E137" s="112">
        <f>SUM(M$95:M$105)+SUM(O$95:O$105)+SUM(Q$95:Q$105)+SUM(S$95:S$105)</f>
        <v>274331.99999999994</v>
      </c>
      <c r="F137" s="112">
        <f>SUM(U$95:U$105)+SUM(W$95:W$105)+SUM(Y$95:Y$105)+SUM(AA$95:AA$105)</f>
        <v>637036.80000000005</v>
      </c>
      <c r="G137" s="112">
        <f>SUM(AC$95:AC$105)+SUM(AE$95:AE$105)+SUM(AG$95:AG$105)+SUM(AI$95:AI$105)</f>
        <v>531812.39999999991</v>
      </c>
      <c r="H137" s="112">
        <f>SUM(AK$95:AK$105)+SUM(AM$95:AM$105)+SUM(AO$95:AO$105)+SUM(AQ$95:AQ$105)</f>
        <v>2664807.5999999996</v>
      </c>
      <c r="I137" s="112">
        <f>SUM(AS$95:AS$105)+SUM(AU$95:AU$105)+SUM(AW$95:AW$105)+SUM(AY$95:AY$105)</f>
        <v>294109.19999999995</v>
      </c>
      <c r="J137" s="112">
        <f>SUM(BA$95:BA$105)+SUM(BC$95:BC$105)+SUM(BE$95:BE$105)+SUM(BG$95:BG$105)</f>
        <v>779976</v>
      </c>
      <c r="K137" s="112">
        <f>SUM(BI$95:BI$105)+SUM(BK$95:BK$105)+SUM(BM$95:BM$105)+SUM(BO$95:BO$105)</f>
        <v>811756.8</v>
      </c>
      <c r="L137" s="112">
        <f>SUM(BQ$95:BQ$105)+SUM(BS$95:BS$105)+SUM(BU$95:BU$105)+SUM(BW$95:BW$105)</f>
        <v>422082</v>
      </c>
      <c r="M137" s="112">
        <f>SUM(BY$95:BY$105)+SUM(CA$95:CA$105)+SUM(CC$95:CC$105)+SUM(CE$95:CE$105)</f>
        <v>890422.79999999993</v>
      </c>
      <c r="N137" s="112">
        <f>SUM(CG$95:CG$105)+SUM(CI$95:CI$105)+SUM(CK$95:CK$105)+SUM(CM$95:CM$105)</f>
        <v>270262.8</v>
      </c>
      <c r="O137" s="112">
        <f>SUM(CO$95:CO$105)+SUM(CQ$95:CQ$105)+SUM(CS$95:CS$105)+SUM(CU$95:CU$105)</f>
        <v>312789.59999999998</v>
      </c>
    </row>
    <row r="138" spans="2:15" x14ac:dyDescent="0.2">
      <c r="C138" s="111" t="s">
        <v>278</v>
      </c>
      <c r="D138" s="106">
        <f t="shared" ref="D138:O138" si="2">SUM(D$131:D$137)</f>
        <v>2749269.6</v>
      </c>
      <c r="E138" s="106">
        <f t="shared" si="2"/>
        <v>8206653.5999999987</v>
      </c>
      <c r="F138" s="106">
        <f t="shared" si="2"/>
        <v>2141930.4</v>
      </c>
      <c r="G138" s="106">
        <f t="shared" si="2"/>
        <v>6621940.7999999989</v>
      </c>
      <c r="H138" s="106">
        <f t="shared" si="2"/>
        <v>6452590.7999999998</v>
      </c>
      <c r="I138" s="106">
        <f t="shared" si="2"/>
        <v>6323158.7999999998</v>
      </c>
      <c r="J138" s="106">
        <f t="shared" si="2"/>
        <v>5858413.2000000002</v>
      </c>
      <c r="K138" s="106">
        <f t="shared" si="2"/>
        <v>5187961.1999999993</v>
      </c>
      <c r="L138" s="106">
        <f t="shared" si="2"/>
        <v>4313893.1999999993</v>
      </c>
      <c r="M138" s="106">
        <f t="shared" si="2"/>
        <v>6940563.5999999987</v>
      </c>
      <c r="N138" s="106">
        <f t="shared" si="2"/>
        <v>5077199.9999999991</v>
      </c>
      <c r="O138" s="106">
        <f t="shared" si="2"/>
        <v>3537349.1999999997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167</v>
      </c>
      <c r="B1" s="105" t="s">
        <v>168</v>
      </c>
      <c r="C1" s="105" t="s">
        <v>169</v>
      </c>
      <c r="D1" s="105" t="s">
        <v>170</v>
      </c>
      <c r="E1" s="105" t="s">
        <v>171</v>
      </c>
    </row>
    <row r="2" spans="1:5" x14ac:dyDescent="0.2">
      <c r="A2" s="105" t="s">
        <v>126</v>
      </c>
      <c r="B2" s="105" t="s">
        <v>172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173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174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175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176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177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178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179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180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181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182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183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184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185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186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187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188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189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190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191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192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193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194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195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196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197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198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199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200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201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202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203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204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205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206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207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208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209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210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211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212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213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214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215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216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217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218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219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220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221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222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223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224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225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226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227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228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229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230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231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232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233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234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235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236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237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238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239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240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241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242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243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244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245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246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247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248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249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250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251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252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253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254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255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256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257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258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259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260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261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262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263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264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265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266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267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268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269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270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271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9</vt:i4>
      </vt:variant>
    </vt:vector>
  </HeadingPairs>
  <TitlesOfParts>
    <vt:vector size="24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2016-10-10T15:41:43Z</dcterms:modified>
</cp:coreProperties>
</file>