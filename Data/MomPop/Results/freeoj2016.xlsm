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freeoj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18" r:id="rId6"/>
    <sheet name="grove" sheetId="17" r:id="rId7"/>
    <sheet name="P07" sheetId="16" r:id="rId8"/>
    <sheet name="S15" sheetId="15" r:id="rId9"/>
    <sheet name="S61" sheetId="14" r:id="rId10"/>
    <sheet name="ORA" sheetId="13" r:id="rId11"/>
    <sheet name="POJ" sheetId="12" r:id="rId12"/>
    <sheet name="ROJ" sheetId="11" r:id="rId13"/>
    <sheet name="FCOJ" sheetId="10" r:id="rId14"/>
    <sheet name="market" sheetId="9" r:id="rId1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18" l="1"/>
  <c r="S15" i="18"/>
  <c r="S14" i="18"/>
  <c r="H40" i="18"/>
  <c r="H39" i="18"/>
  <c r="H38" i="18"/>
  <c r="H35" i="18"/>
  <c r="S42" i="18" s="1"/>
  <c r="H34" i="18"/>
  <c r="S39" i="18" s="1"/>
  <c r="H33" i="18"/>
  <c r="S36" i="18" s="1"/>
  <c r="H30" i="18"/>
  <c r="H29" i="18"/>
  <c r="H28" i="18"/>
  <c r="S40" i="18" s="1"/>
  <c r="H27" i="18"/>
  <c r="S37" i="18" s="1"/>
  <c r="H24" i="18"/>
  <c r="H23" i="18"/>
  <c r="H15" i="18"/>
  <c r="H14" i="18"/>
  <c r="H13" i="18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T25" i="18"/>
  <c r="T19" i="18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18" s="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18" s="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S8" i="18" s="1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18" s="1"/>
  <c r="T32" i="18" s="1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 s="1"/>
  <c r="AY181" i="14"/>
  <c r="AY179" i="14"/>
  <c r="AY177" i="14"/>
  <c r="AY175" i="14"/>
  <c r="AY14" i="14"/>
  <c r="AX259" i="14" s="1"/>
  <c r="AX181" i="14"/>
  <c r="AX179" i="14"/>
  <c r="AX177" i="14"/>
  <c r="AX175" i="14"/>
  <c r="AX260" i="14" s="1"/>
  <c r="AX14" i="14"/>
  <c r="AW259" i="14" s="1"/>
  <c r="AW181" i="14"/>
  <c r="AW179" i="14"/>
  <c r="AW177" i="14"/>
  <c r="AW175" i="14"/>
  <c r="AV259" i="14"/>
  <c r="AW14" i="14"/>
  <c r="AV181" i="14"/>
  <c r="AV179" i="14"/>
  <c r="AV260" i="14" s="1"/>
  <c r="AV177" i="14"/>
  <c r="AV175" i="14"/>
  <c r="AU259" i="14"/>
  <c r="AV14" i="14"/>
  <c r="AU181" i="14"/>
  <c r="AU179" i="14"/>
  <c r="AU177" i="14"/>
  <c r="AU260" i="14" s="1"/>
  <c r="AU175" i="14"/>
  <c r="AU14" i="14"/>
  <c r="AT259" i="14" s="1"/>
  <c r="AT181" i="14"/>
  <c r="AT179" i="14"/>
  <c r="AT177" i="14"/>
  <c r="AT175" i="14"/>
  <c r="AT14" i="14"/>
  <c r="AS259" i="14" s="1"/>
  <c r="AS181" i="14"/>
  <c r="AS179" i="14"/>
  <c r="AS177" i="14"/>
  <c r="AS175" i="14"/>
  <c r="AS260" i="14" s="1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Q260" i="14" s="1"/>
  <c r="AQ14" i="14"/>
  <c r="AP259" i="14" s="1"/>
  <c r="AP181" i="14"/>
  <c r="AP179" i="14"/>
  <c r="AP177" i="14"/>
  <c r="AP175" i="14"/>
  <c r="AP260" i="14" s="1"/>
  <c r="AP14" i="14"/>
  <c r="AO259" i="14" s="1"/>
  <c r="AO181" i="14"/>
  <c r="AO179" i="14"/>
  <c r="AO177" i="14"/>
  <c r="AO175" i="14"/>
  <c r="AN259" i="14"/>
  <c r="AO14" i="14"/>
  <c r="AN181" i="14"/>
  <c r="AN179" i="14"/>
  <c r="AN260" i="14" s="1"/>
  <c r="AN177" i="14"/>
  <c r="AN175" i="14"/>
  <c r="AM259" i="14"/>
  <c r="AN14" i="14"/>
  <c r="AM181" i="14"/>
  <c r="AM179" i="14"/>
  <c r="AM177" i="14"/>
  <c r="AM260" i="14" s="1"/>
  <c r="AM175" i="14"/>
  <c r="AM14" i="14"/>
  <c r="AL259" i="14" s="1"/>
  <c r="AL181" i="14"/>
  <c r="AL179" i="14"/>
  <c r="AL177" i="14"/>
  <c r="AL175" i="14"/>
  <c r="AL14" i="14"/>
  <c r="AK259" i="14" s="1"/>
  <c r="AK181" i="14"/>
  <c r="AK179" i="14"/>
  <c r="AK177" i="14"/>
  <c r="AK175" i="14"/>
  <c r="AK260" i="14" s="1"/>
  <c r="AJ259" i="14"/>
  <c r="AK14" i="14"/>
  <c r="AJ181" i="14"/>
  <c r="AJ179" i="14"/>
  <c r="AJ177" i="14"/>
  <c r="AJ175" i="14"/>
  <c r="AJ14" i="14"/>
  <c r="AI259" i="14" s="1"/>
  <c r="AI181" i="14"/>
  <c r="AI179" i="14"/>
  <c r="AI177" i="14"/>
  <c r="AI175" i="14"/>
  <c r="AI260" i="14" s="1"/>
  <c r="AI14" i="14"/>
  <c r="AH259" i="14" s="1"/>
  <c r="AH181" i="14"/>
  <c r="AH179" i="14"/>
  <c r="AH177" i="14"/>
  <c r="AH175" i="14"/>
  <c r="AH260" i="14" s="1"/>
  <c r="AH14" i="14"/>
  <c r="AG259" i="14" s="1"/>
  <c r="AG181" i="14"/>
  <c r="AG179" i="14"/>
  <c r="AG177" i="14"/>
  <c r="AG175" i="14"/>
  <c r="AF259" i="14"/>
  <c r="AG14" i="14"/>
  <c r="AF181" i="14"/>
  <c r="AF179" i="14"/>
  <c r="AF260" i="14" s="1"/>
  <c r="AF177" i="14"/>
  <c r="AF175" i="14"/>
  <c r="AE259" i="14"/>
  <c r="AF14" i="14"/>
  <c r="AE181" i="14"/>
  <c r="AE179" i="14"/>
  <c r="AE177" i="14"/>
  <c r="AE260" i="14" s="1"/>
  <c r="AE175" i="14"/>
  <c r="AE14" i="14"/>
  <c r="AD259" i="14" s="1"/>
  <c r="AD181" i="14"/>
  <c r="AD179" i="14"/>
  <c r="AD177" i="14"/>
  <c r="AD175" i="14"/>
  <c r="AD14" i="14"/>
  <c r="AC259" i="14" s="1"/>
  <c r="AC181" i="14"/>
  <c r="AC179" i="14"/>
  <c r="AC177" i="14"/>
  <c r="AC175" i="14"/>
  <c r="AC260" i="14" s="1"/>
  <c r="AB259" i="14"/>
  <c r="AC14" i="14"/>
  <c r="AB181" i="14"/>
  <c r="AB179" i="14"/>
  <c r="AB177" i="14"/>
  <c r="AB175" i="14"/>
  <c r="AB14" i="14"/>
  <c r="AA259" i="14" s="1"/>
  <c r="AA181" i="14"/>
  <c r="AA179" i="14"/>
  <c r="AA177" i="14"/>
  <c r="AA175" i="14"/>
  <c r="AA260" i="14" s="1"/>
  <c r="AA14" i="14"/>
  <c r="Z259" i="14" s="1"/>
  <c r="Z181" i="14"/>
  <c r="Z179" i="14"/>
  <c r="Z177" i="14"/>
  <c r="Z175" i="14"/>
  <c r="Z260" i="14" s="1"/>
  <c r="Z14" i="14"/>
  <c r="Y259" i="14" s="1"/>
  <c r="Y181" i="14"/>
  <c r="Y179" i="14"/>
  <c r="Y177" i="14"/>
  <c r="Y175" i="14"/>
  <c r="Y260" i="14" s="1"/>
  <c r="X259" i="14"/>
  <c r="Y14" i="14"/>
  <c r="X181" i="14"/>
  <c r="X179" i="14"/>
  <c r="X260" i="14" s="1"/>
  <c r="X177" i="14"/>
  <c r="X175" i="14"/>
  <c r="W259" i="14"/>
  <c r="X14" i="14"/>
  <c r="W181" i="14"/>
  <c r="W179" i="14"/>
  <c r="W260" i="14" s="1"/>
  <c r="W177" i="14"/>
  <c r="W175" i="14"/>
  <c r="W14" i="14"/>
  <c r="V259" i="14" s="1"/>
  <c r="V181" i="14"/>
  <c r="V179" i="14"/>
  <c r="V177" i="14"/>
  <c r="V175" i="14"/>
  <c r="U260" i="14"/>
  <c r="V14" i="14"/>
  <c r="U259" i="14" s="1"/>
  <c r="U181" i="14"/>
  <c r="U179" i="14"/>
  <c r="U177" i="14"/>
  <c r="U175" i="14"/>
  <c r="T259" i="14"/>
  <c r="U14" i="14"/>
  <c r="T181" i="14"/>
  <c r="T179" i="14"/>
  <c r="T177" i="14"/>
  <c r="T175" i="14"/>
  <c r="S260" i="14"/>
  <c r="T14" i="14"/>
  <c r="S259" i="14" s="1"/>
  <c r="S181" i="14"/>
  <c r="S179" i="14"/>
  <c r="S177" i="14"/>
  <c r="S175" i="14"/>
  <c r="S14" i="14"/>
  <c r="R259" i="14" s="1"/>
  <c r="R181" i="14"/>
  <c r="R179" i="14"/>
  <c r="R177" i="14"/>
  <c r="R175" i="14"/>
  <c r="R260" i="14" s="1"/>
  <c r="R14" i="14"/>
  <c r="Q259" i="14" s="1"/>
  <c r="Q181" i="14"/>
  <c r="Q179" i="14"/>
  <c r="Q177" i="14"/>
  <c r="Q175" i="14"/>
  <c r="P259" i="14"/>
  <c r="Q14" i="14"/>
  <c r="P181" i="14"/>
  <c r="P179" i="14"/>
  <c r="P260" i="14" s="1"/>
  <c r="P177" i="14"/>
  <c r="P175" i="14"/>
  <c r="O259" i="14"/>
  <c r="P14" i="14"/>
  <c r="O181" i="14"/>
  <c r="O179" i="14"/>
  <c r="O177" i="14"/>
  <c r="O260" i="14" s="1"/>
  <c r="O175" i="14"/>
  <c r="O14" i="14"/>
  <c r="N259" i="14" s="1"/>
  <c r="N181" i="14"/>
  <c r="N179" i="14"/>
  <c r="N177" i="14"/>
  <c r="N175" i="14"/>
  <c r="N14" i="14"/>
  <c r="M259" i="14" s="1"/>
  <c r="M181" i="14"/>
  <c r="M179" i="14"/>
  <c r="M177" i="14"/>
  <c r="M175" i="14"/>
  <c r="M260" i="14" s="1"/>
  <c r="L259" i="14"/>
  <c r="M14" i="14"/>
  <c r="L181" i="14"/>
  <c r="L179" i="14"/>
  <c r="L177" i="14"/>
  <c r="L175" i="14"/>
  <c r="L14" i="14"/>
  <c r="K259" i="14" s="1"/>
  <c r="K181" i="14"/>
  <c r="K179" i="14"/>
  <c r="K177" i="14"/>
  <c r="K175" i="14"/>
  <c r="K260" i="14" s="1"/>
  <c r="K14" i="14"/>
  <c r="J259" i="14" s="1"/>
  <c r="J181" i="14"/>
  <c r="J179" i="14"/>
  <c r="J177" i="14"/>
  <c r="J175" i="14"/>
  <c r="J260" i="14" s="1"/>
  <c r="J14" i="14"/>
  <c r="I259" i="14" s="1"/>
  <c r="I181" i="14"/>
  <c r="I179" i="14"/>
  <c r="I177" i="14"/>
  <c r="I175" i="14"/>
  <c r="H259" i="14"/>
  <c r="I14" i="14"/>
  <c r="H181" i="14"/>
  <c r="H179" i="14"/>
  <c r="H260" i="14" s="1"/>
  <c r="H177" i="14"/>
  <c r="H175" i="14"/>
  <c r="G259" i="14"/>
  <c r="H14" i="14"/>
  <c r="G181" i="14"/>
  <c r="G179" i="14"/>
  <c r="G177" i="14"/>
  <c r="G260" i="14" s="1"/>
  <c r="G175" i="14"/>
  <c r="G14" i="14"/>
  <c r="F259" i="14" s="1"/>
  <c r="F181" i="14"/>
  <c r="F179" i="14"/>
  <c r="F177" i="14"/>
  <c r="F175" i="14"/>
  <c r="F14" i="14"/>
  <c r="E259" i="14" s="1"/>
  <c r="E181" i="14"/>
  <c r="E179" i="14"/>
  <c r="E177" i="14"/>
  <c r="E175" i="14"/>
  <c r="E260" i="14" s="1"/>
  <c r="D259" i="14"/>
  <c r="E14" i="14"/>
  <c r="D181" i="14"/>
  <c r="D179" i="14"/>
  <c r="D177" i="14"/>
  <c r="D175" i="14"/>
  <c r="AZ14" i="15"/>
  <c r="AY259" i="15" s="1"/>
  <c r="AY181" i="15"/>
  <c r="AY179" i="15"/>
  <c r="AY177" i="15"/>
  <c r="AY175" i="15"/>
  <c r="AY260" i="15" s="1"/>
  <c r="AY14" i="15"/>
  <c r="AX259" i="15" s="1"/>
  <c r="AX181" i="15"/>
  <c r="AX179" i="15"/>
  <c r="AX177" i="15"/>
  <c r="AX175" i="15"/>
  <c r="AX260" i="15" s="1"/>
  <c r="AX14" i="15"/>
  <c r="AW259" i="15" s="1"/>
  <c r="AW181" i="15"/>
  <c r="AW179" i="15"/>
  <c r="AW177" i="15"/>
  <c r="AW175" i="15"/>
  <c r="AV259" i="15"/>
  <c r="AW14" i="15"/>
  <c r="AV181" i="15"/>
  <c r="AV179" i="15"/>
  <c r="AV260" i="15" s="1"/>
  <c r="AV177" i="15"/>
  <c r="AV175" i="15"/>
  <c r="AU259" i="15"/>
  <c r="AV14" i="15"/>
  <c r="AU181" i="15"/>
  <c r="AU179" i="15"/>
  <c r="AU177" i="15"/>
  <c r="AU260" i="15" s="1"/>
  <c r="AU175" i="15"/>
  <c r="AU14" i="15"/>
  <c r="AT259" i="15" s="1"/>
  <c r="AT181" i="15"/>
  <c r="AT179" i="15"/>
  <c r="AT177" i="15"/>
  <c r="AT175" i="15"/>
  <c r="AT14" i="15"/>
  <c r="AS259" i="15" s="1"/>
  <c r="AS181" i="15"/>
  <c r="AS179" i="15"/>
  <c r="AS177" i="15"/>
  <c r="AS175" i="15"/>
  <c r="AS260" i="15" s="1"/>
  <c r="AR259" i="15"/>
  <c r="AS14" i="15"/>
  <c r="AR181" i="15"/>
  <c r="AR179" i="15"/>
  <c r="AR177" i="15"/>
  <c r="AR175" i="15"/>
  <c r="AR14" i="15"/>
  <c r="AQ259" i="15" s="1"/>
  <c r="AQ181" i="15"/>
  <c r="AQ179" i="15"/>
  <c r="AQ177" i="15"/>
  <c r="AQ175" i="15"/>
  <c r="AQ260" i="15" s="1"/>
  <c r="AQ14" i="15"/>
  <c r="AP259" i="15" s="1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O260" i="15" s="1"/>
  <c r="AN259" i="15"/>
  <c r="AO14" i="15"/>
  <c r="AN181" i="15"/>
  <c r="AN179" i="15"/>
  <c r="AN260" i="15" s="1"/>
  <c r="AN177" i="15"/>
  <c r="AN175" i="15"/>
  <c r="AM259" i="15"/>
  <c r="AN14" i="15"/>
  <c r="AM181" i="15"/>
  <c r="AM179" i="15"/>
  <c r="AM260" i="15" s="1"/>
  <c r="AM177" i="15"/>
  <c r="AM175" i="15"/>
  <c r="AM14" i="15"/>
  <c r="AL259" i="15" s="1"/>
  <c r="AL181" i="15"/>
  <c r="AL179" i="15"/>
  <c r="AL177" i="15"/>
  <c r="AL175" i="15"/>
  <c r="AK260" i="15"/>
  <c r="AL14" i="15"/>
  <c r="AK259" i="15" s="1"/>
  <c r="AK181" i="15"/>
  <c r="AK179" i="15"/>
  <c r="AK177" i="15"/>
  <c r="AK175" i="15"/>
  <c r="AJ259" i="15"/>
  <c r="AK14" i="15"/>
  <c r="AJ181" i="15"/>
  <c r="AJ179" i="15"/>
  <c r="AJ177" i="15"/>
  <c r="AJ175" i="15"/>
  <c r="AI260" i="15"/>
  <c r="AJ14" i="15"/>
  <c r="AI259" i="15" s="1"/>
  <c r="AI181" i="15"/>
  <c r="AI179" i="15"/>
  <c r="AI177" i="15"/>
  <c r="AI175" i="15"/>
  <c r="AI14" i="15"/>
  <c r="AH259" i="15" s="1"/>
  <c r="AH181" i="15"/>
  <c r="AH179" i="15"/>
  <c r="AH177" i="15"/>
  <c r="AH175" i="15"/>
  <c r="AH260" i="15" s="1"/>
  <c r="AH14" i="15"/>
  <c r="AG259" i="15" s="1"/>
  <c r="AG181" i="15"/>
  <c r="AG179" i="15"/>
  <c r="AG177" i="15"/>
  <c r="AG175" i="15"/>
  <c r="AF259" i="15"/>
  <c r="AG14" i="15"/>
  <c r="AF181" i="15"/>
  <c r="AF179" i="15"/>
  <c r="AF260" i="15" s="1"/>
  <c r="AF177" i="15"/>
  <c r="AF175" i="15"/>
  <c r="AE259" i="15"/>
  <c r="AF14" i="15"/>
  <c r="AE181" i="15"/>
  <c r="AE179" i="15"/>
  <c r="AE177" i="15"/>
  <c r="AE260" i="15" s="1"/>
  <c r="AE175" i="15"/>
  <c r="AE14" i="15"/>
  <c r="AD259" i="15" s="1"/>
  <c r="AD181" i="15"/>
  <c r="AD179" i="15"/>
  <c r="AD177" i="15"/>
  <c r="AD175" i="15"/>
  <c r="AD14" i="15"/>
  <c r="AC259" i="15" s="1"/>
  <c r="AC181" i="15"/>
  <c r="AC179" i="15"/>
  <c r="AC177" i="15"/>
  <c r="AC175" i="15"/>
  <c r="AC260" i="15" s="1"/>
  <c r="AB259" i="15"/>
  <c r="AC14" i="15"/>
  <c r="AB181" i="15"/>
  <c r="AB179" i="15"/>
  <c r="AB177" i="15"/>
  <c r="AB175" i="15"/>
  <c r="AB14" i="15"/>
  <c r="AA259" i="15" s="1"/>
  <c r="AA181" i="15"/>
  <c r="AA179" i="15"/>
  <c r="AA177" i="15"/>
  <c r="AA175" i="15"/>
  <c r="AA260" i="15" s="1"/>
  <c r="AA14" i="15"/>
  <c r="Z259" i="15" s="1"/>
  <c r="Z181" i="15"/>
  <c r="Z179" i="15"/>
  <c r="Z177" i="15"/>
  <c r="Z175" i="15"/>
  <c r="Z260" i="15" s="1"/>
  <c r="Z14" i="15"/>
  <c r="Y259" i="15" s="1"/>
  <c r="Y181" i="15"/>
  <c r="Y179" i="15"/>
  <c r="Y177" i="15"/>
  <c r="Y175" i="15"/>
  <c r="X259" i="15"/>
  <c r="Y14" i="15"/>
  <c r="X181" i="15"/>
  <c r="X179" i="15"/>
  <c r="X260" i="15" s="1"/>
  <c r="X177" i="15"/>
  <c r="X175" i="15"/>
  <c r="W259" i="15"/>
  <c r="X14" i="15"/>
  <c r="W181" i="15"/>
  <c r="W179" i="15"/>
  <c r="W177" i="15"/>
  <c r="W260" i="15" s="1"/>
  <c r="W175" i="15"/>
  <c r="W14" i="15"/>
  <c r="V259" i="15" s="1"/>
  <c r="V181" i="15"/>
  <c r="V179" i="15"/>
  <c r="V177" i="15"/>
  <c r="V175" i="15"/>
  <c r="V14" i="15"/>
  <c r="U259" i="15" s="1"/>
  <c r="U181" i="15"/>
  <c r="U179" i="15"/>
  <c r="U177" i="15"/>
  <c r="U175" i="15"/>
  <c r="U260" i="15" s="1"/>
  <c r="T259" i="15"/>
  <c r="U14" i="15"/>
  <c r="T181" i="15"/>
  <c r="T179" i="15"/>
  <c r="T177" i="15"/>
  <c r="T175" i="15"/>
  <c r="T14" i="15"/>
  <c r="S259" i="15" s="1"/>
  <c r="S181" i="15"/>
  <c r="S179" i="15"/>
  <c r="S177" i="15"/>
  <c r="S175" i="15"/>
  <c r="S260" i="15" s="1"/>
  <c r="S14" i="15"/>
  <c r="R259" i="15" s="1"/>
  <c r="R181" i="15"/>
  <c r="R179" i="15"/>
  <c r="R177" i="15"/>
  <c r="R175" i="15"/>
  <c r="R260" i="15" s="1"/>
  <c r="R14" i="15"/>
  <c r="Q259" i="15" s="1"/>
  <c r="Q181" i="15"/>
  <c r="Q179" i="15"/>
  <c r="Q177" i="15"/>
  <c r="Q175" i="15"/>
  <c r="P259" i="15"/>
  <c r="Q14" i="15"/>
  <c r="P181" i="15"/>
  <c r="P179" i="15"/>
  <c r="P260" i="15" s="1"/>
  <c r="P177" i="15"/>
  <c r="P175" i="15"/>
  <c r="O259" i="15"/>
  <c r="P14" i="15"/>
  <c r="O181" i="15"/>
  <c r="O179" i="15"/>
  <c r="O177" i="15"/>
  <c r="O260" i="15" s="1"/>
  <c r="O175" i="15"/>
  <c r="O14" i="15"/>
  <c r="N259" i="15" s="1"/>
  <c r="N181" i="15"/>
  <c r="N179" i="15"/>
  <c r="N177" i="15"/>
  <c r="N175" i="15"/>
  <c r="N14" i="15"/>
  <c r="M259" i="15" s="1"/>
  <c r="M181" i="15"/>
  <c r="M179" i="15"/>
  <c r="M177" i="15"/>
  <c r="M175" i="15"/>
  <c r="M260" i="15" s="1"/>
  <c r="L259" i="15"/>
  <c r="M14" i="15"/>
  <c r="L181" i="15"/>
  <c r="L179" i="15"/>
  <c r="L177" i="15"/>
  <c r="L175" i="15"/>
  <c r="L14" i="15"/>
  <c r="K259" i="15" s="1"/>
  <c r="K181" i="15"/>
  <c r="K179" i="15"/>
  <c r="K177" i="15"/>
  <c r="K175" i="15"/>
  <c r="K260" i="15" s="1"/>
  <c r="K14" i="15"/>
  <c r="J259" i="15" s="1"/>
  <c r="J181" i="15"/>
  <c r="J179" i="15"/>
  <c r="J177" i="15"/>
  <c r="J175" i="15"/>
  <c r="J260" i="15" s="1"/>
  <c r="J14" i="15"/>
  <c r="I259" i="15" s="1"/>
  <c r="I181" i="15"/>
  <c r="I179" i="15"/>
  <c r="I177" i="15"/>
  <c r="I175" i="15"/>
  <c r="I260" i="15" s="1"/>
  <c r="H259" i="15"/>
  <c r="I14" i="15"/>
  <c r="H181" i="15"/>
  <c r="H179" i="15"/>
  <c r="H260" i="15" s="1"/>
  <c r="H177" i="15"/>
  <c r="H175" i="15"/>
  <c r="G259" i="15"/>
  <c r="H14" i="15"/>
  <c r="G181" i="15"/>
  <c r="G179" i="15"/>
  <c r="G260" i="15" s="1"/>
  <c r="G177" i="15"/>
  <c r="G175" i="15"/>
  <c r="G14" i="15"/>
  <c r="F259" i="15" s="1"/>
  <c r="F181" i="15"/>
  <c r="F179" i="15"/>
  <c r="F177" i="15"/>
  <c r="F175" i="15"/>
  <c r="E260" i="15"/>
  <c r="F14" i="15"/>
  <c r="E259" i="15" s="1"/>
  <c r="E181" i="15"/>
  <c r="E179" i="15"/>
  <c r="E177" i="15"/>
  <c r="E175" i="15"/>
  <c r="D259" i="15"/>
  <c r="E14" i="15"/>
  <c r="D181" i="15"/>
  <c r="D179" i="15"/>
  <c r="D177" i="15"/>
  <c r="D175" i="15"/>
  <c r="AY14" i="16"/>
  <c r="AY10" i="16" s="1"/>
  <c r="AY13" i="16" s="1"/>
  <c r="AY15" i="16"/>
  <c r="AY16" i="16"/>
  <c r="AY17" i="16"/>
  <c r="AY29" i="16"/>
  <c r="AX14" i="16"/>
  <c r="AX15" i="16"/>
  <c r="AX10" i="16" s="1"/>
  <c r="AX13" i="16" s="1"/>
  <c r="AX16" i="16"/>
  <c r="AX17" i="16"/>
  <c r="AX29" i="16"/>
  <c r="AW14" i="16"/>
  <c r="AW15" i="16"/>
  <c r="AW16" i="16"/>
  <c r="AW10" i="16" s="1"/>
  <c r="AW13" i="16" s="1"/>
  <c r="AW17" i="16"/>
  <c r="AW29" i="16"/>
  <c r="AV14" i="16"/>
  <c r="AV15" i="16"/>
  <c r="AV16" i="16"/>
  <c r="AV10" i="16"/>
  <c r="AV13" i="16" s="1"/>
  <c r="AW21" i="16" s="1"/>
  <c r="AV17" i="16"/>
  <c r="AV29" i="16"/>
  <c r="AU14" i="16"/>
  <c r="AU15" i="16"/>
  <c r="AU16" i="16"/>
  <c r="AU17" i="16"/>
  <c r="AU29" i="16"/>
  <c r="AT17" i="16"/>
  <c r="AT21" i="16"/>
  <c r="AT23" i="16" s="1"/>
  <c r="AT22" i="16"/>
  <c r="AT29" i="16"/>
  <c r="AT33" i="16"/>
  <c r="AT44" i="16"/>
  <c r="AT45" i="16"/>
  <c r="AT51" i="16" s="1"/>
  <c r="AS14" i="16"/>
  <c r="AS15" i="16"/>
  <c r="AT16" i="16" s="1"/>
  <c r="AS16" i="16"/>
  <c r="AS17" i="16"/>
  <c r="AS29" i="16"/>
  <c r="AR14" i="16"/>
  <c r="AR15" i="16"/>
  <c r="AR16" i="16"/>
  <c r="AR17" i="16"/>
  <c r="AR29" i="16"/>
  <c r="AQ14" i="16"/>
  <c r="AQ15" i="16"/>
  <c r="AQ16" i="16"/>
  <c r="AQ10" i="16"/>
  <c r="AQ13" i="16" s="1"/>
  <c r="AQ17" i="16"/>
  <c r="AQ29" i="16"/>
  <c r="AP14" i="16"/>
  <c r="AP15" i="16"/>
  <c r="AP16" i="16"/>
  <c r="AP17" i="16"/>
  <c r="AP29" i="16"/>
  <c r="AO14" i="16"/>
  <c r="AO15" i="16"/>
  <c r="AO16" i="16"/>
  <c r="AO10" i="16"/>
  <c r="AO13" i="16" s="1"/>
  <c r="AO17" i="16"/>
  <c r="AO29" i="16"/>
  <c r="AN14" i="16"/>
  <c r="AN15" i="16"/>
  <c r="AN16" i="16"/>
  <c r="AN17" i="16"/>
  <c r="AN29" i="16"/>
  <c r="AM14" i="16"/>
  <c r="AM15" i="16"/>
  <c r="AM16" i="16"/>
  <c r="AM17" i="16"/>
  <c r="AM29" i="16"/>
  <c r="AL14" i="16"/>
  <c r="AL10" i="16" s="1"/>
  <c r="AL13" i="16" s="1"/>
  <c r="AL15" i="16"/>
  <c r="AL16" i="16"/>
  <c r="AL17" i="16"/>
  <c r="AL29" i="16"/>
  <c r="AK14" i="16"/>
  <c r="AK10" i="16" s="1"/>
  <c r="AK13" i="16" s="1"/>
  <c r="AK15" i="16"/>
  <c r="AK16" i="16"/>
  <c r="AK17" i="16"/>
  <c r="AK29" i="16"/>
  <c r="AJ14" i="16"/>
  <c r="AJ15" i="16"/>
  <c r="AJ16" i="16"/>
  <c r="AJ17" i="16"/>
  <c r="AJ29" i="16"/>
  <c r="AI14" i="16"/>
  <c r="AI15" i="16"/>
  <c r="AI16" i="16"/>
  <c r="AI10" i="16"/>
  <c r="AI13" i="16" s="1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6" i="16"/>
  <c r="AG10" i="16"/>
  <c r="AG13" i="16" s="1"/>
  <c r="AG17" i="16"/>
  <c r="AG29" i="16"/>
  <c r="AF14" i="16"/>
  <c r="AF15" i="16"/>
  <c r="AF16" i="16"/>
  <c r="AF17" i="16"/>
  <c r="AF29" i="16"/>
  <c r="AE14" i="16"/>
  <c r="AE15" i="16"/>
  <c r="AE16" i="16"/>
  <c r="AE17" i="16"/>
  <c r="AE29" i="16"/>
  <c r="AD14" i="16"/>
  <c r="AD15" i="16"/>
  <c r="AD16" i="16"/>
  <c r="AD10" i="16"/>
  <c r="AD13" i="16" s="1"/>
  <c r="AD17" i="16"/>
  <c r="AD29" i="16"/>
  <c r="AC14" i="16"/>
  <c r="AC15" i="16"/>
  <c r="AC16" i="16"/>
  <c r="AC17" i="16"/>
  <c r="AC29" i="16"/>
  <c r="AB14" i="16"/>
  <c r="AB15" i="16"/>
  <c r="AB16" i="16"/>
  <c r="AB17" i="16"/>
  <c r="AB29" i="16"/>
  <c r="AA14" i="16"/>
  <c r="AA15" i="16"/>
  <c r="AA16" i="16"/>
  <c r="AA10" i="16"/>
  <c r="AA13" i="16" s="1"/>
  <c r="AA17" i="16"/>
  <c r="AA29" i="16"/>
  <c r="Z14" i="16"/>
  <c r="Z15" i="16"/>
  <c r="Z16" i="16"/>
  <c r="Z17" i="16"/>
  <c r="Z29" i="16"/>
  <c r="Y14" i="16"/>
  <c r="Y15" i="16"/>
  <c r="Y16" i="16"/>
  <c r="Y10" i="16"/>
  <c r="Y13" i="16" s="1"/>
  <c r="Y17" i="16"/>
  <c r="Y29" i="16"/>
  <c r="X14" i="16"/>
  <c r="X15" i="16"/>
  <c r="X16" i="16"/>
  <c r="X17" i="16"/>
  <c r="X29" i="16"/>
  <c r="W14" i="16"/>
  <c r="W10" i="16" s="1"/>
  <c r="W13" i="16" s="1"/>
  <c r="W15" i="16"/>
  <c r="W16" i="16"/>
  <c r="W17" i="16"/>
  <c r="W29" i="16"/>
  <c r="V14" i="16"/>
  <c r="V15" i="16"/>
  <c r="V16" i="16"/>
  <c r="V17" i="16"/>
  <c r="V29" i="16"/>
  <c r="U14" i="16"/>
  <c r="U15" i="16"/>
  <c r="U16" i="16"/>
  <c r="U10" i="16"/>
  <c r="U13" i="16" s="1"/>
  <c r="U17" i="16"/>
  <c r="U29" i="16"/>
  <c r="T14" i="16"/>
  <c r="T10" i="16" s="1"/>
  <c r="T13" i="16" s="1"/>
  <c r="T15" i="16"/>
  <c r="T16" i="16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7" i="16"/>
  <c r="R29" i="16"/>
  <c r="Q14" i="16"/>
  <c r="Q15" i="16"/>
  <c r="Q16" i="16"/>
  <c r="Q10" i="16"/>
  <c r="Q13" i="16" s="1"/>
  <c r="Q17" i="16"/>
  <c r="Q29" i="16"/>
  <c r="P14" i="16"/>
  <c r="P10" i="16" s="1"/>
  <c r="P13" i="16" s="1"/>
  <c r="P15" i="16"/>
  <c r="P16" i="16"/>
  <c r="P17" i="16"/>
  <c r="P29" i="16"/>
  <c r="O14" i="16"/>
  <c r="O10" i="16" s="1"/>
  <c r="O13" i="16" s="1"/>
  <c r="O15" i="16"/>
  <c r="O16" i="16"/>
  <c r="O17" i="16"/>
  <c r="O29" i="16"/>
  <c r="N14" i="16"/>
  <c r="N10" i="16" s="1"/>
  <c r="N13" i="16" s="1"/>
  <c r="N15" i="16"/>
  <c r="N16" i="16"/>
  <c r="N17" i="16"/>
  <c r="N29" i="16"/>
  <c r="M14" i="16"/>
  <c r="M15" i="16"/>
  <c r="M10" i="16" s="1"/>
  <c r="M13" i="16" s="1"/>
  <c r="M16" i="16"/>
  <c r="M17" i="16"/>
  <c r="M29" i="16"/>
  <c r="L14" i="16"/>
  <c r="L15" i="16"/>
  <c r="L16" i="16"/>
  <c r="L10" i="16"/>
  <c r="L13" i="16" s="1"/>
  <c r="L17" i="16"/>
  <c r="L29" i="16"/>
  <c r="K14" i="16"/>
  <c r="K10" i="16" s="1"/>
  <c r="K13" i="16" s="1"/>
  <c r="K15" i="16"/>
  <c r="K16" i="16"/>
  <c r="K17" i="16"/>
  <c r="K29" i="16"/>
  <c r="J14" i="16"/>
  <c r="J15" i="16"/>
  <c r="J16" i="16"/>
  <c r="J17" i="16"/>
  <c r="J29" i="16"/>
  <c r="I14" i="16"/>
  <c r="I15" i="16"/>
  <c r="I16" i="16"/>
  <c r="I10" i="16"/>
  <c r="I13" i="16" s="1"/>
  <c r="I17" i="16"/>
  <c r="I29" i="16"/>
  <c r="H14" i="16"/>
  <c r="H10" i="16" s="1"/>
  <c r="H13" i="16" s="1"/>
  <c r="H15" i="16"/>
  <c r="H16" i="16"/>
  <c r="H17" i="16"/>
  <c r="H29" i="16"/>
  <c r="G14" i="16"/>
  <c r="G10" i="16" s="1"/>
  <c r="G13" i="16" s="1"/>
  <c r="G15" i="16"/>
  <c r="G16" i="16"/>
  <c r="G17" i="16"/>
  <c r="G29" i="16"/>
  <c r="F14" i="16"/>
  <c r="F10" i="16" s="1"/>
  <c r="F13" i="16" s="1"/>
  <c r="F15" i="16"/>
  <c r="F16" i="16"/>
  <c r="F17" i="16"/>
  <c r="F29" i="16"/>
  <c r="E14" i="16"/>
  <c r="E15" i="16"/>
  <c r="E10" i="16" s="1"/>
  <c r="E13" i="16" s="1"/>
  <c r="E16" i="16"/>
  <c r="E17" i="16"/>
  <c r="AZ17" i="16" s="1"/>
  <c r="E29" i="16"/>
  <c r="D14" i="16"/>
  <c r="D15" i="16"/>
  <c r="D16" i="16"/>
  <c r="D10" i="16"/>
  <c r="D17" i="16"/>
  <c r="D27" i="16"/>
  <c r="D29" i="16"/>
  <c r="E27" i="16" s="1"/>
  <c r="D30" i="16"/>
  <c r="B21" i="16"/>
  <c r="D21" i="16" s="1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AE121" i="17"/>
  <c r="AF121" i="17"/>
  <c r="AG121" i="17"/>
  <c r="AH121" i="17"/>
  <c r="AI121" i="17"/>
  <c r="AJ121" i="17"/>
  <c r="AK121" i="17"/>
  <c r="AL121" i="17"/>
  <c r="AM121" i="17"/>
  <c r="AN121" i="17"/>
  <c r="AO121" i="17"/>
  <c r="AP121" i="17"/>
  <c r="AQ121" i="17"/>
  <c r="AR121" i="17"/>
  <c r="AS121" i="17"/>
  <c r="AT121" i="17"/>
  <c r="AU121" i="17"/>
  <c r="AV121" i="17"/>
  <c r="AW121" i="17"/>
  <c r="AX121" i="17"/>
  <c r="C121" i="17"/>
  <c r="D117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AE117" i="17"/>
  <c r="AF117" i="17"/>
  <c r="AG117" i="17"/>
  <c r="AH117" i="17"/>
  <c r="AI117" i="17"/>
  <c r="AJ117" i="17"/>
  <c r="AK117" i="17"/>
  <c r="AL117" i="17"/>
  <c r="AM117" i="17"/>
  <c r="AN117" i="17"/>
  <c r="AO117" i="17"/>
  <c r="AP117" i="17"/>
  <c r="AQ117" i="17"/>
  <c r="AR117" i="17"/>
  <c r="AS117" i="17"/>
  <c r="AT117" i="17"/>
  <c r="AU117" i="17"/>
  <c r="AV117" i="17"/>
  <c r="AW117" i="17"/>
  <c r="AX117" i="17"/>
  <c r="C117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AE113" i="17"/>
  <c r="AF113" i="17"/>
  <c r="AG113" i="17"/>
  <c r="AH113" i="17"/>
  <c r="AI113" i="17"/>
  <c r="AJ113" i="17"/>
  <c r="AK113" i="17"/>
  <c r="AL113" i="17"/>
  <c r="AM113" i="17"/>
  <c r="AN113" i="17"/>
  <c r="AO113" i="17"/>
  <c r="AP113" i="17"/>
  <c r="AQ113" i="17"/>
  <c r="AR113" i="17"/>
  <c r="AS113" i="17"/>
  <c r="AT113" i="17"/>
  <c r="AU113" i="17"/>
  <c r="AV113" i="17"/>
  <c r="AW113" i="17"/>
  <c r="AX113" i="17"/>
  <c r="C113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AE109" i="17"/>
  <c r="AF109" i="17"/>
  <c r="AG109" i="17"/>
  <c r="AH109" i="17"/>
  <c r="AI109" i="17"/>
  <c r="AJ109" i="17"/>
  <c r="AK109" i="17"/>
  <c r="AL109" i="17"/>
  <c r="AM109" i="17"/>
  <c r="AN109" i="17"/>
  <c r="AO109" i="17"/>
  <c r="AP109" i="17"/>
  <c r="AQ109" i="17"/>
  <c r="AR109" i="17"/>
  <c r="AS109" i="17"/>
  <c r="AT109" i="17"/>
  <c r="AU109" i="17"/>
  <c r="AV109" i="17"/>
  <c r="AW109" i="17"/>
  <c r="AX109" i="17"/>
  <c r="C109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AE105" i="17"/>
  <c r="AF105" i="17"/>
  <c r="AG105" i="17"/>
  <c r="AH105" i="17"/>
  <c r="AI105" i="17"/>
  <c r="AJ105" i="17"/>
  <c r="AK105" i="17"/>
  <c r="AL105" i="17"/>
  <c r="AM105" i="17"/>
  <c r="AN105" i="17"/>
  <c r="AO105" i="17"/>
  <c r="AP105" i="17"/>
  <c r="AQ105" i="17"/>
  <c r="AR105" i="17"/>
  <c r="AS105" i="17"/>
  <c r="AT105" i="17"/>
  <c r="AU105" i="17"/>
  <c r="AV105" i="17"/>
  <c r="AW105" i="17"/>
  <c r="AX105" i="17"/>
  <c r="C105" i="17"/>
  <c r="D101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AE101" i="17"/>
  <c r="AF101" i="17"/>
  <c r="AG101" i="17"/>
  <c r="AH101" i="17"/>
  <c r="AI101" i="17"/>
  <c r="AJ101" i="17"/>
  <c r="AK101" i="17"/>
  <c r="AL101" i="17"/>
  <c r="AM101" i="17"/>
  <c r="AN101" i="17"/>
  <c r="AO101" i="17"/>
  <c r="AP101" i="17"/>
  <c r="AQ101" i="17"/>
  <c r="AR101" i="17"/>
  <c r="AS101" i="17"/>
  <c r="AT101" i="17"/>
  <c r="AU101" i="17"/>
  <c r="AV101" i="17"/>
  <c r="AW101" i="17"/>
  <c r="AX101" i="17"/>
  <c r="C101" i="17"/>
  <c r="C88" i="17"/>
  <c r="D88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AJ88" i="17"/>
  <c r="AK88" i="17"/>
  <c r="AL88" i="17"/>
  <c r="AM88" i="17"/>
  <c r="AN88" i="17"/>
  <c r="AO88" i="17"/>
  <c r="AP88" i="17"/>
  <c r="AQ88" i="17"/>
  <c r="AR88" i="17"/>
  <c r="AS88" i="17"/>
  <c r="AT88" i="17"/>
  <c r="AU88" i="17"/>
  <c r="AV88" i="17"/>
  <c r="AW88" i="17"/>
  <c r="AX88" i="17"/>
  <c r="C89" i="17"/>
  <c r="D89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AJ89" i="17"/>
  <c r="AK89" i="17"/>
  <c r="AL89" i="17"/>
  <c r="AM89" i="17"/>
  <c r="AN89" i="17"/>
  <c r="AO89" i="17"/>
  <c r="AP89" i="17"/>
  <c r="AQ89" i="17"/>
  <c r="AR89" i="17"/>
  <c r="AS89" i="17"/>
  <c r="AT89" i="17"/>
  <c r="AU89" i="17"/>
  <c r="AV89" i="17"/>
  <c r="AW89" i="17"/>
  <c r="AX89" i="17"/>
  <c r="C90" i="17"/>
  <c r="D90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AJ90" i="17"/>
  <c r="AK90" i="17"/>
  <c r="AL90" i="17"/>
  <c r="AM90" i="17"/>
  <c r="AN90" i="17"/>
  <c r="AO90" i="17"/>
  <c r="AP90" i="17"/>
  <c r="AQ90" i="17"/>
  <c r="AR90" i="17"/>
  <c r="AS90" i="17"/>
  <c r="AT90" i="17"/>
  <c r="AU90" i="17"/>
  <c r="AV90" i="17"/>
  <c r="AW90" i="17"/>
  <c r="AX90" i="17"/>
  <c r="C91" i="17"/>
  <c r="D91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AJ91" i="17"/>
  <c r="AK91" i="17"/>
  <c r="AL91" i="17"/>
  <c r="AM91" i="17"/>
  <c r="AN91" i="17"/>
  <c r="AO91" i="17"/>
  <c r="AP91" i="17"/>
  <c r="AQ91" i="17"/>
  <c r="AR91" i="17"/>
  <c r="AS91" i="17"/>
  <c r="AT91" i="17"/>
  <c r="AU91" i="17"/>
  <c r="AV91" i="17"/>
  <c r="AW91" i="17"/>
  <c r="AX91" i="17"/>
  <c r="C92" i="17"/>
  <c r="D92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AJ92" i="17"/>
  <c r="AK92" i="17"/>
  <c r="AL92" i="17"/>
  <c r="AM92" i="17"/>
  <c r="AN92" i="17"/>
  <c r="AO92" i="17"/>
  <c r="AP92" i="17"/>
  <c r="AQ92" i="17"/>
  <c r="AR92" i="17"/>
  <c r="AS92" i="17"/>
  <c r="AT92" i="17"/>
  <c r="AU92" i="17"/>
  <c r="AV92" i="17"/>
  <c r="AW92" i="17"/>
  <c r="AX92" i="17"/>
  <c r="C93" i="17"/>
  <c r="D93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AJ93" i="17"/>
  <c r="AK93" i="17"/>
  <c r="AL93" i="17"/>
  <c r="AM93" i="17"/>
  <c r="AN93" i="17"/>
  <c r="AO93" i="17"/>
  <c r="AP93" i="17"/>
  <c r="AQ93" i="17"/>
  <c r="AR93" i="17"/>
  <c r="AS93" i="17"/>
  <c r="AT93" i="17"/>
  <c r="AU93" i="17"/>
  <c r="AV93" i="17"/>
  <c r="AW93" i="17"/>
  <c r="AX93" i="17"/>
  <c r="C19" i="17"/>
  <c r="C28" i="17" s="1"/>
  <c r="D19" i="17"/>
  <c r="D28" i="17" s="1"/>
  <c r="E19" i="17"/>
  <c r="E28" i="17" s="1"/>
  <c r="F19" i="17"/>
  <c r="F28" i="17" s="1"/>
  <c r="G19" i="17"/>
  <c r="G28" i="17" s="1"/>
  <c r="H19" i="17"/>
  <c r="H28" i="17" s="1"/>
  <c r="I19" i="17"/>
  <c r="I28" i="17" s="1"/>
  <c r="J19" i="17"/>
  <c r="J28" i="17" s="1"/>
  <c r="K19" i="17"/>
  <c r="K28" i="17" s="1"/>
  <c r="L19" i="17"/>
  <c r="L28" i="17" s="1"/>
  <c r="M19" i="17"/>
  <c r="M28" i="17" s="1"/>
  <c r="N19" i="17"/>
  <c r="N28" i="17" s="1"/>
  <c r="C20" i="17"/>
  <c r="C29" i="17" s="1"/>
  <c r="D20" i="17"/>
  <c r="D29" i="17" s="1"/>
  <c r="E20" i="17"/>
  <c r="E29" i="17" s="1"/>
  <c r="F20" i="17"/>
  <c r="F29" i="17" s="1"/>
  <c r="G20" i="17"/>
  <c r="G29" i="17" s="1"/>
  <c r="H20" i="17"/>
  <c r="H29" i="17" s="1"/>
  <c r="I20" i="17"/>
  <c r="I29" i="17" s="1"/>
  <c r="J20" i="17"/>
  <c r="J29" i="17" s="1"/>
  <c r="K20" i="17"/>
  <c r="K29" i="17" s="1"/>
  <c r="L20" i="17"/>
  <c r="L29" i="17" s="1"/>
  <c r="M20" i="17"/>
  <c r="M29" i="17" s="1"/>
  <c r="N20" i="17"/>
  <c r="N29" i="17" s="1"/>
  <c r="C21" i="17"/>
  <c r="C30" i="17" s="1"/>
  <c r="D21" i="17"/>
  <c r="D30" i="17" s="1"/>
  <c r="E21" i="17"/>
  <c r="E30" i="17" s="1"/>
  <c r="F21" i="17"/>
  <c r="F30" i="17" s="1"/>
  <c r="G21" i="17"/>
  <c r="G30" i="17" s="1"/>
  <c r="H21" i="17"/>
  <c r="H30" i="17" s="1"/>
  <c r="I21" i="17"/>
  <c r="I30" i="17" s="1"/>
  <c r="J21" i="17"/>
  <c r="J30" i="17" s="1"/>
  <c r="K21" i="17"/>
  <c r="K30" i="17" s="1"/>
  <c r="L21" i="17"/>
  <c r="L30" i="17" s="1"/>
  <c r="M21" i="17"/>
  <c r="M30" i="17" s="1"/>
  <c r="N21" i="17"/>
  <c r="N30" i="17" s="1"/>
  <c r="C22" i="17"/>
  <c r="C31" i="17" s="1"/>
  <c r="D22" i="17"/>
  <c r="D31" i="17" s="1"/>
  <c r="E22" i="17"/>
  <c r="E31" i="17" s="1"/>
  <c r="F22" i="17"/>
  <c r="F31" i="17" s="1"/>
  <c r="G22" i="17"/>
  <c r="G31" i="17" s="1"/>
  <c r="H22" i="17"/>
  <c r="H31" i="17" s="1"/>
  <c r="I22" i="17"/>
  <c r="I31" i="17" s="1"/>
  <c r="J22" i="17"/>
  <c r="J31" i="17" s="1"/>
  <c r="K22" i="17"/>
  <c r="K31" i="17" s="1"/>
  <c r="L22" i="17"/>
  <c r="L31" i="17" s="1"/>
  <c r="M22" i="17"/>
  <c r="M31" i="17" s="1"/>
  <c r="N22" i="17"/>
  <c r="N31" i="17" s="1"/>
  <c r="C23" i="17"/>
  <c r="C32" i="17" s="1"/>
  <c r="D23" i="17"/>
  <c r="D32" i="17" s="1"/>
  <c r="E23" i="17"/>
  <c r="E32" i="17" s="1"/>
  <c r="F23" i="17"/>
  <c r="F32" i="17" s="1"/>
  <c r="G23" i="17"/>
  <c r="G32" i="17" s="1"/>
  <c r="H23" i="17"/>
  <c r="H32" i="17" s="1"/>
  <c r="I23" i="17"/>
  <c r="I32" i="17" s="1"/>
  <c r="J23" i="17"/>
  <c r="J32" i="17" s="1"/>
  <c r="K23" i="17"/>
  <c r="K32" i="17" s="1"/>
  <c r="L23" i="17"/>
  <c r="L32" i="17" s="1"/>
  <c r="M23" i="17"/>
  <c r="M32" i="17" s="1"/>
  <c r="N23" i="17"/>
  <c r="N32" i="17" s="1"/>
  <c r="C24" i="17"/>
  <c r="C33" i="17" s="1"/>
  <c r="D24" i="17"/>
  <c r="D33" i="17" s="1"/>
  <c r="E24" i="17"/>
  <c r="E33" i="17" s="1"/>
  <c r="F24" i="17"/>
  <c r="F33" i="17" s="1"/>
  <c r="G24" i="17"/>
  <c r="G33" i="17" s="1"/>
  <c r="H24" i="17"/>
  <c r="H33" i="17" s="1"/>
  <c r="I24" i="17"/>
  <c r="I33" i="17" s="1"/>
  <c r="J24" i="17"/>
  <c r="J33" i="17" s="1"/>
  <c r="K24" i="17"/>
  <c r="K33" i="17" s="1"/>
  <c r="L24" i="17"/>
  <c r="L33" i="17" s="1"/>
  <c r="M24" i="17"/>
  <c r="M33" i="17" s="1"/>
  <c r="N24" i="17"/>
  <c r="N33" i="17" s="1"/>
  <c r="E30" i="16" l="1"/>
  <c r="F27" i="16"/>
  <c r="G21" i="16"/>
  <c r="N21" i="16"/>
  <c r="Q21" i="16"/>
  <c r="T21" i="16"/>
  <c r="AE21" i="16"/>
  <c r="AL21" i="16"/>
  <c r="H21" i="16"/>
  <c r="M21" i="16"/>
  <c r="U21" i="16"/>
  <c r="X21" i="16"/>
  <c r="AM21" i="16"/>
  <c r="AW33" i="16"/>
  <c r="AW23" i="16"/>
  <c r="AW44" i="16"/>
  <c r="D33" i="16"/>
  <c r="D23" i="16"/>
  <c r="D44" i="16"/>
  <c r="F21" i="16"/>
  <c r="I21" i="16"/>
  <c r="L21" i="16"/>
  <c r="O21" i="16"/>
  <c r="P21" i="16"/>
  <c r="AH21" i="16"/>
  <c r="AI21" i="16"/>
  <c r="AT50" i="16"/>
  <c r="AT46" i="16"/>
  <c r="S7" i="18"/>
  <c r="T11" i="18" s="1"/>
  <c r="H7" i="18"/>
  <c r="H8" i="18"/>
  <c r="S9" i="18"/>
  <c r="H10" i="18"/>
  <c r="BA14" i="14"/>
  <c r="J21" i="16"/>
  <c r="R21" i="16"/>
  <c r="AE10" i="16"/>
  <c r="AE13" i="16" s="1"/>
  <c r="AF10" i="16"/>
  <c r="AF13" i="16" s="1"/>
  <c r="AJ21" i="16"/>
  <c r="AT39" i="16"/>
  <c r="AT35" i="16"/>
  <c r="AG260" i="15"/>
  <c r="Q260" i="14"/>
  <c r="AW260" i="14"/>
  <c r="J10" i="16"/>
  <c r="J13" i="16" s="1"/>
  <c r="R10" i="16"/>
  <c r="R13" i="16" s="1"/>
  <c r="V21" i="16"/>
  <c r="V10" i="16"/>
  <c r="V13" i="16" s="1"/>
  <c r="Z21" i="16"/>
  <c r="Z10" i="16"/>
  <c r="Z13" i="16" s="1"/>
  <c r="AC10" i="16"/>
  <c r="AC13" i="16" s="1"/>
  <c r="AP21" i="16"/>
  <c r="AP10" i="16"/>
  <c r="AP13" i="16" s="1"/>
  <c r="AT15" i="16"/>
  <c r="AS10" i="16"/>
  <c r="AS13" i="16" s="1"/>
  <c r="AT14" i="16" s="1"/>
  <c r="AT10" i="16" s="1"/>
  <c r="AT13" i="16" s="1"/>
  <c r="AY21" i="16"/>
  <c r="AZ259" i="15"/>
  <c r="Y260" i="15"/>
  <c r="I260" i="14"/>
  <c r="AO260" i="14"/>
  <c r="BA14" i="15"/>
  <c r="D13" i="16"/>
  <c r="X10" i="16"/>
  <c r="X13" i="16" s="1"/>
  <c r="AB21" i="16"/>
  <c r="AM10" i="16"/>
  <c r="AM13" i="16" s="1"/>
  <c r="AN10" i="16"/>
  <c r="AN13" i="16" s="1"/>
  <c r="AR21" i="16"/>
  <c r="AT24" i="16"/>
  <c r="AT34" i="16"/>
  <c r="AT40" i="16" s="1"/>
  <c r="AX21" i="16"/>
  <c r="Q260" i="15"/>
  <c r="AW260" i="15"/>
  <c r="AG260" i="14"/>
  <c r="F260" i="15"/>
  <c r="N260" i="15"/>
  <c r="V260" i="15"/>
  <c r="AD260" i="15"/>
  <c r="AL260" i="15"/>
  <c r="AT260" i="15"/>
  <c r="F260" i="14"/>
  <c r="N260" i="14"/>
  <c r="V260" i="14"/>
  <c r="AD260" i="14"/>
  <c r="AL260" i="14"/>
  <c r="AT260" i="14"/>
  <c r="T43" i="18"/>
  <c r="AB10" i="16"/>
  <c r="AB13" i="16" s="1"/>
  <c r="AJ10" i="16"/>
  <c r="AJ13" i="16" s="1"/>
  <c r="AR10" i="16"/>
  <c r="AR13" i="16" s="1"/>
  <c r="AU10" i="16"/>
  <c r="AU13" i="16" s="1"/>
  <c r="D260" i="15"/>
  <c r="L260" i="15"/>
  <c r="T260" i="15"/>
  <c r="AB260" i="15"/>
  <c r="AJ260" i="15"/>
  <c r="AR260" i="15"/>
  <c r="D260" i="14"/>
  <c r="AZ259" i="14"/>
  <c r="L260" i="14"/>
  <c r="T260" i="14"/>
  <c r="AB260" i="14"/>
  <c r="AJ260" i="14"/>
  <c r="AR260" i="14"/>
  <c r="B22" i="16"/>
  <c r="D22" i="16" s="1"/>
  <c r="E29" i="7"/>
  <c r="D29" i="7"/>
  <c r="C29" i="7"/>
  <c r="D19" i="7"/>
  <c r="F11" i="7"/>
  <c r="F10" i="7"/>
  <c r="F9" i="7"/>
  <c r="F8" i="7"/>
  <c r="F7" i="7"/>
  <c r="F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  <c r="D24" i="16" l="1"/>
  <c r="D34" i="16"/>
  <c r="D40" i="16" s="1"/>
  <c r="D45" i="16"/>
  <c r="D51" i="16" s="1"/>
  <c r="AK21" i="16"/>
  <c r="AK22" i="16"/>
  <c r="AN22" i="16"/>
  <c r="AN21" i="16"/>
  <c r="E22" i="16"/>
  <c r="E21" i="16"/>
  <c r="AU22" i="16"/>
  <c r="AU21" i="16"/>
  <c r="AH22" i="16"/>
  <c r="W21" i="16"/>
  <c r="W22" i="16"/>
  <c r="AG21" i="16"/>
  <c r="AG22" i="16"/>
  <c r="J33" i="16"/>
  <c r="J44" i="16"/>
  <c r="J23" i="16"/>
  <c r="AI23" i="16"/>
  <c r="AI33" i="16"/>
  <c r="AI44" i="16"/>
  <c r="J22" i="16"/>
  <c r="L33" i="16"/>
  <c r="L23" i="16"/>
  <c r="L44" i="16"/>
  <c r="F22" i="16"/>
  <c r="AM23" i="16"/>
  <c r="AM44" i="16"/>
  <c r="AM33" i="16"/>
  <c r="U22" i="16"/>
  <c r="H22" i="16"/>
  <c r="AE22" i="16"/>
  <c r="Q22" i="16"/>
  <c r="G22" i="16"/>
  <c r="AZ260" i="15"/>
  <c r="AC21" i="16"/>
  <c r="AC22" i="16"/>
  <c r="AR23" i="16"/>
  <c r="AR33" i="16"/>
  <c r="AR44" i="16"/>
  <c r="AB23" i="16"/>
  <c r="AB33" i="16"/>
  <c r="AB44" i="16"/>
  <c r="AD21" i="16"/>
  <c r="AD22" i="16"/>
  <c r="V23" i="16"/>
  <c r="V44" i="16"/>
  <c r="V33" i="16"/>
  <c r="AF22" i="16"/>
  <c r="AF21" i="16"/>
  <c r="AH33" i="16"/>
  <c r="AH44" i="16"/>
  <c r="AH23" i="16"/>
  <c r="AZ10" i="16"/>
  <c r="O22" i="16"/>
  <c r="I22" i="16"/>
  <c r="D50" i="16"/>
  <c r="D46" i="16"/>
  <c r="AW50" i="16"/>
  <c r="AM22" i="16"/>
  <c r="U23" i="16"/>
  <c r="U33" i="16"/>
  <c r="U44" i="16"/>
  <c r="H33" i="16"/>
  <c r="H44" i="16"/>
  <c r="H23" i="16"/>
  <c r="AE23" i="16"/>
  <c r="AE33" i="16"/>
  <c r="AE44" i="16"/>
  <c r="Q23" i="16"/>
  <c r="Q33" i="16"/>
  <c r="Q44" i="16"/>
  <c r="G44" i="16"/>
  <c r="G23" i="16"/>
  <c r="G33" i="16"/>
  <c r="AV21" i="16"/>
  <c r="AV22" i="16"/>
  <c r="AX23" i="16"/>
  <c r="AX33" i="16"/>
  <c r="AX44" i="16"/>
  <c r="AR22" i="16"/>
  <c r="AB22" i="16"/>
  <c r="AY33" i="16"/>
  <c r="AY23" i="16"/>
  <c r="AY44" i="16"/>
  <c r="AQ21" i="16"/>
  <c r="AQ22" i="16"/>
  <c r="AA21" i="16"/>
  <c r="AA22" i="16"/>
  <c r="S21" i="16"/>
  <c r="S22" i="16"/>
  <c r="AJ44" i="16"/>
  <c r="AJ23" i="16"/>
  <c r="AJ33" i="16"/>
  <c r="V22" i="16"/>
  <c r="T45" i="18"/>
  <c r="AP22" i="16"/>
  <c r="Z22" i="16"/>
  <c r="P22" i="16"/>
  <c r="O44" i="16"/>
  <c r="O23" i="16"/>
  <c r="O33" i="16"/>
  <c r="I23" i="16"/>
  <c r="I33" i="16"/>
  <c r="I44" i="16"/>
  <c r="X23" i="16"/>
  <c r="X33" i="16"/>
  <c r="X44" i="16"/>
  <c r="M23" i="16"/>
  <c r="M33" i="16"/>
  <c r="M44" i="16"/>
  <c r="AL22" i="16"/>
  <c r="T22" i="16"/>
  <c r="N23" i="16"/>
  <c r="N33" i="16"/>
  <c r="N44" i="16"/>
  <c r="G27" i="16"/>
  <c r="F30" i="16"/>
  <c r="AZ260" i="14"/>
  <c r="AS21" i="16"/>
  <c r="AS22" i="16"/>
  <c r="AO21" i="16"/>
  <c r="AO22" i="16"/>
  <c r="Y21" i="16"/>
  <c r="Y22" i="16"/>
  <c r="AY22" i="16"/>
  <c r="AP33" i="16"/>
  <c r="AP44" i="16"/>
  <c r="AP23" i="16"/>
  <c r="Z33" i="16"/>
  <c r="Z44" i="16"/>
  <c r="Z23" i="16"/>
  <c r="K21" i="16"/>
  <c r="K22" i="16"/>
  <c r="AW22" i="16"/>
  <c r="AJ22" i="16"/>
  <c r="R33" i="16"/>
  <c r="R44" i="16"/>
  <c r="R23" i="16"/>
  <c r="AX22" i="16"/>
  <c r="AI22" i="16"/>
  <c r="R22" i="16"/>
  <c r="P33" i="16"/>
  <c r="P44" i="16"/>
  <c r="P23" i="16"/>
  <c r="L22" i="16"/>
  <c r="F23" i="16"/>
  <c r="F33" i="16"/>
  <c r="F44" i="16"/>
  <c r="D39" i="16"/>
  <c r="AW39" i="16"/>
  <c r="X22" i="16"/>
  <c r="M22" i="16"/>
  <c r="AL33" i="16"/>
  <c r="AL23" i="16"/>
  <c r="AL44" i="16"/>
  <c r="T33" i="16"/>
  <c r="T44" i="16"/>
  <c r="T23" i="16"/>
  <c r="N22" i="16"/>
  <c r="T50" i="16" l="1"/>
  <c r="T46" i="16"/>
  <c r="AL35" i="16"/>
  <c r="AL39" i="16"/>
  <c r="F39" i="16"/>
  <c r="P50" i="16"/>
  <c r="P46" i="16"/>
  <c r="AX24" i="16"/>
  <c r="AX34" i="16"/>
  <c r="AX40" i="16" s="1"/>
  <c r="AX45" i="16"/>
  <c r="AX51" i="16" s="1"/>
  <c r="AJ45" i="16"/>
  <c r="AJ51" i="16" s="1"/>
  <c r="AJ34" i="16"/>
  <c r="AJ40" i="16" s="1"/>
  <c r="AJ24" i="16"/>
  <c r="AP50" i="16"/>
  <c r="AP46" i="16"/>
  <c r="Y44" i="16"/>
  <c r="Y33" i="16"/>
  <c r="Y23" i="16"/>
  <c r="AS44" i="16"/>
  <c r="AS23" i="16"/>
  <c r="AS33" i="16"/>
  <c r="N50" i="16"/>
  <c r="N46" i="16"/>
  <c r="AL24" i="16"/>
  <c r="AL34" i="16"/>
  <c r="AL40" i="16" s="1"/>
  <c r="AL45" i="16"/>
  <c r="AL51" i="16" s="1"/>
  <c r="X50" i="16"/>
  <c r="I50" i="16"/>
  <c r="AP24" i="16"/>
  <c r="AP34" i="16"/>
  <c r="AP40" i="16" s="1"/>
  <c r="AP45" i="16"/>
  <c r="AP51" i="16" s="1"/>
  <c r="AA34" i="16"/>
  <c r="AA40" i="16" s="1"/>
  <c r="AA24" i="16"/>
  <c r="AA45" i="16"/>
  <c r="AA51" i="16" s="1"/>
  <c r="AY50" i="16"/>
  <c r="AR45" i="16"/>
  <c r="AR51" i="16" s="1"/>
  <c r="AR34" i="16"/>
  <c r="AR40" i="16" s="1"/>
  <c r="AR24" i="16"/>
  <c r="AV34" i="16"/>
  <c r="AV40" i="16" s="1"/>
  <c r="AV24" i="16"/>
  <c r="AV45" i="16"/>
  <c r="AV51" i="16" s="1"/>
  <c r="G50" i="16"/>
  <c r="AE46" i="16"/>
  <c r="AE50" i="16"/>
  <c r="H50" i="16"/>
  <c r="H46" i="16"/>
  <c r="AF23" i="16"/>
  <c r="AF33" i="16"/>
  <c r="AF44" i="16"/>
  <c r="AB39" i="16"/>
  <c r="G34" i="16"/>
  <c r="G40" i="16" s="1"/>
  <c r="G45" i="16"/>
  <c r="G51" i="16" s="1"/>
  <c r="G24" i="16"/>
  <c r="U24" i="16"/>
  <c r="U34" i="16"/>
  <c r="U40" i="16" s="1"/>
  <c r="U45" i="16"/>
  <c r="U51" i="16" s="1"/>
  <c r="F45" i="16"/>
  <c r="F51" i="16" s="1"/>
  <c r="F24" i="16"/>
  <c r="F34" i="16"/>
  <c r="F40" i="16" s="1"/>
  <c r="J45" i="16"/>
  <c r="J51" i="16" s="1"/>
  <c r="J24" i="16"/>
  <c r="J34" i="16"/>
  <c r="J40" i="16" s="1"/>
  <c r="AG44" i="16"/>
  <c r="AG23" i="16"/>
  <c r="AG33" i="16"/>
  <c r="AU33" i="16"/>
  <c r="AU44" i="16"/>
  <c r="AU23" i="16"/>
  <c r="AN23" i="16"/>
  <c r="AN33" i="16"/>
  <c r="AN44" i="16"/>
  <c r="T39" i="16"/>
  <c r="M24" i="16"/>
  <c r="M34" i="16"/>
  <c r="M40" i="16" s="1"/>
  <c r="M45" i="16"/>
  <c r="M51" i="16" s="1"/>
  <c r="P39" i="16"/>
  <c r="P35" i="16"/>
  <c r="AW24" i="16"/>
  <c r="AW34" i="16"/>
  <c r="AW45" i="16"/>
  <c r="Z50" i="16"/>
  <c r="AP35" i="16"/>
  <c r="AP39" i="16"/>
  <c r="AO34" i="16"/>
  <c r="AO40" i="16" s="1"/>
  <c r="AO24" i="16"/>
  <c r="AO45" i="16"/>
  <c r="AO51" i="16" s="1"/>
  <c r="N39" i="16"/>
  <c r="M50" i="16"/>
  <c r="X39" i="16"/>
  <c r="I39" i="16"/>
  <c r="O46" i="16"/>
  <c r="O50" i="16"/>
  <c r="AJ50" i="16"/>
  <c r="AA23" i="16"/>
  <c r="AA33" i="16"/>
  <c r="AA44" i="16"/>
  <c r="AX50" i="16"/>
  <c r="AV44" i="16"/>
  <c r="AV33" i="16"/>
  <c r="AV23" i="16"/>
  <c r="Q50" i="16"/>
  <c r="AE39" i="16"/>
  <c r="H39" i="16"/>
  <c r="AM24" i="16"/>
  <c r="AM34" i="16"/>
  <c r="AM40" i="16" s="1"/>
  <c r="AM45" i="16"/>
  <c r="AM51" i="16" s="1"/>
  <c r="AF45" i="16"/>
  <c r="AF51" i="16" s="1"/>
  <c r="AF24" i="16"/>
  <c r="AF34" i="16"/>
  <c r="AF40" i="16" s="1"/>
  <c r="AD24" i="16"/>
  <c r="AD45" i="16"/>
  <c r="AD51" i="16" s="1"/>
  <c r="AD34" i="16"/>
  <c r="AD40" i="16" s="1"/>
  <c r="AC34" i="16"/>
  <c r="AC40" i="16" s="1"/>
  <c r="AC45" i="16"/>
  <c r="AC51" i="16" s="1"/>
  <c r="AC24" i="16"/>
  <c r="Q24" i="16"/>
  <c r="Q34" i="16"/>
  <c r="Q40" i="16" s="1"/>
  <c r="Q45" i="16"/>
  <c r="Q51" i="16" s="1"/>
  <c r="AM39" i="16"/>
  <c r="L50" i="16"/>
  <c r="AI50" i="16"/>
  <c r="J46" i="16"/>
  <c r="J50" i="16"/>
  <c r="W34" i="16"/>
  <c r="W40" i="16" s="1"/>
  <c r="W45" i="16"/>
  <c r="W51" i="16" s="1"/>
  <c r="W24" i="16"/>
  <c r="AU45" i="16"/>
  <c r="AU51" i="16" s="1"/>
  <c r="AU24" i="16"/>
  <c r="AU34" i="16"/>
  <c r="AU40" i="16" s="1"/>
  <c r="AN45" i="16"/>
  <c r="AN51" i="16" s="1"/>
  <c r="AN24" i="16"/>
  <c r="AN34" i="16"/>
  <c r="AN40" i="16" s="1"/>
  <c r="N45" i="16"/>
  <c r="N51" i="16" s="1"/>
  <c r="N24" i="16"/>
  <c r="N34" i="16"/>
  <c r="N40" i="16" s="1"/>
  <c r="AL50" i="16"/>
  <c r="X24" i="16"/>
  <c r="X45" i="16"/>
  <c r="X51" i="16" s="1"/>
  <c r="X34" i="16"/>
  <c r="X40" i="16" s="1"/>
  <c r="D35" i="16"/>
  <c r="L24" i="16"/>
  <c r="L34" i="16"/>
  <c r="L40" i="16" s="1"/>
  <c r="L45" i="16"/>
  <c r="L51" i="16" s="1"/>
  <c r="R45" i="16"/>
  <c r="R51" i="16" s="1"/>
  <c r="R24" i="16"/>
  <c r="R34" i="16"/>
  <c r="R40" i="16" s="1"/>
  <c r="R46" i="16"/>
  <c r="R50" i="16"/>
  <c r="K34" i="16"/>
  <c r="K40" i="16" s="1"/>
  <c r="K45" i="16"/>
  <c r="K51" i="16" s="1"/>
  <c r="K24" i="16"/>
  <c r="Z39" i="16"/>
  <c r="AY45" i="16"/>
  <c r="AY51" i="16" s="1"/>
  <c r="AY24" i="16"/>
  <c r="AY34" i="16"/>
  <c r="AY40" i="16" s="1"/>
  <c r="AO44" i="16"/>
  <c r="AO33" i="16"/>
  <c r="AO23" i="16"/>
  <c r="M39" i="16"/>
  <c r="M35" i="16"/>
  <c r="P24" i="16"/>
  <c r="P34" i="16"/>
  <c r="P40" i="16" s="1"/>
  <c r="P45" i="16"/>
  <c r="P51" i="16" s="1"/>
  <c r="V45" i="16"/>
  <c r="V51" i="16" s="1"/>
  <c r="V24" i="16"/>
  <c r="V34" i="16"/>
  <c r="V40" i="16" s="1"/>
  <c r="S34" i="16"/>
  <c r="S40" i="16" s="1"/>
  <c r="S45" i="16"/>
  <c r="S51" i="16" s="1"/>
  <c r="S24" i="16"/>
  <c r="AQ34" i="16"/>
  <c r="AQ40" i="16" s="1"/>
  <c r="AQ24" i="16"/>
  <c r="AQ45" i="16"/>
  <c r="AQ51" i="16" s="1"/>
  <c r="AY35" i="16"/>
  <c r="AY39" i="16"/>
  <c r="AX39" i="16"/>
  <c r="AX35" i="16"/>
  <c r="G35" i="16"/>
  <c r="G39" i="16"/>
  <c r="Q39" i="16"/>
  <c r="Q35" i="16"/>
  <c r="U46" i="16"/>
  <c r="U50" i="16"/>
  <c r="I24" i="16"/>
  <c r="I34" i="16"/>
  <c r="I40" i="16" s="1"/>
  <c r="I45" i="16"/>
  <c r="I51" i="16" s="1"/>
  <c r="AH50" i="16"/>
  <c r="AH46" i="16"/>
  <c r="V35" i="16"/>
  <c r="V39" i="16"/>
  <c r="AD33" i="16"/>
  <c r="AD23" i="16"/>
  <c r="AD44" i="16"/>
  <c r="AR46" i="16"/>
  <c r="AR50" i="16"/>
  <c r="AC44" i="16"/>
  <c r="AC23" i="16"/>
  <c r="AC33" i="16"/>
  <c r="AE24" i="16"/>
  <c r="AE34" i="16"/>
  <c r="AE40" i="16" s="1"/>
  <c r="AE45" i="16"/>
  <c r="AE51" i="16" s="1"/>
  <c r="AM46" i="16"/>
  <c r="AM50" i="16"/>
  <c r="AI39" i="16"/>
  <c r="AI35" i="16"/>
  <c r="J35" i="16"/>
  <c r="J39" i="16"/>
  <c r="W44" i="16"/>
  <c r="W23" i="16"/>
  <c r="W33" i="16"/>
  <c r="E23" i="16"/>
  <c r="E33" i="16"/>
  <c r="E44" i="16"/>
  <c r="AZ21" i="16"/>
  <c r="AK34" i="16"/>
  <c r="AK40" i="16" s="1"/>
  <c r="AK45" i="16"/>
  <c r="AK51" i="16" s="1"/>
  <c r="AK24" i="16"/>
  <c r="F50" i="16"/>
  <c r="AI24" i="16"/>
  <c r="AI45" i="16"/>
  <c r="AI51" i="16" s="1"/>
  <c r="AI34" i="16"/>
  <c r="AI40" i="16" s="1"/>
  <c r="R39" i="16"/>
  <c r="K44" i="16"/>
  <c r="K23" i="16"/>
  <c r="K33" i="16"/>
  <c r="Y34" i="16"/>
  <c r="Y40" i="16" s="1"/>
  <c r="Y24" i="16"/>
  <c r="AZ24" i="16" s="1"/>
  <c r="Y45" i="16"/>
  <c r="Y51" i="16" s="1"/>
  <c r="AS34" i="16"/>
  <c r="AS40" i="16" s="1"/>
  <c r="AS45" i="16"/>
  <c r="AS51" i="16" s="1"/>
  <c r="AS24" i="16"/>
  <c r="H27" i="16"/>
  <c r="G30" i="16"/>
  <c r="T24" i="16"/>
  <c r="T34" i="16"/>
  <c r="T40" i="16" s="1"/>
  <c r="T45" i="16"/>
  <c r="T51" i="16" s="1"/>
  <c r="O39" i="16"/>
  <c r="Z24" i="16"/>
  <c r="Z34" i="16"/>
  <c r="Z40" i="16" s="1"/>
  <c r="Z45" i="16"/>
  <c r="Z51" i="16" s="1"/>
  <c r="AJ35" i="16"/>
  <c r="AJ39" i="16"/>
  <c r="S44" i="16"/>
  <c r="S23" i="16"/>
  <c r="S33" i="16"/>
  <c r="AQ23" i="16"/>
  <c r="AQ33" i="16"/>
  <c r="AQ44" i="16"/>
  <c r="AB45" i="16"/>
  <c r="AB51" i="16" s="1"/>
  <c r="AB34" i="16"/>
  <c r="AB40" i="16" s="1"/>
  <c r="AB24" i="16"/>
  <c r="U39" i="16"/>
  <c r="U35" i="16"/>
  <c r="O34" i="16"/>
  <c r="O40" i="16" s="1"/>
  <c r="O45" i="16"/>
  <c r="O51" i="16" s="1"/>
  <c r="O24" i="16"/>
  <c r="AH39" i="16"/>
  <c r="V50" i="16"/>
  <c r="AB46" i="16"/>
  <c r="AB50" i="16"/>
  <c r="AR35" i="16"/>
  <c r="AR39" i="16"/>
  <c r="H24" i="16"/>
  <c r="H34" i="16"/>
  <c r="H40" i="16" s="1"/>
  <c r="H45" i="16"/>
  <c r="H51" i="16" s="1"/>
  <c r="L39" i="16"/>
  <c r="AG34" i="16"/>
  <c r="AG40" i="16" s="1"/>
  <c r="AG24" i="16"/>
  <c r="AG45" i="16"/>
  <c r="AG51" i="16" s="1"/>
  <c r="AH24" i="16"/>
  <c r="AH34" i="16"/>
  <c r="AH40" i="16" s="1"/>
  <c r="AH45" i="16"/>
  <c r="AH51" i="16" s="1"/>
  <c r="E24" i="16"/>
  <c r="E34" i="16"/>
  <c r="E40" i="16" s="1"/>
  <c r="E45" i="16"/>
  <c r="E51" i="16" s="1"/>
  <c r="AK44" i="16"/>
  <c r="AK23" i="16"/>
  <c r="AK33" i="16"/>
  <c r="AZ22" i="16"/>
  <c r="K50" i="16" l="1"/>
  <c r="K46" i="16"/>
  <c r="W35" i="16"/>
  <c r="W39" i="16"/>
  <c r="AC35" i="16"/>
  <c r="AC39" i="16"/>
  <c r="AI46" i="16"/>
  <c r="H35" i="16"/>
  <c r="AV50" i="16"/>
  <c r="AV46" i="16"/>
  <c r="AA39" i="16"/>
  <c r="AA35" i="16"/>
  <c r="AN35" i="16"/>
  <c r="AN39" i="16"/>
  <c r="AU35" i="16"/>
  <c r="AU39" i="16"/>
  <c r="AS46" i="16"/>
  <c r="AS50" i="16"/>
  <c r="AK35" i="16"/>
  <c r="AK39" i="16"/>
  <c r="AH35" i="16"/>
  <c r="S39" i="16"/>
  <c r="S35" i="16"/>
  <c r="E46" i="16"/>
  <c r="E50" i="16"/>
  <c r="AD50" i="16"/>
  <c r="AD46" i="16"/>
  <c r="AO35" i="16"/>
  <c r="AO39" i="16"/>
  <c r="L46" i="16"/>
  <c r="Q46" i="16"/>
  <c r="X35" i="16"/>
  <c r="N35" i="16"/>
  <c r="AW51" i="16"/>
  <c r="AW46" i="16"/>
  <c r="T35" i="16"/>
  <c r="AG35" i="16"/>
  <c r="AG39" i="16"/>
  <c r="AB35" i="16"/>
  <c r="AY46" i="16"/>
  <c r="L35" i="16"/>
  <c r="AQ46" i="16"/>
  <c r="AQ50" i="16"/>
  <c r="O35" i="16"/>
  <c r="K39" i="16"/>
  <c r="K35" i="16"/>
  <c r="R35" i="16"/>
  <c r="F46" i="16"/>
  <c r="E39" i="16"/>
  <c r="E35" i="16"/>
  <c r="W50" i="16"/>
  <c r="W46" i="16"/>
  <c r="AC46" i="16"/>
  <c r="AC50" i="16"/>
  <c r="AO46" i="16"/>
  <c r="AO50" i="16"/>
  <c r="AE35" i="16"/>
  <c r="AX46" i="16"/>
  <c r="I35" i="16"/>
  <c r="AW40" i="16"/>
  <c r="AW35" i="16"/>
  <c r="AF50" i="16"/>
  <c r="AF46" i="16"/>
  <c r="G46" i="16"/>
  <c r="I46" i="16"/>
  <c r="AS35" i="16"/>
  <c r="AS39" i="16"/>
  <c r="Y35" i="16"/>
  <c r="Y39" i="16"/>
  <c r="AK46" i="16"/>
  <c r="AK50" i="16"/>
  <c r="V46" i="16"/>
  <c r="AQ39" i="16"/>
  <c r="AQ35" i="16"/>
  <c r="S50" i="16"/>
  <c r="S46" i="16"/>
  <c r="I27" i="16"/>
  <c r="H30" i="16"/>
  <c r="AZ23" i="16"/>
  <c r="AD35" i="16"/>
  <c r="AD39" i="16"/>
  <c r="Z35" i="16"/>
  <c r="AL46" i="16"/>
  <c r="AM35" i="16"/>
  <c r="AV39" i="16"/>
  <c r="AV35" i="16"/>
  <c r="AA46" i="16"/>
  <c r="AA50" i="16"/>
  <c r="AJ46" i="16"/>
  <c r="M46" i="16"/>
  <c r="Z46" i="16"/>
  <c r="AN46" i="16"/>
  <c r="AN50" i="16"/>
  <c r="AU46" i="16"/>
  <c r="AU50" i="16"/>
  <c r="AG46" i="16"/>
  <c r="AG50" i="16"/>
  <c r="AF35" i="16"/>
  <c r="AF39" i="16"/>
  <c r="X46" i="16"/>
  <c r="Y46" i="16"/>
  <c r="Y50" i="16"/>
  <c r="F35" i="16"/>
  <c r="I30" i="16" l="1"/>
  <c r="J27" i="16"/>
  <c r="K27" i="16" l="1"/>
  <c r="J30" i="16"/>
  <c r="L27" i="16" l="1"/>
  <c r="K30" i="16"/>
  <c r="M27" i="16" l="1"/>
  <c r="L30" i="16"/>
  <c r="M30" i="16" l="1"/>
  <c r="N27" i="16"/>
  <c r="O27" i="16" l="1"/>
  <c r="N30" i="16"/>
  <c r="P27" i="16" l="1"/>
  <c r="O30" i="16"/>
  <c r="Q27" i="16" l="1"/>
  <c r="P30" i="16"/>
  <c r="Q30" i="16" l="1"/>
  <c r="R27" i="16"/>
  <c r="S27" i="16" l="1"/>
  <c r="R30" i="16"/>
  <c r="T27" i="16" l="1"/>
  <c r="S30" i="16"/>
  <c r="U27" i="16" l="1"/>
  <c r="T30" i="16"/>
  <c r="U30" i="16" l="1"/>
  <c r="V27" i="16"/>
  <c r="W27" i="16" l="1"/>
  <c r="V30" i="16"/>
  <c r="X27" i="16" l="1"/>
  <c r="W30" i="16"/>
  <c r="Y27" i="16" l="1"/>
  <c r="X30" i="16"/>
  <c r="Y30" i="16" l="1"/>
  <c r="Z27" i="16"/>
  <c r="Z30" i="16" l="1"/>
  <c r="AA27" i="16"/>
  <c r="AA30" i="16" l="1"/>
  <c r="AB27" i="16"/>
  <c r="AC27" i="16" l="1"/>
  <c r="AB30" i="16"/>
  <c r="AD27" i="16" l="1"/>
  <c r="AC30" i="16"/>
  <c r="AE27" i="16" l="1"/>
  <c r="AD30" i="16"/>
  <c r="AE30" i="16" l="1"/>
  <c r="AF27" i="16"/>
  <c r="AG27" i="16" l="1"/>
  <c r="AF30" i="16"/>
  <c r="AH27" i="16" l="1"/>
  <c r="AG30" i="16"/>
  <c r="AH30" i="16" l="1"/>
  <c r="AI27" i="16"/>
  <c r="AI30" i="16" l="1"/>
  <c r="AJ27" i="16"/>
  <c r="AK27" i="16" l="1"/>
  <c r="AJ30" i="16"/>
  <c r="AL27" i="16" l="1"/>
  <c r="AK30" i="16"/>
  <c r="AM27" i="16" l="1"/>
  <c r="AL30" i="16"/>
  <c r="AM30" i="16" l="1"/>
  <c r="AN27" i="16"/>
  <c r="AO27" i="16" l="1"/>
  <c r="AN30" i="16"/>
  <c r="AO30" i="16" l="1"/>
  <c r="AP27" i="16"/>
  <c r="AP30" i="16" l="1"/>
  <c r="AQ27" i="16"/>
  <c r="AQ30" i="16" l="1"/>
  <c r="AR27" i="16"/>
  <c r="AS27" i="16" l="1"/>
  <c r="AR30" i="16"/>
  <c r="AS30" i="16" l="1"/>
  <c r="AT27" i="16"/>
  <c r="AT30" i="16" l="1"/>
  <c r="AU27" i="16"/>
  <c r="AV27" i="16" l="1"/>
  <c r="AU30" i="16"/>
  <c r="AW27" i="16" l="1"/>
  <c r="AV30" i="16"/>
  <c r="AX27" i="16" l="1"/>
  <c r="AW30" i="16"/>
  <c r="AX30" i="16" l="1"/>
  <c r="AY27" i="16"/>
  <c r="AY30" i="16" s="1"/>
  <c r="AZ30" i="16" s="1"/>
</calcChain>
</file>

<file path=xl/sharedStrings.xml><?xml version="1.0" encoding="utf-8"?>
<sst xmlns="http://schemas.openxmlformats.org/spreadsheetml/2006/main" count="2199" uniqueCount="413">
  <si>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</si>
  <si>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</si>
  <si>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</si>
  <si>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</si>
  <si>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</si>
  <si>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</si>
  <si>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</si>
  <si>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</si>
  <si>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</si>
  <si>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</si>
  <si>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</si>
  <si>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</si>
  <si>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</si>
  <si>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</si>
  <si>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</si>
  <si>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</si>
  <si>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</si>
  <si>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</si>
  <si>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</si>
  <si>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</si>
  <si>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</si>
  <si>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</si>
  <si>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</si>
  <si>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</si>
  <si>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</si>
  <si>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</si>
  <si>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</si>
  <si>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</si>
  <si>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</si>
  <si>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</si>
  <si>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</si>
  <si>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</si>
  <si>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</si>
  <si>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</si>
  <si>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</si>
  <si>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</si>
  <si>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</si>
  <si>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</si>
  <si>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</si>
  <si>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</si>
  <si>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</si>
  <si>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</si>
  <si>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</si>
  <si>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</si>
  <si>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</si>
  <si>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</si>
  <si>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</si>
  <si>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</si>
  <si>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</si>
  <si>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</si>
  <si>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</si>
  <si>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</si>
  <si>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</si>
  <si>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</si>
  <si>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</si>
  <si>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</si>
  <si>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</si>
  <si>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</si>
  <si>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</si>
  <si>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</si>
  <si>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</si>
  <si>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</si>
  <si>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</si>
  <si>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</si>
  <si>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</si>
  <si>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</si>
  <si>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</si>
  <si>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</si>
  <si>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</si>
  <si>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</si>
  <si>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</si>
  <si>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</si>
  <si>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</si>
  <si>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</si>
  <si>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</si>
  <si>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</si>
  <si>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</si>
  <si>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</si>
  <si>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</si>
  <si>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</si>
  <si>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</si>
  <si>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</si>
  <si>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</si>
  <si>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</si>
  <si>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</si>
  <si>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</si>
  <si>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</si>
  <si>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</si>
  <si>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</si>
  <si>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</si>
  <si>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</si>
  <si>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</si>
  <si>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</si>
  <si>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</si>
  <si>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</si>
  <si>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</si>
  <si>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</si>
  <si>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</si>
  <si>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</si>
  <si>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</si>
  <si>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</si>
  <si>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</si>
  <si>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</si>
  <si>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</si>
  <si>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</si>
  <si>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</si>
  <si>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</si>
  <si>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</si>
  <si>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</si>
  <si>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</si>
  <si>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</si>
  <si>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</si>
  <si>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</si>
  <si>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</si>
  <si>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</si>
  <si>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</si>
  <si>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</si>
  <si>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</si>
  <si>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</si>
  <si>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</si>
  <si>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</si>
  <si>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</si>
  <si>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</si>
  <si>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</si>
  <si>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</si>
  <si>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</si>
  <si>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</si>
  <si>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</si>
  <si>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</si>
  <si>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</si>
  <si>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</si>
  <si>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</si>
  <si>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</si>
  <si>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</si>
  <si>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</si>
  <si>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</si>
  <si>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</si>
  <si>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</si>
  <si>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</si>
  <si>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</si>
  <si>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</si>
  <si>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</si>
  <si>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</si>
  <si>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</si>
  <si>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</si>
  <si>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</si>
  <si>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</si>
  <si>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</si>
  <si>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</si>
  <si>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</si>
  <si>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</si>
  <si>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</si>
  <si>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</si>
  <si>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</si>
  <si>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</si>
  <si>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</si>
  <si>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</si>
  <si>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</si>
  <si>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</si>
  <si>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</si>
  <si>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</si>
  <si>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</si>
  <si>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</si>
  <si>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</si>
  <si>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</si>
  <si>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freeoj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</si>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</sst>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2"/>
      <color theme="1"/>
      <name val="Calibri"/>
      <family val="2"/>
      <scheme val="minor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6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2" applyFill="1"/>
    <xf numFmtId="0" fontId="4" fillId="0" borderId="0" xfId="2"/>
    <xf numFmtId="0" fontId="4" fillId="0" borderId="0" xfId="2" applyFill="1"/>
    <xf numFmtId="0" fontId="1" fillId="0" borderId="0" xfId="2" applyFont="1"/>
    <xf numFmtId="0" fontId="2" fillId="0" borderId="0" xfId="2" applyFont="1"/>
    <xf numFmtId="0" fontId="2" fillId="0" borderId="0" xfId="2" applyFont="1" applyFill="1"/>
    <xf numFmtId="0" fontId="4" fillId="6" borderId="0" xfId="2" applyFill="1"/>
    <xf numFmtId="0" fontId="4" fillId="0" borderId="0" xfId="2" applyFill="1" applyBorder="1"/>
    <xf numFmtId="0" fontId="4" fillId="0" borderId="5" xfId="2" applyBorder="1"/>
    <xf numFmtId="0" fontId="4" fillId="0" borderId="11" xfId="2" applyBorder="1"/>
    <xf numFmtId="0" fontId="4" fillId="0" borderId="6" xfId="2" applyBorder="1"/>
    <xf numFmtId="0" fontId="4" fillId="0" borderId="0" xfId="2" applyBorder="1"/>
    <xf numFmtId="0" fontId="4" fillId="0" borderId="0" xfId="2" applyAlignment="1"/>
    <xf numFmtId="0" fontId="4" fillId="0" borderId="0" xfId="2" applyAlignment="1">
      <alignment horizontal="center"/>
    </xf>
    <xf numFmtId="0" fontId="4" fillId="0" borderId="0" xfId="2" applyBorder="1" applyAlignment="1">
      <alignment horizontal="right"/>
    </xf>
    <xf numFmtId="0" fontId="4" fillId="0" borderId="8" xfId="2" applyFill="1" applyBorder="1"/>
    <xf numFmtId="0" fontId="4" fillId="5" borderId="13" xfId="2" applyFill="1" applyBorder="1" applyAlignment="1">
      <alignment horizontal="right"/>
    </xf>
    <xf numFmtId="0" fontId="4" fillId="7" borderId="8" xfId="2" applyFill="1" applyBorder="1"/>
    <xf numFmtId="0" fontId="4" fillId="0" borderId="13" xfId="2" applyBorder="1"/>
    <xf numFmtId="0" fontId="4" fillId="5" borderId="0" xfId="2" applyFill="1" applyAlignment="1">
      <alignment horizontal="right"/>
    </xf>
    <xf numFmtId="0" fontId="4" fillId="7" borderId="0" xfId="2" applyFill="1" applyBorder="1"/>
    <xf numFmtId="0" fontId="4" fillId="2" borderId="0" xfId="2" applyFill="1" applyBorder="1"/>
    <xf numFmtId="0" fontId="4" fillId="7" borderId="13" xfId="2" applyFill="1" applyBorder="1"/>
    <xf numFmtId="0" fontId="4" fillId="5" borderId="9" xfId="2" applyFill="1" applyBorder="1" applyAlignment="1">
      <alignment horizontal="right"/>
    </xf>
    <xf numFmtId="0" fontId="4" fillId="7" borderId="9" xfId="2" applyFill="1" applyBorder="1"/>
    <xf numFmtId="0" fontId="4" fillId="0" borderId="9" xfId="2" applyBorder="1"/>
    <xf numFmtId="0" fontId="4" fillId="0" borderId="8" xfId="2" applyBorder="1"/>
    <xf numFmtId="0" fontId="4" fillId="5" borderId="1" xfId="2" applyFill="1" applyBorder="1" applyAlignment="1">
      <alignment horizontal="right"/>
    </xf>
    <xf numFmtId="0" fontId="4" fillId="3" borderId="0" xfId="2" applyFill="1" applyBorder="1"/>
    <xf numFmtId="0" fontId="4" fillId="0" borderId="3" xfId="2" applyBorder="1"/>
    <xf numFmtId="0" fontId="4" fillId="8" borderId="8" xfId="2" applyFill="1" applyBorder="1"/>
    <xf numFmtId="0" fontId="4" fillId="8" borderId="0" xfId="2" applyFill="1" applyBorder="1"/>
    <xf numFmtId="0" fontId="4" fillId="5" borderId="6" xfId="2" applyFill="1" applyBorder="1" applyAlignment="1">
      <alignment horizontal="right"/>
    </xf>
    <xf numFmtId="0" fontId="4" fillId="9" borderId="8" xfId="2" applyFill="1" applyBorder="1" applyAlignment="1">
      <alignment horizontal="right"/>
    </xf>
    <xf numFmtId="0" fontId="4" fillId="5" borderId="13" xfId="2" applyFill="1" applyBorder="1"/>
    <xf numFmtId="10" fontId="4" fillId="0" borderId="13" xfId="2" applyNumberFormat="1" applyBorder="1"/>
    <xf numFmtId="0" fontId="4" fillId="5" borderId="9" xfId="2" applyFill="1" applyBorder="1"/>
    <xf numFmtId="0" fontId="4" fillId="5" borderId="8" xfId="2" applyFill="1" applyBorder="1"/>
    <xf numFmtId="0" fontId="4" fillId="6" borderId="9" xfId="2" applyFill="1" applyBorder="1"/>
    <xf numFmtId="0" fontId="4" fillId="0" borderId="9" xfId="2" applyFill="1" applyBorder="1"/>
    <xf numFmtId="0" fontId="4" fillId="0" borderId="10" xfId="2" applyFill="1" applyBorder="1"/>
    <xf numFmtId="0" fontId="4" fillId="6" borderId="8" xfId="2" applyFill="1" applyBorder="1"/>
    <xf numFmtId="0" fontId="4" fillId="0" borderId="15" xfId="2" applyFill="1" applyBorder="1"/>
    <xf numFmtId="0" fontId="4" fillId="0" borderId="0" xfId="2" applyFill="1" applyBorder="1" applyAlignment="1">
      <alignment horizontal="left"/>
    </xf>
    <xf numFmtId="0" fontId="4" fillId="7" borderId="13" xfId="2" applyFill="1" applyBorder="1" applyAlignment="1">
      <alignment horizontal="right"/>
    </xf>
    <xf numFmtId="0" fontId="4" fillId="0" borderId="13" xfId="2" applyFill="1" applyBorder="1"/>
    <xf numFmtId="0" fontId="4" fillId="0" borderId="9" xfId="2" applyFont="1" applyFill="1" applyBorder="1"/>
    <xf numFmtId="0" fontId="4" fillId="0" borderId="0" xfId="2" applyFont="1" applyFill="1" applyBorder="1" applyAlignment="1">
      <alignment horizontal="right"/>
    </xf>
    <xf numFmtId="0" fontId="4" fillId="0" borderId="0" xfId="2" applyFont="1" applyFill="1" applyBorder="1"/>
    <xf numFmtId="0" fontId="4" fillId="0" borderId="0" xfId="2" applyFont="1" applyFill="1" applyBorder="1" applyAlignment="1"/>
    <xf numFmtId="0" fontId="4" fillId="5" borderId="13" xfId="2" applyFont="1" applyFill="1" applyBorder="1" applyAlignment="1">
      <alignment horizontal="right"/>
    </xf>
    <xf numFmtId="0" fontId="4" fillId="7" borderId="13" xfId="2" applyFont="1" applyFill="1" applyBorder="1" applyAlignment="1"/>
    <xf numFmtId="0" fontId="4" fillId="0" borderId="5" xfId="2" applyFill="1" applyBorder="1"/>
    <xf numFmtId="0" fontId="1" fillId="0" borderId="0" xfId="2" applyFont="1" applyBorder="1"/>
    <xf numFmtId="0" fontId="4" fillId="0" borderId="9" xfId="2" applyFill="1" applyBorder="1" applyAlignment="1">
      <alignment horizontal="right"/>
    </xf>
    <xf numFmtId="10" fontId="4" fillId="5" borderId="13" xfId="2" applyNumberFormat="1" applyFill="1" applyBorder="1"/>
    <xf numFmtId="0" fontId="4" fillId="5" borderId="0" xfId="2" applyFill="1" applyBorder="1" applyAlignment="1">
      <alignment horizontal="right"/>
    </xf>
    <xf numFmtId="10" fontId="4" fillId="0" borderId="0" xfId="2" applyNumberFormat="1" applyFill="1" applyBorder="1"/>
    <xf numFmtId="0" fontId="4" fillId="0" borderId="12" xfId="2" applyFill="1" applyBorder="1"/>
    <xf numFmtId="0" fontId="4" fillId="5" borderId="8" xfId="2" applyFill="1" applyBorder="1" applyAlignment="1">
      <alignment horizontal="right"/>
    </xf>
    <xf numFmtId="10" fontId="4" fillId="0" borderId="8" xfId="2" applyNumberFormat="1" applyFill="1" applyBorder="1"/>
    <xf numFmtId="0" fontId="4" fillId="6" borderId="9" xfId="2" applyFill="1" applyBorder="1" applyAlignment="1">
      <alignment horizontal="right"/>
    </xf>
    <xf numFmtId="0" fontId="4" fillId="6" borderId="8" xfId="2" applyFill="1" applyBorder="1" applyAlignment="1">
      <alignment horizontal="right"/>
    </xf>
    <xf numFmtId="0" fontId="4" fillId="0" borderId="8" xfId="2" applyNumberFormat="1" applyFill="1" applyBorder="1"/>
    <xf numFmtId="0" fontId="1" fillId="0" borderId="0" xfId="2" applyFont="1" applyFill="1" applyBorder="1" applyAlignment="1"/>
    <xf numFmtId="0" fontId="4" fillId="0" borderId="2" xfId="2" applyBorder="1"/>
    <xf numFmtId="0" fontId="4" fillId="5" borderId="0" xfId="2" applyFill="1" applyBorder="1"/>
    <xf numFmtId="0" fontId="4" fillId="0" borderId="7" xfId="2" applyBorder="1"/>
    <xf numFmtId="0" fontId="4" fillId="0" borderId="4" xfId="2" applyBorder="1"/>
    <xf numFmtId="0" fontId="4" fillId="0" borderId="3" xfId="2" applyFill="1" applyBorder="1"/>
    <xf numFmtId="0" fontId="4" fillId="6" borderId="13" xfId="2" applyFill="1" applyBorder="1" applyAlignment="1">
      <alignment horizontal="right"/>
    </xf>
    <xf numFmtId="0" fontId="4" fillId="10" borderId="0" xfId="2" applyFill="1"/>
    <xf numFmtId="0" fontId="4" fillId="10" borderId="0" xfId="2" applyFont="1" applyFill="1"/>
    <xf numFmtId="0" fontId="4" fillId="0" borderId="0" xfId="2" applyFont="1" applyFill="1"/>
    <xf numFmtId="0" fontId="4" fillId="5" borderId="0" xfId="2" applyFont="1" applyFill="1"/>
    <xf numFmtId="0" fontId="2" fillId="0" borderId="0" xfId="2" applyNumberFormat="1" applyFont="1" applyFill="1" applyAlignment="1"/>
    <xf numFmtId="0" fontId="4" fillId="0" borderId="0" xfId="2" applyNumberFormat="1" applyAlignment="1"/>
    <xf numFmtId="0" fontId="4" fillId="6" borderId="0" xfId="2" applyNumberFormat="1" applyFill="1" applyAlignment="1"/>
    <xf numFmtId="0" fontId="4" fillId="0" borderId="0" xfId="2" applyAlignment="1">
      <alignment horizontal="right"/>
    </xf>
    <xf numFmtId="0" fontId="4" fillId="6" borderId="0" xfId="2" applyFill="1" applyBorder="1"/>
    <xf numFmtId="0" fontId="4" fillId="0" borderId="0" xfId="2" applyNumberFormat="1"/>
    <xf numFmtId="0" fontId="8" fillId="0" borderId="0" xfId="2" applyFont="1" applyAlignment="1">
      <alignment horizontal="center"/>
    </xf>
    <xf numFmtId="0" fontId="8" fillId="0" borderId="0" xfId="2" applyFont="1"/>
    <xf numFmtId="0" fontId="9" fillId="0" borderId="0" xfId="2" applyFont="1"/>
    <xf numFmtId="0" fontId="10" fillId="0" borderId="0" xfId="2" applyFont="1"/>
    <xf numFmtId="0" fontId="11" fillId="0" borderId="0" xfId="2" applyFont="1"/>
    <xf numFmtId="0" fontId="12" fillId="0" borderId="0" xfId="2" applyFont="1"/>
    <xf numFmtId="0" fontId="13" fillId="0" borderId="0" xfId="2" applyNumberFormat="1" applyFont="1" applyAlignment="1">
      <alignment horizontal="left"/>
    </xf>
    <xf numFmtId="1" fontId="4" fillId="0" borderId="10" xfId="2" applyNumberFormat="1" applyBorder="1"/>
    <xf numFmtId="164" fontId="4" fillId="0" borderId="10" xfId="2" applyNumberFormat="1" applyBorder="1"/>
    <xf numFmtId="1" fontId="4" fillId="0" borderId="12" xfId="2" applyNumberFormat="1" applyBorder="1"/>
    <xf numFmtId="164" fontId="4" fillId="0" borderId="12" xfId="2" applyNumberFormat="1" applyBorder="1"/>
    <xf numFmtId="1" fontId="4" fillId="0" borderId="15" xfId="2" applyNumberFormat="1" applyBorder="1"/>
    <xf numFmtId="164" fontId="4" fillId="0" borderId="15" xfId="2" applyNumberFormat="1" applyBorder="1"/>
    <xf numFmtId="164" fontId="4" fillId="0" borderId="13" xfId="2" applyNumberFormat="1" applyBorder="1"/>
    <xf numFmtId="1" fontId="4" fillId="0" borderId="5" xfId="2" applyNumberFormat="1" applyBorder="1"/>
    <xf numFmtId="1" fontId="4" fillId="0" borderId="10" xfId="2" applyNumberFormat="1" applyFill="1" applyBorder="1"/>
    <xf numFmtId="1" fontId="4" fillId="0" borderId="12" xfId="2" applyNumberFormat="1" applyFill="1" applyBorder="1"/>
    <xf numFmtId="1" fontId="4" fillId="0" borderId="15" xfId="2" applyNumberFormat="1" applyFill="1" applyBorder="1"/>
    <xf numFmtId="0" fontId="4" fillId="0" borderId="9" xfId="2" applyBorder="1" applyAlignment="1">
      <alignment horizontal="right"/>
    </xf>
    <xf numFmtId="164" fontId="4" fillId="0" borderId="0" xfId="2" applyNumberFormat="1"/>
    <xf numFmtId="0" fontId="14" fillId="0" borderId="0" xfId="2" applyFont="1"/>
    <xf numFmtId="164" fontId="4" fillId="0" borderId="27" xfId="2" applyNumberFormat="1" applyBorder="1"/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1"/>
  <sheetViews>
    <sheetView showGridLines="0" workbookViewId="0">
      <selection activeCell="C10" sqref="C10"/>
    </sheetView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2016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1</v>
      </c>
      <c r="C8" t="s">
        <v>336</v>
      </c>
      <c r="D8">
        <v>2</v>
      </c>
      <c r="E8" t="s">
        <v>337</v>
      </c>
    </row>
    <row r="10" spans="2:6" x14ac:dyDescent="0.2">
      <c r="C10" t="s">
        <v>12</v>
      </c>
      <c r="E10" t="s">
        <v>22</v>
      </c>
    </row>
    <row r="11" spans="2:6" x14ac:dyDescent="0.2">
      <c r="E11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55" workbookViewId="0">
      <selection activeCell="C59" sqref="C59"/>
    </sheetView>
  </sheetViews>
  <sheetFormatPr defaultColWidth="9.14062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/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0</v>
      </c>
      <c r="E10" s="15"/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-2000</v>
      </c>
      <c r="D12" s="15">
        <v>3748</v>
      </c>
      <c r="E12" s="15"/>
      <c r="F12" s="15" t="s">
        <v>6</v>
      </c>
      <c r="G12" s="15">
        <f t="shared" si="0"/>
        <v>1748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20</v>
      </c>
      <c r="D27" s="15">
        <v>0</v>
      </c>
      <c r="E27" s="15"/>
      <c r="F27" s="15" t="s">
        <v>6</v>
      </c>
      <c r="G27" s="15">
        <f t="shared" si="2"/>
        <v>20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>
        <v>-50000</v>
      </c>
      <c r="D39" s="14">
        <v>50000</v>
      </c>
      <c r="E39" s="15"/>
      <c r="F39" s="15" t="s">
        <v>6</v>
      </c>
      <c r="G39" s="15">
        <f t="shared" si="3"/>
        <v>0</v>
      </c>
      <c r="H39" s="17" t="str">
        <f t="shared" si="4"/>
        <v>sold</v>
      </c>
    </row>
    <row r="40" spans="2:8" x14ac:dyDescent="0.2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>
        <v>7684</v>
      </c>
      <c r="D59" s="14">
        <v>0</v>
      </c>
      <c r="E59" s="15"/>
      <c r="F59" s="15" t="s">
        <v>6</v>
      </c>
      <c r="G59" s="15">
        <f t="shared" si="3"/>
        <v>7684</v>
      </c>
      <c r="H59" s="17" t="str">
        <f t="shared" si="4"/>
        <v>new</v>
      </c>
    </row>
    <row r="60" spans="2:8" x14ac:dyDescent="0.2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>
        <v>13204</v>
      </c>
      <c r="D66" s="15">
        <v>0</v>
      </c>
      <c r="E66" s="15"/>
      <c r="F66" s="15" t="s">
        <v>6</v>
      </c>
      <c r="G66" s="15">
        <f t="shared" si="3"/>
        <v>13204</v>
      </c>
      <c r="H66" s="17" t="str">
        <f t="shared" si="4"/>
        <v>new</v>
      </c>
    </row>
    <row r="67" spans="2:8" x14ac:dyDescent="0.2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>
        <v>-51000</v>
      </c>
      <c r="D76" s="15">
        <v>51000</v>
      </c>
      <c r="E76" s="15"/>
      <c r="F76" s="15" t="s">
        <v>6</v>
      </c>
      <c r="G76" s="15">
        <f t="shared" si="5"/>
        <v>0</v>
      </c>
      <c r="H76" s="17" t="str">
        <f t="shared" si="6"/>
        <v>sold</v>
      </c>
    </row>
    <row r="77" spans="2:8" x14ac:dyDescent="0.2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>
        <v>5458</v>
      </c>
      <c r="D83" s="14">
        <v>0</v>
      </c>
      <c r="E83" s="15"/>
      <c r="F83" s="15" t="s">
        <v>6</v>
      </c>
      <c r="G83" s="15">
        <f t="shared" si="5"/>
        <v>5458</v>
      </c>
      <c r="H83" s="17" t="str">
        <f t="shared" si="6"/>
        <v>new</v>
      </c>
    </row>
    <row r="84" spans="2:8" x14ac:dyDescent="0.2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A19" workbookViewId="0">
      <selection activeCell="O48" sqref="O48"/>
    </sheetView>
  </sheetViews>
  <sheetFormatPr defaultColWidth="9.14062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586.26074700000004</v>
      </c>
      <c r="D6" s="87">
        <v>412.138645</v>
      </c>
      <c r="E6" s="87">
        <v>297.75497000000001</v>
      </c>
      <c r="F6" s="87">
        <v>3778.3869500000001</v>
      </c>
      <c r="G6" s="87">
        <v>3480.8022900000001</v>
      </c>
      <c r="H6" s="87">
        <v>2845.9036500000002</v>
      </c>
      <c r="I6" s="87">
        <v>0</v>
      </c>
      <c r="J6" s="87">
        <v>4309.6357399999997</v>
      </c>
      <c r="K6" s="87">
        <v>3758.6462000000001</v>
      </c>
      <c r="L6" s="87">
        <v>2149.9965400000001</v>
      </c>
      <c r="M6" s="87">
        <v>1937.1906300000001</v>
      </c>
      <c r="N6" s="87">
        <v>2273.64687</v>
      </c>
    </row>
    <row r="7" spans="2:14" x14ac:dyDescent="0.2">
      <c r="B7" s="36" t="s">
        <v>105</v>
      </c>
      <c r="C7" s="88">
        <v>0</v>
      </c>
      <c r="D7" s="89">
        <v>0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89">
        <v>0</v>
      </c>
      <c r="M7" s="89">
        <v>0</v>
      </c>
      <c r="N7" s="89">
        <v>0</v>
      </c>
    </row>
    <row r="8" spans="2:14" x14ac:dyDescent="0.2">
      <c r="B8" s="36" t="s">
        <v>106</v>
      </c>
      <c r="C8" s="88">
        <v>302.05924900000002</v>
      </c>
      <c r="D8" s="89">
        <v>235.68459300000001</v>
      </c>
      <c r="E8" s="89">
        <v>0</v>
      </c>
      <c r="F8" s="89">
        <v>0</v>
      </c>
      <c r="G8" s="89">
        <v>0</v>
      </c>
      <c r="H8" s="89">
        <v>0</v>
      </c>
      <c r="I8" s="89">
        <v>291.699051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1611.8119300000001</v>
      </c>
      <c r="D10" s="89">
        <v>621.26024600000005</v>
      </c>
      <c r="E10" s="89">
        <v>783.09284400000001</v>
      </c>
      <c r="F10" s="89">
        <v>0</v>
      </c>
      <c r="G10" s="89">
        <v>0</v>
      </c>
      <c r="H10" s="89">
        <v>0</v>
      </c>
      <c r="I10" s="89">
        <v>1790.2679499999999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2016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2017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2018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9"/>
      <c r="P34" s="63">
        <f>O34+M34</f>
        <v>0</v>
      </c>
    </row>
    <row r="35" spans="2:17" x14ac:dyDescent="0.2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2016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">
      <c r="B37" s="36"/>
      <c r="C37" s="47">
        <f>basic_info!$D$5+1</f>
        <v>2017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9">
        <v>14134.438200000001</v>
      </c>
      <c r="P37" s="63">
        <f>O37+M37+K37+I37+G37</f>
        <v>14134.438200000001</v>
      </c>
    </row>
    <row r="38" spans="2:17" x14ac:dyDescent="0.2">
      <c r="B38" s="36"/>
      <c r="C38" s="47">
        <f>basic_info!$D$5+2</f>
        <v>2018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9">
        <v>12367.633400000001</v>
      </c>
      <c r="P38" s="63">
        <f>O38+M38+K38+I38</f>
        <v>12367.633400000001</v>
      </c>
    </row>
    <row r="39" spans="2:17" x14ac:dyDescent="0.2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9">
        <v>8834.0238599999993</v>
      </c>
      <c r="P39" s="63">
        <f>O39+M39+K39</f>
        <v>8834.0238599999993</v>
      </c>
    </row>
    <row r="40" spans="2:17" x14ac:dyDescent="0.2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9">
        <v>5300.4143100000001</v>
      </c>
      <c r="P40" s="63">
        <f>O40+M40</f>
        <v>5300.4143100000001</v>
      </c>
    </row>
    <row r="41" spans="2:17" x14ac:dyDescent="0.2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9">
        <v>3533.6095399999999</v>
      </c>
      <c r="P41" s="64">
        <f>O41</f>
        <v>3533.6095399999999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 x14ac:dyDescent="0.2">
      <c r="B48" s="37" t="s">
        <v>113</v>
      </c>
      <c r="C48" s="92">
        <v>7.9454424699999997</v>
      </c>
      <c r="D48" s="92">
        <v>4.0331590999999998</v>
      </c>
      <c r="E48" s="92">
        <v>3.4349443900000001</v>
      </c>
      <c r="F48" s="92">
        <v>12.0077488</v>
      </c>
      <c r="G48" s="92">
        <v>11.062022000000001</v>
      </c>
      <c r="H48" s="92">
        <v>9.0443082100000005</v>
      </c>
      <c r="I48" s="92">
        <v>6.6165104499999998</v>
      </c>
      <c r="J48" s="92">
        <v>13.696062400000001</v>
      </c>
      <c r="K48" s="92">
        <v>11.945012500000001</v>
      </c>
      <c r="L48" s="92">
        <v>6.8327089599999997</v>
      </c>
      <c r="M48" s="92">
        <v>6.1564098100000004</v>
      </c>
      <c r="N48" s="92">
        <v>7.2256708600000001</v>
      </c>
      <c r="O48" s="33">
        <f>SUM(C48:N48)</f>
        <v>99.999999950000003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11" workbookViewId="0">
      <selection activeCell="B34" sqref="B34"/>
    </sheetView>
  </sheetViews>
  <sheetFormatPr defaultColWidth="9.140625"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3">
        <v>28.139631399999999</v>
      </c>
      <c r="D6" s="93">
        <v>9.3400836900000002</v>
      </c>
      <c r="E6" s="93">
        <v>62.5202849</v>
      </c>
      <c r="F6" s="97">
        <f>SUM($C$6:$E$6)</f>
        <v>99.999999989999992</v>
      </c>
      <c r="G6" s="49"/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3"/>
      <c r="D7" s="93"/>
      <c r="E7" s="93"/>
      <c r="F7" s="97">
        <f>SUM($C$7:$E$7)</f>
        <v>0</v>
      </c>
      <c r="G7" s="49"/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3"/>
      <c r="D8" s="93">
        <v>100</v>
      </c>
      <c r="E8" s="93"/>
      <c r="F8" s="97">
        <f>SUM($C$8:$E$8)</f>
        <v>100</v>
      </c>
      <c r="G8" s="49"/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3"/>
      <c r="D9" s="93"/>
      <c r="E9" s="93"/>
      <c r="F9" s="97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3"/>
      <c r="D10" s="93"/>
      <c r="E10" s="93"/>
      <c r="F10" s="97">
        <f>SUM($C$10:$E$10)</f>
        <v>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94"/>
      <c r="D11" s="94">
        <v>6.3878807699999998</v>
      </c>
      <c r="E11" s="94">
        <v>93.612119199999995</v>
      </c>
      <c r="F11" s="96">
        <f>SUM($C$11:$E$11)</f>
        <v>99.99999996999999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94">
        <v>20.184854000000001</v>
      </c>
      <c r="D19" s="33">
        <f>100-$C$19</f>
        <v>79.815145999999999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3"/>
      <c r="D27" s="93">
        <v>29.045392700000001</v>
      </c>
      <c r="E27" s="95">
        <v>14.9845127</v>
      </c>
      <c r="L27" s="50"/>
      <c r="M27" s="50"/>
      <c r="N27" s="50"/>
    </row>
    <row r="28" spans="2:14" x14ac:dyDescent="0.2">
      <c r="B28" s="45" t="s">
        <v>59</v>
      </c>
      <c r="C28" s="93"/>
      <c r="D28" s="93">
        <v>70.954607300000006</v>
      </c>
      <c r="E28" s="95">
        <v>85.015487300000004</v>
      </c>
      <c r="L28" s="50"/>
      <c r="M28" s="50"/>
      <c r="N28" s="50"/>
    </row>
    <row r="29" spans="2:14" x14ac:dyDescent="0.2">
      <c r="B29" s="45" t="s">
        <v>150</v>
      </c>
      <c r="C29" s="98">
        <f>SUM($C$27:$C$28)</f>
        <v>0</v>
      </c>
      <c r="D29" s="98">
        <f>SUM($D$27:$D$28)</f>
        <v>100</v>
      </c>
      <c r="E29" s="96">
        <f>SUM($E$27:$E$28)</f>
        <v>100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24.159594899999998</v>
      </c>
      <c r="D36" s="93">
        <v>0</v>
      </c>
      <c r="E36" s="93">
        <v>22.898121499999998</v>
      </c>
      <c r="F36" s="93">
        <v>11.8901436</v>
      </c>
      <c r="G36" s="93">
        <v>3.9438508099999998</v>
      </c>
      <c r="H36" s="93">
        <v>0</v>
      </c>
      <c r="I36" s="93">
        <v>0</v>
      </c>
      <c r="J36" s="93">
        <v>0</v>
      </c>
      <c r="K36" s="93">
        <v>0</v>
      </c>
      <c r="L36" s="93">
        <v>0</v>
      </c>
      <c r="M36" s="93">
        <v>17.811978799999999</v>
      </c>
      <c r="N36" s="95">
        <v>19.296310299999998</v>
      </c>
    </row>
    <row r="37" spans="2:14" x14ac:dyDescent="0.2">
      <c r="B37" s="45" t="s">
        <v>59</v>
      </c>
      <c r="C37" s="94">
        <v>0</v>
      </c>
      <c r="D37" s="94">
        <v>9.4350258700000005</v>
      </c>
      <c r="E37" s="94">
        <v>0</v>
      </c>
      <c r="F37" s="94">
        <v>0</v>
      </c>
      <c r="G37" s="94">
        <v>26.976415599999999</v>
      </c>
      <c r="H37" s="94">
        <v>28.803047899999999</v>
      </c>
      <c r="I37" s="94">
        <v>0</v>
      </c>
      <c r="J37" s="94">
        <v>0</v>
      </c>
      <c r="K37" s="94">
        <v>0</v>
      </c>
      <c r="L37" s="94">
        <v>10.628906000000001</v>
      </c>
      <c r="M37" s="94">
        <v>11.5951702</v>
      </c>
      <c r="N37" s="89">
        <v>12.5614344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L34" sqref="L34"/>
    </sheetView>
  </sheetViews>
  <sheetFormatPr defaultColWidth="9.14062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2.1514723600000001</v>
      </c>
      <c r="E6" s="89">
        <v>2.1514723600000001</v>
      </c>
      <c r="F6" s="89">
        <v>1.17752974</v>
      </c>
      <c r="G6" s="89">
        <v>1.0738847300000001</v>
      </c>
      <c r="H6" s="89">
        <v>1.33807264</v>
      </c>
      <c r="I6" s="89">
        <v>1.3545920499999999</v>
      </c>
      <c r="J6" s="89">
        <v>1.4041503</v>
      </c>
      <c r="K6" s="89">
        <v>1.0293776699999999</v>
      </c>
      <c r="L6" s="89">
        <v>1.0878650400000001</v>
      </c>
      <c r="M6" s="89">
        <v>1.4782879799999999</v>
      </c>
      <c r="N6" s="89">
        <v>1.4588368199999999</v>
      </c>
      <c r="O6" s="89">
        <v>1.4782879799999999</v>
      </c>
    </row>
    <row r="7" spans="2:15" x14ac:dyDescent="0.2">
      <c r="C7" s="36" t="s">
        <v>127</v>
      </c>
      <c r="D7" s="89">
        <v>1.8755255099999999</v>
      </c>
      <c r="E7" s="89">
        <v>1.8755255099999999</v>
      </c>
      <c r="F7" s="89">
        <v>1.0215055</v>
      </c>
      <c r="G7" s="89">
        <v>1.3677997200000001</v>
      </c>
      <c r="H7" s="89">
        <v>1.4042743799999999</v>
      </c>
      <c r="I7" s="89">
        <v>1.42251171</v>
      </c>
      <c r="J7" s="89">
        <v>1.4589863700000001</v>
      </c>
      <c r="K7" s="89">
        <v>1.3018275800000001</v>
      </c>
      <c r="L7" s="89">
        <v>1.3721966400000001</v>
      </c>
      <c r="M7" s="89">
        <v>1.05210095</v>
      </c>
      <c r="N7" s="89">
        <v>1.02947513</v>
      </c>
      <c r="O7" s="89">
        <v>1.04078804</v>
      </c>
    </row>
    <row r="8" spans="2:15" x14ac:dyDescent="0.2">
      <c r="C8" s="36" t="s">
        <v>128</v>
      </c>
      <c r="D8" s="89">
        <v>1.4576220499999999</v>
      </c>
      <c r="E8" s="89">
        <v>4</v>
      </c>
      <c r="F8" s="89">
        <v>4</v>
      </c>
      <c r="G8" s="89">
        <v>1.45268116</v>
      </c>
      <c r="H8" s="89">
        <v>1.48646444</v>
      </c>
      <c r="I8" s="89">
        <v>1.0899810999999999</v>
      </c>
      <c r="J8" s="89">
        <v>1.7169773699999999</v>
      </c>
      <c r="K8" s="89">
        <v>1.59577897</v>
      </c>
      <c r="L8" s="89">
        <v>1.65637817</v>
      </c>
      <c r="M8" s="89">
        <v>1.65637817</v>
      </c>
      <c r="N8" s="89">
        <v>1.12050797</v>
      </c>
      <c r="O8" s="89">
        <v>1.12050797</v>
      </c>
    </row>
    <row r="9" spans="2:15" x14ac:dyDescent="0.2">
      <c r="C9" s="36" t="s">
        <v>129</v>
      </c>
      <c r="D9" s="89">
        <v>2.0979764200000002</v>
      </c>
      <c r="E9" s="89">
        <v>2.0979764200000002</v>
      </c>
      <c r="F9" s="89">
        <v>0.90601010000000004</v>
      </c>
      <c r="G9" s="89">
        <v>1.4999395799999999</v>
      </c>
      <c r="H9" s="89">
        <v>1.395106</v>
      </c>
      <c r="I9" s="89">
        <v>2.0308054900000001</v>
      </c>
      <c r="J9" s="89">
        <v>2.0872167500000001</v>
      </c>
      <c r="K9" s="89">
        <v>1.94618859</v>
      </c>
      <c r="L9" s="89">
        <v>1.6475973500000001</v>
      </c>
      <c r="M9" s="89">
        <v>2.0615328000000002</v>
      </c>
      <c r="N9" s="89">
        <v>1.08676276</v>
      </c>
      <c r="O9" s="89">
        <v>1.63007513</v>
      </c>
    </row>
    <row r="10" spans="2:15" x14ac:dyDescent="0.2">
      <c r="C10" s="36" t="s">
        <v>130</v>
      </c>
      <c r="D10" s="89">
        <v>1.20402992</v>
      </c>
      <c r="E10" s="89">
        <v>1.21683875</v>
      </c>
      <c r="F10" s="89">
        <v>1.3008749100000001</v>
      </c>
      <c r="G10" s="89">
        <v>1.3557674799999999</v>
      </c>
      <c r="H10" s="89">
        <v>1.0966338200000001</v>
      </c>
      <c r="I10" s="89">
        <v>1.09223973</v>
      </c>
      <c r="J10" s="89">
        <v>2.0746481399999999</v>
      </c>
      <c r="K10" s="89">
        <v>1.9831195500000001</v>
      </c>
      <c r="L10" s="89">
        <v>2.0441386100000001</v>
      </c>
      <c r="M10" s="89">
        <v>1.16397182</v>
      </c>
      <c r="N10" s="89">
        <v>1.93012797</v>
      </c>
      <c r="O10" s="89">
        <v>1.7613721899999999</v>
      </c>
    </row>
    <row r="11" spans="2:15" x14ac:dyDescent="0.2">
      <c r="C11" s="36" t="s">
        <v>131</v>
      </c>
      <c r="D11" s="89">
        <v>2.6146794299999998</v>
      </c>
      <c r="E11" s="89">
        <v>2.12031774</v>
      </c>
      <c r="F11" s="89">
        <v>2.0539996399999998</v>
      </c>
      <c r="G11" s="89">
        <v>1.67118392</v>
      </c>
      <c r="H11" s="89">
        <v>1.8434433699999999</v>
      </c>
      <c r="I11" s="89">
        <v>1.6005175899999999</v>
      </c>
      <c r="J11" s="89">
        <v>2.46990811</v>
      </c>
      <c r="K11" s="89">
        <v>1.97619889</v>
      </c>
      <c r="L11" s="89">
        <v>1.61532751</v>
      </c>
      <c r="M11" s="89">
        <v>2.0332418400000001</v>
      </c>
      <c r="N11" s="89">
        <v>2.2449717300000001</v>
      </c>
      <c r="O11" s="89">
        <v>2.4499138999999999</v>
      </c>
    </row>
    <row r="12" spans="2:15" x14ac:dyDescent="0.2">
      <c r="C12" s="37" t="s">
        <v>132</v>
      </c>
      <c r="D12" s="89">
        <v>1.8660382499999999</v>
      </c>
      <c r="E12" s="89">
        <v>1.15832062</v>
      </c>
      <c r="F12" s="89">
        <v>1.3454074600000001</v>
      </c>
      <c r="G12" s="89">
        <v>2.0621020799999998</v>
      </c>
      <c r="H12" s="89">
        <v>2.0112677900000002</v>
      </c>
      <c r="I12" s="89">
        <v>2.4439931700000002</v>
      </c>
      <c r="J12" s="89">
        <v>2.1661951400000001</v>
      </c>
      <c r="K12" s="89">
        <v>2.07401663</v>
      </c>
      <c r="L12" s="89">
        <v>2.6592267399999998</v>
      </c>
      <c r="M12" s="89">
        <v>1.9690457299999999</v>
      </c>
      <c r="N12" s="89">
        <v>2.2018740700000001</v>
      </c>
      <c r="O12" s="89">
        <v>2.0364578400000002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1.16974735</v>
      </c>
      <c r="E15" s="89">
        <v>1.94511576</v>
      </c>
      <c r="F15" s="89">
        <v>1.94511576</v>
      </c>
      <c r="G15" s="89">
        <v>1.94511576</v>
      </c>
      <c r="H15" s="89">
        <v>2.59442255</v>
      </c>
      <c r="I15" s="89">
        <v>2.5627832499999998</v>
      </c>
      <c r="J15" s="89">
        <v>1.2395049899999999</v>
      </c>
      <c r="K15" s="89">
        <v>1.2066120499999999</v>
      </c>
      <c r="L15" s="89">
        <v>1.65194153</v>
      </c>
      <c r="M15" s="89">
        <v>1.65194153</v>
      </c>
      <c r="N15" s="89">
        <v>1.65194153</v>
      </c>
      <c r="O15" s="89">
        <v>1.16974735</v>
      </c>
    </row>
    <row r="16" spans="2:15" x14ac:dyDescent="0.2">
      <c r="C16" s="36" t="s">
        <v>127</v>
      </c>
      <c r="D16" s="89">
        <v>1.75922646</v>
      </c>
      <c r="E16" s="89">
        <v>1.1312913499999999</v>
      </c>
      <c r="F16" s="89">
        <v>1.1312913499999999</v>
      </c>
      <c r="G16" s="89">
        <v>1.1312913499999999</v>
      </c>
      <c r="H16" s="89">
        <v>2.46497638</v>
      </c>
      <c r="I16" s="89">
        <v>2.4917696</v>
      </c>
      <c r="J16" s="89">
        <v>1.0215055</v>
      </c>
      <c r="K16" s="89">
        <v>1.8237329600000001</v>
      </c>
      <c r="L16" s="89">
        <v>1.8237329600000001</v>
      </c>
      <c r="M16" s="89">
        <v>1.8237329600000001</v>
      </c>
      <c r="N16" s="89">
        <v>1.8237329600000001</v>
      </c>
      <c r="O16" s="89">
        <v>1.75922646</v>
      </c>
    </row>
    <row r="17" spans="2:15" x14ac:dyDescent="0.2">
      <c r="C17" s="36" t="s">
        <v>128</v>
      </c>
      <c r="D17" s="89">
        <v>2.0199733800000002</v>
      </c>
      <c r="E17" s="89">
        <v>2.0199733800000002</v>
      </c>
      <c r="F17" s="89">
        <v>1.12050797</v>
      </c>
      <c r="G17" s="89">
        <v>1.12050797</v>
      </c>
      <c r="H17" s="89">
        <v>1.5343389999999999</v>
      </c>
      <c r="I17" s="89">
        <v>4</v>
      </c>
      <c r="J17" s="89">
        <v>4</v>
      </c>
      <c r="K17" s="89">
        <v>1.6891641399999999</v>
      </c>
      <c r="L17" s="89">
        <v>1.6891641399999999</v>
      </c>
      <c r="M17" s="89">
        <v>1.0899810999999999</v>
      </c>
      <c r="N17" s="89">
        <v>2.0199733800000002</v>
      </c>
      <c r="O17" s="89">
        <v>2.0199733800000002</v>
      </c>
    </row>
    <row r="18" spans="2:15" x14ac:dyDescent="0.2">
      <c r="C18" s="36" t="s">
        <v>129</v>
      </c>
      <c r="D18" s="89">
        <v>2.0855662700000002</v>
      </c>
      <c r="E18" s="89">
        <v>2.6422462599999998</v>
      </c>
      <c r="F18" s="89">
        <v>1.08676276</v>
      </c>
      <c r="G18" s="89">
        <v>2.0375939199999999</v>
      </c>
      <c r="H18" s="89">
        <v>2.7015038800000002</v>
      </c>
      <c r="I18" s="89">
        <v>2.6727644800000001</v>
      </c>
      <c r="J18" s="89">
        <v>0.90601010000000004</v>
      </c>
      <c r="K18" s="89">
        <v>1.8291946100000001</v>
      </c>
      <c r="L18" s="89">
        <v>4</v>
      </c>
      <c r="M18" s="89">
        <v>2.5103012300000001</v>
      </c>
      <c r="N18" s="89">
        <v>2.4820956000000001</v>
      </c>
      <c r="O18" s="89">
        <v>2.6231237599999999</v>
      </c>
    </row>
    <row r="19" spans="2:15" x14ac:dyDescent="0.2">
      <c r="C19" s="36" t="s">
        <v>130</v>
      </c>
      <c r="D19" s="89">
        <v>2.6238197099999998</v>
      </c>
      <c r="E19" s="89">
        <v>1.2790899099999999</v>
      </c>
      <c r="F19" s="89">
        <v>2.5927092100000002</v>
      </c>
      <c r="G19" s="89">
        <v>2.3567656000000001</v>
      </c>
      <c r="H19" s="89">
        <v>1.2808828999999999</v>
      </c>
      <c r="I19" s="89">
        <v>1.2808828999999999</v>
      </c>
      <c r="J19" s="89">
        <v>4</v>
      </c>
      <c r="K19" s="89">
        <v>1.7161613600000001</v>
      </c>
      <c r="L19" s="89">
        <v>1.1423269</v>
      </c>
      <c r="M19" s="89">
        <v>1.10327245</v>
      </c>
      <c r="N19" s="89">
        <v>2.6848387699999998</v>
      </c>
      <c r="O19" s="89">
        <v>2.65432924</v>
      </c>
    </row>
    <row r="20" spans="2:15" x14ac:dyDescent="0.2">
      <c r="C20" s="36" t="s">
        <v>131</v>
      </c>
      <c r="D20" s="89">
        <v>1.61532751</v>
      </c>
      <c r="E20" s="89">
        <v>2.1402545700000002</v>
      </c>
      <c r="F20" s="89">
        <v>2.6411432100000001</v>
      </c>
      <c r="G20" s="89">
        <v>2.9876998800000001</v>
      </c>
      <c r="H20" s="89">
        <v>3.2279993</v>
      </c>
      <c r="I20" s="89">
        <v>2.2086643100000001</v>
      </c>
      <c r="J20" s="89">
        <v>2.0747471100000001</v>
      </c>
      <c r="K20" s="89">
        <v>1.67118392</v>
      </c>
      <c r="L20" s="89">
        <v>1.8434433699999999</v>
      </c>
      <c r="M20" s="89">
        <v>1.6005175899999999</v>
      </c>
      <c r="N20" s="89">
        <v>2.9757929000000001</v>
      </c>
      <c r="O20" s="89">
        <v>2.1716471400000001</v>
      </c>
    </row>
    <row r="21" spans="2:15" x14ac:dyDescent="0.2">
      <c r="C21" s="37" t="s">
        <v>132</v>
      </c>
      <c r="D21" s="89">
        <v>3.2987875999999998</v>
      </c>
      <c r="E21" s="89">
        <v>1.9889350800000001</v>
      </c>
      <c r="F21" s="89">
        <v>2.5308897400000001</v>
      </c>
      <c r="G21" s="89">
        <v>2.1213102500000001</v>
      </c>
      <c r="H21" s="89">
        <v>1.8660382499999999</v>
      </c>
      <c r="I21" s="89">
        <v>1.15832062</v>
      </c>
      <c r="J21" s="89">
        <v>1.3454074600000001</v>
      </c>
      <c r="K21" s="89">
        <v>2.2414152999999999</v>
      </c>
      <c r="L21" s="89">
        <v>2.0734719500000001</v>
      </c>
      <c r="M21" s="89">
        <v>2.9095156800000002</v>
      </c>
      <c r="N21" s="89">
        <v>2.3044629200000002</v>
      </c>
      <c r="O21" s="89">
        <v>2.3044629200000002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1.16974735</v>
      </c>
      <c r="E24" s="89">
        <v>1.94511576</v>
      </c>
      <c r="F24" s="89">
        <v>1.94511576</v>
      </c>
      <c r="G24" s="89">
        <v>1.94511576</v>
      </c>
      <c r="H24" s="89">
        <v>2.59442255</v>
      </c>
      <c r="I24" s="89">
        <v>2.5627832499999998</v>
      </c>
      <c r="J24" s="89">
        <v>1.2395049899999999</v>
      </c>
      <c r="K24" s="89">
        <v>1.2066120499999999</v>
      </c>
      <c r="L24" s="89">
        <v>1.65194153</v>
      </c>
      <c r="M24" s="89">
        <v>1.65194153</v>
      </c>
      <c r="N24" s="89">
        <v>1.65194153</v>
      </c>
      <c r="O24" s="89">
        <v>1.16974735</v>
      </c>
    </row>
    <row r="25" spans="2:15" x14ac:dyDescent="0.2">
      <c r="C25" s="36" t="s">
        <v>127</v>
      </c>
      <c r="D25" s="89">
        <v>1.75922646</v>
      </c>
      <c r="E25" s="89">
        <v>1.1312913499999999</v>
      </c>
      <c r="F25" s="89">
        <v>1.1312913499999999</v>
      </c>
      <c r="G25" s="89">
        <v>1.1312913499999999</v>
      </c>
      <c r="H25" s="89">
        <v>2.1970441599999999</v>
      </c>
      <c r="I25" s="89">
        <v>2.1702509399999999</v>
      </c>
      <c r="J25" s="89">
        <v>1.0215055</v>
      </c>
      <c r="K25" s="89">
        <v>1.8237329600000001</v>
      </c>
      <c r="L25" s="89">
        <v>1.8237329600000001</v>
      </c>
      <c r="M25" s="89">
        <v>1.8237329600000001</v>
      </c>
      <c r="N25" s="89">
        <v>1.8237329600000001</v>
      </c>
      <c r="O25" s="89">
        <v>1.75922646</v>
      </c>
    </row>
    <row r="26" spans="2:15" x14ac:dyDescent="0.2">
      <c r="C26" s="36" t="s">
        <v>128</v>
      </c>
      <c r="D26" s="89">
        <v>2.0199733800000002</v>
      </c>
      <c r="E26" s="89">
        <v>2.0199733800000002</v>
      </c>
      <c r="F26" s="89">
        <v>1.12050797</v>
      </c>
      <c r="G26" s="89">
        <v>1.12050797</v>
      </c>
      <c r="H26" s="89">
        <v>1.5343389999999999</v>
      </c>
      <c r="I26" s="89">
        <v>4</v>
      </c>
      <c r="J26" s="89">
        <v>4</v>
      </c>
      <c r="K26" s="89">
        <v>1.6891641399999999</v>
      </c>
      <c r="L26" s="89">
        <v>1.6891641399999999</v>
      </c>
      <c r="M26" s="89">
        <v>1.0899810999999999</v>
      </c>
      <c r="N26" s="89">
        <v>2.0199733800000002</v>
      </c>
      <c r="O26" s="89">
        <v>2.0199733800000002</v>
      </c>
    </row>
    <row r="27" spans="2:15" x14ac:dyDescent="0.2">
      <c r="C27" s="36" t="s">
        <v>129</v>
      </c>
      <c r="D27" s="89">
        <v>2.0855662700000002</v>
      </c>
      <c r="E27" s="89">
        <v>2.46803222</v>
      </c>
      <c r="F27" s="89">
        <v>1.08676276</v>
      </c>
      <c r="G27" s="89">
        <v>2.0375939199999999</v>
      </c>
      <c r="H27" s="89">
        <v>2.5290674599999998</v>
      </c>
      <c r="I27" s="89">
        <v>2.5003280600000002</v>
      </c>
      <c r="J27" s="89">
        <v>0.90601010000000004</v>
      </c>
      <c r="K27" s="89">
        <v>1.8291946100000001</v>
      </c>
      <c r="L27" s="89">
        <v>4</v>
      </c>
      <c r="M27" s="89">
        <v>2.5103012300000001</v>
      </c>
      <c r="N27" s="89">
        <v>2.4820956000000001</v>
      </c>
      <c r="O27" s="89">
        <v>2.4538899700000001</v>
      </c>
    </row>
    <row r="28" spans="2:15" x14ac:dyDescent="0.2">
      <c r="C28" s="36" t="s">
        <v>130</v>
      </c>
      <c r="D28" s="89">
        <v>2.6238197099999998</v>
      </c>
      <c r="E28" s="89">
        <v>1.2790899099999999</v>
      </c>
      <c r="F28" s="89">
        <v>2.4198619300000002</v>
      </c>
      <c r="G28" s="89">
        <v>2.3567656000000001</v>
      </c>
      <c r="H28" s="89">
        <v>1.2808828999999999</v>
      </c>
      <c r="I28" s="89">
        <v>1.2808828999999999</v>
      </c>
      <c r="J28" s="89">
        <v>4</v>
      </c>
      <c r="K28" s="89">
        <v>1.7161613600000001</v>
      </c>
      <c r="L28" s="89">
        <v>1.1423269</v>
      </c>
      <c r="M28" s="89">
        <v>1.10327245</v>
      </c>
      <c r="N28" s="89">
        <v>2.6848387699999998</v>
      </c>
      <c r="O28" s="89">
        <v>2.65432924</v>
      </c>
    </row>
    <row r="29" spans="2:15" x14ac:dyDescent="0.2">
      <c r="C29" s="36" t="s">
        <v>131</v>
      </c>
      <c r="D29" s="89">
        <v>1.61532751</v>
      </c>
      <c r="E29" s="89">
        <v>2.1402545700000002</v>
      </c>
      <c r="F29" s="89">
        <v>2.6411432100000001</v>
      </c>
      <c r="G29" s="89">
        <v>2.9876998800000001</v>
      </c>
      <c r="H29" s="89">
        <v>3.0343193400000001</v>
      </c>
      <c r="I29" s="89">
        <v>2.2086643100000001</v>
      </c>
      <c r="J29" s="89">
        <v>2.0747471100000001</v>
      </c>
      <c r="K29" s="89">
        <v>1.67118392</v>
      </c>
      <c r="L29" s="89">
        <v>1.8434433699999999</v>
      </c>
      <c r="M29" s="89">
        <v>1.6005175899999999</v>
      </c>
      <c r="N29" s="89">
        <v>2.9757929000000001</v>
      </c>
      <c r="O29" s="89">
        <v>2.1716471400000001</v>
      </c>
    </row>
    <row r="30" spans="2:15" x14ac:dyDescent="0.2">
      <c r="C30" s="37" t="s">
        <v>132</v>
      </c>
      <c r="D30" s="89">
        <v>3.2314654100000002</v>
      </c>
      <c r="E30" s="89">
        <v>1.9889350800000001</v>
      </c>
      <c r="F30" s="89">
        <v>2.5308897400000001</v>
      </c>
      <c r="G30" s="89">
        <v>2.1213102500000001</v>
      </c>
      <c r="H30" s="89">
        <v>1.8660382499999999</v>
      </c>
      <c r="I30" s="89">
        <v>1.15832062</v>
      </c>
      <c r="J30" s="89">
        <v>1.3454074600000001</v>
      </c>
      <c r="K30" s="89">
        <v>2.2414152999999999</v>
      </c>
      <c r="L30" s="89">
        <v>2.0734719500000001</v>
      </c>
      <c r="M30" s="89">
        <v>2.9095156800000002</v>
      </c>
      <c r="N30" s="89">
        <v>2.3044629200000002</v>
      </c>
      <c r="O30" s="89">
        <v>2.3044629200000002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1.16974735</v>
      </c>
      <c r="E33" s="89">
        <v>1.84785997</v>
      </c>
      <c r="F33" s="89">
        <v>1.86731113</v>
      </c>
      <c r="G33" s="89">
        <v>1.84785997</v>
      </c>
      <c r="H33" s="89">
        <v>2.2147509599999999</v>
      </c>
      <c r="I33" s="89">
        <v>2.5627832499999998</v>
      </c>
      <c r="J33" s="89">
        <v>1.2395049899999999</v>
      </c>
      <c r="K33" s="89">
        <v>1.2066120499999999</v>
      </c>
      <c r="L33" s="89">
        <v>1.65194153</v>
      </c>
      <c r="M33" s="89">
        <v>1.65194153</v>
      </c>
      <c r="N33" s="89">
        <v>1.65194153</v>
      </c>
      <c r="O33" s="89">
        <v>1.16974735</v>
      </c>
    </row>
    <row r="34" spans="3:15" x14ac:dyDescent="0.2">
      <c r="C34" s="36" t="s">
        <v>127</v>
      </c>
      <c r="D34" s="89">
        <v>1.7240419300000001</v>
      </c>
      <c r="E34" s="89">
        <v>1.1312913499999999</v>
      </c>
      <c r="F34" s="89">
        <v>1.1312913499999999</v>
      </c>
      <c r="G34" s="89">
        <v>1.1312913499999999</v>
      </c>
      <c r="H34" s="89">
        <v>2.1970441599999999</v>
      </c>
      <c r="I34" s="89">
        <v>2.1702509399999999</v>
      </c>
      <c r="J34" s="89">
        <v>1.0215055</v>
      </c>
      <c r="K34" s="89">
        <v>1.65959699</v>
      </c>
      <c r="L34" s="89">
        <v>1.64135966</v>
      </c>
      <c r="M34" s="89">
        <v>1.73254631</v>
      </c>
      <c r="N34" s="89">
        <v>1.71430898</v>
      </c>
      <c r="O34" s="89">
        <v>1.7064496600000001</v>
      </c>
    </row>
    <row r="35" spans="3:15" x14ac:dyDescent="0.2">
      <c r="C35" s="36" t="s">
        <v>128</v>
      </c>
      <c r="D35" s="89">
        <v>1.97957391</v>
      </c>
      <c r="E35" s="89">
        <v>1.95937418</v>
      </c>
      <c r="F35" s="89">
        <v>1.12050797</v>
      </c>
      <c r="G35" s="89">
        <v>1.12050797</v>
      </c>
      <c r="H35" s="89">
        <v>1.5343389999999999</v>
      </c>
      <c r="I35" s="89">
        <v>4</v>
      </c>
      <c r="J35" s="89">
        <v>4</v>
      </c>
      <c r="K35" s="89">
        <v>1.6891641399999999</v>
      </c>
      <c r="L35" s="89">
        <v>1.6891641399999999</v>
      </c>
      <c r="M35" s="89">
        <v>1.0899810999999999</v>
      </c>
      <c r="N35" s="89">
        <v>1.97957391</v>
      </c>
      <c r="O35" s="89">
        <v>1.9997736399999999</v>
      </c>
    </row>
    <row r="36" spans="3:15" x14ac:dyDescent="0.2">
      <c r="C36" s="36" t="s">
        <v>129</v>
      </c>
      <c r="D36" s="89">
        <v>2.00214362</v>
      </c>
      <c r="E36" s="89">
        <v>2.46803222</v>
      </c>
      <c r="F36" s="89">
        <v>1.08676276</v>
      </c>
      <c r="G36" s="89">
        <v>1.9357142199999999</v>
      </c>
      <c r="H36" s="89">
        <v>2.3566310399999999</v>
      </c>
      <c r="I36" s="89">
        <v>2.3278916399999998</v>
      </c>
      <c r="J36" s="89">
        <v>0.90601010000000004</v>
      </c>
      <c r="K36" s="89">
        <v>1.8291946100000001</v>
      </c>
      <c r="L36" s="89">
        <v>4</v>
      </c>
      <c r="M36" s="89">
        <v>2.1718336499999999</v>
      </c>
      <c r="N36" s="89">
        <v>2.4820956000000001</v>
      </c>
      <c r="O36" s="89">
        <v>2.4538899700000001</v>
      </c>
    </row>
    <row r="37" spans="3:15" x14ac:dyDescent="0.2">
      <c r="C37" s="36" t="s">
        <v>130</v>
      </c>
      <c r="D37" s="89">
        <v>2.6238197099999998</v>
      </c>
      <c r="E37" s="89">
        <v>1.2790899099999999</v>
      </c>
      <c r="F37" s="89">
        <v>2.4198619300000002</v>
      </c>
      <c r="G37" s="89">
        <v>2.0590688899999998</v>
      </c>
      <c r="H37" s="89">
        <v>1.2808828999999999</v>
      </c>
      <c r="I37" s="89">
        <v>1.2808828999999999</v>
      </c>
      <c r="J37" s="89">
        <v>4</v>
      </c>
      <c r="K37" s="89">
        <v>1.7161613600000001</v>
      </c>
      <c r="L37" s="89">
        <v>1.1423269</v>
      </c>
      <c r="M37" s="89">
        <v>1.10327245</v>
      </c>
      <c r="N37" s="89">
        <v>2.3187243999999998</v>
      </c>
      <c r="O37" s="89">
        <v>2.2882148600000001</v>
      </c>
    </row>
    <row r="38" spans="3:15" x14ac:dyDescent="0.2">
      <c r="C38" s="36" t="s">
        <v>131</v>
      </c>
      <c r="D38" s="89">
        <v>1.61532751</v>
      </c>
      <c r="E38" s="89">
        <v>2.1402545700000002</v>
      </c>
      <c r="F38" s="89">
        <v>2.6411432100000001</v>
      </c>
      <c r="G38" s="89">
        <v>2.8383148899999999</v>
      </c>
      <c r="H38" s="89">
        <v>3.0343193400000001</v>
      </c>
      <c r="I38" s="89">
        <v>2.2086643100000001</v>
      </c>
      <c r="J38" s="89">
        <v>2.0747471100000001</v>
      </c>
      <c r="K38" s="89">
        <v>1.67118392</v>
      </c>
      <c r="L38" s="89">
        <v>1.8434433699999999</v>
      </c>
      <c r="M38" s="89">
        <v>1.6005175899999999</v>
      </c>
      <c r="N38" s="89">
        <v>2.9162770400000002</v>
      </c>
      <c r="O38" s="89">
        <v>2.1716471400000001</v>
      </c>
    </row>
    <row r="39" spans="3:15" x14ac:dyDescent="0.2">
      <c r="C39" s="37" t="s">
        <v>132</v>
      </c>
      <c r="D39" s="89">
        <v>3.0968210200000001</v>
      </c>
      <c r="E39" s="89">
        <v>1.9889350800000001</v>
      </c>
      <c r="F39" s="89">
        <v>2.5308897400000001</v>
      </c>
      <c r="G39" s="89">
        <v>2.1213102500000001</v>
      </c>
      <c r="H39" s="89">
        <v>1.8660382499999999</v>
      </c>
      <c r="I39" s="89">
        <v>1.15832062</v>
      </c>
      <c r="J39" s="89">
        <v>1.3454074600000001</v>
      </c>
      <c r="K39" s="89">
        <v>2.2414152999999999</v>
      </c>
      <c r="L39" s="89">
        <v>2.0734719500000001</v>
      </c>
      <c r="M39" s="89">
        <v>2.8804205199999999</v>
      </c>
      <c r="N39" s="89">
        <v>2.3044629200000002</v>
      </c>
      <c r="O39" s="89">
        <v>2.3044629200000002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412</v>
      </c>
      <c r="D3" s="187"/>
      <c r="E3" s="187"/>
      <c r="F3" s="187"/>
      <c r="G3" s="187"/>
    </row>
    <row r="5" spans="1:20" ht="15.75" x14ac:dyDescent="0.25">
      <c r="A5" s="188" t="s">
        <v>351</v>
      </c>
      <c r="B5" s="189"/>
      <c r="G5" s="190"/>
      <c r="L5" s="188" t="s">
        <v>352</v>
      </c>
      <c r="M5" s="189"/>
      <c r="R5" s="190"/>
    </row>
    <row r="6" spans="1:20" x14ac:dyDescent="0.2">
      <c r="A6" s="191" t="s">
        <v>353</v>
      </c>
      <c r="B6" s="189"/>
      <c r="G6" s="192"/>
      <c r="H6" s="116"/>
      <c r="L6" s="191" t="s">
        <v>354</v>
      </c>
      <c r="M6" s="189"/>
      <c r="S6" s="131"/>
    </row>
    <row r="7" spans="1:20" x14ac:dyDescent="0.2">
      <c r="A7" s="189"/>
      <c r="B7" s="189" t="s">
        <v>355</v>
      </c>
      <c r="G7" s="192"/>
      <c r="H7" s="193">
        <f>SUM(ORA!$D$116:$O$116)</f>
        <v>77564.948478604143</v>
      </c>
      <c r="L7" s="189"/>
      <c r="M7" s="189" t="s">
        <v>355</v>
      </c>
      <c r="S7" s="194">
        <f>SUM(ORA!$D$127:$O$127)</f>
        <v>214608722.24904603</v>
      </c>
    </row>
    <row r="8" spans="1:20" x14ac:dyDescent="0.2">
      <c r="A8" s="189"/>
      <c r="B8" s="189" t="s">
        <v>356</v>
      </c>
      <c r="G8" s="192"/>
      <c r="H8" s="195">
        <f>SUM(POJ!$D$116:$O$116)</f>
        <v>5518.6843503787441</v>
      </c>
      <c r="L8" s="189"/>
      <c r="M8" s="189" t="s">
        <v>356</v>
      </c>
      <c r="S8" s="196">
        <f>SUM(POJ!$D$127:$O$127)</f>
        <v>19834126.636611979</v>
      </c>
    </row>
    <row r="9" spans="1:20" x14ac:dyDescent="0.2">
      <c r="A9" s="189"/>
      <c r="B9" s="189" t="s">
        <v>357</v>
      </c>
      <c r="G9" s="192"/>
      <c r="H9" s="195">
        <f>SUM(ROJ!$D$116:$O$116)</f>
        <v>2891.7760321912237</v>
      </c>
      <c r="L9" s="189"/>
      <c r="M9" s="189" t="s">
        <v>357</v>
      </c>
      <c r="S9" s="196">
        <f>SUM(ROJ!$D$127:$O$127)</f>
        <v>11491904.90634119</v>
      </c>
    </row>
    <row r="10" spans="1:20" x14ac:dyDescent="0.2">
      <c r="A10" s="189"/>
      <c r="B10" s="189" t="s">
        <v>358</v>
      </c>
      <c r="G10" s="192"/>
      <c r="H10" s="197">
        <f>SUM(FCOJ!$D$116:$O$116)</f>
        <v>18280.146568796456</v>
      </c>
      <c r="L10" s="189"/>
      <c r="M10" s="189" t="s">
        <v>358</v>
      </c>
      <c r="S10" s="198">
        <f>SUM(FCOJ!$D$127:$O$127)</f>
        <v>59925569.119640961</v>
      </c>
    </row>
    <row r="11" spans="1:20" x14ac:dyDescent="0.2">
      <c r="A11" s="189"/>
      <c r="B11" s="189"/>
      <c r="G11" s="192"/>
      <c r="M11" s="189" t="s">
        <v>359</v>
      </c>
      <c r="T11" s="199">
        <f>SUM($S$7:$S$10)</f>
        <v>305860322.91164017</v>
      </c>
    </row>
    <row r="12" spans="1:20" x14ac:dyDescent="0.2">
      <c r="A12" s="191" t="s">
        <v>360</v>
      </c>
      <c r="B12" s="189"/>
      <c r="G12" s="192"/>
    </row>
    <row r="13" spans="1:20" x14ac:dyDescent="0.2">
      <c r="A13" s="189"/>
      <c r="B13" s="189" t="s">
        <v>361</v>
      </c>
      <c r="G13" s="192"/>
      <c r="H13" s="200">
        <f>SUM(grove!$C$48:$AX$53)</f>
        <v>125864.95637999993</v>
      </c>
      <c r="L13" s="191" t="s">
        <v>362</v>
      </c>
      <c r="M13" s="189"/>
    </row>
    <row r="14" spans="1:20" x14ac:dyDescent="0.2">
      <c r="A14" s="189"/>
      <c r="B14" s="189" t="s">
        <v>363</v>
      </c>
      <c r="G14" s="192"/>
      <c r="H14" s="193">
        <f>raw_materials!$P$30</f>
        <v>0</v>
      </c>
      <c r="L14" s="189"/>
      <c r="M14" s="189" t="s">
        <v>364</v>
      </c>
      <c r="S14" s="194">
        <f>SUM(grove!$C$58:$AX$63)</f>
        <v>166640260.12137061</v>
      </c>
    </row>
    <row r="15" spans="1:20" x14ac:dyDescent="0.2">
      <c r="A15" s="189"/>
      <c r="B15" s="189" t="s">
        <v>365</v>
      </c>
      <c r="G15" s="192"/>
      <c r="H15" s="197">
        <f>raw_materials!$P$36</f>
        <v>0</v>
      </c>
      <c r="L15" s="189"/>
      <c r="M15" s="189" t="s">
        <v>366</v>
      </c>
      <c r="S15" s="196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9"/>
      <c r="B16" s="189" t="s">
        <v>367</v>
      </c>
      <c r="G16" s="192"/>
      <c r="H16" s="201">
        <v>5739.458306461217</v>
      </c>
      <c r="L16" s="189"/>
      <c r="M16" s="189" t="s">
        <v>368</v>
      </c>
      <c r="S16" s="196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2">
      <c r="A17" s="189"/>
      <c r="B17" s="189" t="s">
        <v>369</v>
      </c>
      <c r="G17" s="192"/>
      <c r="H17" s="202">
        <v>22695.021856046838</v>
      </c>
      <c r="L17" s="189"/>
      <c r="M17" s="189" t="s">
        <v>370</v>
      </c>
      <c r="S17" s="196">
        <v>26858538.264903035</v>
      </c>
    </row>
    <row r="18" spans="1:21" x14ac:dyDescent="0.2">
      <c r="A18" s="189"/>
      <c r="B18" s="189" t="s">
        <v>371</v>
      </c>
      <c r="G18" s="192"/>
      <c r="H18" s="203">
        <v>3007.5386126292033</v>
      </c>
      <c r="L18" s="189"/>
      <c r="M18" s="189" t="s">
        <v>372</v>
      </c>
      <c r="S18" s="198">
        <v>0</v>
      </c>
    </row>
    <row r="19" spans="1:21" x14ac:dyDescent="0.2">
      <c r="A19" s="189"/>
      <c r="B19" s="189" t="s">
        <v>373</v>
      </c>
      <c r="G19" s="192"/>
      <c r="H19" s="202">
        <v>0</v>
      </c>
      <c r="L19" s="189"/>
      <c r="M19" s="189" t="s">
        <v>374</v>
      </c>
      <c r="S19" s="204" t="s">
        <v>375</v>
      </c>
      <c r="T19" s="205">
        <f>SUM($S$14:$S$18)</f>
        <v>193498798.38627365</v>
      </c>
      <c r="U19" s="106" t="s">
        <v>376</v>
      </c>
    </row>
    <row r="20" spans="1:21" x14ac:dyDescent="0.2">
      <c r="A20" s="189"/>
      <c r="B20" s="189" t="s">
        <v>377</v>
      </c>
      <c r="G20" s="192"/>
      <c r="H20" s="197">
        <v>0</v>
      </c>
      <c r="L20" s="189"/>
      <c r="M20" s="189"/>
    </row>
    <row r="21" spans="1:21" x14ac:dyDescent="0.2">
      <c r="A21" s="189"/>
      <c r="B21" s="189"/>
      <c r="G21" s="192"/>
      <c r="L21" s="191" t="s">
        <v>378</v>
      </c>
      <c r="M21" s="189"/>
      <c r="S21" s="131"/>
    </row>
    <row r="22" spans="1:21" x14ac:dyDescent="0.2">
      <c r="A22" s="191" t="s">
        <v>379</v>
      </c>
      <c r="B22" s="189"/>
      <c r="G22" s="192"/>
      <c r="L22" s="189"/>
      <c r="M22" s="189" t="s">
        <v>380</v>
      </c>
      <c r="S22" s="196">
        <v>11478916.612922436</v>
      </c>
    </row>
    <row r="23" spans="1:21" x14ac:dyDescent="0.2">
      <c r="A23" s="189"/>
      <c r="B23" s="189" t="s">
        <v>381</v>
      </c>
      <c r="G23" s="192"/>
      <c r="H23" s="193">
        <f>SUM(raw_materials!$O$31:$O$35)</f>
        <v>0</v>
      </c>
      <c r="L23" s="189"/>
      <c r="M23" s="189" t="s">
        <v>382</v>
      </c>
      <c r="S23" s="196">
        <v>22695021.856046855</v>
      </c>
    </row>
    <row r="24" spans="1:21" x14ac:dyDescent="0.2">
      <c r="A24" s="189"/>
      <c r="B24" s="189" t="s">
        <v>383</v>
      </c>
      <c r="G24" s="192"/>
      <c r="H24" s="197">
        <f>SUM(raw_materials!$O$37:$O$41)</f>
        <v>44170.119310000002</v>
      </c>
      <c r="L24" s="189"/>
      <c r="M24" s="189" t="s">
        <v>384</v>
      </c>
      <c r="S24" s="198">
        <v>1954900.0982089823</v>
      </c>
    </row>
    <row r="25" spans="1:21" x14ac:dyDescent="0.2">
      <c r="A25" s="189"/>
      <c r="B25" s="189"/>
      <c r="G25" s="192"/>
      <c r="L25" s="189"/>
      <c r="M25" s="189" t="s">
        <v>385</v>
      </c>
      <c r="S25" s="204" t="s">
        <v>375</v>
      </c>
      <c r="T25" s="205">
        <f>SUM($S$22:$S$24)</f>
        <v>36128838.567178272</v>
      </c>
      <c r="U25" s="106" t="s">
        <v>376</v>
      </c>
    </row>
    <row r="26" spans="1:21" x14ac:dyDescent="0.2">
      <c r="A26" s="191" t="s">
        <v>386</v>
      </c>
      <c r="B26" s="189"/>
      <c r="G26" s="192"/>
      <c r="L26" s="189"/>
      <c r="M26" s="189"/>
    </row>
    <row r="27" spans="1:21" x14ac:dyDescent="0.2">
      <c r="A27" s="189"/>
      <c r="B27" s="189" t="s">
        <v>387</v>
      </c>
      <c r="G27" s="192"/>
      <c r="H27" s="193">
        <f>SUMIF(facilities!$C$6:$C$15,"&gt;0",facilities!$C$6:$C$15)</f>
        <v>0</v>
      </c>
      <c r="L27" s="191" t="s">
        <v>388</v>
      </c>
      <c r="M27" s="189"/>
    </row>
    <row r="28" spans="1:21" x14ac:dyDescent="0.2">
      <c r="A28" s="189"/>
      <c r="B28" s="189" t="s">
        <v>389</v>
      </c>
      <c r="G28" s="192"/>
      <c r="H28" s="195">
        <f>SUMIF(facilities!$C$36:$C$106,"&gt;0",facilities!$C$36:$C$106)</f>
        <v>26346</v>
      </c>
      <c r="L28" s="189"/>
      <c r="M28" s="189" t="s">
        <v>390</v>
      </c>
      <c r="S28" s="194">
        <v>0</v>
      </c>
    </row>
    <row r="29" spans="1:21" x14ac:dyDescent="0.2">
      <c r="A29" s="189"/>
      <c r="B29" s="189" t="s">
        <v>391</v>
      </c>
      <c r="G29" s="192"/>
      <c r="H29" s="195">
        <f>SUMIF(facilities!$C$6:$C$15,"&lt;0",facilities!$C$6:$C$15)</f>
        <v>-2000</v>
      </c>
      <c r="L29" s="189"/>
      <c r="M29" s="189" t="s">
        <v>392</v>
      </c>
      <c r="S29" s="196">
        <v>11619339.977459602</v>
      </c>
    </row>
    <row r="30" spans="1:21" x14ac:dyDescent="0.2">
      <c r="A30" s="189"/>
      <c r="B30" s="189" t="s">
        <v>393</v>
      </c>
      <c r="G30" s="192"/>
      <c r="H30" s="197">
        <f>SUMIF(facilities!$C$36:$C$106,"&lt;0",facilities!$C$36:$C$106)</f>
        <v>-101000</v>
      </c>
      <c r="L30" s="189"/>
      <c r="M30" s="189" t="s">
        <v>394</v>
      </c>
      <c r="S30" s="196">
        <v>1614633.1490582572</v>
      </c>
    </row>
    <row r="31" spans="1:21" x14ac:dyDescent="0.2">
      <c r="L31" s="189"/>
      <c r="M31" s="189" t="s">
        <v>395</v>
      </c>
      <c r="S31" s="198">
        <f>SUM(ORA!D138:O138)+SUM(POJ!D138:O138)+SUM(ROJ!D138:O138)+SUM(FCOJ!D138:O138)</f>
        <v>74417325.545280069</v>
      </c>
    </row>
    <row r="32" spans="1:21" x14ac:dyDescent="0.2">
      <c r="A32" s="191" t="s">
        <v>396</v>
      </c>
      <c r="B32" s="189"/>
      <c r="G32" s="192"/>
      <c r="L32" s="189"/>
      <c r="M32" s="189" t="s">
        <v>397</v>
      </c>
      <c r="S32" s="119" t="s">
        <v>375</v>
      </c>
      <c r="T32" s="205">
        <f>SUM($S$28:$S$31)</f>
        <v>87651298.671797931</v>
      </c>
      <c r="U32" s="106" t="s">
        <v>376</v>
      </c>
    </row>
    <row r="33" spans="1:21" x14ac:dyDescent="0.2">
      <c r="A33" s="189"/>
      <c r="B33" s="189" t="s">
        <v>398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399</v>
      </c>
      <c r="G34" s="192"/>
      <c r="H34" s="195">
        <f>COUNTIF(facilities!$H$36:$H$106,"=new")</f>
        <v>3</v>
      </c>
      <c r="L34" s="191" t="s">
        <v>400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20</v>
      </c>
      <c r="L35" s="189"/>
      <c r="M35" s="189" t="s">
        <v>401</v>
      </c>
      <c r="S35" s="194">
        <v>17370000</v>
      </c>
    </row>
    <row r="36" spans="1:21" x14ac:dyDescent="0.2">
      <c r="L36" s="189"/>
      <c r="M36" s="189" t="s">
        <v>402</v>
      </c>
      <c r="S36" s="196">
        <f>H33*12000000-H38*70/100*12000000</f>
        <v>0</v>
      </c>
    </row>
    <row r="37" spans="1:21" x14ac:dyDescent="0.2">
      <c r="A37" s="191" t="s">
        <v>403</v>
      </c>
      <c r="L37" s="189"/>
      <c r="M37" s="189" t="s">
        <v>404</v>
      </c>
      <c r="S37" s="196">
        <f>H27*8000+H29*70/100*8000</f>
        <v>-11200000</v>
      </c>
    </row>
    <row r="38" spans="1:21" x14ac:dyDescent="0.2">
      <c r="B38" s="189" t="s">
        <v>398</v>
      </c>
      <c r="H38" s="193">
        <f>COUNTIF(facilities!$H$6:$H$15,"=sold")</f>
        <v>0</v>
      </c>
      <c r="L38" s="189"/>
      <c r="M38" s="189" t="s">
        <v>405</v>
      </c>
      <c r="S38" s="196">
        <v>80650000</v>
      </c>
    </row>
    <row r="39" spans="1:21" x14ac:dyDescent="0.2">
      <c r="B39" s="189" t="s">
        <v>399</v>
      </c>
      <c r="H39" s="195">
        <f>COUNTIF(facilities!$H$36:$H$106,"=sold")</f>
        <v>2</v>
      </c>
      <c r="L39" s="189"/>
      <c r="M39" s="189" t="s">
        <v>406</v>
      </c>
      <c r="S39" s="196">
        <f>H34*9000000-H39*80/100*9000000</f>
        <v>12600000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407</v>
      </c>
      <c r="S40" s="196">
        <f>H28*6000+H30*80/100*6000</f>
        <v>-326724000</v>
      </c>
    </row>
    <row r="41" spans="1:21" x14ac:dyDescent="0.2">
      <c r="L41" s="189"/>
      <c r="M41" s="189" t="s">
        <v>408</v>
      </c>
      <c r="S41" s="196">
        <v>0</v>
      </c>
    </row>
    <row r="42" spans="1:21" x14ac:dyDescent="0.2">
      <c r="L42" s="189"/>
      <c r="M42" s="189" t="s">
        <v>409</v>
      </c>
      <c r="S42" s="198">
        <f>H35*100000-H40*60/100*100000</f>
        <v>2000000</v>
      </c>
    </row>
    <row r="43" spans="1:21" x14ac:dyDescent="0.2">
      <c r="L43" s="189"/>
      <c r="M43" s="189" t="s">
        <v>410</v>
      </c>
      <c r="S43" s="183" t="s">
        <v>375</v>
      </c>
      <c r="T43" s="205">
        <f>SUM($S$35:$S$42)</f>
        <v>-225304000</v>
      </c>
      <c r="U43" s="106" t="s">
        <v>376</v>
      </c>
    </row>
    <row r="44" spans="1:21" x14ac:dyDescent="0.2">
      <c r="L44" s="189"/>
      <c r="S44" s="116"/>
    </row>
    <row r="45" spans="1:21" ht="14.25" thickBot="1" x14ac:dyDescent="0.3">
      <c r="L45" s="206" t="s">
        <v>411</v>
      </c>
      <c r="M45" s="189"/>
      <c r="T45" s="207">
        <f>$T$11-$T$19-$T$25-$T$32-$T$43</f>
        <v>213885387.2863903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21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312</v>
      </c>
    </row>
    <row r="3" spans="2:14" x14ac:dyDescent="0.2">
      <c r="B3" s="109" t="s">
        <v>313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0.67741335649818157</v>
      </c>
      <c r="D5" s="106">
        <v>0.67306361198030706</v>
      </c>
      <c r="E5" s="106">
        <v>0.63429629856453007</v>
      </c>
      <c r="F5" s="106">
        <v>0.69808639721708632</v>
      </c>
      <c r="G5" s="106">
        <v>0.70724112769495295</v>
      </c>
      <c r="H5" s="106">
        <v>0.5980741799547814</v>
      </c>
      <c r="I5" s="106">
        <v>0.64506078081390494</v>
      </c>
      <c r="J5" s="106">
        <v>0.61950430111258814</v>
      </c>
      <c r="K5" s="106">
        <v>0.56488458101668704</v>
      </c>
      <c r="L5" s="106">
        <v>0.71102622222764644</v>
      </c>
      <c r="M5" s="106">
        <v>0.7237409010704714</v>
      </c>
      <c r="N5" s="106">
        <v>0.60245694919618742</v>
      </c>
    </row>
    <row r="6" spans="2:14" x14ac:dyDescent="0.2">
      <c r="B6" s="177" t="s">
        <v>105</v>
      </c>
      <c r="C6" s="106">
        <v>0.691208702247601</v>
      </c>
      <c r="D6" s="106">
        <v>0.70639888532671125</v>
      </c>
      <c r="E6" s="106">
        <v>0.76501668382618615</v>
      </c>
      <c r="F6" s="106">
        <v>0.72298609822691973</v>
      </c>
      <c r="G6" s="106">
        <v>1.1000000000000001</v>
      </c>
      <c r="H6" s="106">
        <v>0.64659236005882259</v>
      </c>
      <c r="I6" s="106">
        <v>0.68560090947596286</v>
      </c>
      <c r="J6" s="106">
        <v>0.75559927261542148</v>
      </c>
      <c r="K6" s="106">
        <v>0.68375421684460724</v>
      </c>
      <c r="L6" s="106">
        <v>0.64755122745263294</v>
      </c>
      <c r="M6" s="106">
        <v>0.63517291777709128</v>
      </c>
      <c r="N6" s="106">
        <v>0.63837736899357989</v>
      </c>
    </row>
    <row r="7" spans="2:14" x14ac:dyDescent="0.2">
      <c r="B7" s="177" t="s">
        <v>106</v>
      </c>
      <c r="C7" s="106">
        <v>0.74760657902859307</v>
      </c>
      <c r="D7" s="106">
        <v>0.74080361230218661</v>
      </c>
      <c r="E7" s="106">
        <v>0.8298758235733199</v>
      </c>
      <c r="F7" s="106">
        <v>0.77506638069977385</v>
      </c>
      <c r="G7" s="106">
        <v>0.76779382237498128</v>
      </c>
      <c r="H7" s="106">
        <v>0.74768532912835473</v>
      </c>
      <c r="I7" s="106">
        <v>0.82467407343282673</v>
      </c>
      <c r="J7" s="106">
        <v>0.71140085518471019</v>
      </c>
      <c r="K7" s="106">
        <v>0.759502607055347</v>
      </c>
      <c r="L7" s="106">
        <v>0.72680293984924138</v>
      </c>
      <c r="M7" s="106">
        <v>0.71092183472043169</v>
      </c>
      <c r="N7" s="106">
        <v>0.73518345285574338</v>
      </c>
    </row>
    <row r="8" spans="2:14" x14ac:dyDescent="0.2">
      <c r="B8" s="177" t="s">
        <v>107</v>
      </c>
      <c r="C8" s="106">
        <v>0.74188668678311898</v>
      </c>
      <c r="D8" s="106">
        <v>0.74118622729628425</v>
      </c>
      <c r="E8" s="106">
        <v>0.7788210606208763</v>
      </c>
      <c r="F8" s="106">
        <v>0.69670912194501333</v>
      </c>
      <c r="G8" s="106">
        <v>0.73675634680278757</v>
      </c>
      <c r="H8" s="106">
        <v>0.68704235712703154</v>
      </c>
      <c r="I8" s="106">
        <v>0.72054500128757304</v>
      </c>
      <c r="J8" s="106">
        <v>0.73222811197822635</v>
      </c>
      <c r="K8" s="106">
        <v>0.70228298792888555</v>
      </c>
      <c r="L8" s="106">
        <v>0.71493581395385453</v>
      </c>
      <c r="M8" s="106">
        <v>0.68316600733067545</v>
      </c>
      <c r="N8" s="106">
        <v>0.67111377312283682</v>
      </c>
    </row>
    <row r="9" spans="2:14" x14ac:dyDescent="0.2">
      <c r="B9" s="177" t="s">
        <v>108</v>
      </c>
      <c r="C9" s="106">
        <v>2.0939883327484132</v>
      </c>
      <c r="D9" s="106">
        <v>2.0252206122875216</v>
      </c>
      <c r="E9" s="106">
        <v>2.1070303654670717</v>
      </c>
      <c r="F9" s="106">
        <v>2.053831330537796</v>
      </c>
      <c r="G9" s="106">
        <v>2.0804877614974977</v>
      </c>
      <c r="H9" s="106">
        <v>2.0680904901027679</v>
      </c>
      <c r="I9" s="106">
        <v>2.0963162398338318</v>
      </c>
      <c r="J9" s="106">
        <v>2.0572871840000153</v>
      </c>
      <c r="K9" s="106">
        <v>2.08117977142334</v>
      </c>
      <c r="L9" s="106">
        <v>2.0578357493877411</v>
      </c>
      <c r="M9" s="106">
        <v>2.0766165947914126</v>
      </c>
      <c r="N9" s="106">
        <v>2.0927777206897735</v>
      </c>
    </row>
    <row r="10" spans="2:14" x14ac:dyDescent="0.2">
      <c r="B10" s="177" t="s">
        <v>109</v>
      </c>
      <c r="C10" s="106">
        <v>0.66053335666656499</v>
      </c>
      <c r="D10" s="106">
        <v>0.6172994077205658</v>
      </c>
      <c r="E10" s="106">
        <v>0.67065237760543828</v>
      </c>
      <c r="F10" s="106">
        <v>0.65839009881019595</v>
      </c>
      <c r="G10" s="106">
        <v>0.69553704261779792</v>
      </c>
      <c r="H10" s="106">
        <v>0.65176588892936704</v>
      </c>
      <c r="I10" s="106">
        <v>0.67382031679153442</v>
      </c>
      <c r="J10" s="106">
        <v>0.65418413281440735</v>
      </c>
      <c r="K10" s="106">
        <v>0.61726138591766355</v>
      </c>
      <c r="L10" s="106">
        <v>0.68427352309226996</v>
      </c>
      <c r="M10" s="106">
        <v>0.60825542211532591</v>
      </c>
      <c r="N10" s="106">
        <v>0.68000479340553288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314</v>
      </c>
      <c r="C12" s="107"/>
      <c r="D12" s="107"/>
      <c r="E12" s="107"/>
      <c r="F12" s="107"/>
      <c r="G12" s="107"/>
    </row>
    <row r="13" spans="2:14" x14ac:dyDescent="0.2">
      <c r="B13" s="177" t="s">
        <v>315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316</v>
      </c>
      <c r="C14" s="107">
        <v>0.3384819198766813</v>
      </c>
      <c r="D14" s="107">
        <v>0.3397383219801326</v>
      </c>
      <c r="E14" s="107">
        <v>0.34099118879763651</v>
      </c>
      <c r="F14" s="107">
        <v>0.34223699499089444</v>
      </c>
      <c r="G14" s="107">
        <v>0.34347223508891411</v>
      </c>
      <c r="H14" s="106">
        <v>0.34469343335176478</v>
      </c>
      <c r="I14" s="106">
        <v>0.34589715355067391</v>
      </c>
      <c r="J14" s="106">
        <v>0.34708000863694755</v>
      </c>
      <c r="K14" s="106">
        <v>0.34823867027250605</v>
      </c>
      <c r="L14" s="106">
        <v>0.34936987819521925</v>
      </c>
      <c r="M14" s="106">
        <v>0.35047044939268884</v>
      </c>
      <c r="N14" s="106">
        <v>0.35153728705866327</v>
      </c>
    </row>
    <row r="15" spans="2:14" x14ac:dyDescent="0.2">
      <c r="B15" s="176" t="s">
        <v>317</v>
      </c>
      <c r="C15" s="106">
        <v>1.1983436919155597</v>
      </c>
      <c r="D15" s="106">
        <v>1.2015209064278671</v>
      </c>
      <c r="E15" s="106">
        <v>1.2046891808390829</v>
      </c>
      <c r="F15" s="106">
        <v>1.2078396002039251</v>
      </c>
      <c r="G15" s="106">
        <v>1.2109632998179514</v>
      </c>
      <c r="H15" s="106">
        <v>1.2140514901612145</v>
      </c>
      <c r="I15" s="106">
        <v>1.2170954816303681</v>
      </c>
      <c r="J15" s="106">
        <v>1.2200867089896201</v>
      </c>
      <c r="K15" s="106">
        <v>1.2230167554717437</v>
      </c>
      <c r="L15" s="106">
        <v>1.2258773764613211</v>
      </c>
      <c r="M15" s="106">
        <v>1.2286605226935845</v>
      </c>
      <c r="N15" s="106">
        <v>1.2313583629035769</v>
      </c>
    </row>
    <row r="16" spans="2:14" x14ac:dyDescent="0.2">
      <c r="B16" s="107"/>
    </row>
    <row r="17" spans="2:14" x14ac:dyDescent="0.2">
      <c r="B17" s="109" t="s">
        <v>318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0.67741335649818157</v>
      </c>
      <c r="D19" s="106">
        <f t="shared" ref="D19:N20" si="0">D5</f>
        <v>0.67306361198030706</v>
      </c>
      <c r="E19" s="106">
        <f t="shared" si="0"/>
        <v>0.63429629856453007</v>
      </c>
      <c r="F19" s="106">
        <f t="shared" si="0"/>
        <v>0.69808639721708632</v>
      </c>
      <c r="G19" s="106">
        <f t="shared" si="0"/>
        <v>0.70724112769495295</v>
      </c>
      <c r="H19" s="106">
        <f t="shared" si="0"/>
        <v>0.5980741799547814</v>
      </c>
      <c r="I19" s="106">
        <f t="shared" si="0"/>
        <v>0.64506078081390494</v>
      </c>
      <c r="J19" s="106">
        <f t="shared" si="0"/>
        <v>0.61950430111258814</v>
      </c>
      <c r="K19" s="106">
        <f t="shared" si="0"/>
        <v>0.56488458101668704</v>
      </c>
      <c r="L19" s="106">
        <f t="shared" si="0"/>
        <v>0.71102622222764644</v>
      </c>
      <c r="M19" s="106">
        <f t="shared" si="0"/>
        <v>0.7237409010704714</v>
      </c>
      <c r="N19" s="106">
        <f t="shared" si="0"/>
        <v>0.60245694919618742</v>
      </c>
    </row>
    <row r="20" spans="2:14" x14ac:dyDescent="0.2">
      <c r="B20" s="179" t="s">
        <v>105</v>
      </c>
      <c r="C20" s="106">
        <f>C6</f>
        <v>0.691208702247601</v>
      </c>
      <c r="D20" s="106">
        <f t="shared" si="0"/>
        <v>0.70639888532671125</v>
      </c>
      <c r="E20" s="106">
        <f t="shared" si="0"/>
        <v>0.76501668382618615</v>
      </c>
      <c r="F20" s="106">
        <f t="shared" si="0"/>
        <v>0.72298609822691973</v>
      </c>
      <c r="G20" s="106">
        <f t="shared" si="0"/>
        <v>1.1000000000000001</v>
      </c>
      <c r="H20" s="106">
        <f t="shared" si="0"/>
        <v>0.64659236005882259</v>
      </c>
      <c r="I20" s="106">
        <f t="shared" si="0"/>
        <v>0.68560090947596286</v>
      </c>
      <c r="J20" s="106">
        <f t="shared" si="0"/>
        <v>0.75559927261542148</v>
      </c>
      <c r="K20" s="106">
        <f t="shared" si="0"/>
        <v>0.68375421684460724</v>
      </c>
      <c r="L20" s="106">
        <f t="shared" si="0"/>
        <v>0.64755122745263294</v>
      </c>
      <c r="M20" s="106">
        <f t="shared" si="0"/>
        <v>0.63517291777709128</v>
      </c>
      <c r="N20" s="106">
        <f t="shared" si="0"/>
        <v>0.63837736899357989</v>
      </c>
    </row>
    <row r="21" spans="2:14" x14ac:dyDescent="0.2">
      <c r="B21" s="179" t="s">
        <v>106</v>
      </c>
      <c r="C21" s="106">
        <f t="shared" ref="C21:N22" si="1">C7</f>
        <v>0.74760657902859307</v>
      </c>
      <c r="D21" s="106">
        <f t="shared" si="1"/>
        <v>0.74080361230218661</v>
      </c>
      <c r="E21" s="106">
        <f t="shared" si="1"/>
        <v>0.8298758235733199</v>
      </c>
      <c r="F21" s="106">
        <f t="shared" si="1"/>
        <v>0.77506638069977385</v>
      </c>
      <c r="G21" s="106">
        <f t="shared" si="1"/>
        <v>0.76779382237498128</v>
      </c>
      <c r="H21" s="106">
        <f t="shared" si="1"/>
        <v>0.74768532912835473</v>
      </c>
      <c r="I21" s="106">
        <f t="shared" si="1"/>
        <v>0.82467407343282673</v>
      </c>
      <c r="J21" s="106">
        <f t="shared" si="1"/>
        <v>0.71140085518471019</v>
      </c>
      <c r="K21" s="106">
        <f t="shared" si="1"/>
        <v>0.759502607055347</v>
      </c>
      <c r="L21" s="106">
        <f t="shared" si="1"/>
        <v>0.72680293984924138</v>
      </c>
      <c r="M21" s="106">
        <f t="shared" si="1"/>
        <v>0.71092183472043169</v>
      </c>
      <c r="N21" s="106">
        <f t="shared" si="1"/>
        <v>0.73518345285574338</v>
      </c>
    </row>
    <row r="22" spans="2:14" x14ac:dyDescent="0.2">
      <c r="B22" s="179" t="s">
        <v>107</v>
      </c>
      <c r="C22" s="106">
        <f t="shared" si="1"/>
        <v>0.74188668678311898</v>
      </c>
      <c r="D22" s="106">
        <f t="shared" si="1"/>
        <v>0.74118622729628425</v>
      </c>
      <c r="E22" s="106">
        <f t="shared" si="1"/>
        <v>0.7788210606208763</v>
      </c>
      <c r="F22" s="106">
        <f t="shared" si="1"/>
        <v>0.69670912194501333</v>
      </c>
      <c r="G22" s="106">
        <f t="shared" si="1"/>
        <v>0.73675634680278757</v>
      </c>
      <c r="H22" s="106">
        <f t="shared" si="1"/>
        <v>0.68704235712703154</v>
      </c>
      <c r="I22" s="106">
        <f t="shared" si="1"/>
        <v>0.72054500128757304</v>
      </c>
      <c r="J22" s="106">
        <f t="shared" si="1"/>
        <v>0.73222811197822635</v>
      </c>
      <c r="K22" s="106">
        <f t="shared" si="1"/>
        <v>0.70228298792888555</v>
      </c>
      <c r="L22" s="106">
        <f t="shared" si="1"/>
        <v>0.71493581395385453</v>
      </c>
      <c r="M22" s="106">
        <f t="shared" si="1"/>
        <v>0.68316600733067545</v>
      </c>
      <c r="N22" s="106">
        <f t="shared" si="1"/>
        <v>0.67111377312283682</v>
      </c>
    </row>
    <row r="23" spans="2:14" x14ac:dyDescent="0.2">
      <c r="B23" s="179" t="s">
        <v>108</v>
      </c>
      <c r="C23" s="106">
        <f>C9*C14</f>
        <v>0.70877719106805392</v>
      </c>
      <c r="D23" s="106">
        <f t="shared" ref="D23:N24" si="2">D9*D14</f>
        <v>0.68804505245813929</v>
      </c>
      <c r="E23" s="106">
        <f t="shared" si="2"/>
        <v>0.7184787891533353</v>
      </c>
      <c r="F23" s="106">
        <f t="shared" si="2"/>
        <v>0.70289706278140573</v>
      </c>
      <c r="G23" s="106">
        <f t="shared" si="2"/>
        <v>0.71458978151667718</v>
      </c>
      <c r="H23" s="106">
        <f t="shared" si="2"/>
        <v>0.71285721151565695</v>
      </c>
      <c r="I23" s="106">
        <f t="shared" si="2"/>
        <v>0.72510982030057425</v>
      </c>
      <c r="J23" s="106">
        <f t="shared" si="2"/>
        <v>0.71404325359140686</v>
      </c>
      <c r="K23" s="106">
        <f t="shared" si="2"/>
        <v>0.72474727619850199</v>
      </c>
      <c r="L23" s="106">
        <f t="shared" si="2"/>
        <v>0.71894582510936278</v>
      </c>
      <c r="M23" s="106">
        <f t="shared" si="2"/>
        <v>0.72779275119286158</v>
      </c>
      <c r="N23" s="106">
        <f t="shared" si="2"/>
        <v>0.73568940234809599</v>
      </c>
    </row>
    <row r="24" spans="2:14" x14ac:dyDescent="0.2">
      <c r="B24" s="179" t="s">
        <v>109</v>
      </c>
      <c r="C24" s="106">
        <f>C10*C15</f>
        <v>0.79154598126118869</v>
      </c>
      <c r="D24" s="106">
        <f t="shared" si="2"/>
        <v>0.74169814390179978</v>
      </c>
      <c r="E24" s="106">
        <f t="shared" si="2"/>
        <v>0.80792766340527877</v>
      </c>
      <c r="F24" s="106">
        <f t="shared" si="2"/>
        <v>0.79522963372512978</v>
      </c>
      <c r="G24" s="106">
        <f t="shared" si="2"/>
        <v>0.8422698322740676</v>
      </c>
      <c r="H24" s="106">
        <f t="shared" si="2"/>
        <v>0.79127734869094668</v>
      </c>
      <c r="I24" s="106">
        <f t="shared" si="2"/>
        <v>0.82010366299771975</v>
      </c>
      <c r="J24" s="106">
        <f t="shared" si="2"/>
        <v>0.79816136567875884</v>
      </c>
      <c r="K24" s="106">
        <f t="shared" si="2"/>
        <v>0.75492101748301277</v>
      </c>
      <c r="L24" s="106">
        <f t="shared" si="2"/>
        <v>0.83883543127029714</v>
      </c>
      <c r="M24" s="106">
        <f t="shared" si="2"/>
        <v>0.74733942486742322</v>
      </c>
      <c r="N24" s="106">
        <f t="shared" si="2"/>
        <v>0.83732958917442202</v>
      </c>
    </row>
    <row r="25" spans="2:14" x14ac:dyDescent="0.2">
      <c r="B25" s="178"/>
    </row>
    <row r="26" spans="2:14" x14ac:dyDescent="0.2">
      <c r="B26" s="110" t="s">
        <v>319</v>
      </c>
    </row>
    <row r="27" spans="2:14" x14ac:dyDescent="0.2">
      <c r="B27" s="105" t="s">
        <v>320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321</v>
      </c>
    </row>
    <row r="36" spans="2:50" x14ac:dyDescent="0.2">
      <c r="B36" s="176" t="s">
        <v>273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322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18412.167875441355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18914.503514580269</v>
      </c>
      <c r="AO38" s="106">
        <v>18948.968387818528</v>
      </c>
      <c r="AP38" s="106">
        <v>18983.2141906877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10730.368248264709</v>
      </c>
      <c r="M39" s="106">
        <v>15361.87154289072</v>
      </c>
      <c r="N39" s="106">
        <v>10776.21985637031</v>
      </c>
      <c r="O39" s="106">
        <v>10799.093890388011</v>
      </c>
      <c r="P39" s="106">
        <v>10821.928499769892</v>
      </c>
      <c r="Q39" s="106">
        <v>10844.720007468877</v>
      </c>
      <c r="R39" s="106">
        <v>15524.949631923135</v>
      </c>
      <c r="S39" s="106">
        <v>1555.7370056884831</v>
      </c>
      <c r="T39" s="106">
        <v>1558.9713203584963</v>
      </c>
      <c r="U39" s="106">
        <v>1562.1973858410449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15907.754105590879</v>
      </c>
      <c r="AE39" s="106">
        <v>1593.890621677428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11264.739066438493</v>
      </c>
      <c r="AK39" s="106">
        <v>11285.910170105573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3569.1326839905992</v>
      </c>
      <c r="L40" s="106">
        <v>3576.7894160882365</v>
      </c>
      <c r="M40" s="106">
        <v>3584.4366933411679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3711.8092913045384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3810.2053023342241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2132.277469039715</v>
      </c>
      <c r="J41" s="106">
        <v>3052.6866243809636</v>
      </c>
      <c r="K41" s="106">
        <v>3059.2565862776564</v>
      </c>
      <c r="L41" s="106">
        <v>3065.8194995042027</v>
      </c>
      <c r="M41" s="106">
        <v>2150.6620160047005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2178.031807963876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323</v>
      </c>
    </row>
    <row r="46" spans="2:50" x14ac:dyDescent="0.2">
      <c r="B46" s="105" t="s">
        <v>273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324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586.26074700000004</v>
      </c>
      <c r="D48" s="106">
        <v>586.26074700000004</v>
      </c>
      <c r="E48" s="106">
        <v>586.26074700000004</v>
      </c>
      <c r="F48" s="106">
        <v>586.26074700000004</v>
      </c>
      <c r="G48" s="106">
        <v>412.138645</v>
      </c>
      <c r="H48" s="106">
        <v>412.138645</v>
      </c>
      <c r="I48" s="106">
        <v>412.138645</v>
      </c>
      <c r="J48" s="106">
        <v>412.138645</v>
      </c>
      <c r="K48" s="106">
        <v>297.75497000000001</v>
      </c>
      <c r="L48" s="106">
        <v>297.75497000000001</v>
      </c>
      <c r="M48" s="106">
        <v>297.75497000000001</v>
      </c>
      <c r="N48" s="106">
        <v>297.75497000000001</v>
      </c>
      <c r="O48" s="106">
        <v>3778.3869500000001</v>
      </c>
      <c r="P48" s="106">
        <v>3778.3869500000001</v>
      </c>
      <c r="Q48" s="106">
        <v>3778.3869500000001</v>
      </c>
      <c r="R48" s="106">
        <v>3778.3869500000001</v>
      </c>
      <c r="S48" s="106">
        <v>3480.8022900000001</v>
      </c>
      <c r="T48" s="106">
        <v>3480.8022900000001</v>
      </c>
      <c r="U48" s="106">
        <v>3480.8022900000001</v>
      </c>
      <c r="V48" s="106">
        <v>3480.8022900000001</v>
      </c>
      <c r="W48" s="106">
        <v>2845.9036500000002</v>
      </c>
      <c r="X48" s="106">
        <v>2845.9036500000002</v>
      </c>
      <c r="Y48" s="106">
        <v>2845.9036500000002</v>
      </c>
      <c r="Z48" s="106">
        <v>2845.9036500000002</v>
      </c>
      <c r="AA48" s="106">
        <v>0</v>
      </c>
      <c r="AB48" s="106">
        <v>0</v>
      </c>
      <c r="AC48" s="106">
        <v>0</v>
      </c>
      <c r="AD48" s="106">
        <v>0</v>
      </c>
      <c r="AE48" s="106">
        <v>4309.6357399999997</v>
      </c>
      <c r="AF48" s="106">
        <v>4309.6357399999997</v>
      </c>
      <c r="AG48" s="106">
        <v>4309.6357399999997</v>
      </c>
      <c r="AH48" s="106">
        <v>4309.6357399999997</v>
      </c>
      <c r="AI48" s="106">
        <v>3758.6462000000001</v>
      </c>
      <c r="AJ48" s="106">
        <v>3758.6462000000001</v>
      </c>
      <c r="AK48" s="106">
        <v>3758.6462000000001</v>
      </c>
      <c r="AL48" s="106">
        <v>3758.6462000000001</v>
      </c>
      <c r="AM48" s="106">
        <v>2149.9965400000001</v>
      </c>
      <c r="AN48" s="106">
        <v>2149.9965400000001</v>
      </c>
      <c r="AO48" s="106">
        <v>2149.9965400000001</v>
      </c>
      <c r="AP48" s="106">
        <v>2149.9965400000001</v>
      </c>
      <c r="AQ48" s="106">
        <v>1937.1906300000001</v>
      </c>
      <c r="AR48" s="106">
        <v>1937.1906300000001</v>
      </c>
      <c r="AS48" s="106">
        <v>1937.1906300000001</v>
      </c>
      <c r="AT48" s="106">
        <v>1937.1906300000001</v>
      </c>
      <c r="AU48" s="106">
        <v>2273.64687</v>
      </c>
      <c r="AV48" s="106">
        <v>2273.64687</v>
      </c>
      <c r="AW48" s="106">
        <v>2273.64687</v>
      </c>
      <c r="AX48" s="106">
        <v>2273.64687</v>
      </c>
    </row>
    <row r="49" spans="2:51" x14ac:dyDescent="0.2">
      <c r="B49" s="105" t="s">
        <v>105</v>
      </c>
      <c r="C49" s="106">
        <v>0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</row>
    <row r="50" spans="2:51" x14ac:dyDescent="0.2">
      <c r="B50" s="105" t="s">
        <v>106</v>
      </c>
      <c r="C50" s="106">
        <v>302.05924900000002</v>
      </c>
      <c r="D50" s="106">
        <v>302.05924900000002</v>
      </c>
      <c r="E50" s="106">
        <v>302.05924900000002</v>
      </c>
      <c r="F50" s="106">
        <v>302.05924900000002</v>
      </c>
      <c r="G50" s="106">
        <v>235.68459300000001</v>
      </c>
      <c r="H50" s="106">
        <v>235.68459300000001</v>
      </c>
      <c r="I50" s="106">
        <v>235.68459300000001</v>
      </c>
      <c r="J50" s="106">
        <v>235.68459300000001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291.699051</v>
      </c>
      <c r="AB50" s="106">
        <v>291.699051</v>
      </c>
      <c r="AC50" s="106">
        <v>291.699051</v>
      </c>
      <c r="AD50" s="106">
        <v>291.699051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1611.8119300000001</v>
      </c>
      <c r="D52" s="106">
        <v>1611.8119300000001</v>
      </c>
      <c r="E52" s="106">
        <v>1611.8119300000001</v>
      </c>
      <c r="F52" s="106">
        <v>1611.8119300000001</v>
      </c>
      <c r="G52" s="106">
        <v>621.26024600000005</v>
      </c>
      <c r="H52" s="106">
        <v>621.26024600000005</v>
      </c>
      <c r="I52" s="106">
        <v>621.26024600000005</v>
      </c>
      <c r="J52" s="106">
        <v>621.26024600000005</v>
      </c>
      <c r="K52" s="106">
        <v>783.09284400000001</v>
      </c>
      <c r="L52" s="106">
        <v>783.09284400000001</v>
      </c>
      <c r="M52" s="106">
        <v>783.09284400000001</v>
      </c>
      <c r="N52" s="106">
        <v>783.09284400000001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1790.2679499999999</v>
      </c>
      <c r="AB52" s="106">
        <v>1790.2679499999999</v>
      </c>
      <c r="AC52" s="106">
        <v>1790.2679499999999</v>
      </c>
      <c r="AD52" s="106">
        <v>1790.2679499999999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325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273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324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794281.72081680247</v>
      </c>
      <c r="D58" s="106">
        <v>794281.72081680247</v>
      </c>
      <c r="E58" s="106">
        <v>794281.72081680247</v>
      </c>
      <c r="F58" s="106">
        <v>794281.72081680247</v>
      </c>
      <c r="G58" s="106">
        <v>554791.05008073908</v>
      </c>
      <c r="H58" s="106">
        <v>554791.05008073908</v>
      </c>
      <c r="I58" s="106">
        <v>554791.05008073908</v>
      </c>
      <c r="J58" s="106">
        <v>554791.05008073908</v>
      </c>
      <c r="K58" s="106">
        <v>377729.75070038543</v>
      </c>
      <c r="L58" s="106">
        <v>377729.75070038543</v>
      </c>
      <c r="M58" s="106">
        <v>377729.75070038543</v>
      </c>
      <c r="N58" s="106">
        <v>377729.75070038543</v>
      </c>
      <c r="O58" s="106">
        <v>5275281.0664351108</v>
      </c>
      <c r="P58" s="106">
        <v>5275281.0664351108</v>
      </c>
      <c r="Q58" s="106">
        <v>5275281.0664351108</v>
      </c>
      <c r="R58" s="106">
        <v>5275281.0664351108</v>
      </c>
      <c r="S58" s="106">
        <v>4923533.0737255486</v>
      </c>
      <c r="T58" s="106">
        <v>4923533.0737255486</v>
      </c>
      <c r="U58" s="106">
        <v>4923533.0737255486</v>
      </c>
      <c r="V58" s="106">
        <v>4923533.0737255486</v>
      </c>
      <c r="W58" s="106">
        <v>3404122.9834081386</v>
      </c>
      <c r="X58" s="106">
        <v>3404122.9834081386</v>
      </c>
      <c r="Y58" s="106">
        <v>3404122.9834081386</v>
      </c>
      <c r="Z58" s="106">
        <v>3404122.9834081386</v>
      </c>
      <c r="AA58" s="106">
        <v>0</v>
      </c>
      <c r="AB58" s="106">
        <v>0</v>
      </c>
      <c r="AC58" s="106">
        <v>0</v>
      </c>
      <c r="AD58" s="106">
        <v>0</v>
      </c>
      <c r="AE58" s="106">
        <v>5339675.7543170629</v>
      </c>
      <c r="AF58" s="106">
        <v>5339675.7543170629</v>
      </c>
      <c r="AG58" s="106">
        <v>5339675.7543170629</v>
      </c>
      <c r="AH58" s="106">
        <v>5339675.7543170629</v>
      </c>
      <c r="AI58" s="106">
        <v>4246402.5677539259</v>
      </c>
      <c r="AJ58" s="106">
        <v>4246402.5677539259</v>
      </c>
      <c r="AK58" s="106">
        <v>4246402.5677539259</v>
      </c>
      <c r="AL58" s="106">
        <v>4246402.5677539259</v>
      </c>
      <c r="AM58" s="106">
        <v>3057407.8352774223</v>
      </c>
      <c r="AN58" s="106">
        <v>3057407.8352774223</v>
      </c>
      <c r="AO58" s="106">
        <v>3057407.8352774223</v>
      </c>
      <c r="AP58" s="106">
        <v>3057407.8352774223</v>
      </c>
      <c r="AQ58" s="106">
        <v>2804048.1842029486</v>
      </c>
      <c r="AR58" s="106">
        <v>2804048.1842029486</v>
      </c>
      <c r="AS58" s="106">
        <v>2804048.1842029486</v>
      </c>
      <c r="AT58" s="106">
        <v>2804048.1842029486</v>
      </c>
      <c r="AU58" s="106">
        <v>2739548.7136993213</v>
      </c>
      <c r="AV58" s="106">
        <v>2739548.7136993213</v>
      </c>
      <c r="AW58" s="106">
        <v>2739548.7136993213</v>
      </c>
      <c r="AX58" s="106">
        <v>2739548.7136993213</v>
      </c>
    </row>
    <row r="59" spans="2:51" x14ac:dyDescent="0.2">
      <c r="B59" s="111" t="s">
        <v>105</v>
      </c>
      <c r="C59" s="106">
        <v>0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</row>
    <row r="60" spans="2:51" x14ac:dyDescent="0.2">
      <c r="B60" s="111" t="s">
        <v>106</v>
      </c>
      <c r="C60" s="106">
        <v>451642.96361767198</v>
      </c>
      <c r="D60" s="106">
        <v>451642.96361767198</v>
      </c>
      <c r="E60" s="106">
        <v>451642.96361767198</v>
      </c>
      <c r="F60" s="106">
        <v>451642.96361767198</v>
      </c>
      <c r="G60" s="106">
        <v>349191.99571674131</v>
      </c>
      <c r="H60" s="106">
        <v>349191.99571674131</v>
      </c>
      <c r="I60" s="106">
        <v>349191.99571674131</v>
      </c>
      <c r="J60" s="106">
        <v>349191.99571674131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481113.28920931974</v>
      </c>
      <c r="AB60" s="106">
        <v>481113.28920931974</v>
      </c>
      <c r="AC60" s="106">
        <v>481113.28920931974</v>
      </c>
      <c r="AD60" s="106">
        <v>481113.28920931974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2284831.0645507579</v>
      </c>
      <c r="D62" s="106">
        <v>2284831.0645507579</v>
      </c>
      <c r="E62" s="106">
        <v>2284831.0645507579</v>
      </c>
      <c r="F62" s="106">
        <v>2284831.0645507579</v>
      </c>
      <c r="G62" s="106">
        <v>854910.07709845318</v>
      </c>
      <c r="H62" s="106">
        <v>854910.07709845318</v>
      </c>
      <c r="I62" s="106">
        <v>854910.07709845318</v>
      </c>
      <c r="J62" s="106">
        <v>854910.07709845318</v>
      </c>
      <c r="K62" s="106">
        <v>1125271.1967035234</v>
      </c>
      <c r="L62" s="106">
        <v>1125271.1967035234</v>
      </c>
      <c r="M62" s="106">
        <v>1125271.1967035234</v>
      </c>
      <c r="N62" s="106">
        <v>1125271.1967035234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2596281.7430287544</v>
      </c>
      <c r="AB62" s="106">
        <v>2596281.7430287544</v>
      </c>
      <c r="AC62" s="106">
        <v>2596281.7430287544</v>
      </c>
      <c r="AD62" s="106">
        <v>2596281.7430287544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326</v>
      </c>
    </row>
    <row r="66" spans="1:14" x14ac:dyDescent="0.2">
      <c r="B66" s="105" t="s">
        <v>327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328</v>
      </c>
      <c r="C67" s="106">
        <v>0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</row>
    <row r="68" spans="1:14" x14ac:dyDescent="0.2">
      <c r="B68" s="105" t="s">
        <v>329</v>
      </c>
      <c r="C68" s="106">
        <v>0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</row>
    <row r="70" spans="1:14" x14ac:dyDescent="0.2">
      <c r="B70" s="110" t="s">
        <v>330</v>
      </c>
    </row>
    <row r="71" spans="1:14" x14ac:dyDescent="0.2">
      <c r="A71" s="111" t="s">
        <v>121</v>
      </c>
      <c r="B71" s="111" t="s">
        <v>331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0</v>
      </c>
      <c r="D72" s="106">
        <v>0</v>
      </c>
    </row>
    <row r="73" spans="1:14" x14ac:dyDescent="0.2">
      <c r="B73" s="111" t="s">
        <v>93</v>
      </c>
      <c r="C73" s="106">
        <v>0</v>
      </c>
      <c r="D73" s="106">
        <v>0</v>
      </c>
    </row>
    <row r="74" spans="1:14" x14ac:dyDescent="0.2">
      <c r="B74" s="111" t="s">
        <v>94</v>
      </c>
      <c r="C74" s="106">
        <v>0</v>
      </c>
      <c r="D74" s="106">
        <v>0</v>
      </c>
    </row>
    <row r="75" spans="1:14" x14ac:dyDescent="0.2">
      <c r="B75" s="111" t="s">
        <v>95</v>
      </c>
      <c r="C75" s="106">
        <v>0</v>
      </c>
      <c r="D75" s="106">
        <v>0</v>
      </c>
    </row>
    <row r="76" spans="1:14" x14ac:dyDescent="0.2">
      <c r="B76" s="111" t="s">
        <v>96</v>
      </c>
      <c r="C76" s="106">
        <v>0</v>
      </c>
      <c r="D76" s="106">
        <v>0</v>
      </c>
    </row>
    <row r="77" spans="1:14" x14ac:dyDescent="0.2">
      <c r="B77" s="111" t="s">
        <v>97</v>
      </c>
      <c r="C77" s="106">
        <v>0</v>
      </c>
      <c r="D77" s="106">
        <v>0</v>
      </c>
    </row>
    <row r="78" spans="1:14" x14ac:dyDescent="0.2">
      <c r="B78" s="111" t="s">
        <v>98</v>
      </c>
      <c r="C78" s="106">
        <v>0</v>
      </c>
      <c r="D78" s="106">
        <v>0</v>
      </c>
    </row>
    <row r="79" spans="1:14" x14ac:dyDescent="0.2">
      <c r="B79" s="111" t="s">
        <v>99</v>
      </c>
      <c r="C79" s="106">
        <v>0</v>
      </c>
      <c r="D79" s="106">
        <v>0</v>
      </c>
    </row>
    <row r="80" spans="1:14" x14ac:dyDescent="0.2">
      <c r="B80" s="111" t="s">
        <v>100</v>
      </c>
      <c r="C80" s="106">
        <v>0</v>
      </c>
      <c r="D80" s="106">
        <v>0</v>
      </c>
    </row>
    <row r="81" spans="2:50" x14ac:dyDescent="0.2">
      <c r="B81" s="111" t="s">
        <v>101</v>
      </c>
      <c r="C81" s="106">
        <v>0</v>
      </c>
      <c r="D81" s="106">
        <v>0</v>
      </c>
    </row>
    <row r="82" spans="2:50" x14ac:dyDescent="0.2">
      <c r="B82" s="111" t="s">
        <v>102</v>
      </c>
      <c r="C82" s="106">
        <v>0</v>
      </c>
      <c r="D82" s="106">
        <v>0</v>
      </c>
    </row>
    <row r="83" spans="2:50" x14ac:dyDescent="0.2">
      <c r="B83" s="111" t="s">
        <v>103</v>
      </c>
      <c r="C83" s="106">
        <v>0</v>
      </c>
      <c r="D83" s="106">
        <v>0</v>
      </c>
    </row>
    <row r="85" spans="2:50" x14ac:dyDescent="0.2">
      <c r="B85" s="109" t="s">
        <v>332</v>
      </c>
    </row>
    <row r="86" spans="2:50" x14ac:dyDescent="0.2">
      <c r="B86" s="105" t="s">
        <v>273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333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586.26074700000004</v>
      </c>
      <c r="D88" s="106">
        <f>D48+$C$67/4</f>
        <v>586.26074700000004</v>
      </c>
      <c r="E88" s="106">
        <f>E48+$C$67/4</f>
        <v>586.26074700000004</v>
      </c>
      <c r="F88" s="106">
        <f>F48+$C$67/4</f>
        <v>586.26074700000004</v>
      </c>
      <c r="G88" s="106">
        <f>G48+$D$67/4</f>
        <v>412.138645</v>
      </c>
      <c r="H88" s="106">
        <f>H48+$D$67/4</f>
        <v>412.138645</v>
      </c>
      <c r="I88" s="106">
        <f>I48+$D$67/4</f>
        <v>412.138645</v>
      </c>
      <c r="J88" s="106">
        <f>J48+$D$67/4</f>
        <v>412.138645</v>
      </c>
      <c r="K88" s="106">
        <f>K48+$E$67/4</f>
        <v>297.75497000000001</v>
      </c>
      <c r="L88" s="106">
        <f>L48+$E$67/4</f>
        <v>297.75497000000001</v>
      </c>
      <c r="M88" s="106">
        <f>M48+$E$67/4</f>
        <v>297.75497000000001</v>
      </c>
      <c r="N88" s="106">
        <f>N48+$E$67/4</f>
        <v>297.75497000000001</v>
      </c>
      <c r="O88" s="106">
        <f>O48+$F$67/4</f>
        <v>3778.3869500000001</v>
      </c>
      <c r="P88" s="106">
        <f>P48+$F$67/4</f>
        <v>3778.3869500000001</v>
      </c>
      <c r="Q88" s="106">
        <f>Q48+$F$67/4</f>
        <v>3778.3869500000001</v>
      </c>
      <c r="R88" s="106">
        <f>R48+$F$67/4</f>
        <v>3778.3869500000001</v>
      </c>
      <c r="S88" s="106">
        <f>S48+$G$67/4</f>
        <v>3480.8022900000001</v>
      </c>
      <c r="T88" s="106">
        <f>T48+$G$67/4</f>
        <v>3480.8022900000001</v>
      </c>
      <c r="U88" s="106">
        <f>U48+$G$67/4</f>
        <v>3480.8022900000001</v>
      </c>
      <c r="V88" s="106">
        <f>V48+$G$67/4</f>
        <v>3480.8022900000001</v>
      </c>
      <c r="W88" s="106">
        <f>W48+$H$67/4</f>
        <v>2845.9036500000002</v>
      </c>
      <c r="X88" s="106">
        <f>X48+$H$67/4</f>
        <v>2845.9036500000002</v>
      </c>
      <c r="Y88" s="106">
        <f>Y48+$H$67/4</f>
        <v>2845.9036500000002</v>
      </c>
      <c r="Z88" s="106">
        <f>Z48+$H$67/4</f>
        <v>2845.9036500000002</v>
      </c>
      <c r="AA88" s="106">
        <f>AA48+$I$67/4</f>
        <v>0</v>
      </c>
      <c r="AB88" s="106">
        <f>AB48+$I$67/4</f>
        <v>0</v>
      </c>
      <c r="AC88" s="106">
        <f>AC48+$I$67/4</f>
        <v>0</v>
      </c>
      <c r="AD88" s="106">
        <f>AD48+$I$67/4</f>
        <v>0</v>
      </c>
      <c r="AE88" s="106">
        <f>AE48+$J$67/4</f>
        <v>4309.6357399999997</v>
      </c>
      <c r="AF88" s="106">
        <f>AF48+$J$67/4</f>
        <v>4309.6357399999997</v>
      </c>
      <c r="AG88" s="106">
        <f>AG48+$J$67/4</f>
        <v>4309.6357399999997</v>
      </c>
      <c r="AH88" s="106">
        <f>AH48+$J$67/4</f>
        <v>4309.6357399999997</v>
      </c>
      <c r="AI88" s="106">
        <f>AI48+$K$67/4</f>
        <v>3758.6462000000001</v>
      </c>
      <c r="AJ88" s="106">
        <f>AJ48+$K$67/4</f>
        <v>3758.6462000000001</v>
      </c>
      <c r="AK88" s="106">
        <f>AK48+$K$67/4</f>
        <v>3758.6462000000001</v>
      </c>
      <c r="AL88" s="106">
        <f>AL48+$K$67/4</f>
        <v>3758.6462000000001</v>
      </c>
      <c r="AM88" s="106">
        <f>AM48+$L$67/4</f>
        <v>2149.9965400000001</v>
      </c>
      <c r="AN88" s="106">
        <f>AN48+$L$67/4</f>
        <v>2149.9965400000001</v>
      </c>
      <c r="AO88" s="106">
        <f>AO48+$L$67/4</f>
        <v>2149.9965400000001</v>
      </c>
      <c r="AP88" s="106">
        <f>AP48+$L$67/4</f>
        <v>2149.9965400000001</v>
      </c>
      <c r="AQ88" s="106">
        <f>AQ48+$M$67/4</f>
        <v>1937.1906300000001</v>
      </c>
      <c r="AR88" s="106">
        <f>AR48+$M$67/4</f>
        <v>1937.1906300000001</v>
      </c>
      <c r="AS88" s="106">
        <f>AS48+$M$67/4</f>
        <v>1937.1906300000001</v>
      </c>
      <c r="AT88" s="106">
        <f>AT48+$M$67/4</f>
        <v>1937.1906300000001</v>
      </c>
      <c r="AU88" s="106">
        <f>AU48+$N$67/4</f>
        <v>2273.64687</v>
      </c>
      <c r="AV88" s="106">
        <f>AV48+$N$67/4</f>
        <v>2273.64687</v>
      </c>
      <c r="AW88" s="106">
        <f>AW48+$N$67/4</f>
        <v>2273.64687</v>
      </c>
      <c r="AX88" s="106">
        <f>AX48+$N$67/4</f>
        <v>2273.64687</v>
      </c>
    </row>
    <row r="89" spans="2:50" x14ac:dyDescent="0.2">
      <c r="B89" s="105" t="s">
        <v>105</v>
      </c>
      <c r="C89" s="106">
        <f>C49</f>
        <v>0</v>
      </c>
      <c r="D89" s="106">
        <f t="shared" ref="D89:AX93" si="3">D49</f>
        <v>0</v>
      </c>
      <c r="E89" s="106">
        <f t="shared" si="3"/>
        <v>0</v>
      </c>
      <c r="F89" s="106">
        <f t="shared" si="3"/>
        <v>0</v>
      </c>
      <c r="G89" s="106">
        <f t="shared" si="3"/>
        <v>0</v>
      </c>
      <c r="H89" s="106">
        <f t="shared" si="3"/>
        <v>0</v>
      </c>
      <c r="I89" s="106">
        <f t="shared" si="3"/>
        <v>0</v>
      </c>
      <c r="J89" s="106">
        <f t="shared" si="3"/>
        <v>0</v>
      </c>
      <c r="K89" s="106">
        <f t="shared" si="3"/>
        <v>0</v>
      </c>
      <c r="L89" s="106">
        <f t="shared" si="3"/>
        <v>0</v>
      </c>
      <c r="M89" s="106">
        <f t="shared" si="3"/>
        <v>0</v>
      </c>
      <c r="N89" s="106">
        <f t="shared" si="3"/>
        <v>0</v>
      </c>
      <c r="O89" s="106">
        <f t="shared" si="3"/>
        <v>0</v>
      </c>
      <c r="P89" s="106">
        <f t="shared" si="3"/>
        <v>0</v>
      </c>
      <c r="Q89" s="106">
        <f t="shared" si="3"/>
        <v>0</v>
      </c>
      <c r="R89" s="106">
        <f t="shared" si="3"/>
        <v>0</v>
      </c>
      <c r="S89" s="106">
        <f t="shared" si="3"/>
        <v>0</v>
      </c>
      <c r="T89" s="106">
        <f t="shared" si="3"/>
        <v>0</v>
      </c>
      <c r="U89" s="106">
        <f t="shared" si="3"/>
        <v>0</v>
      </c>
      <c r="V89" s="106">
        <f t="shared" si="3"/>
        <v>0</v>
      </c>
      <c r="W89" s="106">
        <f t="shared" si="3"/>
        <v>0</v>
      </c>
      <c r="X89" s="106">
        <f t="shared" si="3"/>
        <v>0</v>
      </c>
      <c r="Y89" s="106">
        <f t="shared" si="3"/>
        <v>0</v>
      </c>
      <c r="Z89" s="106">
        <f t="shared" si="3"/>
        <v>0</v>
      </c>
      <c r="AA89" s="106">
        <f t="shared" si="3"/>
        <v>0</v>
      </c>
      <c r="AB89" s="106">
        <f t="shared" si="3"/>
        <v>0</v>
      </c>
      <c r="AC89" s="106">
        <f t="shared" si="3"/>
        <v>0</v>
      </c>
      <c r="AD89" s="106">
        <f t="shared" si="3"/>
        <v>0</v>
      </c>
      <c r="AE89" s="106">
        <f t="shared" si="3"/>
        <v>0</v>
      </c>
      <c r="AF89" s="106">
        <f t="shared" si="3"/>
        <v>0</v>
      </c>
      <c r="AG89" s="106">
        <f t="shared" si="3"/>
        <v>0</v>
      </c>
      <c r="AH89" s="106">
        <f t="shared" si="3"/>
        <v>0</v>
      </c>
      <c r="AI89" s="106">
        <f t="shared" si="3"/>
        <v>0</v>
      </c>
      <c r="AJ89" s="106">
        <f t="shared" si="3"/>
        <v>0</v>
      </c>
      <c r="AK89" s="106">
        <f t="shared" si="3"/>
        <v>0</v>
      </c>
      <c r="AL89" s="106">
        <f t="shared" si="3"/>
        <v>0</v>
      </c>
      <c r="AM89" s="106">
        <f t="shared" si="3"/>
        <v>0</v>
      </c>
      <c r="AN89" s="106">
        <f t="shared" si="3"/>
        <v>0</v>
      </c>
      <c r="AO89" s="106">
        <f t="shared" si="3"/>
        <v>0</v>
      </c>
      <c r="AP89" s="106">
        <f t="shared" si="3"/>
        <v>0</v>
      </c>
      <c r="AQ89" s="106">
        <f t="shared" si="3"/>
        <v>0</v>
      </c>
      <c r="AR89" s="106">
        <f t="shared" si="3"/>
        <v>0</v>
      </c>
      <c r="AS89" s="106">
        <f t="shared" si="3"/>
        <v>0</v>
      </c>
      <c r="AT89" s="106">
        <f t="shared" si="3"/>
        <v>0</v>
      </c>
      <c r="AU89" s="106">
        <f t="shared" si="3"/>
        <v>0</v>
      </c>
      <c r="AV89" s="106">
        <f t="shared" si="3"/>
        <v>0</v>
      </c>
      <c r="AW89" s="106">
        <f t="shared" si="3"/>
        <v>0</v>
      </c>
      <c r="AX89" s="106">
        <f t="shared" si="3"/>
        <v>0</v>
      </c>
    </row>
    <row r="90" spans="2:50" x14ac:dyDescent="0.2">
      <c r="B90" s="105" t="s">
        <v>106</v>
      </c>
      <c r="C90" s="106">
        <f t="shared" ref="C90:R93" si="4">C50</f>
        <v>302.05924900000002</v>
      </c>
      <c r="D90" s="106">
        <f t="shared" si="4"/>
        <v>302.05924900000002</v>
      </c>
      <c r="E90" s="106">
        <f t="shared" si="4"/>
        <v>302.05924900000002</v>
      </c>
      <c r="F90" s="106">
        <f t="shared" si="4"/>
        <v>302.05924900000002</v>
      </c>
      <c r="G90" s="106">
        <f t="shared" si="4"/>
        <v>235.68459300000001</v>
      </c>
      <c r="H90" s="106">
        <f t="shared" si="4"/>
        <v>235.68459300000001</v>
      </c>
      <c r="I90" s="106">
        <f t="shared" si="4"/>
        <v>235.68459300000001</v>
      </c>
      <c r="J90" s="106">
        <f t="shared" si="4"/>
        <v>235.68459300000001</v>
      </c>
      <c r="K90" s="106">
        <f t="shared" si="4"/>
        <v>0</v>
      </c>
      <c r="L90" s="106">
        <f t="shared" si="4"/>
        <v>0</v>
      </c>
      <c r="M90" s="106">
        <f t="shared" si="4"/>
        <v>0</v>
      </c>
      <c r="N90" s="106">
        <f t="shared" si="4"/>
        <v>0</v>
      </c>
      <c r="O90" s="106">
        <f t="shared" si="4"/>
        <v>0</v>
      </c>
      <c r="P90" s="106">
        <f t="shared" si="4"/>
        <v>0</v>
      </c>
      <c r="Q90" s="106">
        <f t="shared" si="4"/>
        <v>0</v>
      </c>
      <c r="R90" s="106">
        <f t="shared" si="4"/>
        <v>0</v>
      </c>
      <c r="S90" s="106">
        <f t="shared" si="3"/>
        <v>0</v>
      </c>
      <c r="T90" s="106">
        <f t="shared" si="3"/>
        <v>0</v>
      </c>
      <c r="U90" s="106">
        <f t="shared" si="3"/>
        <v>0</v>
      </c>
      <c r="V90" s="106">
        <f t="shared" si="3"/>
        <v>0</v>
      </c>
      <c r="W90" s="106">
        <f t="shared" si="3"/>
        <v>0</v>
      </c>
      <c r="X90" s="106">
        <f t="shared" si="3"/>
        <v>0</v>
      </c>
      <c r="Y90" s="106">
        <f t="shared" si="3"/>
        <v>0</v>
      </c>
      <c r="Z90" s="106">
        <f t="shared" si="3"/>
        <v>0</v>
      </c>
      <c r="AA90" s="106">
        <f t="shared" si="3"/>
        <v>291.699051</v>
      </c>
      <c r="AB90" s="106">
        <f t="shared" si="3"/>
        <v>291.699051</v>
      </c>
      <c r="AC90" s="106">
        <f t="shared" si="3"/>
        <v>291.699051</v>
      </c>
      <c r="AD90" s="106">
        <f t="shared" si="3"/>
        <v>291.699051</v>
      </c>
      <c r="AE90" s="106">
        <f t="shared" si="3"/>
        <v>0</v>
      </c>
      <c r="AF90" s="106">
        <f t="shared" si="3"/>
        <v>0</v>
      </c>
      <c r="AG90" s="106">
        <f t="shared" si="3"/>
        <v>0</v>
      </c>
      <c r="AH90" s="106">
        <f t="shared" si="3"/>
        <v>0</v>
      </c>
      <c r="AI90" s="106">
        <f t="shared" si="3"/>
        <v>0</v>
      </c>
      <c r="AJ90" s="106">
        <f t="shared" si="3"/>
        <v>0</v>
      </c>
      <c r="AK90" s="106">
        <f t="shared" si="3"/>
        <v>0</v>
      </c>
      <c r="AL90" s="106">
        <f t="shared" si="3"/>
        <v>0</v>
      </c>
      <c r="AM90" s="106">
        <f t="shared" si="3"/>
        <v>0</v>
      </c>
      <c r="AN90" s="106">
        <f t="shared" si="3"/>
        <v>0</v>
      </c>
      <c r="AO90" s="106">
        <f t="shared" si="3"/>
        <v>0</v>
      </c>
      <c r="AP90" s="106">
        <f t="shared" si="3"/>
        <v>0</v>
      </c>
      <c r="AQ90" s="106">
        <f t="shared" si="3"/>
        <v>0</v>
      </c>
      <c r="AR90" s="106">
        <f t="shared" si="3"/>
        <v>0</v>
      </c>
      <c r="AS90" s="106">
        <f t="shared" si="3"/>
        <v>0</v>
      </c>
      <c r="AT90" s="106">
        <f t="shared" si="3"/>
        <v>0</v>
      </c>
      <c r="AU90" s="106">
        <f t="shared" si="3"/>
        <v>0</v>
      </c>
      <c r="AV90" s="106">
        <f t="shared" si="3"/>
        <v>0</v>
      </c>
      <c r="AW90" s="106">
        <f t="shared" si="3"/>
        <v>0</v>
      </c>
      <c r="AX90" s="106">
        <f t="shared" si="3"/>
        <v>0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1611.8119300000001</v>
      </c>
      <c r="D92" s="106">
        <f t="shared" si="4"/>
        <v>1611.8119300000001</v>
      </c>
      <c r="E92" s="106">
        <f t="shared" si="4"/>
        <v>1611.8119300000001</v>
      </c>
      <c r="F92" s="106">
        <f t="shared" si="4"/>
        <v>1611.8119300000001</v>
      </c>
      <c r="G92" s="106">
        <f t="shared" si="4"/>
        <v>621.26024600000005</v>
      </c>
      <c r="H92" s="106">
        <f t="shared" si="4"/>
        <v>621.26024600000005</v>
      </c>
      <c r="I92" s="106">
        <f t="shared" si="4"/>
        <v>621.26024600000005</v>
      </c>
      <c r="J92" s="106">
        <f t="shared" si="4"/>
        <v>621.26024600000005</v>
      </c>
      <c r="K92" s="106">
        <f t="shared" si="4"/>
        <v>783.09284400000001</v>
      </c>
      <c r="L92" s="106">
        <f t="shared" si="4"/>
        <v>783.09284400000001</v>
      </c>
      <c r="M92" s="106">
        <f t="shared" si="4"/>
        <v>783.09284400000001</v>
      </c>
      <c r="N92" s="106">
        <f t="shared" si="4"/>
        <v>783.09284400000001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1790.2679499999999</v>
      </c>
      <c r="AB92" s="106">
        <f t="shared" si="3"/>
        <v>1790.2679499999999</v>
      </c>
      <c r="AC92" s="106">
        <f t="shared" si="3"/>
        <v>1790.2679499999999</v>
      </c>
      <c r="AD92" s="106">
        <f t="shared" si="3"/>
        <v>1790.2679499999999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334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335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12</v>
      </c>
      <c r="C98" s="106">
        <v>42137.049455979519</v>
      </c>
      <c r="D98" s="106">
        <v>42137.049455979519</v>
      </c>
      <c r="E98" s="106">
        <v>42137.049455979519</v>
      </c>
      <c r="F98" s="106">
        <v>42137.049455979519</v>
      </c>
      <c r="G98" s="106">
        <v>29622.154571923584</v>
      </c>
      <c r="H98" s="106">
        <v>29622.154571923584</v>
      </c>
      <c r="I98" s="106">
        <v>29622.154571923584</v>
      </c>
      <c r="J98" s="106">
        <v>29622.154571923584</v>
      </c>
      <c r="K98" s="106">
        <v>21400.914116894983</v>
      </c>
      <c r="L98" s="106">
        <v>21400.914116894983</v>
      </c>
      <c r="M98" s="106">
        <v>21400.914116894983</v>
      </c>
      <c r="N98" s="106">
        <v>21400.914116894983</v>
      </c>
      <c r="O98" s="106">
        <v>271568.71509935422</v>
      </c>
      <c r="P98" s="106">
        <v>271568.71509935422</v>
      </c>
      <c r="Q98" s="106">
        <v>271568.71509935422</v>
      </c>
      <c r="R98" s="106">
        <v>271568.71509935422</v>
      </c>
      <c r="S98" s="106">
        <v>250180.04188538439</v>
      </c>
      <c r="T98" s="106">
        <v>250180.04188538439</v>
      </c>
      <c r="U98" s="106">
        <v>250180.04188538439</v>
      </c>
      <c r="V98" s="106">
        <v>250180.04188538439</v>
      </c>
      <c r="W98" s="106">
        <v>204547.18051761811</v>
      </c>
      <c r="X98" s="106">
        <v>204547.18051761811</v>
      </c>
      <c r="Y98" s="106">
        <v>204547.18051761811</v>
      </c>
      <c r="Z98" s="106">
        <v>204547.18051761811</v>
      </c>
      <c r="AA98" s="106">
        <v>0</v>
      </c>
      <c r="AB98" s="106">
        <v>0</v>
      </c>
      <c r="AC98" s="106">
        <v>0</v>
      </c>
      <c r="AD98" s="106">
        <v>0</v>
      </c>
      <c r="AE98" s="106">
        <v>309751.82159626472</v>
      </c>
      <c r="AF98" s="106">
        <v>309751.82159626472</v>
      </c>
      <c r="AG98" s="106">
        <v>309751.82159626472</v>
      </c>
      <c r="AH98" s="106">
        <v>309751.82159626472</v>
      </c>
      <c r="AI98" s="106">
        <v>270149.8635673275</v>
      </c>
      <c r="AJ98" s="106">
        <v>270149.8635673275</v>
      </c>
      <c r="AK98" s="106">
        <v>270149.8635673275</v>
      </c>
      <c r="AL98" s="106">
        <v>270149.8635673275</v>
      </c>
      <c r="AM98" s="106">
        <v>154529.38133714901</v>
      </c>
      <c r="AN98" s="106">
        <v>154529.38133714901</v>
      </c>
      <c r="AO98" s="106">
        <v>154529.38133714901</v>
      </c>
      <c r="AP98" s="106">
        <v>154529.38133714901</v>
      </c>
      <c r="AQ98" s="106">
        <v>139234.11690049604</v>
      </c>
      <c r="AR98" s="106">
        <v>139234.11690049604</v>
      </c>
      <c r="AS98" s="106">
        <v>139234.11690049604</v>
      </c>
      <c r="AT98" s="106">
        <v>139234.11690049604</v>
      </c>
      <c r="AU98" s="106">
        <v>163416.65563808082</v>
      </c>
      <c r="AV98" s="106">
        <v>163416.65563808082</v>
      </c>
      <c r="AW98" s="106">
        <v>163416.65563808082</v>
      </c>
      <c r="AX98" s="106">
        <v>163416.65563808082</v>
      </c>
    </row>
    <row r="99" spans="1:50" x14ac:dyDescent="0.2">
      <c r="B99" s="111" t="s">
        <v>22</v>
      </c>
      <c r="C99" s="106">
        <v>17696.446248882447</v>
      </c>
      <c r="D99" s="106">
        <v>17696.446248882447</v>
      </c>
      <c r="E99" s="106">
        <v>17696.446248882447</v>
      </c>
      <c r="F99" s="106">
        <v>17696.446248882447</v>
      </c>
      <c r="G99" s="106">
        <v>12440.521415856867</v>
      </c>
      <c r="H99" s="106">
        <v>12440.521415856867</v>
      </c>
      <c r="I99" s="106">
        <v>12440.521415856867</v>
      </c>
      <c r="J99" s="106">
        <v>12440.521415856867</v>
      </c>
      <c r="K99" s="106">
        <v>8987.8178761004547</v>
      </c>
      <c r="L99" s="106">
        <v>8987.8178761004547</v>
      </c>
      <c r="M99" s="106">
        <v>8987.8178761004547</v>
      </c>
      <c r="N99" s="106">
        <v>8987.8178761004547</v>
      </c>
      <c r="O99" s="106">
        <v>114051.67736422559</v>
      </c>
      <c r="P99" s="106">
        <v>114051.67736422559</v>
      </c>
      <c r="Q99" s="106">
        <v>114051.67736422559</v>
      </c>
      <c r="R99" s="106">
        <v>114051.67736422559</v>
      </c>
      <c r="S99" s="106">
        <v>105069.00034358251</v>
      </c>
      <c r="T99" s="106">
        <v>105069.00034358251</v>
      </c>
      <c r="U99" s="106">
        <v>105069.00034358251</v>
      </c>
      <c r="V99" s="106">
        <v>105069.00034358251</v>
      </c>
      <c r="W99" s="106">
        <v>85904.405555781428</v>
      </c>
      <c r="X99" s="106">
        <v>85904.405555781428</v>
      </c>
      <c r="Y99" s="106">
        <v>85904.405555781428</v>
      </c>
      <c r="Z99" s="106">
        <v>85904.405555781428</v>
      </c>
      <c r="AA99" s="106">
        <v>0</v>
      </c>
      <c r="AB99" s="106">
        <v>0</v>
      </c>
      <c r="AC99" s="106">
        <v>0</v>
      </c>
      <c r="AD99" s="106">
        <v>0</v>
      </c>
      <c r="AE99" s="106">
        <v>130087.57215187175</v>
      </c>
      <c r="AF99" s="106">
        <v>130087.57215187175</v>
      </c>
      <c r="AG99" s="106">
        <v>130087.57215187175</v>
      </c>
      <c r="AH99" s="106">
        <v>130087.57215187175</v>
      </c>
      <c r="AI99" s="106">
        <v>113455.79724931893</v>
      </c>
      <c r="AJ99" s="106">
        <v>113455.79724931893</v>
      </c>
      <c r="AK99" s="106">
        <v>113455.79724931893</v>
      </c>
      <c r="AL99" s="106">
        <v>113455.79724931893</v>
      </c>
      <c r="AM99" s="106">
        <v>64898.25286800797</v>
      </c>
      <c r="AN99" s="106">
        <v>64898.25286800797</v>
      </c>
      <c r="AO99" s="106">
        <v>64898.25286800797</v>
      </c>
      <c r="AP99" s="106">
        <v>64898.25286800797</v>
      </c>
      <c r="AQ99" s="106">
        <v>58474.646363512584</v>
      </c>
      <c r="AR99" s="106">
        <v>58474.646363512584</v>
      </c>
      <c r="AS99" s="106">
        <v>58474.646363512584</v>
      </c>
      <c r="AT99" s="106">
        <v>58474.646363512584</v>
      </c>
      <c r="AU99" s="106">
        <v>68630.673006485318</v>
      </c>
      <c r="AV99" s="106">
        <v>68630.673006485318</v>
      </c>
      <c r="AW99" s="106">
        <v>68630.673006485318</v>
      </c>
      <c r="AX99" s="106">
        <v>68630.673006485318</v>
      </c>
    </row>
    <row r="100" spans="1:50" x14ac:dyDescent="0.2">
      <c r="B100" s="111" t="s">
        <v>59</v>
      </c>
      <c r="C100" s="106">
        <v>92168.108878667714</v>
      </c>
      <c r="D100" s="106">
        <v>92168.108878667714</v>
      </c>
      <c r="E100" s="106">
        <v>92168.108878667714</v>
      </c>
      <c r="F100" s="106">
        <v>92168.108878667714</v>
      </c>
      <c r="G100" s="106">
        <v>64793.762331603924</v>
      </c>
      <c r="H100" s="106">
        <v>64793.762331603924</v>
      </c>
      <c r="I100" s="106">
        <v>64793.762331603924</v>
      </c>
      <c r="J100" s="106">
        <v>64793.762331603924</v>
      </c>
      <c r="K100" s="106">
        <v>46811.103480077327</v>
      </c>
      <c r="L100" s="106">
        <v>46811.103480077327</v>
      </c>
      <c r="M100" s="106">
        <v>46811.103480077327</v>
      </c>
      <c r="N100" s="106">
        <v>46811.103480077327</v>
      </c>
      <c r="O100" s="106">
        <v>594013.46853832121</v>
      </c>
      <c r="P100" s="106">
        <v>594013.46853832121</v>
      </c>
      <c r="Q100" s="106">
        <v>594013.46853832121</v>
      </c>
      <c r="R100" s="106">
        <v>594013.46853832121</v>
      </c>
      <c r="S100" s="106">
        <v>547229.14009086112</v>
      </c>
      <c r="T100" s="106">
        <v>547229.14009086112</v>
      </c>
      <c r="U100" s="106">
        <v>547229.14009086112</v>
      </c>
      <c r="V100" s="106">
        <v>547229.14009086112</v>
      </c>
      <c r="W100" s="106">
        <v>447414.49741201557</v>
      </c>
      <c r="X100" s="106">
        <v>447414.49741201557</v>
      </c>
      <c r="Y100" s="106">
        <v>447414.49741201557</v>
      </c>
      <c r="Z100" s="106">
        <v>447414.49741201557</v>
      </c>
      <c r="AA100" s="106">
        <v>0</v>
      </c>
      <c r="AB100" s="106">
        <v>0</v>
      </c>
      <c r="AC100" s="106">
        <v>0</v>
      </c>
      <c r="AD100" s="106">
        <v>0</v>
      </c>
      <c r="AE100" s="106">
        <v>677532.95465254411</v>
      </c>
      <c r="AF100" s="106">
        <v>677532.95465254411</v>
      </c>
      <c r="AG100" s="106">
        <v>677532.95465254411</v>
      </c>
      <c r="AH100" s="106">
        <v>677532.95465254411</v>
      </c>
      <c r="AI100" s="106">
        <v>590909.95597218559</v>
      </c>
      <c r="AJ100" s="106">
        <v>590909.95597218559</v>
      </c>
      <c r="AK100" s="106">
        <v>590909.95597218559</v>
      </c>
      <c r="AL100" s="106">
        <v>590909.95597218559</v>
      </c>
      <c r="AM100" s="106">
        <v>338008.49912177189</v>
      </c>
      <c r="AN100" s="106">
        <v>338008.49912177189</v>
      </c>
      <c r="AO100" s="106">
        <v>338008.49912177189</v>
      </c>
      <c r="AP100" s="106">
        <v>338008.49912177189</v>
      </c>
      <c r="AQ100" s="106">
        <v>304552.53540038707</v>
      </c>
      <c r="AR100" s="106">
        <v>304552.53540038707</v>
      </c>
      <c r="AS100" s="106">
        <v>304552.53540038707</v>
      </c>
      <c r="AT100" s="106">
        <v>304552.53540038707</v>
      </c>
      <c r="AU100" s="106">
        <v>357448.00131706934</v>
      </c>
      <c r="AV100" s="106">
        <v>357448.00131706934</v>
      </c>
      <c r="AW100" s="106">
        <v>357448.00131706934</v>
      </c>
      <c r="AX100" s="106">
        <v>357448.00131706934</v>
      </c>
    </row>
    <row r="101" spans="1:50" x14ac:dyDescent="0.2">
      <c r="B101" s="106" t="s">
        <v>277</v>
      </c>
      <c r="C101" s="111">
        <f>SUM(C$98:C$100)</f>
        <v>152001.6045835297</v>
      </c>
      <c r="D101" s="111">
        <f t="shared" ref="D101:AX101" si="5">SUM(D$98:D$100)</f>
        <v>152001.6045835297</v>
      </c>
      <c r="E101" s="111">
        <f t="shared" si="5"/>
        <v>152001.6045835297</v>
      </c>
      <c r="F101" s="111">
        <f t="shared" si="5"/>
        <v>152001.6045835297</v>
      </c>
      <c r="G101" s="111">
        <f t="shared" si="5"/>
        <v>106856.43831938438</v>
      </c>
      <c r="H101" s="111">
        <f t="shared" si="5"/>
        <v>106856.43831938438</v>
      </c>
      <c r="I101" s="111">
        <f t="shared" si="5"/>
        <v>106856.43831938438</v>
      </c>
      <c r="J101" s="111">
        <f t="shared" si="5"/>
        <v>106856.43831938438</v>
      </c>
      <c r="K101" s="111">
        <f t="shared" si="5"/>
        <v>77199.835473072773</v>
      </c>
      <c r="L101" s="111">
        <f t="shared" si="5"/>
        <v>77199.835473072773</v>
      </c>
      <c r="M101" s="111">
        <f t="shared" si="5"/>
        <v>77199.835473072773</v>
      </c>
      <c r="N101" s="111">
        <f t="shared" si="5"/>
        <v>77199.835473072773</v>
      </c>
      <c r="O101" s="111">
        <f t="shared" si="5"/>
        <v>979633.86100190098</v>
      </c>
      <c r="P101" s="111">
        <f t="shared" si="5"/>
        <v>979633.86100190098</v>
      </c>
      <c r="Q101" s="111">
        <f t="shared" si="5"/>
        <v>979633.86100190098</v>
      </c>
      <c r="R101" s="111">
        <f t="shared" si="5"/>
        <v>979633.86100190098</v>
      </c>
      <c r="S101" s="111">
        <f t="shared" si="5"/>
        <v>902478.18231982808</v>
      </c>
      <c r="T101" s="111">
        <f t="shared" si="5"/>
        <v>902478.18231982808</v>
      </c>
      <c r="U101" s="111">
        <f t="shared" si="5"/>
        <v>902478.18231982808</v>
      </c>
      <c r="V101" s="111">
        <f t="shared" si="5"/>
        <v>902478.18231982808</v>
      </c>
      <c r="W101" s="111">
        <f t="shared" si="5"/>
        <v>737866.08348541509</v>
      </c>
      <c r="X101" s="111">
        <f t="shared" si="5"/>
        <v>737866.08348541509</v>
      </c>
      <c r="Y101" s="111">
        <f t="shared" si="5"/>
        <v>737866.08348541509</v>
      </c>
      <c r="Z101" s="111">
        <f t="shared" si="5"/>
        <v>737866.08348541509</v>
      </c>
      <c r="AA101" s="111">
        <f t="shared" si="5"/>
        <v>0</v>
      </c>
      <c r="AB101" s="111">
        <f t="shared" si="5"/>
        <v>0</v>
      </c>
      <c r="AC101" s="111">
        <f t="shared" si="5"/>
        <v>0</v>
      </c>
      <c r="AD101" s="111">
        <f t="shared" si="5"/>
        <v>0</v>
      </c>
      <c r="AE101" s="111">
        <f t="shared" si="5"/>
        <v>1117372.3484006806</v>
      </c>
      <c r="AF101" s="111">
        <f t="shared" si="5"/>
        <v>1117372.3484006806</v>
      </c>
      <c r="AG101" s="111">
        <f t="shared" si="5"/>
        <v>1117372.3484006806</v>
      </c>
      <c r="AH101" s="111">
        <f t="shared" si="5"/>
        <v>1117372.3484006806</v>
      </c>
      <c r="AI101" s="111">
        <f t="shared" si="5"/>
        <v>974515.61678883201</v>
      </c>
      <c r="AJ101" s="111">
        <f t="shared" si="5"/>
        <v>974515.61678883201</v>
      </c>
      <c r="AK101" s="111">
        <f t="shared" si="5"/>
        <v>974515.61678883201</v>
      </c>
      <c r="AL101" s="111">
        <f t="shared" si="5"/>
        <v>974515.61678883201</v>
      </c>
      <c r="AM101" s="111">
        <f t="shared" si="5"/>
        <v>557436.13332692883</v>
      </c>
      <c r="AN101" s="111">
        <f t="shared" si="5"/>
        <v>557436.13332692883</v>
      </c>
      <c r="AO101" s="111">
        <f t="shared" si="5"/>
        <v>557436.13332692883</v>
      </c>
      <c r="AP101" s="111">
        <f t="shared" si="5"/>
        <v>557436.13332692883</v>
      </c>
      <c r="AQ101" s="111">
        <f t="shared" si="5"/>
        <v>502261.2986643957</v>
      </c>
      <c r="AR101" s="111">
        <f t="shared" si="5"/>
        <v>502261.2986643957</v>
      </c>
      <c r="AS101" s="111">
        <f t="shared" si="5"/>
        <v>502261.2986643957</v>
      </c>
      <c r="AT101" s="111">
        <f t="shared" si="5"/>
        <v>502261.2986643957</v>
      </c>
      <c r="AU101" s="111">
        <f t="shared" si="5"/>
        <v>589495.32996163541</v>
      </c>
      <c r="AV101" s="111">
        <f t="shared" si="5"/>
        <v>589495.32996163541</v>
      </c>
      <c r="AW101" s="111">
        <f t="shared" si="5"/>
        <v>589495.32996163541</v>
      </c>
      <c r="AX101" s="111">
        <f t="shared" si="5"/>
        <v>589495.32996163541</v>
      </c>
    </row>
    <row r="102" spans="1:50" x14ac:dyDescent="0.2">
      <c r="A102" s="111" t="s">
        <v>105</v>
      </c>
      <c r="B102" s="111" t="s">
        <v>12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</row>
    <row r="103" spans="1:50" x14ac:dyDescent="0.2">
      <c r="B103" s="111" t="s">
        <v>22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</row>
    <row r="104" spans="1:50" x14ac:dyDescent="0.2">
      <c r="B104" s="111" t="s">
        <v>59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06" t="s">
        <v>277</v>
      </c>
      <c r="C105" s="111">
        <f>SUM(C$102:C$104)</f>
        <v>0</v>
      </c>
      <c r="D105" s="111">
        <f t="shared" ref="D105:AX105" si="6">SUM(D$102:D$104)</f>
        <v>0</v>
      </c>
      <c r="E105" s="111">
        <f t="shared" si="6"/>
        <v>0</v>
      </c>
      <c r="F105" s="111">
        <f t="shared" si="6"/>
        <v>0</v>
      </c>
      <c r="G105" s="111">
        <f t="shared" si="6"/>
        <v>0</v>
      </c>
      <c r="H105" s="111">
        <f t="shared" si="6"/>
        <v>0</v>
      </c>
      <c r="I105" s="111">
        <f t="shared" si="6"/>
        <v>0</v>
      </c>
      <c r="J105" s="111">
        <f t="shared" si="6"/>
        <v>0</v>
      </c>
      <c r="K105" s="111">
        <f t="shared" si="6"/>
        <v>0</v>
      </c>
      <c r="L105" s="111">
        <f t="shared" si="6"/>
        <v>0</v>
      </c>
      <c r="M105" s="111">
        <f t="shared" si="6"/>
        <v>0</v>
      </c>
      <c r="N105" s="111">
        <f t="shared" si="6"/>
        <v>0</v>
      </c>
      <c r="O105" s="111">
        <f t="shared" si="6"/>
        <v>0</v>
      </c>
      <c r="P105" s="111">
        <f t="shared" si="6"/>
        <v>0</v>
      </c>
      <c r="Q105" s="111">
        <f t="shared" si="6"/>
        <v>0</v>
      </c>
      <c r="R105" s="111">
        <f t="shared" si="6"/>
        <v>0</v>
      </c>
      <c r="S105" s="111">
        <f t="shared" si="6"/>
        <v>0</v>
      </c>
      <c r="T105" s="111">
        <f t="shared" si="6"/>
        <v>0</v>
      </c>
      <c r="U105" s="111">
        <f t="shared" si="6"/>
        <v>0</v>
      </c>
      <c r="V105" s="111">
        <f t="shared" si="6"/>
        <v>0</v>
      </c>
      <c r="W105" s="111">
        <f t="shared" si="6"/>
        <v>0</v>
      </c>
      <c r="X105" s="111">
        <f t="shared" si="6"/>
        <v>0</v>
      </c>
      <c r="Y105" s="111">
        <f t="shared" si="6"/>
        <v>0</v>
      </c>
      <c r="Z105" s="111">
        <f t="shared" si="6"/>
        <v>0</v>
      </c>
      <c r="AA105" s="111">
        <f t="shared" si="6"/>
        <v>0</v>
      </c>
      <c r="AB105" s="111">
        <f t="shared" si="6"/>
        <v>0</v>
      </c>
      <c r="AC105" s="111">
        <f t="shared" si="6"/>
        <v>0</v>
      </c>
      <c r="AD105" s="111">
        <f t="shared" si="6"/>
        <v>0</v>
      </c>
      <c r="AE105" s="111">
        <f t="shared" si="6"/>
        <v>0</v>
      </c>
      <c r="AF105" s="111">
        <f t="shared" si="6"/>
        <v>0</v>
      </c>
      <c r="AG105" s="111">
        <f t="shared" si="6"/>
        <v>0</v>
      </c>
      <c r="AH105" s="111">
        <f t="shared" si="6"/>
        <v>0</v>
      </c>
      <c r="AI105" s="111">
        <f t="shared" si="6"/>
        <v>0</v>
      </c>
      <c r="AJ105" s="111">
        <f t="shared" si="6"/>
        <v>0</v>
      </c>
      <c r="AK105" s="111">
        <f t="shared" si="6"/>
        <v>0</v>
      </c>
      <c r="AL105" s="111">
        <f t="shared" si="6"/>
        <v>0</v>
      </c>
      <c r="AM105" s="111">
        <f t="shared" si="6"/>
        <v>0</v>
      </c>
      <c r="AN105" s="111">
        <f t="shared" si="6"/>
        <v>0</v>
      </c>
      <c r="AO105" s="111">
        <f t="shared" si="6"/>
        <v>0</v>
      </c>
      <c r="AP105" s="111">
        <f t="shared" si="6"/>
        <v>0</v>
      </c>
      <c r="AQ105" s="111">
        <f t="shared" si="6"/>
        <v>0</v>
      </c>
      <c r="AR105" s="111">
        <f t="shared" si="6"/>
        <v>0</v>
      </c>
      <c r="AS105" s="111">
        <f t="shared" si="6"/>
        <v>0</v>
      </c>
      <c r="AT105" s="111">
        <f t="shared" si="6"/>
        <v>0</v>
      </c>
      <c r="AU105" s="111">
        <f t="shared" si="6"/>
        <v>0</v>
      </c>
      <c r="AV105" s="111">
        <f t="shared" si="6"/>
        <v>0</v>
      </c>
      <c r="AW105" s="111">
        <f t="shared" si="6"/>
        <v>0</v>
      </c>
      <c r="AX105" s="111">
        <f t="shared" si="6"/>
        <v>0</v>
      </c>
    </row>
    <row r="106" spans="1:50" x14ac:dyDescent="0.2">
      <c r="A106" s="111" t="s">
        <v>106</v>
      </c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6379.4913388800005</v>
      </c>
      <c r="D107" s="106">
        <v>6379.4913388800005</v>
      </c>
      <c r="E107" s="106">
        <v>6379.4913388800005</v>
      </c>
      <c r="F107" s="106">
        <v>6379.4913388800005</v>
      </c>
      <c r="G107" s="106">
        <v>4977.6586041600003</v>
      </c>
      <c r="H107" s="106">
        <v>4977.6586041600003</v>
      </c>
      <c r="I107" s="106">
        <v>4977.6586041600003</v>
      </c>
      <c r="J107" s="106">
        <v>4977.6586041600003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6160.6839571199998</v>
      </c>
      <c r="AB107" s="106">
        <v>6160.6839571199998</v>
      </c>
      <c r="AC107" s="106">
        <v>6160.6839571199998</v>
      </c>
      <c r="AD107" s="106">
        <v>6160.6839571199998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07" t="s">
        <v>277</v>
      </c>
      <c r="C109" s="111">
        <f>SUM(C$106:C$108)</f>
        <v>6379.4913388800005</v>
      </c>
      <c r="D109" s="111">
        <f t="shared" ref="D109:AX109" si="7">SUM(D$106:D$108)</f>
        <v>6379.4913388800005</v>
      </c>
      <c r="E109" s="111">
        <f t="shared" si="7"/>
        <v>6379.4913388800005</v>
      </c>
      <c r="F109" s="111">
        <f t="shared" si="7"/>
        <v>6379.4913388800005</v>
      </c>
      <c r="G109" s="111">
        <f t="shared" si="7"/>
        <v>4977.6586041600003</v>
      </c>
      <c r="H109" s="111">
        <f t="shared" si="7"/>
        <v>4977.6586041600003</v>
      </c>
      <c r="I109" s="111">
        <f t="shared" si="7"/>
        <v>4977.6586041600003</v>
      </c>
      <c r="J109" s="111">
        <f t="shared" si="7"/>
        <v>4977.6586041600003</v>
      </c>
      <c r="K109" s="111">
        <f t="shared" si="7"/>
        <v>0</v>
      </c>
      <c r="L109" s="111">
        <f t="shared" si="7"/>
        <v>0</v>
      </c>
      <c r="M109" s="111">
        <f t="shared" si="7"/>
        <v>0</v>
      </c>
      <c r="N109" s="111">
        <f t="shared" si="7"/>
        <v>0</v>
      </c>
      <c r="O109" s="111">
        <f t="shared" si="7"/>
        <v>0</v>
      </c>
      <c r="P109" s="111">
        <f t="shared" si="7"/>
        <v>0</v>
      </c>
      <c r="Q109" s="111">
        <f t="shared" si="7"/>
        <v>0</v>
      </c>
      <c r="R109" s="111">
        <f t="shared" si="7"/>
        <v>0</v>
      </c>
      <c r="S109" s="111">
        <f t="shared" si="7"/>
        <v>0</v>
      </c>
      <c r="T109" s="111">
        <f t="shared" si="7"/>
        <v>0</v>
      </c>
      <c r="U109" s="111">
        <f t="shared" si="7"/>
        <v>0</v>
      </c>
      <c r="V109" s="111">
        <f t="shared" si="7"/>
        <v>0</v>
      </c>
      <c r="W109" s="111">
        <f t="shared" si="7"/>
        <v>0</v>
      </c>
      <c r="X109" s="111">
        <f t="shared" si="7"/>
        <v>0</v>
      </c>
      <c r="Y109" s="111">
        <f t="shared" si="7"/>
        <v>0</v>
      </c>
      <c r="Z109" s="111">
        <f t="shared" si="7"/>
        <v>0</v>
      </c>
      <c r="AA109" s="111">
        <f t="shared" si="7"/>
        <v>6160.6839571199998</v>
      </c>
      <c r="AB109" s="111">
        <f t="shared" si="7"/>
        <v>6160.6839571199998</v>
      </c>
      <c r="AC109" s="111">
        <f t="shared" si="7"/>
        <v>6160.6839571199998</v>
      </c>
      <c r="AD109" s="111">
        <f t="shared" si="7"/>
        <v>6160.6839571199998</v>
      </c>
      <c r="AE109" s="111">
        <f t="shared" si="7"/>
        <v>0</v>
      </c>
      <c r="AF109" s="111">
        <f t="shared" si="7"/>
        <v>0</v>
      </c>
      <c r="AG109" s="111">
        <f t="shared" si="7"/>
        <v>0</v>
      </c>
      <c r="AH109" s="111">
        <f t="shared" si="7"/>
        <v>0</v>
      </c>
      <c r="AI109" s="111">
        <f t="shared" si="7"/>
        <v>0</v>
      </c>
      <c r="AJ109" s="111">
        <f t="shared" si="7"/>
        <v>0</v>
      </c>
      <c r="AK109" s="111">
        <f t="shared" si="7"/>
        <v>0</v>
      </c>
      <c r="AL109" s="111">
        <f t="shared" si="7"/>
        <v>0</v>
      </c>
      <c r="AM109" s="111">
        <f t="shared" si="7"/>
        <v>0</v>
      </c>
      <c r="AN109" s="111">
        <f t="shared" si="7"/>
        <v>0</v>
      </c>
      <c r="AO109" s="111">
        <f t="shared" si="7"/>
        <v>0</v>
      </c>
      <c r="AP109" s="111">
        <f t="shared" si="7"/>
        <v>0</v>
      </c>
      <c r="AQ109" s="111">
        <f t="shared" si="7"/>
        <v>0</v>
      </c>
      <c r="AR109" s="111">
        <f t="shared" si="7"/>
        <v>0</v>
      </c>
      <c r="AS109" s="111">
        <f t="shared" si="7"/>
        <v>0</v>
      </c>
      <c r="AT109" s="111">
        <f t="shared" si="7"/>
        <v>0</v>
      </c>
      <c r="AU109" s="111">
        <f t="shared" si="7"/>
        <v>0</v>
      </c>
      <c r="AV109" s="111">
        <f t="shared" si="7"/>
        <v>0</v>
      </c>
      <c r="AW109" s="111">
        <f t="shared" si="7"/>
        <v>0</v>
      </c>
      <c r="AX109" s="111">
        <f t="shared" si="7"/>
        <v>0</v>
      </c>
    </row>
    <row r="110" spans="1:50" x14ac:dyDescent="0.2">
      <c r="A110" s="111" t="s">
        <v>107</v>
      </c>
      <c r="B110" s="111" t="s">
        <v>12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22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</row>
    <row r="112" spans="1:50" x14ac:dyDescent="0.2">
      <c r="B112" s="111" t="s">
        <v>59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07" t="s">
        <v>277</v>
      </c>
      <c r="C113" s="111">
        <f>SUM(C$110:C$112)</f>
        <v>0</v>
      </c>
      <c r="D113" s="111">
        <f t="shared" ref="D113:AX113" si="8">SUM(D$110:D$112)</f>
        <v>0</v>
      </c>
      <c r="E113" s="111">
        <f t="shared" si="8"/>
        <v>0</v>
      </c>
      <c r="F113" s="111">
        <f t="shared" si="8"/>
        <v>0</v>
      </c>
      <c r="G113" s="111">
        <f t="shared" si="8"/>
        <v>0</v>
      </c>
      <c r="H113" s="111">
        <f t="shared" si="8"/>
        <v>0</v>
      </c>
      <c r="I113" s="111">
        <f t="shared" si="8"/>
        <v>0</v>
      </c>
      <c r="J113" s="111">
        <f t="shared" si="8"/>
        <v>0</v>
      </c>
      <c r="K113" s="111">
        <f t="shared" si="8"/>
        <v>0</v>
      </c>
      <c r="L113" s="111">
        <f t="shared" si="8"/>
        <v>0</v>
      </c>
      <c r="M113" s="111">
        <f t="shared" si="8"/>
        <v>0</v>
      </c>
      <c r="N113" s="111">
        <f t="shared" si="8"/>
        <v>0</v>
      </c>
      <c r="O113" s="111">
        <f t="shared" si="8"/>
        <v>0</v>
      </c>
      <c r="P113" s="111">
        <f t="shared" si="8"/>
        <v>0</v>
      </c>
      <c r="Q113" s="111">
        <f t="shared" si="8"/>
        <v>0</v>
      </c>
      <c r="R113" s="111">
        <f t="shared" si="8"/>
        <v>0</v>
      </c>
      <c r="S113" s="111">
        <f t="shared" si="8"/>
        <v>0</v>
      </c>
      <c r="T113" s="111">
        <f t="shared" si="8"/>
        <v>0</v>
      </c>
      <c r="U113" s="111">
        <f t="shared" si="8"/>
        <v>0</v>
      </c>
      <c r="V113" s="111">
        <f t="shared" si="8"/>
        <v>0</v>
      </c>
      <c r="W113" s="111">
        <f t="shared" si="8"/>
        <v>0</v>
      </c>
      <c r="X113" s="111">
        <f t="shared" si="8"/>
        <v>0</v>
      </c>
      <c r="Y113" s="111">
        <f t="shared" si="8"/>
        <v>0</v>
      </c>
      <c r="Z113" s="111">
        <f t="shared" si="8"/>
        <v>0</v>
      </c>
      <c r="AA113" s="111">
        <f t="shared" si="8"/>
        <v>0</v>
      </c>
      <c r="AB113" s="111">
        <f t="shared" si="8"/>
        <v>0</v>
      </c>
      <c r="AC113" s="111">
        <f t="shared" si="8"/>
        <v>0</v>
      </c>
      <c r="AD113" s="111">
        <f t="shared" si="8"/>
        <v>0</v>
      </c>
      <c r="AE113" s="111">
        <f t="shared" si="8"/>
        <v>0</v>
      </c>
      <c r="AF113" s="111">
        <f t="shared" si="8"/>
        <v>0</v>
      </c>
      <c r="AG113" s="111">
        <f t="shared" si="8"/>
        <v>0</v>
      </c>
      <c r="AH113" s="111">
        <f t="shared" si="8"/>
        <v>0</v>
      </c>
      <c r="AI113" s="111">
        <f t="shared" si="8"/>
        <v>0</v>
      </c>
      <c r="AJ113" s="111">
        <f t="shared" si="8"/>
        <v>0</v>
      </c>
      <c r="AK113" s="111">
        <f t="shared" si="8"/>
        <v>0</v>
      </c>
      <c r="AL113" s="111">
        <f t="shared" si="8"/>
        <v>0</v>
      </c>
      <c r="AM113" s="111">
        <f t="shared" si="8"/>
        <v>0</v>
      </c>
      <c r="AN113" s="111">
        <f t="shared" si="8"/>
        <v>0</v>
      </c>
      <c r="AO113" s="111">
        <f t="shared" si="8"/>
        <v>0</v>
      </c>
      <c r="AP113" s="111">
        <f t="shared" si="8"/>
        <v>0</v>
      </c>
      <c r="AQ113" s="111">
        <f t="shared" si="8"/>
        <v>0</v>
      </c>
      <c r="AR113" s="111">
        <f t="shared" si="8"/>
        <v>0</v>
      </c>
      <c r="AS113" s="111">
        <f t="shared" si="8"/>
        <v>0</v>
      </c>
      <c r="AT113" s="111">
        <f t="shared" si="8"/>
        <v>0</v>
      </c>
      <c r="AU113" s="111">
        <f t="shared" si="8"/>
        <v>0</v>
      </c>
      <c r="AV113" s="111">
        <f t="shared" si="8"/>
        <v>0</v>
      </c>
      <c r="AW113" s="111">
        <f t="shared" si="8"/>
        <v>0</v>
      </c>
      <c r="AX113" s="111">
        <f t="shared" si="8"/>
        <v>0</v>
      </c>
    </row>
    <row r="114" spans="1:50" x14ac:dyDescent="0.2">
      <c r="A114" s="111" t="s">
        <v>108</v>
      </c>
      <c r="B114" s="111" t="s">
        <v>12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</row>
    <row r="115" spans="1:50" x14ac:dyDescent="0.2">
      <c r="B115" s="111" t="s">
        <v>22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</row>
    <row r="116" spans="1:50" x14ac:dyDescent="0.2">
      <c r="B116" s="111" t="s">
        <v>59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06" t="s">
        <v>277</v>
      </c>
      <c r="C117" s="111">
        <f>SUM(C$114:C$116)</f>
        <v>0</v>
      </c>
      <c r="D117" s="111">
        <f t="shared" ref="D117:AX117" si="9">SUM(D$114:D$116)</f>
        <v>0</v>
      </c>
      <c r="E117" s="111">
        <f t="shared" si="9"/>
        <v>0</v>
      </c>
      <c r="F117" s="111">
        <f t="shared" si="9"/>
        <v>0</v>
      </c>
      <c r="G117" s="111">
        <f t="shared" si="9"/>
        <v>0</v>
      </c>
      <c r="H117" s="111">
        <f t="shared" si="9"/>
        <v>0</v>
      </c>
      <c r="I117" s="111">
        <f t="shared" si="9"/>
        <v>0</v>
      </c>
      <c r="J117" s="111">
        <f t="shared" si="9"/>
        <v>0</v>
      </c>
      <c r="K117" s="111">
        <f t="shared" si="9"/>
        <v>0</v>
      </c>
      <c r="L117" s="111">
        <f t="shared" si="9"/>
        <v>0</v>
      </c>
      <c r="M117" s="111">
        <f t="shared" si="9"/>
        <v>0</v>
      </c>
      <c r="N117" s="111">
        <f t="shared" si="9"/>
        <v>0</v>
      </c>
      <c r="O117" s="111">
        <f t="shared" si="9"/>
        <v>0</v>
      </c>
      <c r="P117" s="111">
        <f t="shared" si="9"/>
        <v>0</v>
      </c>
      <c r="Q117" s="111">
        <f t="shared" si="9"/>
        <v>0</v>
      </c>
      <c r="R117" s="111">
        <f t="shared" si="9"/>
        <v>0</v>
      </c>
      <c r="S117" s="111">
        <f t="shared" si="9"/>
        <v>0</v>
      </c>
      <c r="T117" s="111">
        <f t="shared" si="9"/>
        <v>0</v>
      </c>
      <c r="U117" s="111">
        <f t="shared" si="9"/>
        <v>0</v>
      </c>
      <c r="V117" s="111">
        <f t="shared" si="9"/>
        <v>0</v>
      </c>
      <c r="W117" s="111">
        <f t="shared" si="9"/>
        <v>0</v>
      </c>
      <c r="X117" s="111">
        <f t="shared" si="9"/>
        <v>0</v>
      </c>
      <c r="Y117" s="111">
        <f t="shared" si="9"/>
        <v>0</v>
      </c>
      <c r="Z117" s="111">
        <f t="shared" si="9"/>
        <v>0</v>
      </c>
      <c r="AA117" s="111">
        <f t="shared" si="9"/>
        <v>0</v>
      </c>
      <c r="AB117" s="111">
        <f t="shared" si="9"/>
        <v>0</v>
      </c>
      <c r="AC117" s="111">
        <f t="shared" si="9"/>
        <v>0</v>
      </c>
      <c r="AD117" s="111">
        <f t="shared" si="9"/>
        <v>0</v>
      </c>
      <c r="AE117" s="111">
        <f t="shared" si="9"/>
        <v>0</v>
      </c>
      <c r="AF117" s="111">
        <f t="shared" si="9"/>
        <v>0</v>
      </c>
      <c r="AG117" s="111">
        <f t="shared" si="9"/>
        <v>0</v>
      </c>
      <c r="AH117" s="111">
        <f t="shared" si="9"/>
        <v>0</v>
      </c>
      <c r="AI117" s="111">
        <f t="shared" si="9"/>
        <v>0</v>
      </c>
      <c r="AJ117" s="111">
        <f t="shared" si="9"/>
        <v>0</v>
      </c>
      <c r="AK117" s="111">
        <f t="shared" si="9"/>
        <v>0</v>
      </c>
      <c r="AL117" s="111">
        <f t="shared" si="9"/>
        <v>0</v>
      </c>
      <c r="AM117" s="111">
        <f t="shared" si="9"/>
        <v>0</v>
      </c>
      <c r="AN117" s="111">
        <f t="shared" si="9"/>
        <v>0</v>
      </c>
      <c r="AO117" s="111">
        <f t="shared" si="9"/>
        <v>0</v>
      </c>
      <c r="AP117" s="111">
        <f t="shared" si="9"/>
        <v>0</v>
      </c>
      <c r="AQ117" s="111">
        <f t="shared" si="9"/>
        <v>0</v>
      </c>
      <c r="AR117" s="111">
        <f t="shared" si="9"/>
        <v>0</v>
      </c>
      <c r="AS117" s="111">
        <f t="shared" si="9"/>
        <v>0</v>
      </c>
      <c r="AT117" s="111">
        <f t="shared" si="9"/>
        <v>0</v>
      </c>
      <c r="AU117" s="111">
        <f t="shared" si="9"/>
        <v>0</v>
      </c>
      <c r="AV117" s="111">
        <f t="shared" si="9"/>
        <v>0</v>
      </c>
      <c r="AW117" s="111">
        <f t="shared" si="9"/>
        <v>0</v>
      </c>
      <c r="AX117" s="111">
        <f t="shared" si="9"/>
        <v>0</v>
      </c>
    </row>
    <row r="118" spans="1:50" x14ac:dyDescent="0.2">
      <c r="A118" s="111" t="s">
        <v>109</v>
      </c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277</v>
      </c>
      <c r="C121" s="111">
        <f>SUM(C$118:C$120)</f>
        <v>0</v>
      </c>
      <c r="D121" s="111">
        <f t="shared" ref="D121:AX121" si="10">SUM(D$118:D$120)</f>
        <v>0</v>
      </c>
      <c r="E121" s="111">
        <f t="shared" si="10"/>
        <v>0</v>
      </c>
      <c r="F121" s="111">
        <f t="shared" si="10"/>
        <v>0</v>
      </c>
      <c r="G121" s="111">
        <f t="shared" si="10"/>
        <v>0</v>
      </c>
      <c r="H121" s="111">
        <f t="shared" si="10"/>
        <v>0</v>
      </c>
      <c r="I121" s="111">
        <f t="shared" si="10"/>
        <v>0</v>
      </c>
      <c r="J121" s="111">
        <f t="shared" si="10"/>
        <v>0</v>
      </c>
      <c r="K121" s="111">
        <f t="shared" si="10"/>
        <v>0</v>
      </c>
      <c r="L121" s="111">
        <f t="shared" si="10"/>
        <v>0</v>
      </c>
      <c r="M121" s="111">
        <f t="shared" si="10"/>
        <v>0</v>
      </c>
      <c r="N121" s="111">
        <f t="shared" si="10"/>
        <v>0</v>
      </c>
      <c r="O121" s="111">
        <f t="shared" si="10"/>
        <v>0</v>
      </c>
      <c r="P121" s="111">
        <f t="shared" si="10"/>
        <v>0</v>
      </c>
      <c r="Q121" s="111">
        <f t="shared" si="10"/>
        <v>0</v>
      </c>
      <c r="R121" s="111">
        <f t="shared" si="10"/>
        <v>0</v>
      </c>
      <c r="S121" s="111">
        <f t="shared" si="10"/>
        <v>0</v>
      </c>
      <c r="T121" s="111">
        <f t="shared" si="10"/>
        <v>0</v>
      </c>
      <c r="U121" s="111">
        <f t="shared" si="10"/>
        <v>0</v>
      </c>
      <c r="V121" s="111">
        <f t="shared" si="10"/>
        <v>0</v>
      </c>
      <c r="W121" s="111">
        <f t="shared" si="10"/>
        <v>0</v>
      </c>
      <c r="X121" s="111">
        <f t="shared" si="10"/>
        <v>0</v>
      </c>
      <c r="Y121" s="111">
        <f t="shared" si="10"/>
        <v>0</v>
      </c>
      <c r="Z121" s="111">
        <f t="shared" si="10"/>
        <v>0</v>
      </c>
      <c r="AA121" s="111">
        <f t="shared" si="10"/>
        <v>0</v>
      </c>
      <c r="AB121" s="111">
        <f t="shared" si="10"/>
        <v>0</v>
      </c>
      <c r="AC121" s="111">
        <f t="shared" si="10"/>
        <v>0</v>
      </c>
      <c r="AD121" s="111">
        <f t="shared" si="10"/>
        <v>0</v>
      </c>
      <c r="AE121" s="111">
        <f t="shared" si="10"/>
        <v>0</v>
      </c>
      <c r="AF121" s="111">
        <f t="shared" si="10"/>
        <v>0</v>
      </c>
      <c r="AG121" s="111">
        <f t="shared" si="10"/>
        <v>0</v>
      </c>
      <c r="AH121" s="111">
        <f t="shared" si="10"/>
        <v>0</v>
      </c>
      <c r="AI121" s="111">
        <f t="shared" si="10"/>
        <v>0</v>
      </c>
      <c r="AJ121" s="111">
        <f t="shared" si="10"/>
        <v>0</v>
      </c>
      <c r="AK121" s="111">
        <f t="shared" si="10"/>
        <v>0</v>
      </c>
      <c r="AL121" s="111">
        <f t="shared" si="10"/>
        <v>0</v>
      </c>
      <c r="AM121" s="111">
        <f t="shared" si="10"/>
        <v>0</v>
      </c>
      <c r="AN121" s="111">
        <f t="shared" si="10"/>
        <v>0</v>
      </c>
      <c r="AO121" s="111">
        <f t="shared" si="10"/>
        <v>0</v>
      </c>
      <c r="AP121" s="111">
        <f t="shared" si="10"/>
        <v>0</v>
      </c>
      <c r="AQ121" s="111">
        <f t="shared" si="10"/>
        <v>0</v>
      </c>
      <c r="AR121" s="111">
        <f t="shared" si="10"/>
        <v>0</v>
      </c>
      <c r="AS121" s="111">
        <f t="shared" si="10"/>
        <v>0</v>
      </c>
      <c r="AT121" s="111">
        <f t="shared" si="10"/>
        <v>0</v>
      </c>
      <c r="AU121" s="111">
        <f t="shared" si="10"/>
        <v>0</v>
      </c>
      <c r="AV121" s="111">
        <f t="shared" si="10"/>
        <v>0</v>
      </c>
      <c r="AW121" s="111">
        <f t="shared" si="10"/>
        <v>0</v>
      </c>
      <c r="AX121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12</v>
      </c>
      <c r="E2" s="116"/>
    </row>
    <row r="3" spans="1:52" x14ac:dyDescent="0.2">
      <c r="A3" s="106" t="s">
        <v>285</v>
      </c>
      <c r="B3" s="113">
        <v>3748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164.97161324868657</v>
      </c>
      <c r="E7" s="150">
        <v>164.97161324868657</v>
      </c>
      <c r="F7" s="150">
        <v>164.97161324868657</v>
      </c>
      <c r="G7" s="150">
        <v>164.97161324868657</v>
      </c>
      <c r="H7" s="150">
        <v>115.97429555995453</v>
      </c>
      <c r="I7" s="150">
        <v>115.97429555995453</v>
      </c>
      <c r="J7" s="150">
        <v>115.97429555995453</v>
      </c>
      <c r="K7" s="150">
        <v>115.97429555995453</v>
      </c>
      <c r="L7" s="150">
        <v>83.787151033180578</v>
      </c>
      <c r="M7" s="150">
        <v>83.787151033180578</v>
      </c>
      <c r="N7" s="150">
        <v>83.787151033180578</v>
      </c>
      <c r="O7" s="150">
        <v>83.787151033180578</v>
      </c>
      <c r="P7" s="150">
        <v>1063.2241605957022</v>
      </c>
      <c r="Q7" s="150">
        <v>1063.2241605957022</v>
      </c>
      <c r="R7" s="150">
        <v>1063.2241605957022</v>
      </c>
      <c r="S7" s="150">
        <v>1063.2241605957022</v>
      </c>
      <c r="T7" s="150">
        <v>979.48493416875897</v>
      </c>
      <c r="U7" s="150">
        <v>979.48493416875897</v>
      </c>
      <c r="V7" s="150">
        <v>979.48493416875897</v>
      </c>
      <c r="W7" s="150">
        <v>979.48493416875897</v>
      </c>
      <c r="X7" s="150">
        <v>800.82679710914613</v>
      </c>
      <c r="Y7" s="150">
        <v>800.82679710914613</v>
      </c>
      <c r="Z7" s="150">
        <v>800.82679710914613</v>
      </c>
      <c r="AA7" s="150">
        <v>800.82679710914613</v>
      </c>
      <c r="AB7" s="150">
        <v>0</v>
      </c>
      <c r="AC7" s="150">
        <v>0</v>
      </c>
      <c r="AD7" s="150">
        <v>0</v>
      </c>
      <c r="AE7" s="150">
        <v>0</v>
      </c>
      <c r="AF7" s="150">
        <v>1212.7156119186623</v>
      </c>
      <c r="AG7" s="150">
        <v>1212.7156119186623</v>
      </c>
      <c r="AH7" s="150">
        <v>1212.7156119186623</v>
      </c>
      <c r="AI7" s="150">
        <v>1212.7156119186623</v>
      </c>
      <c r="AJ7" s="150">
        <v>1057.6691863101069</v>
      </c>
      <c r="AK7" s="150">
        <v>1057.6691863101069</v>
      </c>
      <c r="AL7" s="150">
        <v>1057.6691863101069</v>
      </c>
      <c r="AM7" s="150">
        <v>1057.6691863101069</v>
      </c>
      <c r="AN7" s="150">
        <v>605.00110146875352</v>
      </c>
      <c r="AO7" s="150">
        <v>605.00110146875352</v>
      </c>
      <c r="AP7" s="150">
        <v>605.00110146875352</v>
      </c>
      <c r="AQ7" s="150">
        <v>605.00110146875352</v>
      </c>
      <c r="AR7" s="150">
        <v>545.11830279733783</v>
      </c>
      <c r="AS7" s="150">
        <v>545.11830279733783</v>
      </c>
      <c r="AT7" s="150">
        <v>545.11830279733783</v>
      </c>
      <c r="AU7" s="150">
        <v>545.11830279733783</v>
      </c>
      <c r="AV7" s="150">
        <v>639.79584855563712</v>
      </c>
      <c r="AW7" s="150">
        <v>639.79584855563712</v>
      </c>
      <c r="AX7" s="150">
        <v>639.79584855563712</v>
      </c>
      <c r="AY7" s="150">
        <v>639.79584855563712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164.97161324868657</v>
      </c>
      <c r="E13" s="144">
        <f t="shared" si="1"/>
        <v>164.97161324868657</v>
      </c>
      <c r="F13" s="144">
        <f t="shared" si="1"/>
        <v>164.97161324868657</v>
      </c>
      <c r="G13" s="144">
        <f t="shared" si="1"/>
        <v>164.97161324868657</v>
      </c>
      <c r="H13" s="144">
        <f t="shared" si="1"/>
        <v>115.97429555995453</v>
      </c>
      <c r="I13" s="144">
        <f t="shared" si="1"/>
        <v>115.97429555995453</v>
      </c>
      <c r="J13" s="144">
        <f t="shared" si="1"/>
        <v>115.97429555995453</v>
      </c>
      <c r="K13" s="144">
        <f t="shared" si="1"/>
        <v>115.97429555995453</v>
      </c>
      <c r="L13" s="144">
        <f t="shared" si="1"/>
        <v>83.787151033180578</v>
      </c>
      <c r="M13" s="144">
        <f t="shared" si="1"/>
        <v>83.787151033180578</v>
      </c>
      <c r="N13" s="144">
        <f t="shared" si="1"/>
        <v>83.787151033180578</v>
      </c>
      <c r="O13" s="144">
        <f t="shared" si="1"/>
        <v>83.787151033180578</v>
      </c>
      <c r="P13" s="144">
        <f t="shared" si="1"/>
        <v>1063.2241605957022</v>
      </c>
      <c r="Q13" s="144">
        <f t="shared" si="1"/>
        <v>1063.2241605957022</v>
      </c>
      <c r="R13" s="144">
        <f t="shared" si="1"/>
        <v>1063.2241605957022</v>
      </c>
      <c r="S13" s="144">
        <f t="shared" si="1"/>
        <v>1063.2241605957022</v>
      </c>
      <c r="T13" s="144">
        <f t="shared" si="1"/>
        <v>979.48493416875897</v>
      </c>
      <c r="U13" s="144">
        <f t="shared" si="1"/>
        <v>979.48493416875897</v>
      </c>
      <c r="V13" s="144">
        <f t="shared" si="1"/>
        <v>979.48493416875897</v>
      </c>
      <c r="W13" s="144">
        <f t="shared" si="1"/>
        <v>979.48493416875897</v>
      </c>
      <c r="X13" s="144">
        <f t="shared" si="1"/>
        <v>800.82679710914613</v>
      </c>
      <c r="Y13" s="144">
        <f t="shared" si="1"/>
        <v>800.82679710914613</v>
      </c>
      <c r="Z13" s="144">
        <f t="shared" si="1"/>
        <v>800.82679710914613</v>
      </c>
      <c r="AA13" s="144">
        <f t="shared" si="1"/>
        <v>800.82679710914613</v>
      </c>
      <c r="AB13" s="144">
        <f t="shared" si="1"/>
        <v>0</v>
      </c>
      <c r="AC13" s="144">
        <f t="shared" si="1"/>
        <v>0</v>
      </c>
      <c r="AD13" s="144">
        <f t="shared" si="1"/>
        <v>0</v>
      </c>
      <c r="AE13" s="144">
        <f t="shared" si="1"/>
        <v>0</v>
      </c>
      <c r="AF13" s="144">
        <f t="shared" si="1"/>
        <v>1212.7156119186623</v>
      </c>
      <c r="AG13" s="144">
        <f t="shared" si="1"/>
        <v>1212.7156119186623</v>
      </c>
      <c r="AH13" s="144">
        <f t="shared" si="1"/>
        <v>1212.7156119186623</v>
      </c>
      <c r="AI13" s="144">
        <f t="shared" si="1"/>
        <v>1212.7156119186623</v>
      </c>
      <c r="AJ13" s="144">
        <f t="shared" si="1"/>
        <v>1057.6691863101069</v>
      </c>
      <c r="AK13" s="144">
        <f t="shared" si="1"/>
        <v>1057.6691863101069</v>
      </c>
      <c r="AL13" s="144">
        <f t="shared" si="1"/>
        <v>1057.6691863101069</v>
      </c>
      <c r="AM13" s="144">
        <f t="shared" si="1"/>
        <v>1057.6691863101069</v>
      </c>
      <c r="AN13" s="144">
        <f t="shared" si="1"/>
        <v>605.00110146875352</v>
      </c>
      <c r="AO13" s="144">
        <f t="shared" si="1"/>
        <v>605.00110146875352</v>
      </c>
      <c r="AP13" s="144">
        <f t="shared" si="1"/>
        <v>605.00110146875352</v>
      </c>
      <c r="AQ13" s="144">
        <f t="shared" si="1"/>
        <v>605.00110146875352</v>
      </c>
      <c r="AR13" s="144">
        <f t="shared" si="1"/>
        <v>545.11830279733783</v>
      </c>
      <c r="AS13" s="144">
        <f t="shared" si="1"/>
        <v>545.11830279733783</v>
      </c>
      <c r="AT13" s="144">
        <f t="shared" si="1"/>
        <v>545.11830279733783</v>
      </c>
      <c r="AU13" s="144">
        <f t="shared" si="1"/>
        <v>545.11830279733783</v>
      </c>
      <c r="AV13" s="144">
        <f t="shared" si="1"/>
        <v>639.79584855563712</v>
      </c>
      <c r="AW13" s="144">
        <f t="shared" si="1"/>
        <v>639.79584855563712</v>
      </c>
      <c r="AX13" s="144">
        <f t="shared" si="1"/>
        <v>639.79584855563712</v>
      </c>
      <c r="AY13" s="144">
        <f t="shared" si="1"/>
        <v>639.79584855563712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545.11830279733783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338</v>
      </c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0.20184854000000002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33.299279275692044</v>
      </c>
      <c r="F21" s="112">
        <f t="shared" si="3"/>
        <v>33.299279275692044</v>
      </c>
      <c r="G21" s="112">
        <f t="shared" si="3"/>
        <v>33.299279275692044</v>
      </c>
      <c r="H21" s="112">
        <f t="shared" si="3"/>
        <v>33.299279275692044</v>
      </c>
      <c r="I21" s="112">
        <f t="shared" si="3"/>
        <v>23.409242236305307</v>
      </c>
      <c r="J21" s="112">
        <f t="shared" si="3"/>
        <v>23.409242236305307</v>
      </c>
      <c r="K21" s="112">
        <f t="shared" si="3"/>
        <v>23.409242236305307</v>
      </c>
      <c r="L21" s="112">
        <f t="shared" si="3"/>
        <v>23.409242236305307</v>
      </c>
      <c r="M21" s="112">
        <f t="shared" si="3"/>
        <v>16.912314106806992</v>
      </c>
      <c r="N21" s="112">
        <f t="shared" si="3"/>
        <v>16.912314106806992</v>
      </c>
      <c r="O21" s="112">
        <f t="shared" si="3"/>
        <v>16.912314106806992</v>
      </c>
      <c r="P21" s="112">
        <f t="shared" si="3"/>
        <v>16.912314106806992</v>
      </c>
      <c r="Q21" s="112">
        <f t="shared" si="3"/>
        <v>214.61024450896804</v>
      </c>
      <c r="R21" s="112">
        <f t="shared" si="3"/>
        <v>214.61024450896804</v>
      </c>
      <c r="S21" s="112">
        <f t="shared" si="3"/>
        <v>214.61024450896804</v>
      </c>
      <c r="T21" s="112">
        <f t="shared" si="3"/>
        <v>214.61024450896804</v>
      </c>
      <c r="U21" s="112">
        <f t="shared" si="3"/>
        <v>197.70760391396013</v>
      </c>
      <c r="V21" s="112">
        <f t="shared" si="3"/>
        <v>197.70760391396013</v>
      </c>
      <c r="W21" s="112">
        <f t="shared" si="3"/>
        <v>197.70760391396013</v>
      </c>
      <c r="X21" s="112">
        <f t="shared" si="3"/>
        <v>197.70760391396013</v>
      </c>
      <c r="Y21" s="112">
        <f t="shared" si="3"/>
        <v>161.64571978935737</v>
      </c>
      <c r="Z21" s="112">
        <f t="shared" si="3"/>
        <v>161.64571978935737</v>
      </c>
      <c r="AA21" s="112">
        <f t="shared" si="3"/>
        <v>161.64571978935737</v>
      </c>
      <c r="AB21" s="112">
        <f t="shared" si="3"/>
        <v>161.64571978935737</v>
      </c>
      <c r="AC21" s="112">
        <f t="shared" si="3"/>
        <v>0</v>
      </c>
      <c r="AD21" s="112">
        <f t="shared" si="3"/>
        <v>0</v>
      </c>
      <c r="AE21" s="112">
        <f t="shared" si="3"/>
        <v>0</v>
      </c>
      <c r="AF21" s="112">
        <f t="shared" si="3"/>
        <v>0</v>
      </c>
      <c r="AG21" s="112">
        <f t="shared" si="3"/>
        <v>244.78487570098861</v>
      </c>
      <c r="AH21" s="112">
        <f t="shared" si="3"/>
        <v>244.78487570098861</v>
      </c>
      <c r="AI21" s="112">
        <f t="shared" si="3"/>
        <v>244.78487570098861</v>
      </c>
      <c r="AJ21" s="112">
        <f t="shared" si="3"/>
        <v>244.78487570098861</v>
      </c>
      <c r="AK21" s="112">
        <f t="shared" si="3"/>
        <v>213.48898105968308</v>
      </c>
      <c r="AL21" s="112">
        <f t="shared" si="3"/>
        <v>213.48898105968308</v>
      </c>
      <c r="AM21" s="112">
        <f t="shared" si="3"/>
        <v>213.48898105968308</v>
      </c>
      <c r="AN21" s="112">
        <f t="shared" si="3"/>
        <v>213.48898105968308</v>
      </c>
      <c r="AO21" s="112">
        <f t="shared" si="3"/>
        <v>122.11858902985976</v>
      </c>
      <c r="AP21" s="112">
        <f t="shared" si="3"/>
        <v>122.11858902985976</v>
      </c>
      <c r="AQ21" s="112">
        <f t="shared" si="3"/>
        <v>122.11858902985976</v>
      </c>
      <c r="AR21" s="112">
        <f t="shared" si="3"/>
        <v>122.11858902985976</v>
      </c>
      <c r="AS21" s="112">
        <f t="shared" si="3"/>
        <v>110.03133354692056</v>
      </c>
      <c r="AT21" s="112">
        <f t="shared" si="3"/>
        <v>0</v>
      </c>
      <c r="AU21" s="112">
        <f t="shared" si="3"/>
        <v>220.06266709384113</v>
      </c>
      <c r="AV21" s="112">
        <f t="shared" si="3"/>
        <v>110.03133354692056</v>
      </c>
      <c r="AW21" s="112">
        <f t="shared" si="3"/>
        <v>129.14185792901648</v>
      </c>
      <c r="AX21" s="112">
        <f t="shared" si="3"/>
        <v>129.14185792901648</v>
      </c>
      <c r="AY21" s="112">
        <f t="shared" si="3"/>
        <v>129.14185792901648</v>
      </c>
      <c r="AZ21" s="163">
        <f>SUM($D21:$AY21)</f>
        <v>5739.458306461217</v>
      </c>
    </row>
    <row r="22" spans="1:52" s="116" customFormat="1" x14ac:dyDescent="0.2">
      <c r="A22" s="164" t="s">
        <v>123</v>
      </c>
      <c r="B22" s="165">
        <f>1-$B$21</f>
        <v>0.79815145999999992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131.67233397299452</v>
      </c>
      <c r="F22" s="120">
        <f t="shared" si="4"/>
        <v>131.67233397299452</v>
      </c>
      <c r="G22" s="120">
        <f t="shared" si="4"/>
        <v>131.67233397299452</v>
      </c>
      <c r="H22" s="120">
        <f t="shared" si="4"/>
        <v>131.67233397299452</v>
      </c>
      <c r="I22" s="120">
        <f t="shared" si="4"/>
        <v>92.565053323649209</v>
      </c>
      <c r="J22" s="120">
        <f t="shared" si="4"/>
        <v>92.565053323649209</v>
      </c>
      <c r="K22" s="120">
        <f t="shared" si="4"/>
        <v>92.565053323649209</v>
      </c>
      <c r="L22" s="120">
        <f t="shared" si="4"/>
        <v>92.565053323649209</v>
      </c>
      <c r="M22" s="120">
        <f t="shared" si="4"/>
        <v>66.874836926373575</v>
      </c>
      <c r="N22" s="120">
        <f t="shared" si="4"/>
        <v>66.874836926373575</v>
      </c>
      <c r="O22" s="120">
        <f t="shared" si="4"/>
        <v>66.874836926373575</v>
      </c>
      <c r="P22" s="120">
        <f t="shared" si="4"/>
        <v>66.874836926373575</v>
      </c>
      <c r="Q22" s="120">
        <f t="shared" si="4"/>
        <v>848.61391608673409</v>
      </c>
      <c r="R22" s="120">
        <f t="shared" si="4"/>
        <v>848.61391608673409</v>
      </c>
      <c r="S22" s="120">
        <f t="shared" si="4"/>
        <v>848.61391608673409</v>
      </c>
      <c r="T22" s="120">
        <f t="shared" si="4"/>
        <v>848.61391608673409</v>
      </c>
      <c r="U22" s="120">
        <f t="shared" si="4"/>
        <v>781.77733025479881</v>
      </c>
      <c r="V22" s="120">
        <f t="shared" si="4"/>
        <v>781.77733025479881</v>
      </c>
      <c r="W22" s="120">
        <f t="shared" si="4"/>
        <v>781.77733025479881</v>
      </c>
      <c r="X22" s="120">
        <f t="shared" si="4"/>
        <v>781.77733025479881</v>
      </c>
      <c r="Y22" s="120">
        <f t="shared" si="4"/>
        <v>639.18107731978876</v>
      </c>
      <c r="Z22" s="120">
        <f t="shared" si="4"/>
        <v>639.18107731978876</v>
      </c>
      <c r="AA22" s="120">
        <f t="shared" si="4"/>
        <v>639.18107731978876</v>
      </c>
      <c r="AB22" s="120">
        <f t="shared" si="4"/>
        <v>639.18107731978876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967.9307362176736</v>
      </c>
      <c r="AH22" s="120">
        <f t="shared" si="4"/>
        <v>967.9307362176736</v>
      </c>
      <c r="AI22" s="120">
        <f t="shared" si="4"/>
        <v>967.9307362176736</v>
      </c>
      <c r="AJ22" s="120">
        <f t="shared" si="4"/>
        <v>967.9307362176736</v>
      </c>
      <c r="AK22" s="120">
        <f t="shared" si="4"/>
        <v>844.18020525042368</v>
      </c>
      <c r="AL22" s="120">
        <f t="shared" si="4"/>
        <v>844.18020525042368</v>
      </c>
      <c r="AM22" s="120">
        <f t="shared" si="4"/>
        <v>844.18020525042368</v>
      </c>
      <c r="AN22" s="120">
        <f t="shared" si="4"/>
        <v>844.18020525042368</v>
      </c>
      <c r="AO22" s="120">
        <f t="shared" si="4"/>
        <v>482.88251243889374</v>
      </c>
      <c r="AP22" s="120">
        <f t="shared" si="4"/>
        <v>482.88251243889374</v>
      </c>
      <c r="AQ22" s="120">
        <f t="shared" si="4"/>
        <v>482.88251243889374</v>
      </c>
      <c r="AR22" s="120">
        <f t="shared" si="4"/>
        <v>482.88251243889374</v>
      </c>
      <c r="AS22" s="120">
        <f t="shared" si="4"/>
        <v>435.08696925041721</v>
      </c>
      <c r="AT22" s="120">
        <f t="shared" si="4"/>
        <v>0</v>
      </c>
      <c r="AU22" s="120">
        <f t="shared" si="4"/>
        <v>870.17393850083442</v>
      </c>
      <c r="AV22" s="120">
        <f t="shared" si="4"/>
        <v>435.08696925041721</v>
      </c>
      <c r="AW22" s="120">
        <f t="shared" si="4"/>
        <v>510.65399062662061</v>
      </c>
      <c r="AX22" s="120">
        <f t="shared" si="4"/>
        <v>510.65399062662061</v>
      </c>
      <c r="AY22" s="120">
        <f t="shared" si="4"/>
        <v>510.65399062662061</v>
      </c>
      <c r="AZ22" s="147">
        <f t="shared" ref="AZ22:AZ30" si="5">SUM($D22:$AY22)</f>
        <v>22695.021856046838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66598.558551384092</v>
      </c>
      <c r="F23" s="106">
        <f t="shared" si="6"/>
        <v>66598.558551384092</v>
      </c>
      <c r="G23" s="106">
        <f t="shared" si="6"/>
        <v>66598.558551384092</v>
      </c>
      <c r="H23" s="106">
        <f t="shared" si="6"/>
        <v>66598.558551384092</v>
      </c>
      <c r="I23" s="106">
        <f t="shared" si="6"/>
        <v>46818.484472610617</v>
      </c>
      <c r="J23" s="106">
        <f t="shared" si="6"/>
        <v>46818.484472610617</v>
      </c>
      <c r="K23" s="106">
        <f t="shared" si="6"/>
        <v>46818.484472610617</v>
      </c>
      <c r="L23" s="106">
        <f t="shared" si="6"/>
        <v>46818.484472610617</v>
      </c>
      <c r="M23" s="106">
        <f t="shared" si="6"/>
        <v>33824.628213613985</v>
      </c>
      <c r="N23" s="106">
        <f t="shared" si="6"/>
        <v>33824.628213613985</v>
      </c>
      <c r="O23" s="106">
        <f t="shared" si="6"/>
        <v>33824.628213613985</v>
      </c>
      <c r="P23" s="106">
        <f t="shared" si="6"/>
        <v>33824.628213613985</v>
      </c>
      <c r="Q23" s="106">
        <f t="shared" si="6"/>
        <v>429220.48901793605</v>
      </c>
      <c r="R23" s="106">
        <f t="shared" si="6"/>
        <v>429220.48901793605</v>
      </c>
      <c r="S23" s="106">
        <f t="shared" si="6"/>
        <v>429220.48901793605</v>
      </c>
      <c r="T23" s="106">
        <f t="shared" si="6"/>
        <v>429220.48901793605</v>
      </c>
      <c r="U23" s="106">
        <f t="shared" si="6"/>
        <v>395415.20782792027</v>
      </c>
      <c r="V23" s="106">
        <f t="shared" si="6"/>
        <v>395415.20782792027</v>
      </c>
      <c r="W23" s="106">
        <f t="shared" si="6"/>
        <v>395415.20782792027</v>
      </c>
      <c r="X23" s="106">
        <f t="shared" si="6"/>
        <v>395415.20782792027</v>
      </c>
      <c r="Y23" s="106">
        <f t="shared" si="6"/>
        <v>323291.43957871472</v>
      </c>
      <c r="Z23" s="106">
        <f t="shared" si="6"/>
        <v>323291.43957871472</v>
      </c>
      <c r="AA23" s="106">
        <f t="shared" si="6"/>
        <v>323291.43957871472</v>
      </c>
      <c r="AB23" s="106">
        <f t="shared" si="6"/>
        <v>323291.43957871472</v>
      </c>
      <c r="AC23" s="106">
        <f t="shared" si="6"/>
        <v>0</v>
      </c>
      <c r="AD23" s="106">
        <f t="shared" si="6"/>
        <v>0</v>
      </c>
      <c r="AE23" s="106">
        <f t="shared" si="6"/>
        <v>0</v>
      </c>
      <c r="AF23" s="106">
        <f t="shared" si="6"/>
        <v>0</v>
      </c>
      <c r="AG23" s="106">
        <f t="shared" si="6"/>
        <v>489569.75140197721</v>
      </c>
      <c r="AH23" s="106">
        <f t="shared" si="6"/>
        <v>489569.75140197721</v>
      </c>
      <c r="AI23" s="106">
        <f t="shared" si="6"/>
        <v>489569.75140197721</v>
      </c>
      <c r="AJ23" s="106">
        <f t="shared" si="6"/>
        <v>489569.75140197721</v>
      </c>
      <c r="AK23" s="106">
        <f t="shared" si="6"/>
        <v>426977.96211936616</v>
      </c>
      <c r="AL23" s="106">
        <f t="shared" si="6"/>
        <v>426977.96211936616</v>
      </c>
      <c r="AM23" s="106">
        <f t="shared" si="6"/>
        <v>426977.96211936616</v>
      </c>
      <c r="AN23" s="106">
        <f t="shared" si="6"/>
        <v>426977.96211936616</v>
      </c>
      <c r="AO23" s="106">
        <f t="shared" si="6"/>
        <v>244237.17805971953</v>
      </c>
      <c r="AP23" s="106">
        <f t="shared" si="6"/>
        <v>244237.17805971953</v>
      </c>
      <c r="AQ23" s="106">
        <f t="shared" si="6"/>
        <v>244237.17805971953</v>
      </c>
      <c r="AR23" s="106">
        <f t="shared" si="6"/>
        <v>244237.17805971953</v>
      </c>
      <c r="AS23" s="106">
        <f t="shared" si="6"/>
        <v>220062.66709384113</v>
      </c>
      <c r="AT23" s="106">
        <f t="shared" si="6"/>
        <v>0</v>
      </c>
      <c r="AU23" s="106">
        <f t="shared" si="6"/>
        <v>440125.33418768225</v>
      </c>
      <c r="AV23" s="106">
        <f t="shared" si="6"/>
        <v>220062.66709384113</v>
      </c>
      <c r="AW23" s="106">
        <f t="shared" si="6"/>
        <v>258283.71585803296</v>
      </c>
      <c r="AX23" s="106">
        <f t="shared" si="6"/>
        <v>258283.71585803296</v>
      </c>
      <c r="AY23" s="106">
        <f t="shared" si="6"/>
        <v>258283.71585803296</v>
      </c>
      <c r="AZ23" s="145">
        <f t="shared" si="5"/>
        <v>11478916.612922436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131672.33397299453</v>
      </c>
      <c r="F24" s="112">
        <f t="shared" si="7"/>
        <v>131672.33397299453</v>
      </c>
      <c r="G24" s="112">
        <f t="shared" si="7"/>
        <v>131672.33397299453</v>
      </c>
      <c r="H24" s="112">
        <f t="shared" si="7"/>
        <v>131672.33397299453</v>
      </c>
      <c r="I24" s="112">
        <f t="shared" si="7"/>
        <v>92565.053323649205</v>
      </c>
      <c r="J24" s="112">
        <f t="shared" si="7"/>
        <v>92565.053323649205</v>
      </c>
      <c r="K24" s="112">
        <f t="shared" si="7"/>
        <v>92565.053323649205</v>
      </c>
      <c r="L24" s="112">
        <f t="shared" si="7"/>
        <v>92565.053323649205</v>
      </c>
      <c r="M24" s="112">
        <f t="shared" si="7"/>
        <v>66874.83692637358</v>
      </c>
      <c r="N24" s="112">
        <f t="shared" si="7"/>
        <v>66874.83692637358</v>
      </c>
      <c r="O24" s="112">
        <f t="shared" si="7"/>
        <v>66874.83692637358</v>
      </c>
      <c r="P24" s="112">
        <f t="shared" si="7"/>
        <v>66874.83692637358</v>
      </c>
      <c r="Q24" s="112">
        <f t="shared" si="7"/>
        <v>848613.91608673404</v>
      </c>
      <c r="R24" s="112">
        <f t="shared" si="7"/>
        <v>848613.91608673404</v>
      </c>
      <c r="S24" s="112">
        <f t="shared" si="7"/>
        <v>848613.91608673404</v>
      </c>
      <c r="T24" s="112">
        <f t="shared" si="7"/>
        <v>848613.91608673404</v>
      </c>
      <c r="U24" s="112">
        <f t="shared" si="7"/>
        <v>781777.33025479876</v>
      </c>
      <c r="V24" s="112">
        <f t="shared" si="7"/>
        <v>781777.33025479876</v>
      </c>
      <c r="W24" s="112">
        <f t="shared" si="7"/>
        <v>781777.33025479876</v>
      </c>
      <c r="X24" s="112">
        <f t="shared" si="7"/>
        <v>781777.33025479876</v>
      </c>
      <c r="Y24" s="112">
        <f t="shared" si="7"/>
        <v>639181.07731978875</v>
      </c>
      <c r="Z24" s="112">
        <f t="shared" si="7"/>
        <v>639181.07731978875</v>
      </c>
      <c r="AA24" s="112">
        <f t="shared" si="7"/>
        <v>639181.07731978875</v>
      </c>
      <c r="AB24" s="112">
        <f t="shared" si="7"/>
        <v>639181.07731978875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967930.73621767364</v>
      </c>
      <c r="AH24" s="112">
        <f t="shared" si="7"/>
        <v>967930.73621767364</v>
      </c>
      <c r="AI24" s="112">
        <f t="shared" si="7"/>
        <v>967930.73621767364</v>
      </c>
      <c r="AJ24" s="112">
        <f t="shared" si="7"/>
        <v>967930.73621767364</v>
      </c>
      <c r="AK24" s="112">
        <f t="shared" si="7"/>
        <v>844180.20525042363</v>
      </c>
      <c r="AL24" s="112">
        <f t="shared" si="7"/>
        <v>844180.20525042363</v>
      </c>
      <c r="AM24" s="112">
        <f t="shared" si="7"/>
        <v>844180.20525042363</v>
      </c>
      <c r="AN24" s="112">
        <f t="shared" si="7"/>
        <v>844180.20525042363</v>
      </c>
      <c r="AO24" s="112">
        <f t="shared" si="7"/>
        <v>482882.51243889373</v>
      </c>
      <c r="AP24" s="112">
        <f t="shared" si="7"/>
        <v>482882.51243889373</v>
      </c>
      <c r="AQ24" s="112">
        <f t="shared" si="7"/>
        <v>482882.51243889373</v>
      </c>
      <c r="AR24" s="112">
        <f t="shared" si="7"/>
        <v>482882.51243889373</v>
      </c>
      <c r="AS24" s="112">
        <f t="shared" si="7"/>
        <v>435086.9692504172</v>
      </c>
      <c r="AT24" s="112">
        <f t="shared" si="7"/>
        <v>0</v>
      </c>
      <c r="AU24" s="112">
        <f t="shared" si="7"/>
        <v>870173.9385008344</v>
      </c>
      <c r="AV24" s="112">
        <f t="shared" si="7"/>
        <v>435086.9692504172</v>
      </c>
      <c r="AW24" s="112">
        <f t="shared" si="7"/>
        <v>510653.99062662059</v>
      </c>
      <c r="AX24" s="112">
        <f t="shared" si="7"/>
        <v>510653.99062662059</v>
      </c>
      <c r="AY24" s="112">
        <f t="shared" si="7"/>
        <v>510653.99062662059</v>
      </c>
      <c r="AZ24" s="147">
        <f t="shared" si="5"/>
        <v>22695021.856046855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D$21*shipping_manufacturing!$D$27/100</f>
        <v>0</v>
      </c>
      <c r="E33" s="130">
        <f>E$21*shipping_manufacturing!$D$27/100</f>
        <v>9.6719064318944703</v>
      </c>
      <c r="F33" s="130">
        <f>F$21*shipping_manufacturing!$D$27/100</f>
        <v>9.6719064318944703</v>
      </c>
      <c r="G33" s="130">
        <f>G$21*shipping_manufacturing!$D$27/100</f>
        <v>9.6719064318944703</v>
      </c>
      <c r="H33" s="130">
        <f>H$21*shipping_manufacturing!$D$27/100</f>
        <v>9.6719064318944703</v>
      </c>
      <c r="I33" s="130">
        <f>I$21*shipping_manufacturing!$D$27/100</f>
        <v>6.7993063356291383</v>
      </c>
      <c r="J33" s="130">
        <f>J$21*shipping_manufacturing!$D$27/100</f>
        <v>6.7993063356291383</v>
      </c>
      <c r="K33" s="130">
        <f>K$21*shipping_manufacturing!$D$27/100</f>
        <v>6.7993063356291383</v>
      </c>
      <c r="L33" s="130">
        <f>L$21*shipping_manufacturing!$D$27/100</f>
        <v>6.7993063356291383</v>
      </c>
      <c r="M33" s="130">
        <f>M$21*shipping_manufacturing!$D$27/100</f>
        <v>4.9122480469795882</v>
      </c>
      <c r="N33" s="130">
        <f>N$21*shipping_manufacturing!$D$27/100</f>
        <v>4.9122480469795882</v>
      </c>
      <c r="O33" s="130">
        <f>O$21*shipping_manufacturing!$D$27/100</f>
        <v>4.9122480469795882</v>
      </c>
      <c r="P33" s="130">
        <f>P$21*shipping_manufacturing!$D$27/100</f>
        <v>4.9122480469795882</v>
      </c>
      <c r="Q33" s="130">
        <f>Q$21*shipping_manufacturing!$D$27/100</f>
        <v>62.334388292059955</v>
      </c>
      <c r="R33" s="130">
        <f>R$21*shipping_manufacturing!$D$27/100</f>
        <v>62.334388292059955</v>
      </c>
      <c r="S33" s="130">
        <f>S$21*shipping_manufacturing!$D$27/100</f>
        <v>62.334388292059955</v>
      </c>
      <c r="T33" s="130">
        <f>T$21*shipping_manufacturing!$D$27/100</f>
        <v>62.334388292059955</v>
      </c>
      <c r="U33" s="130">
        <f>U$21*shipping_manufacturing!$D$27/100</f>
        <v>57.424949954570295</v>
      </c>
      <c r="V33" s="130">
        <f>V$21*shipping_manufacturing!$D$27/100</f>
        <v>57.424949954570295</v>
      </c>
      <c r="W33" s="130">
        <f>W$21*shipping_manufacturing!$D$27/100</f>
        <v>57.424949954570295</v>
      </c>
      <c r="X33" s="130">
        <f>X$21*shipping_manufacturing!$D$27/100</f>
        <v>57.424949954570295</v>
      </c>
      <c r="Y33" s="130">
        <f>Y$21*shipping_manufacturing!$D$27/100</f>
        <v>46.95063409556046</v>
      </c>
      <c r="Z33" s="130">
        <f>Z$21*shipping_manufacturing!$D$27/100</f>
        <v>46.95063409556046</v>
      </c>
      <c r="AA33" s="130">
        <f>AA$21*shipping_manufacturing!$D$27/100</f>
        <v>46.95063409556046</v>
      </c>
      <c r="AB33" s="130">
        <f>AB$21*shipping_manufacturing!$D$27/100</f>
        <v>46.95063409556046</v>
      </c>
      <c r="AC33" s="130">
        <f>AC$21*shipping_manufacturing!$D$27/100</f>
        <v>0</v>
      </c>
      <c r="AD33" s="130">
        <f>AD$21*shipping_manufacturing!$D$27/100</f>
        <v>0</v>
      </c>
      <c r="AE33" s="130">
        <f>AE$21*shipping_manufacturing!$D$27/100</f>
        <v>0</v>
      </c>
      <c r="AF33" s="130">
        <f>AF$21*shipping_manufacturing!$D$27/100</f>
        <v>0</v>
      </c>
      <c r="AG33" s="130">
        <f>AG$21*shipping_manufacturing!$D$27/100</f>
        <v>71.098728417559016</v>
      </c>
      <c r="AH33" s="130">
        <f>AH$21*shipping_manufacturing!$D$27/100</f>
        <v>71.098728417559016</v>
      </c>
      <c r="AI33" s="130">
        <f>AI$21*shipping_manufacturing!$D$27/100</f>
        <v>71.098728417559016</v>
      </c>
      <c r="AJ33" s="130">
        <f>AJ$21*shipping_manufacturing!$D$27/100</f>
        <v>71.098728417559016</v>
      </c>
      <c r="AK33" s="130">
        <f>AK$21*shipping_manufacturing!$D$27/100</f>
        <v>62.008712920013579</v>
      </c>
      <c r="AL33" s="130">
        <f>AL$21*shipping_manufacturing!$D$27/100</f>
        <v>62.008712920013579</v>
      </c>
      <c r="AM33" s="130">
        <f>AM$21*shipping_manufacturing!$D$27/100</f>
        <v>62.008712920013579</v>
      </c>
      <c r="AN33" s="130">
        <f>AN$21*shipping_manufacturing!$D$27/100</f>
        <v>62.008712920013579</v>
      </c>
      <c r="AO33" s="130">
        <f>AO$21*shipping_manufacturing!$D$27/100</f>
        <v>35.469823743421891</v>
      </c>
      <c r="AP33" s="130">
        <f>AP$21*shipping_manufacturing!$D$27/100</f>
        <v>35.469823743421891</v>
      </c>
      <c r="AQ33" s="130">
        <f>AQ$21*shipping_manufacturing!$D$27/100</f>
        <v>35.469823743421891</v>
      </c>
      <c r="AR33" s="130">
        <f>AR$21*shipping_manufacturing!$D$27/100</f>
        <v>35.469823743421891</v>
      </c>
      <c r="AS33" s="130">
        <f>AS$21*shipping_manufacturing!$D$27/100</f>
        <v>31.959032921749916</v>
      </c>
      <c r="AT33" s="130">
        <f>AT$21*shipping_manufacturing!$D$27/100</f>
        <v>0</v>
      </c>
      <c r="AU33" s="130">
        <f>AU$21*shipping_manufacturing!$D$27/100</f>
        <v>63.918065843499832</v>
      </c>
      <c r="AV33" s="130">
        <f>AV$21*shipping_manufacturing!$D$27/100</f>
        <v>31.959032921749916</v>
      </c>
      <c r="AW33" s="130">
        <f>AW$21*shipping_manufacturing!$D$27/100</f>
        <v>37.509759775558926</v>
      </c>
      <c r="AX33" s="130">
        <f>AX$21*shipping_manufacturing!$D$27/100</f>
        <v>37.509759775558926</v>
      </c>
      <c r="AY33" s="130">
        <f>AY$21*shipping_manufacturing!$D$27/100</f>
        <v>37.509759775558926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D$22*shipping_manufacturing!$E$27/100</f>
        <v>0</v>
      </c>
      <c r="E34" s="116">
        <f>E$22*shipping_manufacturing!$E$27/100</f>
        <v>19.730457606569779</v>
      </c>
      <c r="F34" s="116">
        <f>F$22*shipping_manufacturing!$E$27/100</f>
        <v>19.730457606569779</v>
      </c>
      <c r="G34" s="116">
        <f>G$22*shipping_manufacturing!$E$27/100</f>
        <v>19.730457606569779</v>
      </c>
      <c r="H34" s="116">
        <f>H$22*shipping_manufacturing!$E$27/100</f>
        <v>19.730457606569779</v>
      </c>
      <c r="I34" s="116">
        <f>I$22*shipping_manufacturing!$E$27/100</f>
        <v>13.870422171043987</v>
      </c>
      <c r="J34" s="116">
        <f>J$22*shipping_manufacturing!$E$27/100</f>
        <v>13.870422171043987</v>
      </c>
      <c r="K34" s="116">
        <f>K$22*shipping_manufacturing!$E$27/100</f>
        <v>13.870422171043987</v>
      </c>
      <c r="L34" s="116">
        <f>L$22*shipping_manufacturing!$E$27/100</f>
        <v>13.870422171043987</v>
      </c>
      <c r="M34" s="116">
        <f>M$22*shipping_manufacturing!$E$27/100</f>
        <v>10.020868432336737</v>
      </c>
      <c r="N34" s="116">
        <f>N$22*shipping_manufacturing!$E$27/100</f>
        <v>10.020868432336737</v>
      </c>
      <c r="O34" s="116">
        <f>O$22*shipping_manufacturing!$E$27/100</f>
        <v>10.020868432336737</v>
      </c>
      <c r="P34" s="116">
        <f>P$22*shipping_manufacturing!$E$27/100</f>
        <v>10.020868432336737</v>
      </c>
      <c r="Q34" s="116">
        <f>Q$22*shipping_manufacturing!$E$27/100</f>
        <v>127.16066002998402</v>
      </c>
      <c r="R34" s="116">
        <f>R$22*shipping_manufacturing!$E$27/100</f>
        <v>127.16066002998402</v>
      </c>
      <c r="S34" s="116">
        <f>S$22*shipping_manufacturing!$E$27/100</f>
        <v>127.16066002998402</v>
      </c>
      <c r="T34" s="116">
        <f>T$22*shipping_manufacturing!$E$27/100</f>
        <v>127.16066002998402</v>
      </c>
      <c r="U34" s="116">
        <f>U$22*shipping_manufacturing!$E$27/100</f>
        <v>117.14552333775127</v>
      </c>
      <c r="V34" s="116">
        <f>V$22*shipping_manufacturing!$E$27/100</f>
        <v>117.14552333775127</v>
      </c>
      <c r="W34" s="116">
        <f>W$22*shipping_manufacturing!$E$27/100</f>
        <v>117.14552333775127</v>
      </c>
      <c r="X34" s="116">
        <f>X$22*shipping_manufacturing!$E$27/100</f>
        <v>117.14552333775127</v>
      </c>
      <c r="Y34" s="116">
        <f>Y$22*shipping_manufacturing!$E$27/100</f>
        <v>95.778169706980577</v>
      </c>
      <c r="Z34" s="116">
        <f>Z$22*shipping_manufacturing!$E$27/100</f>
        <v>95.778169706980577</v>
      </c>
      <c r="AA34" s="116">
        <f>AA$22*shipping_manufacturing!$E$27/100</f>
        <v>95.778169706980577</v>
      </c>
      <c r="AB34" s="116">
        <f>AB$22*shipping_manufacturing!$E$27/100</f>
        <v>95.778169706980577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145.0397040957408</v>
      </c>
      <c r="AH34" s="116">
        <f>AH$22*shipping_manufacturing!$E$27/100</f>
        <v>145.0397040957408</v>
      </c>
      <c r="AI34" s="116">
        <f>AI$22*shipping_manufacturing!$E$27/100</f>
        <v>145.0397040957408</v>
      </c>
      <c r="AJ34" s="116">
        <f>AJ$22*shipping_manufacturing!$E$27/100</f>
        <v>145.0397040957408</v>
      </c>
      <c r="AK34" s="116">
        <f>AK$22*shipping_manufacturing!$E$27/100</f>
        <v>126.49629006663579</v>
      </c>
      <c r="AL34" s="116">
        <f>AL$22*shipping_manufacturing!$E$27/100</f>
        <v>126.49629006663579</v>
      </c>
      <c r="AM34" s="116">
        <f>AM$22*shipping_manufacturing!$E$27/100</f>
        <v>126.49629006663579</v>
      </c>
      <c r="AN34" s="116">
        <f>AN$22*shipping_manufacturing!$E$27/100</f>
        <v>126.49629006663579</v>
      </c>
      <c r="AO34" s="116">
        <f>AO$22*shipping_manufacturing!$E$27/100</f>
        <v>72.357591402485113</v>
      </c>
      <c r="AP34" s="116">
        <f>AP$22*shipping_manufacturing!$E$27/100</f>
        <v>72.357591402485113</v>
      </c>
      <c r="AQ34" s="116">
        <f>AQ$22*shipping_manufacturing!$E$27/100</f>
        <v>72.357591402485113</v>
      </c>
      <c r="AR34" s="116">
        <f>AR$22*shipping_manufacturing!$E$27/100</f>
        <v>72.357591402485113</v>
      </c>
      <c r="AS34" s="116">
        <f>AS$22*shipping_manufacturing!$E$27/100</f>
        <v>65.195662163373868</v>
      </c>
      <c r="AT34" s="116">
        <f>AT$22*shipping_manufacturing!$E$27/100</f>
        <v>0</v>
      </c>
      <c r="AU34" s="116">
        <f>AU$22*shipping_manufacturing!$E$27/100</f>
        <v>130.39132432674774</v>
      </c>
      <c r="AV34" s="116">
        <f>AV$22*shipping_manufacturing!$E$27/100</f>
        <v>65.195662163373868</v>
      </c>
      <c r="AW34" s="116">
        <f>AW$22*shipping_manufacturing!$E$27/100</f>
        <v>76.519012078502769</v>
      </c>
      <c r="AX34" s="116">
        <f>AX$22*shipping_manufacturing!$E$27/100</f>
        <v>76.519012078502769</v>
      </c>
      <c r="AY34" s="116">
        <f>AY$22*shipping_manufacturing!$E$27/100</f>
        <v>76.519012078502769</v>
      </c>
    </row>
    <row r="35" spans="1:52" x14ac:dyDescent="0.2">
      <c r="A35" s="116">
        <v>1245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29.402364038464249</v>
      </c>
      <c r="F35" s="116">
        <f t="shared" si="11"/>
        <v>29.402364038464249</v>
      </c>
      <c r="G35" s="116">
        <f t="shared" si="11"/>
        <v>29.402364038464249</v>
      </c>
      <c r="H35" s="116">
        <f t="shared" si="11"/>
        <v>29.402364038464249</v>
      </c>
      <c r="I35" s="116">
        <f t="shared" si="11"/>
        <v>20.669728506673124</v>
      </c>
      <c r="J35" s="116">
        <f t="shared" si="11"/>
        <v>20.669728506673124</v>
      </c>
      <c r="K35" s="116">
        <f t="shared" si="11"/>
        <v>20.669728506673124</v>
      </c>
      <c r="L35" s="116">
        <f t="shared" si="11"/>
        <v>20.669728506673124</v>
      </c>
      <c r="M35" s="116">
        <f t="shared" si="11"/>
        <v>14.933116479316325</v>
      </c>
      <c r="N35" s="116">
        <f t="shared" si="11"/>
        <v>14.933116479316325</v>
      </c>
      <c r="O35" s="116">
        <f t="shared" si="11"/>
        <v>14.933116479316325</v>
      </c>
      <c r="P35" s="116">
        <f t="shared" si="11"/>
        <v>14.933116479316325</v>
      </c>
      <c r="Q35" s="116">
        <f t="shared" si="11"/>
        <v>189.49504832204397</v>
      </c>
      <c r="R35" s="116">
        <f t="shared" si="11"/>
        <v>189.49504832204397</v>
      </c>
      <c r="S35" s="116">
        <f t="shared" si="11"/>
        <v>189.49504832204397</v>
      </c>
      <c r="T35" s="116">
        <f t="shared" si="11"/>
        <v>189.49504832204397</v>
      </c>
      <c r="U35" s="116">
        <f t="shared" si="11"/>
        <v>174.57047329232157</v>
      </c>
      <c r="V35" s="116">
        <f t="shared" si="11"/>
        <v>174.57047329232157</v>
      </c>
      <c r="W35" s="116">
        <f t="shared" si="11"/>
        <v>174.57047329232157</v>
      </c>
      <c r="X35" s="116">
        <f t="shared" si="11"/>
        <v>174.57047329232157</v>
      </c>
      <c r="Y35" s="116">
        <f t="shared" si="11"/>
        <v>142.72880380254105</v>
      </c>
      <c r="Z35" s="116">
        <f t="shared" si="11"/>
        <v>142.72880380254105</v>
      </c>
      <c r="AA35" s="116">
        <f t="shared" si="11"/>
        <v>142.72880380254105</v>
      </c>
      <c r="AB35" s="116">
        <f t="shared" si="11"/>
        <v>142.72880380254105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216.13843251329982</v>
      </c>
      <c r="AH35" s="116">
        <f t="shared" si="11"/>
        <v>216.13843251329982</v>
      </c>
      <c r="AI35" s="116">
        <f t="shared" si="11"/>
        <v>216.13843251329982</v>
      </c>
      <c r="AJ35" s="116">
        <f t="shared" si="11"/>
        <v>216.13843251329982</v>
      </c>
      <c r="AK35" s="116">
        <f t="shared" si="11"/>
        <v>188.50500298664937</v>
      </c>
      <c r="AL35" s="116">
        <f t="shared" si="11"/>
        <v>188.50500298664937</v>
      </c>
      <c r="AM35" s="116">
        <f t="shared" si="11"/>
        <v>188.50500298664937</v>
      </c>
      <c r="AN35" s="116">
        <f t="shared" si="11"/>
        <v>188.50500298664937</v>
      </c>
      <c r="AO35" s="116">
        <f t="shared" si="11"/>
        <v>107.827415145907</v>
      </c>
      <c r="AP35" s="116">
        <f t="shared" si="11"/>
        <v>107.827415145907</v>
      </c>
      <c r="AQ35" s="116">
        <f t="shared" si="11"/>
        <v>107.827415145907</v>
      </c>
      <c r="AR35" s="116">
        <f t="shared" si="11"/>
        <v>107.827415145907</v>
      </c>
      <c r="AS35" s="116">
        <f t="shared" si="11"/>
        <v>97.154695085123791</v>
      </c>
      <c r="AT35" s="116">
        <f t="shared" si="11"/>
        <v>0</v>
      </c>
      <c r="AU35" s="116">
        <f t="shared" si="11"/>
        <v>194.30939017024758</v>
      </c>
      <c r="AV35" s="116">
        <f t="shared" si="11"/>
        <v>97.154695085123791</v>
      </c>
      <c r="AW35" s="116">
        <f t="shared" si="11"/>
        <v>114.02877185406169</v>
      </c>
      <c r="AX35" s="116">
        <f t="shared" si="11"/>
        <v>114.02877185406169</v>
      </c>
      <c r="AY35" s="116">
        <f t="shared" si="11"/>
        <v>114.02877185406169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9.6719064318944703</v>
      </c>
      <c r="F39" s="116">
        <f t="shared" si="12"/>
        <v>9.6719064318944703</v>
      </c>
      <c r="G39" s="116">
        <f t="shared" si="12"/>
        <v>9.6719064318944703</v>
      </c>
      <c r="H39" s="116">
        <f t="shared" si="12"/>
        <v>9.6719064318944703</v>
      </c>
      <c r="I39" s="116">
        <f t="shared" si="12"/>
        <v>6.7993063356291383</v>
      </c>
      <c r="J39" s="116">
        <f t="shared" si="12"/>
        <v>6.7993063356291383</v>
      </c>
      <c r="K39" s="116">
        <f t="shared" si="12"/>
        <v>6.7993063356291383</v>
      </c>
      <c r="L39" s="116">
        <f t="shared" si="12"/>
        <v>6.7993063356291383</v>
      </c>
      <c r="M39" s="116">
        <f t="shared" si="12"/>
        <v>4.9122480469795882</v>
      </c>
      <c r="N39" s="116">
        <f t="shared" si="12"/>
        <v>4.9122480469795882</v>
      </c>
      <c r="O39" s="116">
        <f t="shared" si="12"/>
        <v>4.9122480469795882</v>
      </c>
      <c r="P39" s="116">
        <f t="shared" si="12"/>
        <v>4.9122480469795882</v>
      </c>
      <c r="Q39" s="116">
        <f t="shared" si="12"/>
        <v>62.334388292059955</v>
      </c>
      <c r="R39" s="116">
        <f t="shared" si="12"/>
        <v>62.334388292059955</v>
      </c>
      <c r="S39" s="116">
        <f t="shared" si="12"/>
        <v>62.334388292059955</v>
      </c>
      <c r="T39" s="116">
        <f t="shared" si="12"/>
        <v>62.334388292059955</v>
      </c>
      <c r="U39" s="116">
        <f t="shared" si="12"/>
        <v>57.424949954570295</v>
      </c>
      <c r="V39" s="116">
        <f t="shared" si="12"/>
        <v>57.424949954570295</v>
      </c>
      <c r="W39" s="116">
        <f t="shared" si="12"/>
        <v>57.424949954570295</v>
      </c>
      <c r="X39" s="116">
        <f t="shared" si="12"/>
        <v>57.424949954570295</v>
      </c>
      <c r="Y39" s="116">
        <f t="shared" si="12"/>
        <v>46.95063409556046</v>
      </c>
      <c r="Z39" s="116">
        <f t="shared" si="12"/>
        <v>46.95063409556046</v>
      </c>
      <c r="AA39" s="116">
        <f t="shared" si="12"/>
        <v>46.95063409556046</v>
      </c>
      <c r="AB39" s="116">
        <f t="shared" si="12"/>
        <v>46.95063409556046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71.098728417559016</v>
      </c>
      <c r="AH39" s="116">
        <f t="shared" si="12"/>
        <v>71.098728417559016</v>
      </c>
      <c r="AI39" s="116">
        <f t="shared" si="12"/>
        <v>71.098728417559016</v>
      </c>
      <c r="AJ39" s="116">
        <f t="shared" si="12"/>
        <v>71.098728417559016</v>
      </c>
      <c r="AK39" s="116">
        <f t="shared" si="12"/>
        <v>62.008712920013579</v>
      </c>
      <c r="AL39" s="116">
        <f t="shared" si="12"/>
        <v>62.008712920013579</v>
      </c>
      <c r="AM39" s="116">
        <f t="shared" si="12"/>
        <v>62.008712920013579</v>
      </c>
      <c r="AN39" s="116">
        <f t="shared" si="12"/>
        <v>62.008712920013579</v>
      </c>
      <c r="AO39" s="116">
        <f t="shared" si="12"/>
        <v>35.469823743421891</v>
      </c>
      <c r="AP39" s="116">
        <f t="shared" si="12"/>
        <v>35.469823743421891</v>
      </c>
      <c r="AQ39" s="116">
        <f t="shared" si="12"/>
        <v>35.469823743421891</v>
      </c>
      <c r="AR39" s="116">
        <f t="shared" si="12"/>
        <v>35.469823743421891</v>
      </c>
      <c r="AS39" s="116">
        <f t="shared" si="12"/>
        <v>31.959032921749916</v>
      </c>
      <c r="AT39" s="116">
        <f t="shared" si="12"/>
        <v>0</v>
      </c>
      <c r="AU39" s="116">
        <f t="shared" si="12"/>
        <v>63.918065843499832</v>
      </c>
      <c r="AV39" s="116">
        <f t="shared" si="12"/>
        <v>31.959032921749916</v>
      </c>
      <c r="AW39" s="116">
        <f t="shared" si="12"/>
        <v>37.509759775558926</v>
      </c>
      <c r="AX39" s="116">
        <f t="shared" si="12"/>
        <v>37.509759775558926</v>
      </c>
      <c r="AY39" s="116">
        <f t="shared" si="12"/>
        <v>37.509759775558926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19.730457606569779</v>
      </c>
      <c r="F40" s="116">
        <f t="shared" si="13"/>
        <v>19.730457606569779</v>
      </c>
      <c r="G40" s="116">
        <f t="shared" si="13"/>
        <v>19.730457606569779</v>
      </c>
      <c r="H40" s="116">
        <f t="shared" si="13"/>
        <v>19.730457606569779</v>
      </c>
      <c r="I40" s="116">
        <f t="shared" si="13"/>
        <v>13.870422171043987</v>
      </c>
      <c r="J40" s="116">
        <f t="shared" si="13"/>
        <v>13.870422171043987</v>
      </c>
      <c r="K40" s="116">
        <f t="shared" si="13"/>
        <v>13.870422171043987</v>
      </c>
      <c r="L40" s="116">
        <f t="shared" si="13"/>
        <v>13.870422171043987</v>
      </c>
      <c r="M40" s="116">
        <f t="shared" si="13"/>
        <v>10.020868432336737</v>
      </c>
      <c r="N40" s="116">
        <f t="shared" si="13"/>
        <v>10.020868432336737</v>
      </c>
      <c r="O40" s="116">
        <f t="shared" si="13"/>
        <v>10.020868432336737</v>
      </c>
      <c r="P40" s="116">
        <f t="shared" si="13"/>
        <v>10.020868432336737</v>
      </c>
      <c r="Q40" s="116">
        <f t="shared" si="13"/>
        <v>127.16066002998402</v>
      </c>
      <c r="R40" s="116">
        <f t="shared" si="13"/>
        <v>127.16066002998402</v>
      </c>
      <c r="S40" s="116">
        <f t="shared" si="13"/>
        <v>127.16066002998402</v>
      </c>
      <c r="T40" s="116">
        <f t="shared" si="13"/>
        <v>127.16066002998402</v>
      </c>
      <c r="U40" s="116">
        <f t="shared" si="13"/>
        <v>117.14552333775127</v>
      </c>
      <c r="V40" s="116">
        <f t="shared" si="13"/>
        <v>117.14552333775127</v>
      </c>
      <c r="W40" s="116">
        <f t="shared" si="13"/>
        <v>117.14552333775127</v>
      </c>
      <c r="X40" s="116">
        <f t="shared" si="13"/>
        <v>117.14552333775127</v>
      </c>
      <c r="Y40" s="116">
        <f t="shared" si="13"/>
        <v>95.778169706980577</v>
      </c>
      <c r="Z40" s="116">
        <f t="shared" si="13"/>
        <v>95.778169706980577</v>
      </c>
      <c r="AA40" s="116">
        <f t="shared" si="13"/>
        <v>95.778169706980577</v>
      </c>
      <c r="AB40" s="116">
        <f t="shared" si="13"/>
        <v>95.778169706980577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145.0397040957408</v>
      </c>
      <c r="AH40" s="116">
        <f t="shared" si="13"/>
        <v>145.0397040957408</v>
      </c>
      <c r="AI40" s="116">
        <f t="shared" si="13"/>
        <v>145.0397040957408</v>
      </c>
      <c r="AJ40" s="116">
        <f t="shared" si="13"/>
        <v>145.0397040957408</v>
      </c>
      <c r="AK40" s="116">
        <f t="shared" si="13"/>
        <v>126.49629006663579</v>
      </c>
      <c r="AL40" s="116">
        <f t="shared" si="13"/>
        <v>126.49629006663579</v>
      </c>
      <c r="AM40" s="116">
        <f t="shared" si="13"/>
        <v>126.49629006663579</v>
      </c>
      <c r="AN40" s="116">
        <f t="shared" si="13"/>
        <v>126.49629006663579</v>
      </c>
      <c r="AO40" s="116">
        <f t="shared" si="13"/>
        <v>72.357591402485113</v>
      </c>
      <c r="AP40" s="116">
        <f t="shared" si="13"/>
        <v>72.357591402485113</v>
      </c>
      <c r="AQ40" s="116">
        <f t="shared" si="13"/>
        <v>72.357591402485113</v>
      </c>
      <c r="AR40" s="116">
        <f t="shared" si="13"/>
        <v>72.357591402485113</v>
      </c>
      <c r="AS40" s="116">
        <f t="shared" si="13"/>
        <v>65.195662163373868</v>
      </c>
      <c r="AT40" s="116">
        <f t="shared" si="13"/>
        <v>0</v>
      </c>
      <c r="AU40" s="116">
        <f t="shared" si="13"/>
        <v>130.39132432674774</v>
      </c>
      <c r="AV40" s="116">
        <f t="shared" si="13"/>
        <v>65.195662163373868</v>
      </c>
      <c r="AW40" s="116">
        <f t="shared" si="13"/>
        <v>76.519012078502769</v>
      </c>
      <c r="AX40" s="116">
        <f t="shared" si="13"/>
        <v>76.519012078502769</v>
      </c>
      <c r="AY40" s="116">
        <f t="shared" si="13"/>
        <v>76.519012078502769</v>
      </c>
    </row>
    <row r="41" spans="1:52" x14ac:dyDescent="0.2">
      <c r="A41" s="116"/>
      <c r="B41" s="171" t="s">
        <v>348</v>
      </c>
      <c r="C41" s="116"/>
      <c r="D41" s="116">
        <v>2</v>
      </c>
      <c r="E41" s="116">
        <v>1</v>
      </c>
      <c r="F41" s="116">
        <v>2</v>
      </c>
      <c r="G41" s="116">
        <v>1</v>
      </c>
      <c r="H41" s="116">
        <v>1</v>
      </c>
      <c r="I41" s="116">
        <v>2</v>
      </c>
      <c r="J41" s="116">
        <v>2</v>
      </c>
      <c r="K41" s="116">
        <v>2</v>
      </c>
      <c r="L41" s="116">
        <v>1</v>
      </c>
      <c r="M41" s="116">
        <v>3</v>
      </c>
      <c r="N41" s="116">
        <v>2</v>
      </c>
      <c r="O41" s="116">
        <v>1</v>
      </c>
      <c r="P41" s="116">
        <v>1</v>
      </c>
      <c r="Q41" s="116">
        <v>3</v>
      </c>
      <c r="R41" s="116">
        <v>3</v>
      </c>
      <c r="S41" s="116">
        <v>2</v>
      </c>
      <c r="T41" s="116">
        <v>3</v>
      </c>
      <c r="U41" s="116">
        <v>1</v>
      </c>
      <c r="V41" s="116">
        <v>1</v>
      </c>
      <c r="W41" s="116">
        <v>1</v>
      </c>
      <c r="X41" s="116">
        <v>1</v>
      </c>
      <c r="Y41" s="116">
        <v>2</v>
      </c>
      <c r="Z41" s="116">
        <v>1</v>
      </c>
      <c r="AA41" s="116">
        <v>2</v>
      </c>
      <c r="AB41" s="116">
        <v>2</v>
      </c>
      <c r="AC41" s="116">
        <v>3</v>
      </c>
      <c r="AD41" s="116">
        <v>2</v>
      </c>
      <c r="AE41" s="116">
        <v>2</v>
      </c>
      <c r="AF41" s="116">
        <v>1</v>
      </c>
      <c r="AG41" s="116">
        <v>1</v>
      </c>
      <c r="AH41" s="116">
        <v>1</v>
      </c>
      <c r="AI41" s="116">
        <v>1</v>
      </c>
      <c r="AJ41" s="116">
        <v>3</v>
      </c>
      <c r="AK41" s="116">
        <v>2</v>
      </c>
      <c r="AL41" s="116">
        <v>1</v>
      </c>
      <c r="AM41" s="116">
        <v>2</v>
      </c>
      <c r="AN41" s="116">
        <v>2</v>
      </c>
      <c r="AO41" s="116">
        <v>1</v>
      </c>
      <c r="AP41" s="116">
        <v>1</v>
      </c>
      <c r="AQ41" s="116">
        <v>3</v>
      </c>
      <c r="AR41" s="116">
        <v>1</v>
      </c>
      <c r="AS41" s="116">
        <v>1</v>
      </c>
      <c r="AT41" s="116">
        <v>1</v>
      </c>
      <c r="AU41" s="116">
        <v>1</v>
      </c>
      <c r="AV41" s="116">
        <v>1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23793.863098127196</v>
      </c>
      <c r="F43" s="116">
        <v>23793.863098127196</v>
      </c>
      <c r="G43" s="116">
        <v>23793.863098127196</v>
      </c>
      <c r="H43" s="116">
        <v>23793.863098127196</v>
      </c>
      <c r="I43" s="116">
        <v>16726.977794025228</v>
      </c>
      <c r="J43" s="116">
        <v>16726.977794025228</v>
      </c>
      <c r="K43" s="116">
        <v>16726.977794025228</v>
      </c>
      <c r="L43" s="116">
        <v>16726.977794025228</v>
      </c>
      <c r="M43" s="116">
        <v>12084.624510886737</v>
      </c>
      <c r="N43" s="116">
        <v>12084.624510886737</v>
      </c>
      <c r="O43" s="116">
        <v>12084.624510886737</v>
      </c>
      <c r="P43" s="116">
        <v>12084.624510886737</v>
      </c>
      <c r="Q43" s="116">
        <v>153348.8678546141</v>
      </c>
      <c r="R43" s="116">
        <v>153348.8678546141</v>
      </c>
      <c r="S43" s="116">
        <v>153348.8678546141</v>
      </c>
      <c r="T43" s="116">
        <v>153348.8678546141</v>
      </c>
      <c r="U43" s="116">
        <v>141271.15551181123</v>
      </c>
      <c r="V43" s="116">
        <v>141271.15551181123</v>
      </c>
      <c r="W43" s="116">
        <v>141271.15551181123</v>
      </c>
      <c r="X43" s="116">
        <v>141271.15551181123</v>
      </c>
      <c r="Y43" s="116">
        <v>115503.28447720635</v>
      </c>
      <c r="Z43" s="116">
        <v>115503.28447720635</v>
      </c>
      <c r="AA43" s="116">
        <v>115503.28447720635</v>
      </c>
      <c r="AB43" s="116">
        <v>115503.28447720635</v>
      </c>
      <c r="AC43" s="116">
        <v>0</v>
      </c>
      <c r="AD43" s="116">
        <v>0</v>
      </c>
      <c r="AE43" s="116">
        <v>0</v>
      </c>
      <c r="AF43" s="116">
        <v>0</v>
      </c>
      <c r="AG43" s="116">
        <v>174910.0265113879</v>
      </c>
      <c r="AH43" s="116">
        <v>174910.0265113879</v>
      </c>
      <c r="AI43" s="116">
        <v>174910.0265113879</v>
      </c>
      <c r="AJ43" s="116">
        <v>174910.0265113879</v>
      </c>
      <c r="AK43" s="116">
        <v>152547.67366694601</v>
      </c>
      <c r="AL43" s="116">
        <v>152547.67366694601</v>
      </c>
      <c r="AM43" s="116">
        <v>152547.67366694601</v>
      </c>
      <c r="AN43" s="116">
        <v>152547.67366694601</v>
      </c>
      <c r="AO43" s="116">
        <v>87259.335706825252</v>
      </c>
      <c r="AP43" s="116">
        <v>87259.335706825252</v>
      </c>
      <c r="AQ43" s="116">
        <v>87259.335706825252</v>
      </c>
      <c r="AR43" s="116">
        <v>87259.335706825252</v>
      </c>
      <c r="AS43" s="116">
        <v>78622.43699763644</v>
      </c>
      <c r="AT43" s="116">
        <v>0</v>
      </c>
      <c r="AU43" s="116">
        <v>157244.87399527288</v>
      </c>
      <c r="AV43" s="116">
        <v>78622.43699763644</v>
      </c>
      <c r="AW43" s="116">
        <v>92277.783622899427</v>
      </c>
      <c r="AX43" s="116">
        <v>92277.783622899427</v>
      </c>
      <c r="AY43" s="116">
        <v>92277.783622899427</v>
      </c>
      <c r="AZ43" s="106">
        <f>SUM($D$43:$AY$43)</f>
        <v>4101106.335386565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D$21*shipping_manufacturing!$D$28/100</f>
        <v>0</v>
      </c>
      <c r="E44" s="130">
        <f>E$21*shipping_manufacturing!$D$28/100</f>
        <v>23.627372843797573</v>
      </c>
      <c r="F44" s="130">
        <f>F$21*shipping_manufacturing!$D$28/100</f>
        <v>23.627372843797573</v>
      </c>
      <c r="G44" s="130">
        <f>G$21*shipping_manufacturing!$D$28/100</f>
        <v>23.627372843797573</v>
      </c>
      <c r="H44" s="130">
        <f>H$21*shipping_manufacturing!$D$28/100</f>
        <v>23.627372843797573</v>
      </c>
      <c r="I44" s="130">
        <f>I$21*shipping_manufacturing!$D$28/100</f>
        <v>16.60993590067617</v>
      </c>
      <c r="J44" s="130">
        <f>J$21*shipping_manufacturing!$D$28/100</f>
        <v>16.60993590067617</v>
      </c>
      <c r="K44" s="130">
        <f>K$21*shipping_manufacturing!$D$28/100</f>
        <v>16.60993590067617</v>
      </c>
      <c r="L44" s="130">
        <f>L$21*shipping_manufacturing!$D$28/100</f>
        <v>16.60993590067617</v>
      </c>
      <c r="M44" s="130">
        <f>M$21*shipping_manufacturing!$D$28/100</f>
        <v>12.000066059827404</v>
      </c>
      <c r="N44" s="130">
        <f>N$21*shipping_manufacturing!$D$28/100</f>
        <v>12.000066059827404</v>
      </c>
      <c r="O44" s="130">
        <f>O$21*shipping_manufacturing!$D$28/100</f>
        <v>12.000066059827404</v>
      </c>
      <c r="P44" s="130">
        <f>P$21*shipping_manufacturing!$D$28/100</f>
        <v>12.000066059827404</v>
      </c>
      <c r="Q44" s="130">
        <f>Q$21*shipping_manufacturing!$D$28/100</f>
        <v>152.2758562169081</v>
      </c>
      <c r="R44" s="130">
        <f>R$21*shipping_manufacturing!$D$28/100</f>
        <v>152.2758562169081</v>
      </c>
      <c r="S44" s="130">
        <f>S$21*shipping_manufacturing!$D$28/100</f>
        <v>152.2758562169081</v>
      </c>
      <c r="T44" s="130">
        <f>T$21*shipping_manufacturing!$D$28/100</f>
        <v>152.2758562169081</v>
      </c>
      <c r="U44" s="130">
        <f>U$21*shipping_manufacturing!$D$28/100</f>
        <v>140.28265395938985</v>
      </c>
      <c r="V44" s="130">
        <f>V$21*shipping_manufacturing!$D$28/100</f>
        <v>140.28265395938985</v>
      </c>
      <c r="W44" s="130">
        <f>W$21*shipping_manufacturing!$D$28/100</f>
        <v>140.28265395938985</v>
      </c>
      <c r="X44" s="130">
        <f>X$21*shipping_manufacturing!$D$28/100</f>
        <v>140.28265395938985</v>
      </c>
      <c r="Y44" s="130">
        <f>Y$21*shipping_manufacturing!$D$28/100</f>
        <v>114.69508569379691</v>
      </c>
      <c r="Z44" s="130">
        <f>Z$21*shipping_manufacturing!$D$28/100</f>
        <v>114.69508569379691</v>
      </c>
      <c r="AA44" s="130">
        <f>AA$21*shipping_manufacturing!$D$28/100</f>
        <v>114.69508569379691</v>
      </c>
      <c r="AB44" s="130">
        <f>AB$21*shipping_manufacturing!$D$28/100</f>
        <v>114.69508569379691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173.68614728342959</v>
      </c>
      <c r="AH44" s="130">
        <f>AH$21*shipping_manufacturing!$D$28/100</f>
        <v>173.68614728342959</v>
      </c>
      <c r="AI44" s="130">
        <f>AI$21*shipping_manufacturing!$D$28/100</f>
        <v>173.68614728342959</v>
      </c>
      <c r="AJ44" s="130">
        <f>AJ$21*shipping_manufacturing!$D$28/100</f>
        <v>173.68614728342959</v>
      </c>
      <c r="AK44" s="130">
        <f>AK$21*shipping_manufacturing!$D$28/100</f>
        <v>151.48026813966953</v>
      </c>
      <c r="AL44" s="130">
        <f>AL$21*shipping_manufacturing!$D$28/100</f>
        <v>151.48026813966953</v>
      </c>
      <c r="AM44" s="130">
        <f>AM$21*shipping_manufacturing!$D$28/100</f>
        <v>151.48026813966953</v>
      </c>
      <c r="AN44" s="130">
        <f>AN$21*shipping_manufacturing!$D$28/100</f>
        <v>151.48026813966953</v>
      </c>
      <c r="AO44" s="130">
        <f>AO$21*shipping_manufacturing!$D$28/100</f>
        <v>86.648765286437879</v>
      </c>
      <c r="AP44" s="130">
        <f>AP$21*shipping_manufacturing!$D$28/100</f>
        <v>86.648765286437879</v>
      </c>
      <c r="AQ44" s="130">
        <f>AQ$21*shipping_manufacturing!$D$28/100</f>
        <v>86.648765286437879</v>
      </c>
      <c r="AR44" s="130">
        <f>AR$21*shipping_manufacturing!$D$28/100</f>
        <v>86.648765286437879</v>
      </c>
      <c r="AS44" s="130">
        <f>AS$21*shipping_manufacturing!$D$28/100</f>
        <v>78.072300625170655</v>
      </c>
      <c r="AT44" s="130">
        <f>AT$21*shipping_manufacturing!$D$28/100</f>
        <v>0</v>
      </c>
      <c r="AU44" s="130">
        <f>AU$21*shipping_manufacturing!$D$28/100</f>
        <v>156.14460125034131</v>
      </c>
      <c r="AV44" s="130">
        <f>AV$21*shipping_manufacturing!$D$28/100</f>
        <v>78.072300625170655</v>
      </c>
      <c r="AW44" s="130">
        <f>AW$21*shipping_manufacturing!$D$28/100</f>
        <v>91.632098153457576</v>
      </c>
      <c r="AX44" s="130">
        <f>AX$21*shipping_manufacturing!$D$28/100</f>
        <v>91.632098153457576</v>
      </c>
      <c r="AY44" s="130">
        <f>AY$21*shipping_manufacturing!$D$28/100</f>
        <v>91.632098153457576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D$22*shipping_manufacturing!$E$28/100</f>
        <v>0</v>
      </c>
      <c r="E45" s="116">
        <f>E$22*shipping_manufacturing!$E$28/100</f>
        <v>111.94187636642475</v>
      </c>
      <c r="F45" s="116">
        <f>F$22*shipping_manufacturing!$E$28/100</f>
        <v>111.94187636642475</v>
      </c>
      <c r="G45" s="116">
        <f>G$22*shipping_manufacturing!$E$28/100</f>
        <v>111.94187636642475</v>
      </c>
      <c r="H45" s="116">
        <f>H$22*shipping_manufacturing!$E$28/100</f>
        <v>111.94187636642475</v>
      </c>
      <c r="I45" s="116">
        <f>I$22*shipping_manufacturing!$E$28/100</f>
        <v>78.694631152605226</v>
      </c>
      <c r="J45" s="116">
        <f>J$22*shipping_manufacturing!$E$28/100</f>
        <v>78.694631152605226</v>
      </c>
      <c r="K45" s="116">
        <f>K$22*shipping_manufacturing!$E$28/100</f>
        <v>78.694631152605226</v>
      </c>
      <c r="L45" s="116">
        <f>L$22*shipping_manufacturing!$E$28/100</f>
        <v>78.694631152605226</v>
      </c>
      <c r="M45" s="116">
        <f>M$22*shipping_manufacturing!$E$28/100</f>
        <v>56.853968494036842</v>
      </c>
      <c r="N45" s="116">
        <f>N$22*shipping_manufacturing!$E$28/100</f>
        <v>56.853968494036842</v>
      </c>
      <c r="O45" s="116">
        <f>O$22*shipping_manufacturing!$E$28/100</f>
        <v>56.853968494036842</v>
      </c>
      <c r="P45" s="116">
        <f>P$22*shipping_manufacturing!$E$28/100</f>
        <v>56.853968494036842</v>
      </c>
      <c r="Q45" s="116">
        <f>Q$22*shipping_manufacturing!$E$28/100</f>
        <v>721.45325605675009</v>
      </c>
      <c r="R45" s="116">
        <f>R$22*shipping_manufacturing!$E$28/100</f>
        <v>721.45325605675009</v>
      </c>
      <c r="S45" s="116">
        <f>S$22*shipping_manufacturing!$E$28/100</f>
        <v>721.45325605675009</v>
      </c>
      <c r="T45" s="116">
        <f>T$22*shipping_manufacturing!$E$28/100</f>
        <v>721.45325605675009</v>
      </c>
      <c r="U45" s="116">
        <f>U$22*shipping_manufacturing!$E$28/100</f>
        <v>664.63180691704747</v>
      </c>
      <c r="V45" s="116">
        <f>V$22*shipping_manufacturing!$E$28/100</f>
        <v>664.63180691704747</v>
      </c>
      <c r="W45" s="116">
        <f>W$22*shipping_manufacturing!$E$28/100</f>
        <v>664.63180691704747</v>
      </c>
      <c r="X45" s="116">
        <f>X$22*shipping_manufacturing!$E$28/100</f>
        <v>664.63180691704747</v>
      </c>
      <c r="Y45" s="116">
        <f>Y$22*shipping_manufacturing!$E$28/100</f>
        <v>543.40290761280824</v>
      </c>
      <c r="Z45" s="116">
        <f>Z$22*shipping_manufacturing!$E$28/100</f>
        <v>543.40290761280824</v>
      </c>
      <c r="AA45" s="116">
        <f>AA$22*shipping_manufacturing!$E$28/100</f>
        <v>543.40290761280824</v>
      </c>
      <c r="AB45" s="116">
        <f>AB$22*shipping_manufacturing!$E$28/100</f>
        <v>543.40290761280824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822.89103212193277</v>
      </c>
      <c r="AH45" s="116">
        <f>AH$22*shipping_manufacturing!$E$28/100</f>
        <v>822.89103212193277</v>
      </c>
      <c r="AI45" s="116">
        <f>AI$22*shipping_manufacturing!$E$28/100</f>
        <v>822.89103212193277</v>
      </c>
      <c r="AJ45" s="116">
        <f>AJ$22*shipping_manufacturing!$E$28/100</f>
        <v>822.89103212193277</v>
      </c>
      <c r="AK45" s="116">
        <f>AK$22*shipping_manufacturing!$E$28/100</f>
        <v>717.68391518378792</v>
      </c>
      <c r="AL45" s="116">
        <f>AL$22*shipping_manufacturing!$E$28/100</f>
        <v>717.68391518378792</v>
      </c>
      <c r="AM45" s="116">
        <f>AM$22*shipping_manufacturing!$E$28/100</f>
        <v>717.68391518378792</v>
      </c>
      <c r="AN45" s="116">
        <f>AN$22*shipping_manufacturing!$E$28/100</f>
        <v>717.68391518378792</v>
      </c>
      <c r="AO45" s="116">
        <f>AO$22*shipping_manufacturing!$E$28/100</f>
        <v>410.52492103640861</v>
      </c>
      <c r="AP45" s="116">
        <f>AP$22*shipping_manufacturing!$E$28/100</f>
        <v>410.52492103640861</v>
      </c>
      <c r="AQ45" s="116">
        <f>AQ$22*shipping_manufacturing!$E$28/100</f>
        <v>410.52492103640861</v>
      </c>
      <c r="AR45" s="116">
        <f>AR$22*shipping_manufacturing!$E$28/100</f>
        <v>410.52492103640861</v>
      </c>
      <c r="AS45" s="116">
        <f>AS$22*shipping_manufacturing!$E$28/100</f>
        <v>369.8913070870434</v>
      </c>
      <c r="AT45" s="116">
        <f>AT$22*shipping_manufacturing!$E$28/100</f>
        <v>0</v>
      </c>
      <c r="AU45" s="116">
        <f>AU$22*shipping_manufacturing!$E$28/100</f>
        <v>739.7826141740868</v>
      </c>
      <c r="AV45" s="116">
        <f>AV$22*shipping_manufacturing!$E$28/100</f>
        <v>369.8913070870434</v>
      </c>
      <c r="AW45" s="116">
        <f>AW$22*shipping_manufacturing!$E$28/100</f>
        <v>434.13497854811789</v>
      </c>
      <c r="AX45" s="116">
        <f>AX$22*shipping_manufacturing!$E$28/100</f>
        <v>434.13497854811789</v>
      </c>
      <c r="AY45" s="116">
        <f>AY$22*shipping_manufacturing!$E$28/100</f>
        <v>434.13497854811789</v>
      </c>
    </row>
    <row r="46" spans="1:52" x14ac:dyDescent="0.2">
      <c r="A46" s="116">
        <v>495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135.56924921022232</v>
      </c>
      <c r="F46" s="116">
        <f t="shared" si="14"/>
        <v>135.56924921022232</v>
      </c>
      <c r="G46" s="116">
        <f t="shared" si="14"/>
        <v>135.56924921022232</v>
      </c>
      <c r="H46" s="116">
        <f t="shared" si="14"/>
        <v>135.56924921022232</v>
      </c>
      <c r="I46" s="116">
        <f t="shared" si="14"/>
        <v>95.304567053281403</v>
      </c>
      <c r="J46" s="116">
        <f t="shared" si="14"/>
        <v>95.304567053281403</v>
      </c>
      <c r="K46" s="116">
        <f t="shared" si="14"/>
        <v>95.304567053281403</v>
      </c>
      <c r="L46" s="116">
        <f t="shared" si="14"/>
        <v>95.304567053281403</v>
      </c>
      <c r="M46" s="116">
        <f t="shared" si="14"/>
        <v>68.854034553864238</v>
      </c>
      <c r="N46" s="116">
        <f t="shared" si="14"/>
        <v>68.854034553864238</v>
      </c>
      <c r="O46" s="116">
        <f t="shared" si="14"/>
        <v>68.854034553864238</v>
      </c>
      <c r="P46" s="116">
        <f t="shared" si="14"/>
        <v>68.854034553864238</v>
      </c>
      <c r="Q46" s="116">
        <f t="shared" si="14"/>
        <v>873.72911227365819</v>
      </c>
      <c r="R46" s="116">
        <f t="shared" si="14"/>
        <v>873.72911227365819</v>
      </c>
      <c r="S46" s="116">
        <f t="shared" si="14"/>
        <v>873.72911227365819</v>
      </c>
      <c r="T46" s="116">
        <f t="shared" si="14"/>
        <v>873.72911227365819</v>
      </c>
      <c r="U46" s="116">
        <f t="shared" si="14"/>
        <v>804.91446087643726</v>
      </c>
      <c r="V46" s="116">
        <f t="shared" si="14"/>
        <v>804.91446087643726</v>
      </c>
      <c r="W46" s="116">
        <f t="shared" si="14"/>
        <v>804.91446087643726</v>
      </c>
      <c r="X46" s="116">
        <f t="shared" si="14"/>
        <v>804.91446087643726</v>
      </c>
      <c r="Y46" s="116">
        <f t="shared" si="14"/>
        <v>658.09799330660519</v>
      </c>
      <c r="Z46" s="116">
        <f t="shared" si="14"/>
        <v>658.09799330660519</v>
      </c>
      <c r="AA46" s="116">
        <f t="shared" si="14"/>
        <v>658.09799330660519</v>
      </c>
      <c r="AB46" s="116">
        <f t="shared" si="14"/>
        <v>658.09799330660519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996.57717940536236</v>
      </c>
      <c r="AH46" s="116">
        <f t="shared" si="14"/>
        <v>996.57717940536236</v>
      </c>
      <c r="AI46" s="116">
        <f t="shared" si="14"/>
        <v>996.57717940536236</v>
      </c>
      <c r="AJ46" s="116">
        <f t="shared" si="14"/>
        <v>996.57717940536236</v>
      </c>
      <c r="AK46" s="116">
        <f t="shared" si="14"/>
        <v>869.16418332345745</v>
      </c>
      <c r="AL46" s="116">
        <f t="shared" si="14"/>
        <v>869.16418332345745</v>
      </c>
      <c r="AM46" s="116">
        <f t="shared" si="14"/>
        <v>869.16418332345745</v>
      </c>
      <c r="AN46" s="116">
        <f t="shared" si="14"/>
        <v>869.16418332345745</v>
      </c>
      <c r="AO46" s="116">
        <f t="shared" si="14"/>
        <v>497.17368632284649</v>
      </c>
      <c r="AP46" s="116">
        <f t="shared" si="14"/>
        <v>497.17368632284649</v>
      </c>
      <c r="AQ46" s="116">
        <f t="shared" si="14"/>
        <v>497.17368632284649</v>
      </c>
      <c r="AR46" s="116">
        <f t="shared" si="14"/>
        <v>497.17368632284649</v>
      </c>
      <c r="AS46" s="116">
        <f t="shared" si="14"/>
        <v>447.96360771221407</v>
      </c>
      <c r="AT46" s="116">
        <f t="shared" si="14"/>
        <v>0</v>
      </c>
      <c r="AU46" s="116">
        <f t="shared" si="14"/>
        <v>895.92721542442814</v>
      </c>
      <c r="AV46" s="116">
        <f t="shared" si="14"/>
        <v>447.96360771221407</v>
      </c>
      <c r="AW46" s="116">
        <f t="shared" si="14"/>
        <v>525.76707670157543</v>
      </c>
      <c r="AX46" s="116">
        <f t="shared" si="14"/>
        <v>525.76707670157543</v>
      </c>
      <c r="AY46" s="116">
        <f t="shared" si="14"/>
        <v>525.76707670157543</v>
      </c>
    </row>
    <row r="47" spans="1:52" x14ac:dyDescent="0.2">
      <c r="A47" s="116"/>
      <c r="B47" s="171" t="s">
        <v>343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344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345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23.627372843797573</v>
      </c>
      <c r="F50" s="116">
        <f t="shared" si="15"/>
        <v>23.627372843797573</v>
      </c>
      <c r="G50" s="116">
        <f t="shared" si="15"/>
        <v>23.627372843797573</v>
      </c>
      <c r="H50" s="116">
        <f t="shared" si="15"/>
        <v>23.627372843797573</v>
      </c>
      <c r="I50" s="116">
        <f t="shared" si="15"/>
        <v>16.60993590067617</v>
      </c>
      <c r="J50" s="116">
        <f t="shared" si="15"/>
        <v>16.60993590067617</v>
      </c>
      <c r="K50" s="116">
        <f t="shared" si="15"/>
        <v>16.60993590067617</v>
      </c>
      <c r="L50" s="116">
        <f t="shared" si="15"/>
        <v>16.60993590067617</v>
      </c>
      <c r="M50" s="116">
        <f t="shared" si="15"/>
        <v>12.000066059827404</v>
      </c>
      <c r="N50" s="116">
        <f t="shared" si="15"/>
        <v>12.000066059827404</v>
      </c>
      <c r="O50" s="116">
        <f t="shared" si="15"/>
        <v>12.000066059827404</v>
      </c>
      <c r="P50" s="116">
        <f t="shared" si="15"/>
        <v>12.000066059827404</v>
      </c>
      <c r="Q50" s="116">
        <f t="shared" si="15"/>
        <v>152.2758562169081</v>
      </c>
      <c r="R50" s="116">
        <f t="shared" si="15"/>
        <v>152.2758562169081</v>
      </c>
      <c r="S50" s="116">
        <f t="shared" si="15"/>
        <v>152.2758562169081</v>
      </c>
      <c r="T50" s="116">
        <f t="shared" si="15"/>
        <v>152.2758562169081</v>
      </c>
      <c r="U50" s="116">
        <f t="shared" si="15"/>
        <v>140.28265395938985</v>
      </c>
      <c r="V50" s="116">
        <f t="shared" si="15"/>
        <v>140.28265395938985</v>
      </c>
      <c r="W50" s="116">
        <f t="shared" si="15"/>
        <v>140.28265395938985</v>
      </c>
      <c r="X50" s="116">
        <f t="shared" si="15"/>
        <v>140.28265395938985</v>
      </c>
      <c r="Y50" s="116">
        <f t="shared" si="15"/>
        <v>114.69508569379691</v>
      </c>
      <c r="Z50" s="116">
        <f t="shared" si="15"/>
        <v>114.69508569379691</v>
      </c>
      <c r="AA50" s="116">
        <f t="shared" si="15"/>
        <v>114.69508569379691</v>
      </c>
      <c r="AB50" s="116">
        <f t="shared" si="15"/>
        <v>114.69508569379691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173.68614728342959</v>
      </c>
      <c r="AH50" s="116">
        <f t="shared" si="15"/>
        <v>173.68614728342959</v>
      </c>
      <c r="AI50" s="116">
        <f t="shared" si="15"/>
        <v>173.68614728342959</v>
      </c>
      <c r="AJ50" s="116">
        <f t="shared" si="15"/>
        <v>173.68614728342959</v>
      </c>
      <c r="AK50" s="116">
        <f t="shared" si="15"/>
        <v>151.48026813966953</v>
      </c>
      <c r="AL50" s="116">
        <f t="shared" si="15"/>
        <v>151.48026813966953</v>
      </c>
      <c r="AM50" s="116">
        <f t="shared" si="15"/>
        <v>151.48026813966953</v>
      </c>
      <c r="AN50" s="116">
        <f t="shared" si="15"/>
        <v>151.48026813966953</v>
      </c>
      <c r="AO50" s="116">
        <f t="shared" si="15"/>
        <v>86.648765286437879</v>
      </c>
      <c r="AP50" s="116">
        <f t="shared" si="15"/>
        <v>86.648765286437879</v>
      </c>
      <c r="AQ50" s="116">
        <f t="shared" si="15"/>
        <v>86.648765286437879</v>
      </c>
      <c r="AR50" s="116">
        <f t="shared" si="15"/>
        <v>86.648765286437879</v>
      </c>
      <c r="AS50" s="116">
        <f t="shared" si="15"/>
        <v>78.072300625170655</v>
      </c>
      <c r="AT50" s="116">
        <f t="shared" si="15"/>
        <v>0</v>
      </c>
      <c r="AU50" s="116">
        <f t="shared" si="15"/>
        <v>156.14460125034131</v>
      </c>
      <c r="AV50" s="116">
        <f t="shared" si="15"/>
        <v>78.072300625170655</v>
      </c>
      <c r="AW50" s="116">
        <f t="shared" si="15"/>
        <v>91.632098153457576</v>
      </c>
      <c r="AX50" s="116">
        <f t="shared" si="15"/>
        <v>91.632098153457576</v>
      </c>
      <c r="AY50" s="116">
        <f t="shared" si="15"/>
        <v>91.632098153457576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111.94187636642475</v>
      </c>
      <c r="F51" s="116">
        <f t="shared" si="16"/>
        <v>111.94187636642475</v>
      </c>
      <c r="G51" s="116">
        <f t="shared" si="16"/>
        <v>111.94187636642475</v>
      </c>
      <c r="H51" s="116">
        <f t="shared" si="16"/>
        <v>111.94187636642475</v>
      </c>
      <c r="I51" s="116">
        <f t="shared" si="16"/>
        <v>78.694631152605226</v>
      </c>
      <c r="J51" s="116">
        <f t="shared" si="16"/>
        <v>78.694631152605226</v>
      </c>
      <c r="K51" s="116">
        <f t="shared" si="16"/>
        <v>78.694631152605226</v>
      </c>
      <c r="L51" s="116">
        <f t="shared" si="16"/>
        <v>78.694631152605226</v>
      </c>
      <c r="M51" s="116">
        <f t="shared" si="16"/>
        <v>56.853968494036842</v>
      </c>
      <c r="N51" s="116">
        <f t="shared" si="16"/>
        <v>56.853968494036842</v>
      </c>
      <c r="O51" s="116">
        <f t="shared" si="16"/>
        <v>56.853968494036842</v>
      </c>
      <c r="P51" s="116">
        <f t="shared" si="16"/>
        <v>56.853968494036842</v>
      </c>
      <c r="Q51" s="116">
        <f t="shared" si="16"/>
        <v>721.45325605675009</v>
      </c>
      <c r="R51" s="116">
        <f t="shared" si="16"/>
        <v>721.45325605675009</v>
      </c>
      <c r="S51" s="116">
        <f t="shared" si="16"/>
        <v>721.45325605675009</v>
      </c>
      <c r="T51" s="116">
        <f t="shared" si="16"/>
        <v>721.45325605675009</v>
      </c>
      <c r="U51" s="116">
        <f t="shared" si="16"/>
        <v>664.63180691704747</v>
      </c>
      <c r="V51" s="116">
        <f t="shared" si="16"/>
        <v>664.63180691704747</v>
      </c>
      <c r="W51" s="116">
        <f t="shared" si="16"/>
        <v>664.63180691704747</v>
      </c>
      <c r="X51" s="116">
        <f t="shared" si="16"/>
        <v>664.63180691704747</v>
      </c>
      <c r="Y51" s="116">
        <f t="shared" si="16"/>
        <v>543.40290761280824</v>
      </c>
      <c r="Z51" s="116">
        <f t="shared" si="16"/>
        <v>543.40290761280824</v>
      </c>
      <c r="AA51" s="116">
        <f t="shared" si="16"/>
        <v>543.40290761280824</v>
      </c>
      <c r="AB51" s="116">
        <f t="shared" si="16"/>
        <v>543.40290761280824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822.89103212193277</v>
      </c>
      <c r="AH51" s="116">
        <f t="shared" si="16"/>
        <v>822.89103212193277</v>
      </c>
      <c r="AI51" s="116">
        <f t="shared" si="16"/>
        <v>822.89103212193277</v>
      </c>
      <c r="AJ51" s="116">
        <f t="shared" si="16"/>
        <v>822.89103212193277</v>
      </c>
      <c r="AK51" s="116">
        <f t="shared" si="16"/>
        <v>717.68391518378792</v>
      </c>
      <c r="AL51" s="116">
        <f t="shared" si="16"/>
        <v>717.68391518378792</v>
      </c>
      <c r="AM51" s="116">
        <f t="shared" si="16"/>
        <v>717.68391518378792</v>
      </c>
      <c r="AN51" s="116">
        <f t="shared" si="16"/>
        <v>717.68391518378792</v>
      </c>
      <c r="AO51" s="116">
        <f t="shared" si="16"/>
        <v>410.52492103640861</v>
      </c>
      <c r="AP51" s="116">
        <f t="shared" si="16"/>
        <v>410.52492103640861</v>
      </c>
      <c r="AQ51" s="116">
        <f t="shared" si="16"/>
        <v>410.52492103640861</v>
      </c>
      <c r="AR51" s="116">
        <f t="shared" si="16"/>
        <v>410.52492103640861</v>
      </c>
      <c r="AS51" s="116">
        <f t="shared" si="16"/>
        <v>369.8913070870434</v>
      </c>
      <c r="AT51" s="116">
        <f t="shared" si="16"/>
        <v>0</v>
      </c>
      <c r="AU51" s="116">
        <f t="shared" si="16"/>
        <v>739.7826141740868</v>
      </c>
      <c r="AV51" s="116">
        <f t="shared" si="16"/>
        <v>369.8913070870434</v>
      </c>
      <c r="AW51" s="116">
        <f t="shared" si="16"/>
        <v>434.13497854811789</v>
      </c>
      <c r="AX51" s="116">
        <f t="shared" si="16"/>
        <v>434.13497854811789</v>
      </c>
      <c r="AY51" s="116">
        <f t="shared" si="16"/>
        <v>434.13497854811789</v>
      </c>
    </row>
    <row r="52" spans="1:52" x14ac:dyDescent="0.2">
      <c r="A52" s="116"/>
      <c r="B52" s="171" t="s">
        <v>348</v>
      </c>
      <c r="C52" s="116"/>
      <c r="D52" s="116">
        <v>2</v>
      </c>
      <c r="E52" s="116">
        <v>3</v>
      </c>
      <c r="F52" s="116">
        <v>2</v>
      </c>
      <c r="G52" s="116">
        <v>1</v>
      </c>
      <c r="H52" s="116">
        <v>1</v>
      </c>
      <c r="I52" s="116">
        <v>1</v>
      </c>
      <c r="J52" s="116">
        <v>1</v>
      </c>
      <c r="K52" s="116">
        <v>2</v>
      </c>
      <c r="L52" s="116">
        <v>1</v>
      </c>
      <c r="M52" s="116">
        <v>1</v>
      </c>
      <c r="N52" s="116">
        <v>1</v>
      </c>
      <c r="O52" s="116">
        <v>2</v>
      </c>
      <c r="P52" s="116">
        <v>3</v>
      </c>
      <c r="Q52" s="116">
        <v>1</v>
      </c>
      <c r="R52" s="116">
        <v>3</v>
      </c>
      <c r="S52" s="116">
        <v>2</v>
      </c>
      <c r="T52" s="116">
        <v>1</v>
      </c>
      <c r="U52" s="116">
        <v>1</v>
      </c>
      <c r="V52" s="116">
        <v>2</v>
      </c>
      <c r="W52" s="116">
        <v>1</v>
      </c>
      <c r="X52" s="116">
        <v>2</v>
      </c>
      <c r="Y52" s="116">
        <v>1</v>
      </c>
      <c r="Z52" s="116">
        <v>1</v>
      </c>
      <c r="AA52" s="116">
        <v>1</v>
      </c>
      <c r="AB52" s="116">
        <v>2</v>
      </c>
      <c r="AC52" s="116">
        <v>1</v>
      </c>
      <c r="AD52" s="116">
        <v>2</v>
      </c>
      <c r="AE52" s="116">
        <v>1</v>
      </c>
      <c r="AF52" s="116">
        <v>1</v>
      </c>
      <c r="AG52" s="116">
        <v>1</v>
      </c>
      <c r="AH52" s="116">
        <v>1</v>
      </c>
      <c r="AI52" s="116">
        <v>1</v>
      </c>
      <c r="AJ52" s="116">
        <v>1</v>
      </c>
      <c r="AK52" s="116">
        <v>1</v>
      </c>
      <c r="AL52" s="116">
        <v>2</v>
      </c>
      <c r="AM52" s="116">
        <v>1</v>
      </c>
      <c r="AN52" s="116">
        <v>1</v>
      </c>
      <c r="AO52" s="116">
        <v>2</v>
      </c>
      <c r="AP52" s="116">
        <v>1</v>
      </c>
      <c r="AQ52" s="116">
        <v>3</v>
      </c>
      <c r="AR52" s="116">
        <v>2</v>
      </c>
      <c r="AS52" s="116">
        <v>2</v>
      </c>
      <c r="AT52" s="116">
        <v>2</v>
      </c>
      <c r="AU52" s="116">
        <v>1</v>
      </c>
      <c r="AV52" s="116">
        <v>3</v>
      </c>
      <c r="AW52" s="116">
        <v>2</v>
      </c>
      <c r="AX52" s="116">
        <v>2</v>
      </c>
      <c r="AY52" s="116">
        <v>3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43619.405933389033</v>
      </c>
      <c r="F54" s="131">
        <v>43619.405933389033</v>
      </c>
      <c r="G54" s="131">
        <v>43619.405933389033</v>
      </c>
      <c r="H54" s="131">
        <v>43619.405933389033</v>
      </c>
      <c r="I54" s="131">
        <v>30664.244449393293</v>
      </c>
      <c r="J54" s="131">
        <v>30664.244449393293</v>
      </c>
      <c r="K54" s="131">
        <v>30664.244449393293</v>
      </c>
      <c r="L54" s="131">
        <v>30664.244449393293</v>
      </c>
      <c r="M54" s="131">
        <v>22153.78561770582</v>
      </c>
      <c r="N54" s="131">
        <v>22153.78561770582</v>
      </c>
      <c r="O54" s="131">
        <v>22153.78561770582</v>
      </c>
      <c r="P54" s="131">
        <v>22153.78561770582</v>
      </c>
      <c r="Q54" s="131">
        <v>281122.34187404957</v>
      </c>
      <c r="R54" s="131">
        <v>281122.34187404957</v>
      </c>
      <c r="S54" s="131">
        <v>281122.34187404957</v>
      </c>
      <c r="T54" s="131">
        <v>281122.34187404957</v>
      </c>
      <c r="U54" s="131">
        <v>258981.22778699372</v>
      </c>
      <c r="V54" s="131">
        <v>258981.22778699372</v>
      </c>
      <c r="W54" s="131">
        <v>258981.22778699372</v>
      </c>
      <c r="X54" s="131">
        <v>258981.22778699372</v>
      </c>
      <c r="Y54" s="131">
        <v>211743.0293464002</v>
      </c>
      <c r="Z54" s="131">
        <v>211743.0293464002</v>
      </c>
      <c r="AA54" s="131">
        <v>211743.0293464002</v>
      </c>
      <c r="AB54" s="131">
        <v>211743.0293464002</v>
      </c>
      <c r="AC54" s="131">
        <v>0</v>
      </c>
      <c r="AD54" s="131">
        <v>0</v>
      </c>
      <c r="AE54" s="131">
        <v>0</v>
      </c>
      <c r="AF54" s="131">
        <v>0</v>
      </c>
      <c r="AG54" s="131">
        <v>320648.70747367537</v>
      </c>
      <c r="AH54" s="131">
        <v>320648.70747367537</v>
      </c>
      <c r="AI54" s="131">
        <v>320648.70747367537</v>
      </c>
      <c r="AJ54" s="131">
        <v>320648.70747367537</v>
      </c>
      <c r="AK54" s="131">
        <v>279653.57598432247</v>
      </c>
      <c r="AL54" s="131">
        <v>279653.57598432247</v>
      </c>
      <c r="AM54" s="131">
        <v>279653.57598432247</v>
      </c>
      <c r="AN54" s="131">
        <v>279653.57598432247</v>
      </c>
      <c r="AO54" s="131">
        <v>159965.63357437585</v>
      </c>
      <c r="AP54" s="131">
        <v>159965.63357437585</v>
      </c>
      <c r="AQ54" s="131">
        <v>159965.63357437585</v>
      </c>
      <c r="AR54" s="131">
        <v>159965.63357437585</v>
      </c>
      <c r="AS54" s="131">
        <v>144132.29078140488</v>
      </c>
      <c r="AT54" s="131">
        <v>0</v>
      </c>
      <c r="AU54" s="131">
        <v>288264.58156280976</v>
      </c>
      <c r="AV54" s="131">
        <v>144132.29078140488</v>
      </c>
      <c r="AW54" s="131">
        <v>169165.55692873191</v>
      </c>
      <c r="AX54" s="131">
        <v>169165.55692873191</v>
      </c>
      <c r="AY54" s="131">
        <v>169165.55692873191</v>
      </c>
      <c r="AZ54" s="106">
        <f>SUM($D$54:$AY$54)</f>
        <v>7518233.6420730362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22</v>
      </c>
    </row>
    <row r="3" spans="1:53" x14ac:dyDescent="0.2">
      <c r="A3" s="106" t="s">
        <v>285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356.81649341141917</v>
      </c>
      <c r="E9" s="123">
        <v>356.81649341141917</v>
      </c>
      <c r="F9" s="123">
        <v>356.81649341141917</v>
      </c>
      <c r="G9" s="123">
        <v>356.81649341141917</v>
      </c>
      <c r="H9" s="123">
        <v>274.17868736183203</v>
      </c>
      <c r="I9" s="123">
        <v>274.17868736183203</v>
      </c>
      <c r="J9" s="123">
        <v>274.17868736183203</v>
      </c>
      <c r="K9" s="123">
        <v>274.17868736183203</v>
      </c>
      <c r="L9" s="123">
        <v>27.810563389134398</v>
      </c>
      <c r="M9" s="123">
        <v>27.810563389134398</v>
      </c>
      <c r="N9" s="123">
        <v>27.810563389134398</v>
      </c>
      <c r="O9" s="123">
        <v>27.810563389134398</v>
      </c>
      <c r="P9" s="123">
        <v>352.90450326203847</v>
      </c>
      <c r="Q9" s="123">
        <v>352.90450326203847</v>
      </c>
      <c r="R9" s="123">
        <v>352.90450326203847</v>
      </c>
      <c r="S9" s="123">
        <v>352.90450326203847</v>
      </c>
      <c r="T9" s="123">
        <v>325.10984696943655</v>
      </c>
      <c r="U9" s="123">
        <v>325.10984696943655</v>
      </c>
      <c r="V9" s="123">
        <v>325.10984696943655</v>
      </c>
      <c r="W9" s="123">
        <v>325.10984696943655</v>
      </c>
      <c r="X9" s="123">
        <v>265.80978264676475</v>
      </c>
      <c r="Y9" s="123">
        <v>265.80978264676475</v>
      </c>
      <c r="Z9" s="123">
        <v>265.80978264676475</v>
      </c>
      <c r="AA9" s="123">
        <v>265.80978264676475</v>
      </c>
      <c r="AB9" s="123">
        <v>291.699051</v>
      </c>
      <c r="AC9" s="123">
        <v>291.699051</v>
      </c>
      <c r="AD9" s="123">
        <v>291.699051</v>
      </c>
      <c r="AE9" s="123">
        <v>291.699051</v>
      </c>
      <c r="AF9" s="123">
        <v>402.52358485015083</v>
      </c>
      <c r="AG9" s="123">
        <v>402.52358485015083</v>
      </c>
      <c r="AH9" s="123">
        <v>402.52358485015083</v>
      </c>
      <c r="AI9" s="123">
        <v>402.52358485015083</v>
      </c>
      <c r="AJ9" s="123">
        <v>351.0607006910048</v>
      </c>
      <c r="AK9" s="123">
        <v>351.0607006910048</v>
      </c>
      <c r="AL9" s="123">
        <v>351.0607006910048</v>
      </c>
      <c r="AM9" s="123">
        <v>351.0607006910048</v>
      </c>
      <c r="AN9" s="123">
        <v>200.81147616810435</v>
      </c>
      <c r="AO9" s="123">
        <v>200.81147616810435</v>
      </c>
      <c r="AP9" s="123">
        <v>200.81147616810435</v>
      </c>
      <c r="AQ9" s="123">
        <v>200.81147616810435</v>
      </c>
      <c r="AR9" s="123">
        <v>180.93522607683826</v>
      </c>
      <c r="AS9" s="123">
        <v>180.93522607683826</v>
      </c>
      <c r="AT9" s="123">
        <v>180.93522607683826</v>
      </c>
      <c r="AU9" s="123">
        <v>180.93522607683826</v>
      </c>
      <c r="AV9" s="123">
        <v>212.36052047306552</v>
      </c>
      <c r="AW9" s="123">
        <v>212.36052047306552</v>
      </c>
      <c r="AX9" s="123">
        <v>212.36052047306552</v>
      </c>
      <c r="AY9" s="123">
        <v>212.36052047306552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9.6719064318944703</v>
      </c>
      <c r="G10" s="106">
        <v>0</v>
      </c>
      <c r="H10" s="106">
        <v>9.6719064318944703</v>
      </c>
      <c r="I10" s="106">
        <v>9.6719064318944703</v>
      </c>
      <c r="J10" s="106">
        <v>0</v>
      </c>
      <c r="K10" s="106">
        <v>0</v>
      </c>
      <c r="L10" s="106">
        <v>0</v>
      </c>
      <c r="M10" s="106">
        <v>6.7993063356291383</v>
      </c>
      <c r="N10" s="106">
        <v>0</v>
      </c>
      <c r="O10" s="106">
        <v>0</v>
      </c>
      <c r="P10" s="106">
        <v>4.9122480469795882</v>
      </c>
      <c r="Q10" s="106">
        <v>4.9122480469795882</v>
      </c>
      <c r="R10" s="106">
        <v>0</v>
      </c>
      <c r="S10" s="106">
        <v>0</v>
      </c>
      <c r="T10" s="106">
        <v>0</v>
      </c>
      <c r="U10" s="106">
        <v>0</v>
      </c>
      <c r="V10" s="106">
        <v>57.424949954570295</v>
      </c>
      <c r="W10" s="106">
        <v>57.424949954570295</v>
      </c>
      <c r="X10" s="106">
        <v>57.424949954570295</v>
      </c>
      <c r="Y10" s="106">
        <v>57.424949954570295</v>
      </c>
      <c r="Z10" s="106">
        <v>0</v>
      </c>
      <c r="AA10" s="106">
        <v>46.95063409556046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71.098728417559016</v>
      </c>
      <c r="AI10" s="106">
        <v>71.098728417559016</v>
      </c>
      <c r="AJ10" s="106">
        <v>71.098728417559016</v>
      </c>
      <c r="AK10" s="106">
        <v>0</v>
      </c>
      <c r="AL10" s="106">
        <v>0</v>
      </c>
      <c r="AM10" s="106">
        <v>62.008712920013579</v>
      </c>
      <c r="AN10" s="106">
        <v>0</v>
      </c>
      <c r="AO10" s="106">
        <v>0</v>
      </c>
      <c r="AP10" s="106">
        <v>35.469823743421891</v>
      </c>
      <c r="AQ10" s="106">
        <v>35.469823743421891</v>
      </c>
      <c r="AR10" s="106">
        <v>0</v>
      </c>
      <c r="AS10" s="106">
        <v>35.469823743421891</v>
      </c>
      <c r="AT10" s="106">
        <v>31.959032921749916</v>
      </c>
      <c r="AU10" s="106">
        <v>0</v>
      </c>
      <c r="AV10" s="106">
        <v>63.918065843499832</v>
      </c>
      <c r="AW10" s="106">
        <v>31.959032921749916</v>
      </c>
      <c r="AX10" s="106">
        <v>37.509759775558926</v>
      </c>
      <c r="AY10" s="106">
        <v>37.509759775558926</v>
      </c>
      <c r="AZ10" s="106">
        <v>37.509759775558926</v>
      </c>
    </row>
    <row r="11" spans="1:53" x14ac:dyDescent="0.2">
      <c r="B11" s="125">
        <v>2</v>
      </c>
      <c r="C11" s="112" t="s">
        <v>292</v>
      </c>
      <c r="F11" s="106">
        <v>0</v>
      </c>
      <c r="H11" s="106">
        <v>9.6719064318944703</v>
      </c>
      <c r="K11" s="106">
        <v>6.7993063356291383</v>
      </c>
      <c r="L11" s="106">
        <v>6.7993063356291383</v>
      </c>
      <c r="M11" s="106">
        <v>6.7993063356291383</v>
      </c>
      <c r="P11" s="106">
        <v>4.9122480469795882</v>
      </c>
      <c r="U11" s="106">
        <v>62.334388292059955</v>
      </c>
      <c r="AA11" s="106">
        <v>46.95063409556046</v>
      </c>
      <c r="AC11" s="106">
        <v>46.95063409556046</v>
      </c>
      <c r="AD11" s="106">
        <v>46.95063409556046</v>
      </c>
      <c r="AF11" s="106">
        <v>0</v>
      </c>
      <c r="AG11" s="106">
        <v>0</v>
      </c>
      <c r="AM11" s="106">
        <v>62.008712920013579</v>
      </c>
      <c r="AO11" s="106">
        <v>62.008712920013579</v>
      </c>
      <c r="AP11" s="106">
        <v>62.008712920013579</v>
      </c>
    </row>
    <row r="12" spans="1:53" x14ac:dyDescent="0.2">
      <c r="B12" s="126">
        <v>3</v>
      </c>
      <c r="C12" s="112" t="s">
        <v>292</v>
      </c>
      <c r="P12" s="106">
        <v>4.9122480469795882</v>
      </c>
      <c r="T12" s="106">
        <v>62.334388292059955</v>
      </c>
      <c r="U12" s="106">
        <v>62.334388292059955</v>
      </c>
      <c r="W12" s="106">
        <v>62.334388292059955</v>
      </c>
      <c r="AF12" s="106">
        <v>0</v>
      </c>
      <c r="AM12" s="106">
        <v>71.098728417559016</v>
      </c>
      <c r="AT12" s="106">
        <v>35.469823743421891</v>
      </c>
    </row>
    <row r="13" spans="1:53" x14ac:dyDescent="0.2">
      <c r="B13" s="126">
        <v>4</v>
      </c>
      <c r="C13" s="112" t="s">
        <v>292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4.7667986296634934</v>
      </c>
      <c r="H14" s="123">
        <f t="shared" si="0"/>
        <v>0</v>
      </c>
      <c r="I14" s="123">
        <f t="shared" si="0"/>
        <v>0</v>
      </c>
      <c r="J14" s="123">
        <f t="shared" si="0"/>
        <v>0</v>
      </c>
      <c r="K14" s="123">
        <f t="shared" si="0"/>
        <v>0</v>
      </c>
      <c r="L14" s="123">
        <f t="shared" si="0"/>
        <v>0</v>
      </c>
      <c r="M14" s="123">
        <f t="shared" si="0"/>
        <v>3.1760661212885899</v>
      </c>
      <c r="N14" s="123">
        <f t="shared" si="0"/>
        <v>6.3521322425771798</v>
      </c>
      <c r="O14" s="123">
        <f t="shared" si="0"/>
        <v>0</v>
      </c>
      <c r="P14" s="123">
        <f t="shared" si="0"/>
        <v>0</v>
      </c>
      <c r="Q14" s="123">
        <f t="shared" si="0"/>
        <v>3.5744869397157206</v>
      </c>
      <c r="R14" s="123">
        <f t="shared" si="0"/>
        <v>1.1914956465719073</v>
      </c>
      <c r="S14" s="123">
        <f t="shared" si="0"/>
        <v>0</v>
      </c>
      <c r="T14" s="123">
        <f t="shared" si="0"/>
        <v>0</v>
      </c>
      <c r="U14" s="123">
        <f t="shared" si="0"/>
        <v>5.0150267205938706</v>
      </c>
      <c r="V14" s="123">
        <f t="shared" si="0"/>
        <v>10.030053441187741</v>
      </c>
      <c r="W14" s="123">
        <f t="shared" si="0"/>
        <v>4.6200446710346421</v>
      </c>
      <c r="X14" s="123">
        <f t="shared" si="0"/>
        <v>9.6350713916285127</v>
      </c>
      <c r="Y14" s="123">
        <f t="shared" si="0"/>
        <v>0</v>
      </c>
      <c r="Z14" s="123">
        <f t="shared" si="0"/>
        <v>0</v>
      </c>
      <c r="AA14" s="123">
        <f t="shared" si="0"/>
        <v>0</v>
      </c>
      <c r="AB14" s="123">
        <f t="shared" si="0"/>
        <v>0</v>
      </c>
      <c r="AC14" s="123">
        <f t="shared" si="0"/>
        <v>0</v>
      </c>
      <c r="AD14" s="123">
        <f t="shared" si="0"/>
        <v>0</v>
      </c>
      <c r="AE14" s="123">
        <f t="shared" si="0"/>
        <v>0</v>
      </c>
      <c r="AF14" s="123">
        <f t="shared" si="0"/>
        <v>0</v>
      </c>
      <c r="AG14" s="123">
        <f t="shared" si="0"/>
        <v>0</v>
      </c>
      <c r="AH14" s="123">
        <f t="shared" si="0"/>
        <v>0</v>
      </c>
      <c r="AI14" s="123">
        <f t="shared" si="0"/>
        <v>0</v>
      </c>
      <c r="AJ14" s="123">
        <f t="shared" si="0"/>
        <v>0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0</v>
      </c>
      <c r="AP14" s="123">
        <f t="shared" si="0"/>
        <v>0</v>
      </c>
      <c r="AQ14" s="123">
        <f t="shared" si="0"/>
        <v>0</v>
      </c>
      <c r="AR14" s="123">
        <f t="shared" si="0"/>
        <v>0</v>
      </c>
      <c r="AS14" s="123">
        <f t="shared" si="0"/>
        <v>0</v>
      </c>
      <c r="AT14" s="123">
        <f t="shared" si="0"/>
        <v>12.888318840801269</v>
      </c>
      <c r="AU14" s="123">
        <f t="shared" si="0"/>
        <v>24.500956363861043</v>
      </c>
      <c r="AV14" s="123">
        <f t="shared" si="0"/>
        <v>0</v>
      </c>
      <c r="AW14" s="123">
        <f t="shared" si="0"/>
        <v>25.160714546368624</v>
      </c>
      <c r="AX14" s="123">
        <f t="shared" si="0"/>
        <v>12.580357273184312</v>
      </c>
      <c r="AY14" s="123">
        <f t="shared" si="0"/>
        <v>14.765346009162371</v>
      </c>
      <c r="AZ14" s="116">
        <f t="shared" si="0"/>
        <v>14.765346009162371</v>
      </c>
      <c r="BA14" s="113">
        <f>SUM($E14:$AZ14)</f>
        <v>153.02221484680166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19.730457606569779</v>
      </c>
      <c r="G15" s="130">
        <v>0</v>
      </c>
      <c r="H15" s="130">
        <v>19.730457606569779</v>
      </c>
      <c r="I15" s="130">
        <v>19.730457606569779</v>
      </c>
      <c r="J15" s="130">
        <v>0</v>
      </c>
      <c r="K15" s="130">
        <v>0</v>
      </c>
      <c r="L15" s="130">
        <v>0</v>
      </c>
      <c r="M15" s="130">
        <v>13.870422171043987</v>
      </c>
      <c r="N15" s="130">
        <v>0</v>
      </c>
      <c r="O15" s="130">
        <v>0</v>
      </c>
      <c r="P15" s="130">
        <v>10.020868432336737</v>
      </c>
      <c r="Q15" s="130">
        <v>10.020868432336737</v>
      </c>
      <c r="R15" s="130">
        <v>0</v>
      </c>
      <c r="S15" s="130">
        <v>0</v>
      </c>
      <c r="T15" s="130">
        <v>0</v>
      </c>
      <c r="U15" s="130">
        <v>0</v>
      </c>
      <c r="V15" s="130">
        <v>117.14552333775127</v>
      </c>
      <c r="W15" s="130">
        <v>117.14552333775127</v>
      </c>
      <c r="X15" s="130">
        <v>117.14552333775127</v>
      </c>
      <c r="Y15" s="130">
        <v>117.14552333775127</v>
      </c>
      <c r="Z15" s="130">
        <v>0</v>
      </c>
      <c r="AA15" s="130">
        <v>95.778169706980577</v>
      </c>
      <c r="AB15" s="130">
        <v>0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145.0397040957408</v>
      </c>
      <c r="AI15" s="130">
        <v>145.0397040957408</v>
      </c>
      <c r="AJ15" s="130">
        <v>145.0397040957408</v>
      </c>
      <c r="AK15" s="130">
        <v>0</v>
      </c>
      <c r="AL15" s="130">
        <v>0</v>
      </c>
      <c r="AM15" s="130">
        <v>126.49629006663579</v>
      </c>
      <c r="AN15" s="130">
        <v>0</v>
      </c>
      <c r="AO15" s="130">
        <v>0</v>
      </c>
      <c r="AP15" s="130">
        <v>72.357591402485113</v>
      </c>
      <c r="AQ15" s="130">
        <v>72.357591402485113</v>
      </c>
      <c r="AR15" s="130">
        <v>0</v>
      </c>
      <c r="AS15" s="130">
        <v>72.357591402485113</v>
      </c>
      <c r="AT15" s="130">
        <v>65.195662163373868</v>
      </c>
      <c r="AU15" s="130">
        <v>0</v>
      </c>
      <c r="AV15" s="130">
        <v>130.39132432674774</v>
      </c>
      <c r="AW15" s="130">
        <v>65.195662163373868</v>
      </c>
      <c r="AX15" s="130">
        <v>76.519012078502769</v>
      </c>
      <c r="AY15" s="130">
        <v>76.519012078502769</v>
      </c>
      <c r="AZ15" s="106">
        <v>76.519012078502769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/>
      <c r="H16" s="116">
        <v>19.730457606569779</v>
      </c>
      <c r="I16" s="116"/>
      <c r="J16" s="116"/>
      <c r="K16" s="116">
        <v>13.870422171043987</v>
      </c>
      <c r="L16" s="116">
        <v>13.870422171043987</v>
      </c>
      <c r="M16" s="116">
        <v>13.870422171043987</v>
      </c>
      <c r="N16" s="116"/>
      <c r="O16" s="116"/>
      <c r="P16" s="116">
        <v>10.020868432336737</v>
      </c>
      <c r="Q16" s="116"/>
      <c r="R16" s="116"/>
      <c r="S16" s="116"/>
      <c r="T16" s="116"/>
      <c r="U16" s="116">
        <v>127.16066002998402</v>
      </c>
      <c r="V16" s="116"/>
      <c r="W16" s="116"/>
      <c r="X16" s="116"/>
      <c r="Y16" s="116"/>
      <c r="Z16" s="116"/>
      <c r="AA16" s="116">
        <v>95.778169706980577</v>
      </c>
      <c r="AB16" s="116"/>
      <c r="AC16" s="116">
        <v>95.778169706980577</v>
      </c>
      <c r="AD16" s="116">
        <v>95.778169706980577</v>
      </c>
      <c r="AE16" s="116"/>
      <c r="AF16" s="116">
        <v>0</v>
      </c>
      <c r="AG16" s="116">
        <v>0</v>
      </c>
      <c r="AH16" s="116"/>
      <c r="AI16" s="116"/>
      <c r="AJ16" s="116"/>
      <c r="AK16" s="116"/>
      <c r="AL16" s="116"/>
      <c r="AM16" s="116">
        <v>126.49629006663579</v>
      </c>
      <c r="AN16" s="116"/>
      <c r="AO16" s="116">
        <v>126.49629006663579</v>
      </c>
      <c r="AP16" s="116">
        <v>126.49629006663579</v>
      </c>
      <c r="AQ16" s="116"/>
      <c r="AR16" s="116"/>
      <c r="AS16" s="116"/>
      <c r="AT16" s="116"/>
      <c r="AU16" s="116"/>
      <c r="AV16" s="116"/>
      <c r="AW16" s="116"/>
      <c r="AX16" s="116"/>
      <c r="AY16" s="116"/>
    </row>
    <row r="17" spans="1:51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>
        <v>10.020868432336737</v>
      </c>
      <c r="Q17" s="116"/>
      <c r="R17" s="116"/>
      <c r="S17" s="116"/>
      <c r="T17" s="116">
        <v>127.16066002998402</v>
      </c>
      <c r="U17" s="116">
        <v>127.16066002998402</v>
      </c>
      <c r="V17" s="116"/>
      <c r="W17" s="116">
        <v>127.16066002998402</v>
      </c>
      <c r="X17" s="116"/>
      <c r="Y17" s="116"/>
      <c r="Z17" s="116"/>
      <c r="AA17" s="116"/>
      <c r="AB17" s="116"/>
      <c r="AC17" s="116"/>
      <c r="AD17" s="116"/>
      <c r="AE17" s="116"/>
      <c r="AF17" s="116">
        <v>0</v>
      </c>
      <c r="AG17" s="116"/>
      <c r="AH17" s="116"/>
      <c r="AI17" s="116"/>
      <c r="AJ17" s="116"/>
      <c r="AK17" s="116"/>
      <c r="AL17" s="116"/>
      <c r="AM17" s="116">
        <v>145.0397040957408</v>
      </c>
      <c r="AN17" s="116"/>
      <c r="AO17" s="116"/>
      <c r="AP17" s="116"/>
      <c r="AQ17" s="116"/>
      <c r="AR17" s="116"/>
      <c r="AS17" s="116"/>
      <c r="AT17" s="116">
        <v>72.357591402485113</v>
      </c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293</v>
      </c>
    </row>
    <row r="21" spans="1:51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356.81649341141917</v>
      </c>
      <c r="E95" s="116">
        <v>356.81649341141917</v>
      </c>
      <c r="F95" s="116">
        <v>356.81649341141917</v>
      </c>
      <c r="G95" s="116">
        <v>356.81649341141917</v>
      </c>
      <c r="H95" s="116">
        <v>274.17868736183203</v>
      </c>
      <c r="I95" s="116">
        <v>274.17868736183203</v>
      </c>
      <c r="J95" s="116">
        <v>274.17868736183203</v>
      </c>
      <c r="K95" s="116">
        <v>274.17868736183203</v>
      </c>
      <c r="L95" s="116">
        <v>27.810563389134398</v>
      </c>
      <c r="M95" s="116">
        <v>27.810563389134398</v>
      </c>
      <c r="N95" s="116">
        <v>27.810563389134398</v>
      </c>
      <c r="O95" s="116">
        <v>27.810563389134398</v>
      </c>
      <c r="P95" s="116">
        <v>352.90450326203847</v>
      </c>
      <c r="Q95" s="116">
        <v>352.90450326203847</v>
      </c>
      <c r="R95" s="116">
        <v>352.90450326203847</v>
      </c>
      <c r="S95" s="116">
        <v>352.90450326203847</v>
      </c>
      <c r="T95" s="116">
        <v>325.10984696943655</v>
      </c>
      <c r="U95" s="116">
        <v>325.10984696943655</v>
      </c>
      <c r="V95" s="116">
        <v>325.10984696943655</v>
      </c>
      <c r="W95" s="116">
        <v>325.10984696943655</v>
      </c>
      <c r="X95" s="116">
        <v>265.80978264676475</v>
      </c>
      <c r="Y95" s="116">
        <v>265.80978264676475</v>
      </c>
      <c r="Z95" s="116">
        <v>265.80978264676475</v>
      </c>
      <c r="AA95" s="116">
        <v>265.80978264676475</v>
      </c>
      <c r="AB95" s="116">
        <v>291.699051</v>
      </c>
      <c r="AC95" s="116">
        <v>291.699051</v>
      </c>
      <c r="AD95" s="116">
        <v>291.699051</v>
      </c>
      <c r="AE95" s="116">
        <v>291.699051</v>
      </c>
      <c r="AF95" s="116">
        <v>402.52358485015083</v>
      </c>
      <c r="AG95" s="116">
        <v>402.52358485015083</v>
      </c>
      <c r="AH95" s="116">
        <v>402.52358485015083</v>
      </c>
      <c r="AI95" s="116">
        <v>402.52358485015083</v>
      </c>
      <c r="AJ95" s="116">
        <v>351.0607006910048</v>
      </c>
      <c r="AK95" s="116">
        <v>351.0607006910048</v>
      </c>
      <c r="AL95" s="116">
        <v>351.0607006910048</v>
      </c>
      <c r="AM95" s="116">
        <v>351.0607006910048</v>
      </c>
      <c r="AN95" s="116">
        <v>200.81147616810435</v>
      </c>
      <c r="AO95" s="116">
        <v>200.81147616810435</v>
      </c>
      <c r="AP95" s="116">
        <v>200.81147616810435</v>
      </c>
      <c r="AQ95" s="116">
        <v>200.81147616810435</v>
      </c>
      <c r="AR95" s="116">
        <v>180.93522607683826</v>
      </c>
      <c r="AS95" s="116">
        <v>180.93522607683826</v>
      </c>
      <c r="AT95" s="116">
        <v>180.93522607683826</v>
      </c>
      <c r="AU95" s="116">
        <v>180.93522607683826</v>
      </c>
      <c r="AV95" s="116">
        <v>212.36052047306552</v>
      </c>
      <c r="AW95" s="116">
        <v>212.36052047306552</v>
      </c>
      <c r="AX95" s="116">
        <v>212.36052047306552</v>
      </c>
      <c r="AY95" s="116">
        <v>212.36052047306552</v>
      </c>
    </row>
    <row r="96" spans="1:52" x14ac:dyDescent="0.2">
      <c r="A96" s="115"/>
      <c r="B96" s="126">
        <v>2</v>
      </c>
      <c r="C96" s="116"/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9.6719064318944703</v>
      </c>
      <c r="G100" s="112">
        <v>0</v>
      </c>
      <c r="H100" s="112">
        <v>9.6719064318944703</v>
      </c>
      <c r="I100" s="112">
        <v>9.6719064318944703</v>
      </c>
      <c r="J100" s="112">
        <v>0</v>
      </c>
      <c r="K100" s="112">
        <v>0</v>
      </c>
      <c r="L100" s="112">
        <v>0</v>
      </c>
      <c r="M100" s="112">
        <v>6.7993063356291383</v>
      </c>
      <c r="N100" s="112">
        <v>0</v>
      </c>
      <c r="O100" s="112">
        <v>0</v>
      </c>
      <c r="P100" s="112">
        <v>4.9122480469795882</v>
      </c>
      <c r="Q100" s="112">
        <v>4.9122480469795882</v>
      </c>
      <c r="R100" s="112">
        <v>0</v>
      </c>
      <c r="S100" s="112">
        <v>0</v>
      </c>
      <c r="T100" s="112">
        <v>0</v>
      </c>
      <c r="U100" s="112">
        <v>0</v>
      </c>
      <c r="V100" s="112">
        <v>57.424949954570295</v>
      </c>
      <c r="W100" s="112">
        <v>57.424949954570295</v>
      </c>
      <c r="X100" s="112">
        <v>57.424949954570295</v>
      </c>
      <c r="Y100" s="112">
        <v>57.424949954570295</v>
      </c>
      <c r="Z100" s="112">
        <v>0</v>
      </c>
      <c r="AA100" s="112">
        <v>46.95063409556046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71.098728417559016</v>
      </c>
      <c r="AI100" s="112">
        <v>71.098728417559016</v>
      </c>
      <c r="AJ100" s="112">
        <v>71.098728417559016</v>
      </c>
      <c r="AK100" s="112">
        <v>0</v>
      </c>
      <c r="AL100" s="112">
        <v>0</v>
      </c>
      <c r="AM100" s="112">
        <v>62.008712920013579</v>
      </c>
      <c r="AN100" s="112">
        <v>0</v>
      </c>
      <c r="AO100" s="112">
        <v>0</v>
      </c>
      <c r="AP100" s="112">
        <v>35.469823743421891</v>
      </c>
      <c r="AQ100" s="112">
        <v>35.469823743421891</v>
      </c>
      <c r="AR100" s="112">
        <v>0</v>
      </c>
      <c r="AS100" s="112">
        <v>35.469823743421891</v>
      </c>
      <c r="AT100" s="112">
        <v>31.959032921749916</v>
      </c>
      <c r="AU100" s="112">
        <v>0</v>
      </c>
      <c r="AV100" s="112">
        <v>63.918065843499832</v>
      </c>
      <c r="AW100" s="112">
        <v>31.959032921749916</v>
      </c>
      <c r="AX100" s="112">
        <v>37.509759775558926</v>
      </c>
      <c r="AY100" s="112">
        <v>37.509759775558926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9.6719064318944703</v>
      </c>
      <c r="I101" s="112">
        <v>0</v>
      </c>
      <c r="J101" s="112">
        <v>0</v>
      </c>
      <c r="K101" s="112">
        <v>6.7993063356291383</v>
      </c>
      <c r="L101" s="112">
        <v>6.7993063356291383</v>
      </c>
      <c r="M101" s="112">
        <v>6.7993063356291383</v>
      </c>
      <c r="N101" s="112">
        <v>0</v>
      </c>
      <c r="O101" s="112">
        <v>0</v>
      </c>
      <c r="P101" s="112">
        <v>4.9122480469795882</v>
      </c>
      <c r="Q101" s="112">
        <v>0</v>
      </c>
      <c r="R101" s="112">
        <v>0</v>
      </c>
      <c r="S101" s="112">
        <v>0</v>
      </c>
      <c r="T101" s="112">
        <v>0</v>
      </c>
      <c r="U101" s="112">
        <v>62.334388292059955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46.95063409556046</v>
      </c>
      <c r="AB101" s="112">
        <v>0</v>
      </c>
      <c r="AC101" s="112">
        <v>46.95063409556046</v>
      </c>
      <c r="AD101" s="112">
        <v>46.95063409556046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62.008712920013579</v>
      </c>
      <c r="AN101" s="112">
        <v>0</v>
      </c>
      <c r="AO101" s="112">
        <v>62.008712920013579</v>
      </c>
      <c r="AP101" s="112">
        <v>62.008712920013579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4.9122480469795882</v>
      </c>
      <c r="Q102" s="112">
        <v>0</v>
      </c>
      <c r="R102" s="112">
        <v>0</v>
      </c>
      <c r="S102" s="112">
        <v>0</v>
      </c>
      <c r="T102" s="112">
        <v>62.334388292059955</v>
      </c>
      <c r="U102" s="112">
        <v>62.334388292059955</v>
      </c>
      <c r="V102" s="112">
        <v>0</v>
      </c>
      <c r="W102" s="112">
        <v>62.334388292059955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71.098728417559016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35.469823743421891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4.7667986296634934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3.1760661212885899</v>
      </c>
      <c r="N109" s="112">
        <v>6.3521322425771798</v>
      </c>
      <c r="O109" s="112">
        <v>0</v>
      </c>
      <c r="P109" s="112">
        <v>0</v>
      </c>
      <c r="Q109" s="112">
        <v>3.5744869397157206</v>
      </c>
      <c r="R109" s="112">
        <v>1.1914956465719073</v>
      </c>
      <c r="S109" s="112">
        <v>0</v>
      </c>
      <c r="T109" s="112">
        <v>0</v>
      </c>
      <c r="U109" s="112">
        <v>5.0150267205938706</v>
      </c>
      <c r="V109" s="112">
        <v>10.030053441187741</v>
      </c>
      <c r="W109" s="112">
        <v>4.6200446710346421</v>
      </c>
      <c r="X109" s="112">
        <v>9.6350713916285127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12.888318840801269</v>
      </c>
      <c r="AU109" s="112">
        <v>24.500956363861043</v>
      </c>
      <c r="AV109" s="112">
        <v>0</v>
      </c>
      <c r="AW109" s="112">
        <v>25.160714546368624</v>
      </c>
      <c r="AX109" s="112">
        <v>12.580357273184312</v>
      </c>
      <c r="AY109" s="112">
        <v>14.765346009162371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19.730457606569779</v>
      </c>
      <c r="G122" s="112">
        <v>0</v>
      </c>
      <c r="H122" s="112">
        <v>19.730457606569779</v>
      </c>
      <c r="I122" s="112">
        <v>19.730457606569779</v>
      </c>
      <c r="J122" s="112">
        <v>0</v>
      </c>
      <c r="K122" s="112">
        <v>0</v>
      </c>
      <c r="L122" s="112">
        <v>0</v>
      </c>
      <c r="M122" s="112">
        <v>13.870422171043987</v>
      </c>
      <c r="N122" s="112">
        <v>0</v>
      </c>
      <c r="O122" s="112">
        <v>0</v>
      </c>
      <c r="P122" s="112">
        <v>10.020868432336737</v>
      </c>
      <c r="Q122" s="112">
        <v>10.020868432336737</v>
      </c>
      <c r="R122" s="112">
        <v>0</v>
      </c>
      <c r="S122" s="112">
        <v>0</v>
      </c>
      <c r="T122" s="112">
        <v>0</v>
      </c>
      <c r="U122" s="112">
        <v>0</v>
      </c>
      <c r="V122" s="112">
        <v>117.14552333775127</v>
      </c>
      <c r="W122" s="112">
        <v>117.14552333775127</v>
      </c>
      <c r="X122" s="112">
        <v>117.14552333775127</v>
      </c>
      <c r="Y122" s="112">
        <v>117.14552333775127</v>
      </c>
      <c r="Z122" s="112">
        <v>0</v>
      </c>
      <c r="AA122" s="112">
        <v>95.778169706980577</v>
      </c>
      <c r="AB122" s="112">
        <v>0</v>
      </c>
      <c r="AC122" s="112">
        <v>0</v>
      </c>
      <c r="AD122" s="112">
        <v>0</v>
      </c>
      <c r="AE122" s="112">
        <v>0</v>
      </c>
      <c r="AF122" s="112">
        <v>0</v>
      </c>
      <c r="AG122" s="112">
        <v>0</v>
      </c>
      <c r="AH122" s="112">
        <v>145.0397040957408</v>
      </c>
      <c r="AI122" s="112">
        <v>145.0397040957408</v>
      </c>
      <c r="AJ122" s="112">
        <v>145.0397040957408</v>
      </c>
      <c r="AK122" s="112">
        <v>0</v>
      </c>
      <c r="AL122" s="112">
        <v>0</v>
      </c>
      <c r="AM122" s="112">
        <v>126.49629006663579</v>
      </c>
      <c r="AN122" s="112">
        <v>0</v>
      </c>
      <c r="AO122" s="112">
        <v>0</v>
      </c>
      <c r="AP122" s="112">
        <v>72.357591402485113</v>
      </c>
      <c r="AQ122" s="112">
        <v>72.357591402485113</v>
      </c>
      <c r="AR122" s="112">
        <v>0</v>
      </c>
      <c r="AS122" s="112">
        <v>72.357591402485113</v>
      </c>
      <c r="AT122" s="112">
        <v>65.195662163373868</v>
      </c>
      <c r="AU122" s="112">
        <v>0</v>
      </c>
      <c r="AV122" s="112">
        <v>130.39132432674774</v>
      </c>
      <c r="AW122" s="112">
        <v>65.195662163373868</v>
      </c>
      <c r="AX122" s="112">
        <v>76.519012078502769</v>
      </c>
      <c r="AY122" s="112">
        <v>76.519012078502769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19.730457606569779</v>
      </c>
      <c r="I123" s="112">
        <v>0</v>
      </c>
      <c r="J123" s="112">
        <v>0</v>
      </c>
      <c r="K123" s="112">
        <v>13.870422171043987</v>
      </c>
      <c r="L123" s="112">
        <v>13.870422171043987</v>
      </c>
      <c r="M123" s="112">
        <v>13.870422171043987</v>
      </c>
      <c r="N123" s="112">
        <v>0</v>
      </c>
      <c r="O123" s="112">
        <v>0</v>
      </c>
      <c r="P123" s="112">
        <v>10.020868432336737</v>
      </c>
      <c r="Q123" s="112">
        <v>3.5527136788005009E-15</v>
      </c>
      <c r="R123" s="112">
        <v>0</v>
      </c>
      <c r="S123" s="112">
        <v>0</v>
      </c>
      <c r="T123" s="112">
        <v>0</v>
      </c>
      <c r="U123" s="112">
        <v>127.16066002998402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95.778169706980577</v>
      </c>
      <c r="AB123" s="112">
        <v>0</v>
      </c>
      <c r="AC123" s="112">
        <v>95.778169706980577</v>
      </c>
      <c r="AD123" s="112">
        <v>95.778169706980577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126.49629006663579</v>
      </c>
      <c r="AN123" s="112">
        <v>2.8421709430404007E-14</v>
      </c>
      <c r="AO123" s="112">
        <v>126.49629006663579</v>
      </c>
      <c r="AP123" s="112">
        <v>126.49629006663579</v>
      </c>
      <c r="AQ123" s="112">
        <v>1.4210854715202004E-14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10.020868432336737</v>
      </c>
      <c r="Q124" s="112">
        <v>0</v>
      </c>
      <c r="R124" s="112">
        <v>0</v>
      </c>
      <c r="S124" s="112">
        <v>0</v>
      </c>
      <c r="T124" s="112">
        <v>127.16066002998402</v>
      </c>
      <c r="U124" s="112">
        <v>127.16066002998402</v>
      </c>
      <c r="V124" s="112">
        <v>0</v>
      </c>
      <c r="W124" s="112">
        <v>127.16066002998402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145.0397040957408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72.357591402485113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0.24159594899999998</v>
      </c>
      <c r="E172" s="140">
        <v>0.24159594899999998</v>
      </c>
      <c r="F172" s="140">
        <v>0.24159594899999998</v>
      </c>
      <c r="G172" s="140">
        <v>0.24159594899999998</v>
      </c>
      <c r="H172" s="140">
        <v>0</v>
      </c>
      <c r="I172" s="140">
        <v>0</v>
      </c>
      <c r="J172" s="140">
        <v>0</v>
      </c>
      <c r="K172" s="140">
        <v>0</v>
      </c>
      <c r="L172" s="140">
        <v>0.22898121499999999</v>
      </c>
      <c r="M172" s="140">
        <v>0.22898121499999999</v>
      </c>
      <c r="N172" s="140">
        <v>0.22898121499999999</v>
      </c>
      <c r="O172" s="140">
        <v>0.22898121499999999</v>
      </c>
      <c r="P172" s="140">
        <v>0.118901436</v>
      </c>
      <c r="Q172" s="140">
        <v>0.118901436</v>
      </c>
      <c r="R172" s="140">
        <v>0.118901436</v>
      </c>
      <c r="S172" s="140">
        <v>0.118901436</v>
      </c>
      <c r="T172" s="140">
        <v>3.9438508099999998E-2</v>
      </c>
      <c r="U172" s="140">
        <v>3.9438508099999998E-2</v>
      </c>
      <c r="V172" s="140">
        <v>3.9438508099999998E-2</v>
      </c>
      <c r="W172" s="140">
        <v>3.9438508099999998E-2</v>
      </c>
      <c r="X172" s="140">
        <v>0</v>
      </c>
      <c r="Y172" s="140">
        <v>0</v>
      </c>
      <c r="Z172" s="140">
        <v>0</v>
      </c>
      <c r="AA172" s="140">
        <v>0</v>
      </c>
      <c r="AB172" s="140">
        <v>0</v>
      </c>
      <c r="AC172" s="140">
        <v>0</v>
      </c>
      <c r="AD172" s="140">
        <v>0</v>
      </c>
      <c r="AE172" s="140">
        <v>0</v>
      </c>
      <c r="AF172" s="140">
        <v>0</v>
      </c>
      <c r="AG172" s="140">
        <v>0</v>
      </c>
      <c r="AH172" s="140">
        <v>0</v>
      </c>
      <c r="AI172" s="140">
        <v>0</v>
      </c>
      <c r="AJ172" s="140">
        <v>0</v>
      </c>
      <c r="AK172" s="140">
        <v>0</v>
      </c>
      <c r="AL172" s="140">
        <v>0</v>
      </c>
      <c r="AM172" s="140">
        <v>0</v>
      </c>
      <c r="AN172" s="140">
        <v>0</v>
      </c>
      <c r="AO172" s="140">
        <v>0</v>
      </c>
      <c r="AP172" s="140">
        <v>0</v>
      </c>
      <c r="AQ172" s="140">
        <v>0</v>
      </c>
      <c r="AR172" s="140">
        <v>0.17811978799999997</v>
      </c>
      <c r="AS172" s="140">
        <v>0.17811978799999997</v>
      </c>
      <c r="AT172" s="140">
        <v>0.17811978799999997</v>
      </c>
      <c r="AU172" s="140">
        <v>0.17811978799999997</v>
      </c>
      <c r="AV172" s="140">
        <v>0.19296310299999997</v>
      </c>
      <c r="AW172" s="140">
        <v>0.19296310299999997</v>
      </c>
      <c r="AX172" s="140">
        <v>0.19296310299999997</v>
      </c>
      <c r="AY172" s="140">
        <v>0.19296310299999997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356.81649341141917</v>
      </c>
      <c r="E175" s="130">
        <f t="shared" si="1"/>
        <v>356.81649341141917</v>
      </c>
      <c r="F175" s="130">
        <f t="shared" si="1"/>
        <v>356.81649341141917</v>
      </c>
      <c r="G175" s="130">
        <f t="shared" si="1"/>
        <v>356.81649341141917</v>
      </c>
      <c r="H175" s="130">
        <f t="shared" si="1"/>
        <v>274.17868736183203</v>
      </c>
      <c r="I175" s="130">
        <f t="shared" si="1"/>
        <v>274.17868736183203</v>
      </c>
      <c r="J175" s="130">
        <f t="shared" si="1"/>
        <v>274.17868736183203</v>
      </c>
      <c r="K175" s="130">
        <f t="shared" si="1"/>
        <v>274.17868736183203</v>
      </c>
      <c r="L175" s="130">
        <f t="shared" si="1"/>
        <v>27.810563389134398</v>
      </c>
      <c r="M175" s="130">
        <f t="shared" si="1"/>
        <v>27.810563389134398</v>
      </c>
      <c r="N175" s="130">
        <f t="shared" si="1"/>
        <v>27.810563389134398</v>
      </c>
      <c r="O175" s="130">
        <f t="shared" si="1"/>
        <v>27.810563389134398</v>
      </c>
      <c r="P175" s="130">
        <f t="shared" si="1"/>
        <v>352.90450326203847</v>
      </c>
      <c r="Q175" s="130">
        <f t="shared" si="1"/>
        <v>352.90450326203847</v>
      </c>
      <c r="R175" s="130">
        <f t="shared" si="1"/>
        <v>352.90450326203847</v>
      </c>
      <c r="S175" s="130">
        <f t="shared" si="1"/>
        <v>352.90450326203847</v>
      </c>
      <c r="T175" s="130">
        <f t="shared" si="1"/>
        <v>325.10984696943655</v>
      </c>
      <c r="U175" s="130">
        <f t="shared" si="1"/>
        <v>325.10984696943655</v>
      </c>
      <c r="V175" s="130">
        <f t="shared" si="1"/>
        <v>325.10984696943655</v>
      </c>
      <c r="W175" s="130">
        <f t="shared" si="1"/>
        <v>325.10984696943655</v>
      </c>
      <c r="X175" s="130">
        <f t="shared" si="1"/>
        <v>265.80978264676475</v>
      </c>
      <c r="Y175" s="130">
        <f t="shared" si="1"/>
        <v>265.80978264676475</v>
      </c>
      <c r="Z175" s="130">
        <f t="shared" si="1"/>
        <v>265.80978264676475</v>
      </c>
      <c r="AA175" s="130">
        <f t="shared" si="1"/>
        <v>265.80978264676475</v>
      </c>
      <c r="AB175" s="130">
        <f t="shared" si="1"/>
        <v>291.699051</v>
      </c>
      <c r="AC175" s="130">
        <f t="shared" si="1"/>
        <v>291.699051</v>
      </c>
      <c r="AD175" s="130">
        <f t="shared" si="1"/>
        <v>291.699051</v>
      </c>
      <c r="AE175" s="130">
        <f t="shared" si="1"/>
        <v>291.699051</v>
      </c>
      <c r="AF175" s="130">
        <f t="shared" si="1"/>
        <v>402.52358485015083</v>
      </c>
      <c r="AG175" s="130">
        <f t="shared" si="1"/>
        <v>402.52358485015083</v>
      </c>
      <c r="AH175" s="130">
        <f t="shared" si="1"/>
        <v>402.52358485015083</v>
      </c>
      <c r="AI175" s="130">
        <f t="shared" si="1"/>
        <v>402.52358485015083</v>
      </c>
      <c r="AJ175" s="130">
        <f t="shared" si="1"/>
        <v>351.0607006910048</v>
      </c>
      <c r="AK175" s="130">
        <f t="shared" si="1"/>
        <v>351.0607006910048</v>
      </c>
      <c r="AL175" s="130">
        <f t="shared" si="1"/>
        <v>351.0607006910048</v>
      </c>
      <c r="AM175" s="130">
        <f t="shared" si="1"/>
        <v>351.0607006910048</v>
      </c>
      <c r="AN175" s="130">
        <f t="shared" si="1"/>
        <v>200.81147616810435</v>
      </c>
      <c r="AO175" s="130">
        <f t="shared" si="1"/>
        <v>200.81147616810435</v>
      </c>
      <c r="AP175" s="130">
        <f t="shared" si="1"/>
        <v>200.81147616810435</v>
      </c>
      <c r="AQ175" s="130">
        <f t="shared" si="1"/>
        <v>200.81147616810435</v>
      </c>
      <c r="AR175" s="130">
        <f t="shared" si="1"/>
        <v>180.93522607683826</v>
      </c>
      <c r="AS175" s="130">
        <f t="shared" si="1"/>
        <v>180.93522607683826</v>
      </c>
      <c r="AT175" s="130">
        <f t="shared" si="1"/>
        <v>180.93522607683826</v>
      </c>
      <c r="AU175" s="130">
        <f t="shared" si="1"/>
        <v>180.93522607683826</v>
      </c>
      <c r="AV175" s="130">
        <f t="shared" si="1"/>
        <v>212.36052047306552</v>
      </c>
      <c r="AW175" s="130">
        <f t="shared" si="1"/>
        <v>212.36052047306552</v>
      </c>
      <c r="AX175" s="130">
        <f t="shared" si="1"/>
        <v>212.36052047306552</v>
      </c>
      <c r="AY175" s="130">
        <f t="shared" si="1"/>
        <v>212.36052047306552</v>
      </c>
    </row>
    <row r="176" spans="1:52" x14ac:dyDescent="0.2">
      <c r="A176" s="131"/>
      <c r="B176" s="142" t="s">
        <v>298</v>
      </c>
      <c r="C176" s="131" t="s">
        <v>292</v>
      </c>
      <c r="D176" s="131">
        <v>356.81649341141917</v>
      </c>
      <c r="E176" s="131">
        <v>356.81649341141917</v>
      </c>
      <c r="F176" s="131">
        <v>356.81649341141917</v>
      </c>
      <c r="G176" s="131">
        <v>356.81649341141917</v>
      </c>
      <c r="H176" s="131">
        <v>274.17868736183203</v>
      </c>
      <c r="I176" s="131">
        <v>274.17868736183203</v>
      </c>
      <c r="J176" s="131">
        <v>274.17868736183203</v>
      </c>
      <c r="K176" s="131">
        <v>274.17868736183203</v>
      </c>
      <c r="L176" s="131">
        <v>27.810563389134398</v>
      </c>
      <c r="M176" s="131">
        <v>27.810563389134398</v>
      </c>
      <c r="N176" s="131">
        <v>27.810563389134398</v>
      </c>
      <c r="O176" s="131">
        <v>27.810563389134398</v>
      </c>
      <c r="P176" s="131">
        <v>352.90450326203847</v>
      </c>
      <c r="Q176" s="131">
        <v>352.90450326203847</v>
      </c>
      <c r="R176" s="131">
        <v>352.90450326203847</v>
      </c>
      <c r="S176" s="131">
        <v>352.90450326203847</v>
      </c>
      <c r="T176" s="131">
        <v>325.10984696943655</v>
      </c>
      <c r="U176" s="131">
        <v>325.10984696943655</v>
      </c>
      <c r="V176" s="131">
        <v>325.10984696943655</v>
      </c>
      <c r="W176" s="131">
        <v>325.10984696943655</v>
      </c>
      <c r="X176" s="131">
        <v>265.80978264676475</v>
      </c>
      <c r="Y176" s="131">
        <v>265.80978264676475</v>
      </c>
      <c r="Z176" s="131">
        <v>265.80978264676475</v>
      </c>
      <c r="AA176" s="131">
        <v>265.80978264676475</v>
      </c>
      <c r="AB176" s="131">
        <v>291.699051</v>
      </c>
      <c r="AC176" s="131">
        <v>291.699051</v>
      </c>
      <c r="AD176" s="131">
        <v>291.699051</v>
      </c>
      <c r="AE176" s="131">
        <v>291.699051</v>
      </c>
      <c r="AF176" s="131">
        <v>402.52358485015083</v>
      </c>
      <c r="AG176" s="131">
        <v>402.52358485015083</v>
      </c>
      <c r="AH176" s="131">
        <v>402.52358485015083</v>
      </c>
      <c r="AI176" s="131">
        <v>402.52358485015083</v>
      </c>
      <c r="AJ176" s="131">
        <v>351.0607006910048</v>
      </c>
      <c r="AK176" s="131">
        <v>351.0607006910048</v>
      </c>
      <c r="AL176" s="131">
        <v>351.0607006910048</v>
      </c>
      <c r="AM176" s="131">
        <v>351.0607006910048</v>
      </c>
      <c r="AN176" s="131">
        <v>200.81147616810435</v>
      </c>
      <c r="AO176" s="131">
        <v>200.81147616810435</v>
      </c>
      <c r="AP176" s="131">
        <v>200.81147616810435</v>
      </c>
      <c r="AQ176" s="131">
        <v>200.81147616810435</v>
      </c>
      <c r="AR176" s="131">
        <v>180.93522607683826</v>
      </c>
      <c r="AS176" s="131">
        <v>180.93522607683826</v>
      </c>
      <c r="AT176" s="131">
        <v>180.93522607683826</v>
      </c>
      <c r="AU176" s="131">
        <v>180.93522607683826</v>
      </c>
      <c r="AV176" s="131">
        <v>212.36052047306552</v>
      </c>
      <c r="AW176" s="131">
        <v>212.36052047306552</v>
      </c>
      <c r="AX176" s="131">
        <v>212.36052047306552</v>
      </c>
      <c r="AY176" s="131">
        <v>212.36052047306552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9.6719064318944703</v>
      </c>
      <c r="G177" s="130">
        <f t="shared" si="2"/>
        <v>0</v>
      </c>
      <c r="H177" s="130">
        <f t="shared" si="2"/>
        <v>19.343812863788941</v>
      </c>
      <c r="I177" s="130">
        <f t="shared" si="2"/>
        <v>9.6719064318944703</v>
      </c>
      <c r="J177" s="130">
        <f t="shared" si="2"/>
        <v>0</v>
      </c>
      <c r="K177" s="130">
        <f t="shared" si="2"/>
        <v>6.7993063356291383</v>
      </c>
      <c r="L177" s="130">
        <f t="shared" si="2"/>
        <v>6.7993063356291383</v>
      </c>
      <c r="M177" s="130">
        <f t="shared" si="2"/>
        <v>13.598612671258277</v>
      </c>
      <c r="N177" s="130">
        <f t="shared" si="2"/>
        <v>0</v>
      </c>
      <c r="O177" s="130">
        <f t="shared" si="2"/>
        <v>0</v>
      </c>
      <c r="P177" s="130">
        <f t="shared" si="2"/>
        <v>14.736744140938765</v>
      </c>
      <c r="Q177" s="130">
        <f t="shared" si="2"/>
        <v>4.9122480469795882</v>
      </c>
      <c r="R177" s="130">
        <f t="shared" si="2"/>
        <v>0</v>
      </c>
      <c r="S177" s="130">
        <f t="shared" si="2"/>
        <v>0</v>
      </c>
      <c r="T177" s="130">
        <f t="shared" si="2"/>
        <v>62.334388292059955</v>
      </c>
      <c r="U177" s="130">
        <f t="shared" si="2"/>
        <v>124.66877658411991</v>
      </c>
      <c r="V177" s="130">
        <f t="shared" si="2"/>
        <v>57.424949954570295</v>
      </c>
      <c r="W177" s="130">
        <f t="shared" si="2"/>
        <v>119.75933824663025</v>
      </c>
      <c r="X177" s="130">
        <f t="shared" si="2"/>
        <v>57.424949954570295</v>
      </c>
      <c r="Y177" s="130">
        <f t="shared" si="2"/>
        <v>57.424949954570295</v>
      </c>
      <c r="Z177" s="130">
        <f t="shared" si="2"/>
        <v>0</v>
      </c>
      <c r="AA177" s="130">
        <f t="shared" si="2"/>
        <v>93.90126819112092</v>
      </c>
      <c r="AB177" s="130">
        <f t="shared" si="2"/>
        <v>0</v>
      </c>
      <c r="AC177" s="130">
        <f t="shared" si="2"/>
        <v>46.95063409556046</v>
      </c>
      <c r="AD177" s="130">
        <f t="shared" si="2"/>
        <v>46.95063409556046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71.098728417559016</v>
      </c>
      <c r="AI177" s="130">
        <f t="shared" si="2"/>
        <v>71.098728417559016</v>
      </c>
      <c r="AJ177" s="130">
        <f t="shared" si="2"/>
        <v>71.098728417559016</v>
      </c>
      <c r="AK177" s="130">
        <f t="shared" si="2"/>
        <v>0</v>
      </c>
      <c r="AL177" s="130">
        <f t="shared" si="2"/>
        <v>0</v>
      </c>
      <c r="AM177" s="130">
        <f t="shared" si="2"/>
        <v>195.11615425758617</v>
      </c>
      <c r="AN177" s="130">
        <f t="shared" si="2"/>
        <v>0</v>
      </c>
      <c r="AO177" s="130">
        <f t="shared" si="2"/>
        <v>62.008712920013579</v>
      </c>
      <c r="AP177" s="130">
        <f t="shared" si="2"/>
        <v>97.478536663435477</v>
      </c>
      <c r="AQ177" s="130">
        <f t="shared" si="2"/>
        <v>35.469823743421891</v>
      </c>
      <c r="AR177" s="130">
        <f t="shared" si="2"/>
        <v>0</v>
      </c>
      <c r="AS177" s="130">
        <f t="shared" si="2"/>
        <v>35.469823743421891</v>
      </c>
      <c r="AT177" s="130">
        <f t="shared" si="2"/>
        <v>67.428856665171807</v>
      </c>
      <c r="AU177" s="130">
        <f t="shared" si="2"/>
        <v>0</v>
      </c>
      <c r="AV177" s="130">
        <f t="shared" si="2"/>
        <v>63.918065843499832</v>
      </c>
      <c r="AW177" s="130">
        <f t="shared" si="2"/>
        <v>31.959032921749916</v>
      </c>
      <c r="AX177" s="130">
        <f t="shared" si="2"/>
        <v>37.509759775558926</v>
      </c>
      <c r="AY177" s="130">
        <f t="shared" si="2"/>
        <v>37.509759775558926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9.6719064318944703</v>
      </c>
      <c r="G178" s="131">
        <v>0</v>
      </c>
      <c r="H178" s="131">
        <v>19.343812863788941</v>
      </c>
      <c r="I178" s="131">
        <v>9.6719064318944703</v>
      </c>
      <c r="J178" s="131">
        <v>0</v>
      </c>
      <c r="K178" s="131">
        <v>6.7993063356291383</v>
      </c>
      <c r="L178" s="131">
        <v>6.7993063356291383</v>
      </c>
      <c r="M178" s="131">
        <v>13.598612671258277</v>
      </c>
      <c r="N178" s="131">
        <v>0</v>
      </c>
      <c r="O178" s="131">
        <v>0</v>
      </c>
      <c r="P178" s="131">
        <v>14.736744140938765</v>
      </c>
      <c r="Q178" s="131">
        <v>4.9122480469795882</v>
      </c>
      <c r="R178" s="131">
        <v>0</v>
      </c>
      <c r="S178" s="131">
        <v>0</v>
      </c>
      <c r="T178" s="131">
        <v>62.334388292059955</v>
      </c>
      <c r="U178" s="131">
        <v>124.66877658411991</v>
      </c>
      <c r="V178" s="131">
        <v>57.424949954570295</v>
      </c>
      <c r="W178" s="131">
        <v>119.75933824663025</v>
      </c>
      <c r="X178" s="131">
        <v>57.424949954570295</v>
      </c>
      <c r="Y178" s="131">
        <v>57.424949954570295</v>
      </c>
      <c r="Z178" s="131">
        <v>0</v>
      </c>
      <c r="AA178" s="131">
        <v>93.90126819112092</v>
      </c>
      <c r="AB178" s="131">
        <v>0</v>
      </c>
      <c r="AC178" s="131">
        <v>46.95063409556046</v>
      </c>
      <c r="AD178" s="131">
        <v>46.95063409556046</v>
      </c>
      <c r="AE178" s="131">
        <v>0</v>
      </c>
      <c r="AF178" s="131">
        <v>0</v>
      </c>
      <c r="AG178" s="131">
        <v>0</v>
      </c>
      <c r="AH178" s="131">
        <v>71.098728417559016</v>
      </c>
      <c r="AI178" s="131">
        <v>71.098728417559016</v>
      </c>
      <c r="AJ178" s="131">
        <v>71.098728417559016</v>
      </c>
      <c r="AK178" s="131">
        <v>0</v>
      </c>
      <c r="AL178" s="131">
        <v>0</v>
      </c>
      <c r="AM178" s="131">
        <v>195.11615425758617</v>
      </c>
      <c r="AN178" s="131">
        <v>0</v>
      </c>
      <c r="AO178" s="131">
        <v>62.008712920013579</v>
      </c>
      <c r="AP178" s="131">
        <v>97.478536663435477</v>
      </c>
      <c r="AQ178" s="131">
        <v>35.469823743421891</v>
      </c>
      <c r="AR178" s="131">
        <v>0</v>
      </c>
      <c r="AS178" s="131">
        <v>35.469823743421891</v>
      </c>
      <c r="AT178" s="131">
        <v>67.428856665171807</v>
      </c>
      <c r="AU178" s="131">
        <v>0</v>
      </c>
      <c r="AV178" s="131">
        <v>63.918065843499832</v>
      </c>
      <c r="AW178" s="131">
        <v>31.959032921749916</v>
      </c>
      <c r="AX178" s="131">
        <v>37.509759775558926</v>
      </c>
      <c r="AY178" s="131">
        <v>37.509759775558926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4.7667986296634934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3.1760661212885899</v>
      </c>
      <c r="N179" s="130">
        <f t="shared" si="3"/>
        <v>6.3521322425771798</v>
      </c>
      <c r="O179" s="130">
        <f t="shared" si="3"/>
        <v>0</v>
      </c>
      <c r="P179" s="130">
        <f t="shared" si="3"/>
        <v>0</v>
      </c>
      <c r="Q179" s="130">
        <f t="shared" si="3"/>
        <v>3.5744869397157206</v>
      </c>
      <c r="R179" s="130">
        <f t="shared" si="3"/>
        <v>1.1914956465719073</v>
      </c>
      <c r="S179" s="130">
        <f t="shared" si="3"/>
        <v>0</v>
      </c>
      <c r="T179" s="130">
        <f t="shared" si="3"/>
        <v>0</v>
      </c>
      <c r="U179" s="130">
        <f t="shared" si="3"/>
        <v>5.0150267205938706</v>
      </c>
      <c r="V179" s="130">
        <f t="shared" si="3"/>
        <v>10.030053441187741</v>
      </c>
      <c r="W179" s="130">
        <f t="shared" si="3"/>
        <v>4.6200446710346421</v>
      </c>
      <c r="X179" s="130">
        <f t="shared" si="3"/>
        <v>9.6350713916285127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12.888318840801269</v>
      </c>
      <c r="AU179" s="130">
        <f t="shared" si="3"/>
        <v>24.500956363861043</v>
      </c>
      <c r="AV179" s="130">
        <f t="shared" si="3"/>
        <v>0</v>
      </c>
      <c r="AW179" s="130">
        <f t="shared" si="3"/>
        <v>25.160714546368624</v>
      </c>
      <c r="AX179" s="130">
        <f t="shared" si="3"/>
        <v>12.580357273184312</v>
      </c>
      <c r="AY179" s="130">
        <f t="shared" si="3"/>
        <v>14.765346009162371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4.7667986296634934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3.1760661212885899</v>
      </c>
      <c r="N180" s="131">
        <v>6.3521322425771798</v>
      </c>
      <c r="O180" s="131">
        <v>0</v>
      </c>
      <c r="P180" s="131">
        <v>0</v>
      </c>
      <c r="Q180" s="131">
        <v>3.5744869397157206</v>
      </c>
      <c r="R180" s="131">
        <v>1.1914956465719073</v>
      </c>
      <c r="S180" s="131">
        <v>0</v>
      </c>
      <c r="T180" s="131">
        <v>0</v>
      </c>
      <c r="U180" s="131">
        <v>5.0150267205938706</v>
      </c>
      <c r="V180" s="131">
        <v>10.030053441187741</v>
      </c>
      <c r="W180" s="131">
        <v>4.6200446710346421</v>
      </c>
      <c r="X180" s="131">
        <v>9.6350713916285127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12.888318840801269</v>
      </c>
      <c r="AU180" s="131">
        <v>24.500956363861043</v>
      </c>
      <c r="AV180" s="131">
        <v>0</v>
      </c>
      <c r="AW180" s="131">
        <v>25.160714546368624</v>
      </c>
      <c r="AX180" s="131">
        <v>12.580357273184312</v>
      </c>
      <c r="AY180" s="131">
        <v>14.765346009162371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14.963658976906286</v>
      </c>
      <c r="G181" s="130">
        <f t="shared" si="4"/>
        <v>0</v>
      </c>
      <c r="H181" s="130">
        <f t="shared" si="4"/>
        <v>39.460915213139558</v>
      </c>
      <c r="I181" s="130">
        <f t="shared" si="4"/>
        <v>19.730457606569779</v>
      </c>
      <c r="J181" s="130">
        <f t="shared" si="4"/>
        <v>0</v>
      </c>
      <c r="K181" s="130">
        <f t="shared" si="4"/>
        <v>13.870422171043987</v>
      </c>
      <c r="L181" s="130">
        <f t="shared" si="4"/>
        <v>10.694356049755397</v>
      </c>
      <c r="M181" s="130">
        <f t="shared" si="4"/>
        <v>21.388712099510794</v>
      </c>
      <c r="N181" s="130">
        <f t="shared" si="4"/>
        <v>0</v>
      </c>
      <c r="O181" s="130">
        <f t="shared" si="4"/>
        <v>0</v>
      </c>
      <c r="P181" s="130">
        <f t="shared" si="4"/>
        <v>26.488118357294489</v>
      </c>
      <c r="Q181" s="130">
        <f t="shared" si="4"/>
        <v>8.8293727857648339</v>
      </c>
      <c r="R181" s="130">
        <f t="shared" si="4"/>
        <v>0</v>
      </c>
      <c r="S181" s="130">
        <f t="shared" si="4"/>
        <v>0</v>
      </c>
      <c r="T181" s="130">
        <f t="shared" si="4"/>
        <v>122.14563330939013</v>
      </c>
      <c r="U181" s="130">
        <f t="shared" si="4"/>
        <v>244.29126661878027</v>
      </c>
      <c r="V181" s="130">
        <f t="shared" si="4"/>
        <v>112.52547866671662</v>
      </c>
      <c r="W181" s="130">
        <f t="shared" si="4"/>
        <v>234.67111197610677</v>
      </c>
      <c r="X181" s="130">
        <f t="shared" si="4"/>
        <v>117.14552333775127</v>
      </c>
      <c r="Y181" s="130">
        <f t="shared" si="4"/>
        <v>117.14552333775127</v>
      </c>
      <c r="Z181" s="130">
        <f t="shared" si="4"/>
        <v>0</v>
      </c>
      <c r="AA181" s="130">
        <f t="shared" si="4"/>
        <v>191.55633941396115</v>
      </c>
      <c r="AB181" s="130">
        <f t="shared" si="4"/>
        <v>0</v>
      </c>
      <c r="AC181" s="130">
        <f t="shared" si="4"/>
        <v>95.778169706980577</v>
      </c>
      <c r="AD181" s="130">
        <f t="shared" si="4"/>
        <v>95.778169706980577</v>
      </c>
      <c r="AE181" s="130">
        <f t="shared" si="4"/>
        <v>0</v>
      </c>
      <c r="AF181" s="130">
        <f t="shared" si="4"/>
        <v>0</v>
      </c>
      <c r="AG181" s="130">
        <f t="shared" si="4"/>
        <v>0</v>
      </c>
      <c r="AH181" s="130">
        <f t="shared" si="4"/>
        <v>145.0397040957408</v>
      </c>
      <c r="AI181" s="130">
        <f t="shared" si="4"/>
        <v>145.0397040957408</v>
      </c>
      <c r="AJ181" s="130">
        <f t="shared" si="4"/>
        <v>145.0397040957408</v>
      </c>
      <c r="AK181" s="130">
        <f t="shared" si="4"/>
        <v>0</v>
      </c>
      <c r="AL181" s="130">
        <f t="shared" si="4"/>
        <v>0</v>
      </c>
      <c r="AM181" s="130">
        <f t="shared" si="4"/>
        <v>398.03228422901236</v>
      </c>
      <c r="AN181" s="130">
        <f t="shared" si="4"/>
        <v>2.8421709430404007E-14</v>
      </c>
      <c r="AO181" s="130">
        <f t="shared" si="4"/>
        <v>126.49629006663579</v>
      </c>
      <c r="AP181" s="130">
        <f t="shared" si="4"/>
        <v>198.85388146912089</v>
      </c>
      <c r="AQ181" s="130">
        <f t="shared" si="4"/>
        <v>72.357591402485127</v>
      </c>
      <c r="AR181" s="130">
        <f t="shared" si="4"/>
        <v>0</v>
      </c>
      <c r="AS181" s="130">
        <f t="shared" si="4"/>
        <v>59.469272561683844</v>
      </c>
      <c r="AT181" s="130">
        <f t="shared" si="4"/>
        <v>113.05229720199796</v>
      </c>
      <c r="AU181" s="130">
        <f t="shared" si="4"/>
        <v>0</v>
      </c>
      <c r="AV181" s="130">
        <f t="shared" si="4"/>
        <v>105.23060978037911</v>
      </c>
      <c r="AW181" s="130">
        <f t="shared" si="4"/>
        <v>52.615304890189556</v>
      </c>
      <c r="AX181" s="130">
        <f t="shared" si="4"/>
        <v>61.753666069340397</v>
      </c>
      <c r="AY181" s="130">
        <f t="shared" si="4"/>
        <v>61.753666069340397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14.963658976906286</v>
      </c>
      <c r="G182" s="131">
        <v>0</v>
      </c>
      <c r="H182" s="131">
        <v>39.460915213139558</v>
      </c>
      <c r="I182" s="131">
        <v>19.730457606569779</v>
      </c>
      <c r="J182" s="131">
        <v>0</v>
      </c>
      <c r="K182" s="131">
        <v>13.870422171043987</v>
      </c>
      <c r="L182" s="131">
        <v>10.694356049755397</v>
      </c>
      <c r="M182" s="131">
        <v>21.388712099510794</v>
      </c>
      <c r="N182" s="131">
        <v>0</v>
      </c>
      <c r="O182" s="131">
        <v>0</v>
      </c>
      <c r="P182" s="131">
        <v>26.488118357294489</v>
      </c>
      <c r="Q182" s="131">
        <v>8.8293727857648339</v>
      </c>
      <c r="R182" s="131">
        <v>0</v>
      </c>
      <c r="S182" s="131">
        <v>0</v>
      </c>
      <c r="T182" s="131">
        <v>122.14563330939013</v>
      </c>
      <c r="U182" s="131">
        <v>244.29126661878027</v>
      </c>
      <c r="V182" s="131">
        <v>112.52547866671662</v>
      </c>
      <c r="W182" s="131">
        <v>234.67111197610677</v>
      </c>
      <c r="X182" s="131">
        <v>117.14552333775127</v>
      </c>
      <c r="Y182" s="131">
        <v>117.14552333775127</v>
      </c>
      <c r="Z182" s="131">
        <v>0</v>
      </c>
      <c r="AA182" s="131">
        <v>191.55633941396115</v>
      </c>
      <c r="AB182" s="131">
        <v>0</v>
      </c>
      <c r="AC182" s="131">
        <v>95.778169706980577</v>
      </c>
      <c r="AD182" s="131">
        <v>95.778169706980577</v>
      </c>
      <c r="AE182" s="131">
        <v>0</v>
      </c>
      <c r="AF182" s="131">
        <v>0</v>
      </c>
      <c r="AG182" s="131">
        <v>0</v>
      </c>
      <c r="AH182" s="131">
        <v>145.0397040957408</v>
      </c>
      <c r="AI182" s="131">
        <v>145.0397040957408</v>
      </c>
      <c r="AJ182" s="131">
        <v>145.0397040957408</v>
      </c>
      <c r="AK182" s="131">
        <v>0</v>
      </c>
      <c r="AL182" s="131">
        <v>0</v>
      </c>
      <c r="AM182" s="131">
        <v>398.03228422901236</v>
      </c>
      <c r="AN182" s="131">
        <v>2.8421709430404007E-14</v>
      </c>
      <c r="AO182" s="131">
        <v>126.49629006663579</v>
      </c>
      <c r="AP182" s="131">
        <v>198.85388146912089</v>
      </c>
      <c r="AQ182" s="131">
        <v>72.357591402485127</v>
      </c>
      <c r="AR182" s="131">
        <v>0</v>
      </c>
      <c r="AS182" s="131">
        <v>59.469272561683844</v>
      </c>
      <c r="AT182" s="131">
        <v>113.05229720199796</v>
      </c>
      <c r="AU182" s="131">
        <v>0</v>
      </c>
      <c r="AV182" s="131">
        <v>105.23060978037911</v>
      </c>
      <c r="AW182" s="131">
        <v>52.615304890189556</v>
      </c>
      <c r="AX182" s="131">
        <v>61.753666069340397</v>
      </c>
      <c r="AY182" s="131">
        <v>61.753666069340397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356.81649341141917</v>
      </c>
      <c r="E185" s="130">
        <v>356.81649341141917</v>
      </c>
      <c r="F185" s="130">
        <v>356.81649341141917</v>
      </c>
      <c r="G185" s="130">
        <v>356.81649341141917</v>
      </c>
      <c r="H185" s="130">
        <v>274.17868736183203</v>
      </c>
      <c r="I185" s="130">
        <v>274.17868736183203</v>
      </c>
      <c r="J185" s="130">
        <v>274.17868736183203</v>
      </c>
      <c r="K185" s="130">
        <v>274.17868736183203</v>
      </c>
      <c r="L185" s="130">
        <v>27.810563389134398</v>
      </c>
      <c r="M185" s="130">
        <v>27.810563389134398</v>
      </c>
      <c r="N185" s="130">
        <v>27.810563389134398</v>
      </c>
      <c r="O185" s="130">
        <v>27.810563389134398</v>
      </c>
      <c r="P185" s="130">
        <v>352.90450326203847</v>
      </c>
      <c r="Q185" s="130">
        <v>352.90450326203847</v>
      </c>
      <c r="R185" s="130">
        <v>352.90450326203847</v>
      </c>
      <c r="S185" s="130">
        <v>352.90450326203847</v>
      </c>
      <c r="T185" s="130">
        <v>325.10984696943655</v>
      </c>
      <c r="U185" s="130">
        <v>325.10984696943655</v>
      </c>
      <c r="V185" s="130">
        <v>325.10984696943655</v>
      </c>
      <c r="W185" s="130">
        <v>325.10984696943655</v>
      </c>
      <c r="X185" s="130">
        <v>265.80978264676475</v>
      </c>
      <c r="Y185" s="130">
        <v>265.80978264676475</v>
      </c>
      <c r="Z185" s="130">
        <v>265.80978264676475</v>
      </c>
      <c r="AA185" s="130">
        <v>265.80978264676475</v>
      </c>
      <c r="AB185" s="130">
        <v>291.699051</v>
      </c>
      <c r="AC185" s="130">
        <v>291.699051</v>
      </c>
      <c r="AD185" s="130">
        <v>291.699051</v>
      </c>
      <c r="AE185" s="130">
        <v>291.699051</v>
      </c>
      <c r="AF185" s="130">
        <v>402.52358485015083</v>
      </c>
      <c r="AG185" s="130">
        <v>402.52358485015083</v>
      </c>
      <c r="AH185" s="130">
        <v>402.52358485015083</v>
      </c>
      <c r="AI185" s="130">
        <v>402.52358485015083</v>
      </c>
      <c r="AJ185" s="130">
        <v>351.0607006910048</v>
      </c>
      <c r="AK185" s="130">
        <v>351.0607006910048</v>
      </c>
      <c r="AL185" s="130">
        <v>351.0607006910048</v>
      </c>
      <c r="AM185" s="130">
        <v>351.0607006910048</v>
      </c>
      <c r="AN185" s="130">
        <v>200.81147616810435</v>
      </c>
      <c r="AO185" s="130">
        <v>200.81147616810435</v>
      </c>
      <c r="AP185" s="130">
        <v>200.81147616810435</v>
      </c>
      <c r="AQ185" s="130">
        <v>200.81147616810435</v>
      </c>
      <c r="AR185" s="130">
        <v>180.93522607683826</v>
      </c>
      <c r="AS185" s="130">
        <v>180.93522607683826</v>
      </c>
      <c r="AT185" s="130">
        <v>180.93522607683826</v>
      </c>
      <c r="AU185" s="130">
        <v>180.93522607683826</v>
      </c>
      <c r="AV185" s="130">
        <v>212.36052047306552</v>
      </c>
      <c r="AW185" s="130">
        <v>212.36052047306552</v>
      </c>
      <c r="AX185" s="130">
        <v>212.36052047306552</v>
      </c>
      <c r="AY185" s="130">
        <v>212.36052047306552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9.6719064318944703</v>
      </c>
      <c r="G189" s="130">
        <v>0</v>
      </c>
      <c r="H189" s="130">
        <v>9.6719064318944703</v>
      </c>
      <c r="I189" s="130">
        <v>9.6719064318944703</v>
      </c>
      <c r="J189" s="130">
        <v>0</v>
      </c>
      <c r="K189" s="130">
        <v>0</v>
      </c>
      <c r="L189" s="130">
        <v>0</v>
      </c>
      <c r="M189" s="130">
        <v>6.7993063356291383</v>
      </c>
      <c r="N189" s="130">
        <v>0</v>
      </c>
      <c r="O189" s="130">
        <v>0</v>
      </c>
      <c r="P189" s="130">
        <v>4.9122480469795882</v>
      </c>
      <c r="Q189" s="130">
        <v>4.9122480469795882</v>
      </c>
      <c r="R189" s="130">
        <v>0</v>
      </c>
      <c r="S189" s="130">
        <v>0</v>
      </c>
      <c r="T189" s="130">
        <v>0</v>
      </c>
      <c r="U189" s="130">
        <v>0</v>
      </c>
      <c r="V189" s="130">
        <v>57.424949954570295</v>
      </c>
      <c r="W189" s="130">
        <v>57.424949954570295</v>
      </c>
      <c r="X189" s="130">
        <v>57.424949954570295</v>
      </c>
      <c r="Y189" s="130">
        <v>57.424949954570295</v>
      </c>
      <c r="Z189" s="130">
        <v>0</v>
      </c>
      <c r="AA189" s="130">
        <v>46.95063409556046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71.098728417559016</v>
      </c>
      <c r="AI189" s="130">
        <v>71.098728417559016</v>
      </c>
      <c r="AJ189" s="130">
        <v>71.098728417559016</v>
      </c>
      <c r="AK189" s="130">
        <v>0</v>
      </c>
      <c r="AL189" s="130">
        <v>0</v>
      </c>
      <c r="AM189" s="130">
        <v>62.008712920013579</v>
      </c>
      <c r="AN189" s="130">
        <v>0</v>
      </c>
      <c r="AO189" s="130">
        <v>0</v>
      </c>
      <c r="AP189" s="130">
        <v>35.469823743421891</v>
      </c>
      <c r="AQ189" s="130">
        <v>35.469823743421891</v>
      </c>
      <c r="AR189" s="130">
        <v>0</v>
      </c>
      <c r="AS189" s="130">
        <v>35.469823743421891</v>
      </c>
      <c r="AT189" s="130">
        <v>31.959032921749916</v>
      </c>
      <c r="AU189" s="130">
        <v>0</v>
      </c>
      <c r="AV189" s="130">
        <v>63.918065843499832</v>
      </c>
      <c r="AW189" s="130">
        <v>31.959032921749916</v>
      </c>
      <c r="AX189" s="130">
        <v>37.509759775558926</v>
      </c>
      <c r="AY189" s="130">
        <v>37.509759775558926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9.6719064318944703</v>
      </c>
      <c r="I190" s="112">
        <v>0</v>
      </c>
      <c r="J190" s="112">
        <v>0</v>
      </c>
      <c r="K190" s="112">
        <v>6.7993063356291383</v>
      </c>
      <c r="L190" s="112">
        <v>6.7993063356291383</v>
      </c>
      <c r="M190" s="112">
        <v>6.7993063356291383</v>
      </c>
      <c r="N190" s="112">
        <v>0</v>
      </c>
      <c r="O190" s="112">
        <v>0</v>
      </c>
      <c r="P190" s="112">
        <v>4.9122480469795882</v>
      </c>
      <c r="Q190" s="112">
        <v>0</v>
      </c>
      <c r="R190" s="112">
        <v>0</v>
      </c>
      <c r="S190" s="112">
        <v>0</v>
      </c>
      <c r="T190" s="112">
        <v>0</v>
      </c>
      <c r="U190" s="112">
        <v>62.334388292059955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46.95063409556046</v>
      </c>
      <c r="AB190" s="112">
        <v>0</v>
      </c>
      <c r="AC190" s="112">
        <v>46.95063409556046</v>
      </c>
      <c r="AD190" s="112">
        <v>46.95063409556046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62.008712920013579</v>
      </c>
      <c r="AN190" s="112">
        <v>0</v>
      </c>
      <c r="AO190" s="112">
        <v>62.008712920013579</v>
      </c>
      <c r="AP190" s="112">
        <v>62.008712920013579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4.9122480469795882</v>
      </c>
      <c r="Q191" s="112">
        <v>0</v>
      </c>
      <c r="R191" s="112">
        <v>0</v>
      </c>
      <c r="S191" s="112">
        <v>0</v>
      </c>
      <c r="T191" s="112">
        <v>62.334388292059955</v>
      </c>
      <c r="U191" s="112">
        <v>62.334388292059955</v>
      </c>
      <c r="V191" s="112">
        <v>0</v>
      </c>
      <c r="W191" s="112">
        <v>62.334388292059955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71.098728417559016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35.469823743421891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4.7667986296634934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3.1760661212885899</v>
      </c>
      <c r="N197" s="112">
        <v>6.3521322425771798</v>
      </c>
      <c r="O197" s="112">
        <v>0</v>
      </c>
      <c r="P197" s="112">
        <v>0</v>
      </c>
      <c r="Q197" s="112">
        <v>3.5744869397157206</v>
      </c>
      <c r="R197" s="112">
        <v>1.1914956465719073</v>
      </c>
      <c r="S197" s="112">
        <v>0</v>
      </c>
      <c r="T197" s="112">
        <v>0</v>
      </c>
      <c r="U197" s="112">
        <v>5.0150267205938706</v>
      </c>
      <c r="V197" s="112">
        <v>10.030053441187741</v>
      </c>
      <c r="W197" s="112">
        <v>4.6200446710346421</v>
      </c>
      <c r="X197" s="112">
        <v>9.6350713916285127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12.888318840801269</v>
      </c>
      <c r="AU197" s="112">
        <v>24.500956363861043</v>
      </c>
      <c r="AV197" s="112">
        <v>0</v>
      </c>
      <c r="AW197" s="112">
        <v>25.160714546368624</v>
      </c>
      <c r="AX197" s="112">
        <v>12.580357273184312</v>
      </c>
      <c r="AY197" s="112">
        <v>14.765346009162371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14.963658976906286</v>
      </c>
      <c r="G209" s="130">
        <v>0</v>
      </c>
      <c r="H209" s="130">
        <v>19.730457606569779</v>
      </c>
      <c r="I209" s="130">
        <v>19.730457606569779</v>
      </c>
      <c r="J209" s="130">
        <v>0</v>
      </c>
      <c r="K209" s="130">
        <v>0</v>
      </c>
      <c r="L209" s="130">
        <v>0</v>
      </c>
      <c r="M209" s="130">
        <v>10.694356049755397</v>
      </c>
      <c r="N209" s="130">
        <v>0</v>
      </c>
      <c r="O209" s="130">
        <v>0</v>
      </c>
      <c r="P209" s="130">
        <v>8.8293727857648268</v>
      </c>
      <c r="Q209" s="130">
        <v>8.8293727857648303</v>
      </c>
      <c r="R209" s="130">
        <v>0</v>
      </c>
      <c r="S209" s="130">
        <v>0</v>
      </c>
      <c r="T209" s="130">
        <v>0</v>
      </c>
      <c r="U209" s="130">
        <v>0</v>
      </c>
      <c r="V209" s="130">
        <v>112.52547866671662</v>
      </c>
      <c r="W209" s="130">
        <v>112.52547866671662</v>
      </c>
      <c r="X209" s="130">
        <v>117.14552333775127</v>
      </c>
      <c r="Y209" s="130">
        <v>117.14552333775127</v>
      </c>
      <c r="Z209" s="130">
        <v>0</v>
      </c>
      <c r="AA209" s="130">
        <v>95.778169706980577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145.0397040957408</v>
      </c>
      <c r="AI209" s="130">
        <v>145.0397040957408</v>
      </c>
      <c r="AJ209" s="130">
        <v>145.0397040957408</v>
      </c>
      <c r="AK209" s="130">
        <v>0</v>
      </c>
      <c r="AL209" s="130">
        <v>0</v>
      </c>
      <c r="AM209" s="130">
        <v>126.49629006663577</v>
      </c>
      <c r="AN209" s="130">
        <v>0</v>
      </c>
      <c r="AO209" s="130">
        <v>0</v>
      </c>
      <c r="AP209" s="130">
        <v>72.357591402485099</v>
      </c>
      <c r="AQ209" s="130">
        <v>72.357591402485113</v>
      </c>
      <c r="AR209" s="130">
        <v>0</v>
      </c>
      <c r="AS209" s="130">
        <v>59.469272561683844</v>
      </c>
      <c r="AT209" s="130">
        <v>53.583024640314093</v>
      </c>
      <c r="AU209" s="130">
        <v>0</v>
      </c>
      <c r="AV209" s="130">
        <v>105.23060978037911</v>
      </c>
      <c r="AW209" s="130">
        <v>52.615304890189556</v>
      </c>
      <c r="AX209" s="130">
        <v>61.753666069340397</v>
      </c>
      <c r="AY209" s="130">
        <v>61.753666069340397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19.730457606569779</v>
      </c>
      <c r="I210" s="116">
        <v>0</v>
      </c>
      <c r="J210" s="116">
        <v>0</v>
      </c>
      <c r="K210" s="116">
        <v>13.870422171043987</v>
      </c>
      <c r="L210" s="116">
        <v>10.694356049755397</v>
      </c>
      <c r="M210" s="116">
        <v>10.694356049755397</v>
      </c>
      <c r="N210" s="116">
        <v>0</v>
      </c>
      <c r="O210" s="116">
        <v>0</v>
      </c>
      <c r="P210" s="116">
        <v>8.8293727857648303</v>
      </c>
      <c r="Q210" s="116">
        <v>3.1302909206942785E-15</v>
      </c>
      <c r="R210" s="116">
        <v>0</v>
      </c>
      <c r="S210" s="116">
        <v>0</v>
      </c>
      <c r="T210" s="116">
        <v>0</v>
      </c>
      <c r="U210" s="116">
        <v>122.14563330939013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95.778169706980577</v>
      </c>
      <c r="AB210" s="116">
        <v>0</v>
      </c>
      <c r="AC210" s="116">
        <v>95.778169706980577</v>
      </c>
      <c r="AD210" s="116">
        <v>95.778169706980577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126.49629006663579</v>
      </c>
      <c r="AN210" s="116">
        <v>2.8421709430404007E-14</v>
      </c>
      <c r="AO210" s="116">
        <v>126.49629006663579</v>
      </c>
      <c r="AP210" s="116">
        <v>126.49629006663579</v>
      </c>
      <c r="AQ210" s="116">
        <v>1.4210854715202004E-14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8.8293727857648303</v>
      </c>
      <c r="Q211" s="116">
        <v>0</v>
      </c>
      <c r="R211" s="116">
        <v>0</v>
      </c>
      <c r="S211" s="116">
        <v>0</v>
      </c>
      <c r="T211" s="116">
        <v>122.14563330939013</v>
      </c>
      <c r="U211" s="116">
        <v>122.14563330939013</v>
      </c>
      <c r="V211" s="116">
        <v>0</v>
      </c>
      <c r="W211" s="116">
        <v>122.14563330939013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145.0397040957408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59.469272561683844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3098.4191092812707</v>
      </c>
      <c r="G259" s="130">
        <f t="shared" si="5"/>
        <v>0</v>
      </c>
      <c r="H259" s="130">
        <f t="shared" si="5"/>
        <v>0</v>
      </c>
      <c r="I259" s="130">
        <f t="shared" si="5"/>
        <v>0</v>
      </c>
      <c r="J259" s="130">
        <f t="shared" si="5"/>
        <v>0</v>
      </c>
      <c r="K259" s="130">
        <f t="shared" si="5"/>
        <v>0</v>
      </c>
      <c r="L259" s="130">
        <f t="shared" si="5"/>
        <v>2064.4429788375833</v>
      </c>
      <c r="M259" s="130">
        <f t="shared" si="5"/>
        <v>4128.8859576751665</v>
      </c>
      <c r="N259" s="130">
        <f t="shared" si="5"/>
        <v>0</v>
      </c>
      <c r="O259" s="130">
        <f t="shared" si="5"/>
        <v>0</v>
      </c>
      <c r="P259" s="130">
        <f t="shared" si="5"/>
        <v>2323.4165108152183</v>
      </c>
      <c r="Q259" s="130">
        <f t="shared" si="5"/>
        <v>774.47217027173974</v>
      </c>
      <c r="R259" s="130">
        <f t="shared" si="5"/>
        <v>0</v>
      </c>
      <c r="S259" s="130">
        <f t="shared" si="5"/>
        <v>0</v>
      </c>
      <c r="T259" s="130">
        <f t="shared" si="5"/>
        <v>3259.7673683860157</v>
      </c>
      <c r="U259" s="130">
        <f t="shared" si="5"/>
        <v>6519.5347367720315</v>
      </c>
      <c r="V259" s="130">
        <f t="shared" si="5"/>
        <v>3003.0290361725174</v>
      </c>
      <c r="W259" s="130">
        <f t="shared" si="5"/>
        <v>6262.7964045585331</v>
      </c>
      <c r="X259" s="130">
        <f t="shared" si="5"/>
        <v>0</v>
      </c>
      <c r="Y259" s="130">
        <f t="shared" si="5"/>
        <v>0</v>
      </c>
      <c r="Z259" s="130">
        <f t="shared" si="5"/>
        <v>0</v>
      </c>
      <c r="AA259" s="130">
        <f t="shared" si="5"/>
        <v>0</v>
      </c>
      <c r="AB259" s="130">
        <f t="shared" si="5"/>
        <v>0</v>
      </c>
      <c r="AC259" s="130">
        <f t="shared" si="5"/>
        <v>0</v>
      </c>
      <c r="AD259" s="130">
        <f t="shared" si="5"/>
        <v>0</v>
      </c>
      <c r="AE259" s="130">
        <f t="shared" si="5"/>
        <v>0</v>
      </c>
      <c r="AF259" s="130">
        <f t="shared" si="5"/>
        <v>0</v>
      </c>
      <c r="AG259" s="130">
        <f t="shared" si="5"/>
        <v>0</v>
      </c>
      <c r="AH259" s="130">
        <f t="shared" si="5"/>
        <v>0</v>
      </c>
      <c r="AI259" s="130">
        <f t="shared" si="5"/>
        <v>0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0</v>
      </c>
      <c r="AO259" s="130">
        <f t="shared" si="5"/>
        <v>0</v>
      </c>
      <c r="AP259" s="130">
        <f t="shared" si="5"/>
        <v>0</v>
      </c>
      <c r="AQ259" s="130">
        <f t="shared" si="5"/>
        <v>0</v>
      </c>
      <c r="AR259" s="130">
        <f t="shared" si="5"/>
        <v>0</v>
      </c>
      <c r="AS259" s="130">
        <f t="shared" si="5"/>
        <v>8377.4072465208246</v>
      </c>
      <c r="AT259" s="130">
        <f t="shared" si="5"/>
        <v>15925.621636509679</v>
      </c>
      <c r="AU259" s="130">
        <f t="shared" si="5"/>
        <v>0</v>
      </c>
      <c r="AV259" s="130">
        <f t="shared" si="5"/>
        <v>16354.464455139605</v>
      </c>
      <c r="AW259" s="130">
        <f t="shared" si="5"/>
        <v>8177.2322275698025</v>
      </c>
      <c r="AX259" s="130">
        <f t="shared" si="5"/>
        <v>9597.4749059555415</v>
      </c>
      <c r="AY259" s="130">
        <f>AZ$14*$B$259</f>
        <v>9597.4749059555415</v>
      </c>
      <c r="AZ259" s="145">
        <f>SUM($D259:$AY259)</f>
        <v>99464.439650421089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0</v>
      </c>
      <c r="E260" s="131">
        <f t="shared" ref="E260:AY260" si="6">(E$175-E$176+E$177-E$178+E$179-E$180+E$181-E$182)*$B$260</f>
        <v>0</v>
      </c>
      <c r="F260" s="131">
        <f t="shared" si="6"/>
        <v>0</v>
      </c>
      <c r="G260" s="131">
        <f t="shared" si="6"/>
        <v>0</v>
      </c>
      <c r="H260" s="131">
        <f t="shared" si="6"/>
        <v>0</v>
      </c>
      <c r="I260" s="131">
        <f t="shared" si="6"/>
        <v>0</v>
      </c>
      <c r="J260" s="131">
        <f t="shared" si="6"/>
        <v>0</v>
      </c>
      <c r="K260" s="131">
        <f t="shared" si="6"/>
        <v>0</v>
      </c>
      <c r="L260" s="131">
        <f t="shared" si="6"/>
        <v>0</v>
      </c>
      <c r="M260" s="131">
        <f t="shared" si="6"/>
        <v>0</v>
      </c>
      <c r="N260" s="131">
        <f t="shared" si="6"/>
        <v>0</v>
      </c>
      <c r="O260" s="131">
        <f t="shared" si="6"/>
        <v>0</v>
      </c>
      <c r="P260" s="131">
        <f t="shared" si="6"/>
        <v>0</v>
      </c>
      <c r="Q260" s="131">
        <f t="shared" si="6"/>
        <v>0</v>
      </c>
      <c r="R260" s="131">
        <f t="shared" si="6"/>
        <v>0</v>
      </c>
      <c r="S260" s="131">
        <f t="shared" si="6"/>
        <v>0</v>
      </c>
      <c r="T260" s="131">
        <f t="shared" si="6"/>
        <v>0</v>
      </c>
      <c r="U260" s="131">
        <f t="shared" si="6"/>
        <v>0</v>
      </c>
      <c r="V260" s="131">
        <f t="shared" si="6"/>
        <v>0</v>
      </c>
      <c r="W260" s="131">
        <f t="shared" si="6"/>
        <v>0</v>
      </c>
      <c r="X260" s="131">
        <f t="shared" si="6"/>
        <v>0</v>
      </c>
      <c r="Y260" s="131">
        <f t="shared" si="6"/>
        <v>0</v>
      </c>
      <c r="Z260" s="131">
        <f t="shared" si="6"/>
        <v>0</v>
      </c>
      <c r="AA260" s="131">
        <f t="shared" si="6"/>
        <v>0</v>
      </c>
      <c r="AB260" s="131">
        <f t="shared" si="6"/>
        <v>0</v>
      </c>
      <c r="AC260" s="131">
        <f t="shared" si="6"/>
        <v>0</v>
      </c>
      <c r="AD260" s="131">
        <f t="shared" si="6"/>
        <v>0</v>
      </c>
      <c r="AE260" s="131">
        <f t="shared" si="6"/>
        <v>0</v>
      </c>
      <c r="AF260" s="131">
        <f t="shared" si="6"/>
        <v>0</v>
      </c>
      <c r="AG260" s="131">
        <f t="shared" si="6"/>
        <v>0</v>
      </c>
      <c r="AH260" s="131">
        <f t="shared" si="6"/>
        <v>0</v>
      </c>
      <c r="AI260" s="131">
        <f t="shared" si="6"/>
        <v>0</v>
      </c>
      <c r="AJ260" s="131">
        <f t="shared" si="6"/>
        <v>0</v>
      </c>
      <c r="AK260" s="131">
        <f t="shared" si="6"/>
        <v>0</v>
      </c>
      <c r="AL260" s="131">
        <f t="shared" si="6"/>
        <v>0</v>
      </c>
      <c r="AM260" s="131">
        <f t="shared" si="6"/>
        <v>0</v>
      </c>
      <c r="AN260" s="131">
        <f t="shared" si="6"/>
        <v>0</v>
      </c>
      <c r="AO260" s="131">
        <f t="shared" si="6"/>
        <v>0</v>
      </c>
      <c r="AP260" s="131">
        <f t="shared" si="6"/>
        <v>0</v>
      </c>
      <c r="AQ260" s="131">
        <f t="shared" si="6"/>
        <v>0</v>
      </c>
      <c r="AR260" s="131">
        <f t="shared" si="6"/>
        <v>0</v>
      </c>
      <c r="AS260" s="131">
        <f t="shared" si="6"/>
        <v>0</v>
      </c>
      <c r="AT260" s="131">
        <f t="shared" si="6"/>
        <v>0</v>
      </c>
      <c r="AU260" s="131">
        <f t="shared" si="6"/>
        <v>0</v>
      </c>
      <c r="AV260" s="131">
        <f t="shared" si="6"/>
        <v>0</v>
      </c>
      <c r="AW260" s="131">
        <f t="shared" si="6"/>
        <v>0</v>
      </c>
      <c r="AX260" s="131">
        <f t="shared" si="6"/>
        <v>0</v>
      </c>
      <c r="AY260" s="131">
        <f t="shared" si="6"/>
        <v>0</v>
      </c>
      <c r="AZ260" s="147">
        <f>SUM($D260:$AY260)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283</v>
      </c>
    </row>
    <row r="2" spans="1:54" x14ac:dyDescent="0.2">
      <c r="A2" s="106" t="s">
        <v>284</v>
      </c>
      <c r="B2" s="113" t="s">
        <v>59</v>
      </c>
    </row>
    <row r="3" spans="1:54" x14ac:dyDescent="0.2">
      <c r="A3" s="106" t="s">
        <v>285</v>
      </c>
      <c r="B3" s="114">
        <v>51000</v>
      </c>
      <c r="C3" s="115"/>
    </row>
    <row r="4" spans="1:54" x14ac:dyDescent="0.2">
      <c r="B4" s="116"/>
      <c r="C4" s="116"/>
    </row>
    <row r="5" spans="1:54" x14ac:dyDescent="0.2">
      <c r="C5" s="117" t="s">
        <v>286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4" x14ac:dyDescent="0.2">
      <c r="A8" s="108" t="s">
        <v>291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292</v>
      </c>
      <c r="D9" s="123">
        <v>366.53188928126821</v>
      </c>
      <c r="E9" s="123">
        <v>366.53188928126821</v>
      </c>
      <c r="F9" s="123">
        <v>366.53188928126821</v>
      </c>
      <c r="G9" s="123">
        <v>366.53188928126821</v>
      </c>
      <c r="H9" s="123">
        <v>257.67025503699961</v>
      </c>
      <c r="I9" s="123">
        <v>257.67025503699961</v>
      </c>
      <c r="J9" s="123">
        <v>257.67025503699961</v>
      </c>
      <c r="K9" s="123">
        <v>257.67025503699961</v>
      </c>
      <c r="L9" s="123">
        <v>186.15725554790953</v>
      </c>
      <c r="M9" s="123">
        <v>186.15725554790953</v>
      </c>
      <c r="N9" s="123">
        <v>186.15725554790953</v>
      </c>
      <c r="O9" s="123">
        <v>186.15725554790953</v>
      </c>
      <c r="P9" s="123">
        <v>2362.2582857644206</v>
      </c>
      <c r="Q9" s="123">
        <v>2362.2582857644206</v>
      </c>
      <c r="R9" s="123">
        <v>2362.2582857644206</v>
      </c>
      <c r="S9" s="123">
        <v>2362.2582857644206</v>
      </c>
      <c r="T9" s="123">
        <v>2176.2075085137244</v>
      </c>
      <c r="U9" s="123">
        <v>2176.2075085137244</v>
      </c>
      <c r="V9" s="123">
        <v>2176.2075085137244</v>
      </c>
      <c r="W9" s="123">
        <v>2176.2075085137244</v>
      </c>
      <c r="X9" s="123">
        <v>1779.2670699594989</v>
      </c>
      <c r="Y9" s="123">
        <v>1779.2670699594989</v>
      </c>
      <c r="Z9" s="123">
        <v>1779.2670699594989</v>
      </c>
      <c r="AA9" s="123">
        <v>1779.2670699594989</v>
      </c>
      <c r="AB9" s="123">
        <v>0</v>
      </c>
      <c r="AC9" s="123">
        <v>0</v>
      </c>
      <c r="AD9" s="123">
        <v>0</v>
      </c>
      <c r="AE9" s="123">
        <v>0</v>
      </c>
      <c r="AF9" s="123">
        <v>2694.396542800223</v>
      </c>
      <c r="AG9" s="123">
        <v>2694.396542800223</v>
      </c>
      <c r="AH9" s="123">
        <v>2694.396542800223</v>
      </c>
      <c r="AI9" s="123">
        <v>2694.396542800223</v>
      </c>
      <c r="AJ9" s="123">
        <v>2349.9163126230237</v>
      </c>
      <c r="AK9" s="123">
        <v>2349.9163126230237</v>
      </c>
      <c r="AL9" s="123">
        <v>2349.9163126230237</v>
      </c>
      <c r="AM9" s="123">
        <v>2349.9163126230237</v>
      </c>
      <c r="AN9" s="123">
        <v>1344.1839621481424</v>
      </c>
      <c r="AO9" s="123">
        <v>1344.1839621481424</v>
      </c>
      <c r="AP9" s="123">
        <v>1344.1839621481424</v>
      </c>
      <c r="AQ9" s="123">
        <v>1344.1839621481424</v>
      </c>
      <c r="AR9" s="123">
        <v>1211.1371009321049</v>
      </c>
      <c r="AS9" s="123">
        <v>1211.1371009321049</v>
      </c>
      <c r="AT9" s="123">
        <v>1211.1371009321049</v>
      </c>
      <c r="AU9" s="123">
        <v>1211.1371009321049</v>
      </c>
      <c r="AV9" s="123">
        <v>1421.4905007439327</v>
      </c>
      <c r="AW9" s="123">
        <v>1421.4905007439327</v>
      </c>
      <c r="AX9" s="123">
        <v>1421.4905007439327</v>
      </c>
      <c r="AY9" s="123">
        <v>1421.4905007439327</v>
      </c>
    </row>
    <row r="10" spans="1:54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0</v>
      </c>
      <c r="G10" s="106">
        <v>0</v>
      </c>
      <c r="H10" s="106">
        <v>23.627372843797573</v>
      </c>
      <c r="I10" s="106">
        <v>23.627372843797573</v>
      </c>
      <c r="J10" s="106">
        <v>16.60993590067617</v>
      </c>
      <c r="K10" s="106">
        <v>16.60993590067617</v>
      </c>
      <c r="L10" s="106">
        <v>0</v>
      </c>
      <c r="M10" s="106">
        <v>16.60993590067617</v>
      </c>
      <c r="N10" s="106">
        <v>12.000066059827404</v>
      </c>
      <c r="O10" s="106">
        <v>12.000066059827404</v>
      </c>
      <c r="P10" s="106">
        <v>0</v>
      </c>
      <c r="Q10" s="106">
        <v>0</v>
      </c>
      <c r="R10" s="106">
        <v>152.2758562169081</v>
      </c>
      <c r="S10" s="106">
        <v>0</v>
      </c>
      <c r="T10" s="106">
        <v>0</v>
      </c>
      <c r="U10" s="106">
        <v>152.2758562169081</v>
      </c>
      <c r="V10" s="106">
        <v>140.28265395938985</v>
      </c>
      <c r="W10" s="106">
        <v>0</v>
      </c>
      <c r="X10" s="106">
        <v>140.28265395938985</v>
      </c>
      <c r="Y10" s="106">
        <v>0</v>
      </c>
      <c r="Z10" s="106">
        <v>114.69508569379691</v>
      </c>
      <c r="AA10" s="106">
        <v>114.69508569379691</v>
      </c>
      <c r="AB10" s="106">
        <v>114.69508569379691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173.68614728342959</v>
      </c>
      <c r="AI10" s="106">
        <v>173.68614728342959</v>
      </c>
      <c r="AJ10" s="106">
        <v>173.68614728342959</v>
      </c>
      <c r="AK10" s="106">
        <v>173.68614728342959</v>
      </c>
      <c r="AL10" s="106">
        <v>151.48026813966953</v>
      </c>
      <c r="AM10" s="106">
        <v>0</v>
      </c>
      <c r="AN10" s="106">
        <v>151.48026813966953</v>
      </c>
      <c r="AO10" s="106">
        <v>151.48026813966953</v>
      </c>
      <c r="AP10" s="106">
        <v>0</v>
      </c>
      <c r="AQ10" s="106">
        <v>86.648765286437879</v>
      </c>
      <c r="AR10" s="106">
        <v>0</v>
      </c>
      <c r="AS10" s="106">
        <v>0</v>
      </c>
      <c r="AT10" s="106">
        <v>0</v>
      </c>
      <c r="AU10" s="106">
        <v>0</v>
      </c>
      <c r="AV10" s="106">
        <v>156.14460125034131</v>
      </c>
      <c r="AW10" s="106">
        <v>0</v>
      </c>
      <c r="AX10" s="106">
        <v>0</v>
      </c>
      <c r="AY10" s="106">
        <v>0</v>
      </c>
      <c r="AZ10" s="106">
        <v>0</v>
      </c>
    </row>
    <row r="11" spans="1:54" x14ac:dyDescent="0.2">
      <c r="B11" s="125">
        <v>2</v>
      </c>
      <c r="C11" s="112" t="s">
        <v>292</v>
      </c>
      <c r="F11" s="106">
        <v>0</v>
      </c>
      <c r="H11" s="106">
        <v>23.627372843797573</v>
      </c>
      <c r="M11" s="106">
        <v>16.60993590067617</v>
      </c>
      <c r="Q11" s="106">
        <v>12.000066059827404</v>
      </c>
      <c r="U11" s="106">
        <v>152.2758562169081</v>
      </c>
      <c r="X11" s="106">
        <v>140.28265395938985</v>
      </c>
      <c r="Z11" s="106">
        <v>140.28265395938985</v>
      </c>
      <c r="AD11" s="106">
        <v>114.69508569379691</v>
      </c>
      <c r="AF11" s="106">
        <v>0</v>
      </c>
      <c r="AN11" s="106">
        <v>151.48026813966953</v>
      </c>
      <c r="AQ11" s="106">
        <v>86.648765286437879</v>
      </c>
      <c r="AT11" s="106">
        <v>86.648765286437879</v>
      </c>
      <c r="AU11" s="106">
        <v>78.072300625170655</v>
      </c>
      <c r="AV11" s="106">
        <v>0</v>
      </c>
      <c r="AY11" s="106">
        <v>91.632098153457576</v>
      </c>
      <c r="AZ11" s="106">
        <v>91.632098153457576</v>
      </c>
    </row>
    <row r="12" spans="1:54" x14ac:dyDescent="0.2">
      <c r="B12" s="126">
        <v>3</v>
      </c>
      <c r="C12" s="112" t="s">
        <v>292</v>
      </c>
      <c r="H12" s="106">
        <v>23.627372843797573</v>
      </c>
      <c r="S12" s="106">
        <v>12.000066059827404</v>
      </c>
      <c r="U12" s="106">
        <v>152.2758562169081</v>
      </c>
      <c r="AT12" s="106">
        <v>86.648765286437879</v>
      </c>
      <c r="AY12" s="106">
        <v>78.072300625170655</v>
      </c>
      <c r="BB12" s="106">
        <v>91.632098153457576</v>
      </c>
    </row>
    <row r="13" spans="1:54" x14ac:dyDescent="0.2">
      <c r="B13" s="126">
        <v>4</v>
      </c>
      <c r="C13" s="112" t="s">
        <v>292</v>
      </c>
    </row>
    <row r="14" spans="1:54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31.685234983606776</v>
      </c>
      <c r="J14" s="123">
        <f t="shared" si="0"/>
        <v>10.561744994535594</v>
      </c>
      <c r="K14" s="123">
        <f t="shared" si="0"/>
        <v>7.4248588075493842</v>
      </c>
      <c r="L14" s="123">
        <f t="shared" si="0"/>
        <v>7.4248588075493833</v>
      </c>
      <c r="M14" s="123">
        <f t="shared" si="0"/>
        <v>0</v>
      </c>
      <c r="N14" s="123">
        <f t="shared" si="0"/>
        <v>0</v>
      </c>
      <c r="O14" s="123">
        <f t="shared" si="0"/>
        <v>0</v>
      </c>
      <c r="P14" s="123">
        <f t="shared" si="0"/>
        <v>0</v>
      </c>
      <c r="Q14" s="123">
        <f t="shared" si="0"/>
        <v>0</v>
      </c>
      <c r="R14" s="123">
        <f t="shared" si="0"/>
        <v>0</v>
      </c>
      <c r="S14" s="123">
        <f t="shared" si="0"/>
        <v>0</v>
      </c>
      <c r="T14" s="123">
        <f t="shared" si="0"/>
        <v>0</v>
      </c>
      <c r="U14" s="123">
        <f t="shared" si="0"/>
        <v>0</v>
      </c>
      <c r="V14" s="123">
        <f t="shared" si="0"/>
        <v>583.86668614080327</v>
      </c>
      <c r="W14" s="123">
        <f t="shared" si="0"/>
        <v>346.70722427668085</v>
      </c>
      <c r="X14" s="123">
        <f t="shared" si="0"/>
        <v>70.539269320702402</v>
      </c>
      <c r="Y14" s="123">
        <f t="shared" si="0"/>
        <v>382.86843540990537</v>
      </c>
      <c r="Z14" s="123">
        <f t="shared" si="0"/>
        <v>141.40505525269506</v>
      </c>
      <c r="AA14" s="123">
        <f t="shared" si="0"/>
        <v>347.95081747466259</v>
      </c>
      <c r="AB14" s="123">
        <f t="shared" si="0"/>
        <v>275.95155478280702</v>
      </c>
      <c r="AC14" s="123">
        <f t="shared" si="0"/>
        <v>0</v>
      </c>
      <c r="AD14" s="123">
        <f t="shared" si="0"/>
        <v>0</v>
      </c>
      <c r="AE14" s="123">
        <f t="shared" si="0"/>
        <v>0</v>
      </c>
      <c r="AF14" s="123">
        <f t="shared" si="0"/>
        <v>0</v>
      </c>
      <c r="AG14" s="123">
        <f t="shared" si="0"/>
        <v>0</v>
      </c>
      <c r="AH14" s="123">
        <f t="shared" si="0"/>
        <v>0</v>
      </c>
      <c r="AI14" s="123">
        <f t="shared" si="0"/>
        <v>0</v>
      </c>
      <c r="AJ14" s="123">
        <f t="shared" si="0"/>
        <v>0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152.56389744400909</v>
      </c>
      <c r="AP14" s="123">
        <f t="shared" si="0"/>
        <v>76.281948722004543</v>
      </c>
      <c r="AQ14" s="123">
        <f t="shared" si="0"/>
        <v>0</v>
      </c>
      <c r="AR14" s="123">
        <f t="shared" si="0"/>
        <v>87.268615927068197</v>
      </c>
      <c r="AS14" s="123">
        <f t="shared" si="0"/>
        <v>0</v>
      </c>
      <c r="AT14" s="123">
        <f t="shared" si="0"/>
        <v>0</v>
      </c>
      <c r="AU14" s="123">
        <f t="shared" si="0"/>
        <v>95.202126615174365</v>
      </c>
      <c r="AV14" s="123">
        <f t="shared" si="0"/>
        <v>42.889526611747343</v>
      </c>
      <c r="AW14" s="123">
        <f t="shared" si="0"/>
        <v>92.927307782083005</v>
      </c>
      <c r="AX14" s="123">
        <f t="shared" si="0"/>
        <v>0</v>
      </c>
      <c r="AY14" s="123">
        <f t="shared" si="0"/>
        <v>0</v>
      </c>
      <c r="AZ14" s="116">
        <f t="shared" si="0"/>
        <v>100.99723442881739</v>
      </c>
      <c r="BA14" s="113">
        <f>SUM($E14:$AZ14)</f>
        <v>2854.5163977824018</v>
      </c>
    </row>
    <row r="15" spans="1:54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111.94187636642475</v>
      </c>
      <c r="I15" s="130">
        <v>111.94187636642475</v>
      </c>
      <c r="J15" s="130">
        <v>78.694631152605226</v>
      </c>
      <c r="K15" s="130">
        <v>78.694631152605226</v>
      </c>
      <c r="L15" s="130">
        <v>0</v>
      </c>
      <c r="M15" s="130">
        <v>78.694631152605226</v>
      </c>
      <c r="N15" s="130">
        <v>56.853968494036842</v>
      </c>
      <c r="O15" s="130">
        <v>56.853968494036842</v>
      </c>
      <c r="P15" s="130">
        <v>0</v>
      </c>
      <c r="Q15" s="130">
        <v>0</v>
      </c>
      <c r="R15" s="130">
        <v>721.45325605675009</v>
      </c>
      <c r="S15" s="130">
        <v>0</v>
      </c>
      <c r="T15" s="130">
        <v>0</v>
      </c>
      <c r="U15" s="130">
        <v>721.45325605675009</v>
      </c>
      <c r="V15" s="130">
        <v>664.63180691704747</v>
      </c>
      <c r="W15" s="130">
        <v>0</v>
      </c>
      <c r="X15" s="130">
        <v>664.63180691704747</v>
      </c>
      <c r="Y15" s="130">
        <v>0</v>
      </c>
      <c r="Z15" s="130">
        <v>543.40290761280824</v>
      </c>
      <c r="AA15" s="130">
        <v>543.40290761280824</v>
      </c>
      <c r="AB15" s="130">
        <v>543.40290761280824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822.89103212193277</v>
      </c>
      <c r="AI15" s="130">
        <v>822.89103212193277</v>
      </c>
      <c r="AJ15" s="130">
        <v>822.89103212193277</v>
      </c>
      <c r="AK15" s="130">
        <v>822.89103212193277</v>
      </c>
      <c r="AL15" s="130">
        <v>717.68391518378792</v>
      </c>
      <c r="AM15" s="130">
        <v>0</v>
      </c>
      <c r="AN15" s="130">
        <v>717.68391518378792</v>
      </c>
      <c r="AO15" s="130">
        <v>717.68391518378792</v>
      </c>
      <c r="AP15" s="130">
        <v>0</v>
      </c>
      <c r="AQ15" s="130">
        <v>410.52492103640861</v>
      </c>
      <c r="AR15" s="130">
        <v>0</v>
      </c>
      <c r="AS15" s="130">
        <v>0</v>
      </c>
      <c r="AT15" s="130">
        <v>0</v>
      </c>
      <c r="AU15" s="130">
        <v>0</v>
      </c>
      <c r="AV15" s="130">
        <v>739.7826141740868</v>
      </c>
      <c r="AW15" s="130">
        <v>0</v>
      </c>
      <c r="AX15" s="130">
        <v>0</v>
      </c>
      <c r="AY15" s="130">
        <v>0</v>
      </c>
      <c r="AZ15" s="106">
        <v>0</v>
      </c>
    </row>
    <row r="16" spans="1:54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/>
      <c r="H16" s="116">
        <v>111.94187636642475</v>
      </c>
      <c r="I16" s="116"/>
      <c r="J16" s="116"/>
      <c r="K16" s="116"/>
      <c r="L16" s="116"/>
      <c r="M16" s="116">
        <v>78.694631152605226</v>
      </c>
      <c r="N16" s="116"/>
      <c r="O16" s="116"/>
      <c r="P16" s="116"/>
      <c r="Q16" s="116">
        <v>56.853968494036842</v>
      </c>
      <c r="R16" s="116"/>
      <c r="S16" s="116"/>
      <c r="T16" s="116"/>
      <c r="U16" s="116">
        <v>721.45325605675009</v>
      </c>
      <c r="V16" s="116"/>
      <c r="W16" s="116"/>
      <c r="X16" s="116">
        <v>664.63180691704747</v>
      </c>
      <c r="Y16" s="116"/>
      <c r="Z16" s="116">
        <v>664.63180691704747</v>
      </c>
      <c r="AA16" s="116"/>
      <c r="AB16" s="116"/>
      <c r="AC16" s="116"/>
      <c r="AD16" s="116">
        <v>543.40290761280824</v>
      </c>
      <c r="AE16" s="116"/>
      <c r="AF16" s="116">
        <v>0</v>
      </c>
      <c r="AG16" s="116"/>
      <c r="AH16" s="116"/>
      <c r="AI16" s="116"/>
      <c r="AJ16" s="116"/>
      <c r="AK16" s="116"/>
      <c r="AL16" s="116"/>
      <c r="AM16" s="116"/>
      <c r="AN16" s="116">
        <v>717.68391518378792</v>
      </c>
      <c r="AO16" s="116"/>
      <c r="AP16" s="116"/>
      <c r="AQ16" s="116">
        <v>410.52492103640861</v>
      </c>
      <c r="AR16" s="116"/>
      <c r="AS16" s="116"/>
      <c r="AT16" s="116">
        <v>410.52492103640861</v>
      </c>
      <c r="AU16" s="116">
        <v>369.8913070870434</v>
      </c>
      <c r="AV16" s="116">
        <v>0</v>
      </c>
      <c r="AW16" s="116"/>
      <c r="AX16" s="116"/>
      <c r="AY16" s="116">
        <v>434.13497854811789</v>
      </c>
      <c r="AZ16" s="106">
        <v>434.13497854811789</v>
      </c>
    </row>
    <row r="17" spans="1:54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>
        <v>111.94187636642475</v>
      </c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>
        <v>56.853968494036842</v>
      </c>
      <c r="T17" s="116"/>
      <c r="U17" s="116">
        <v>721.45325605675009</v>
      </c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>
        <v>410.52492103640861</v>
      </c>
      <c r="AU17" s="116"/>
      <c r="AV17" s="116"/>
      <c r="AW17" s="116"/>
      <c r="AX17" s="116"/>
      <c r="AY17" s="116">
        <v>369.8913070870434</v>
      </c>
      <c r="BB17" s="106">
        <v>434.13497854811789</v>
      </c>
    </row>
    <row r="18" spans="1:54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293</v>
      </c>
    </row>
    <row r="21" spans="1:54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4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4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4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4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4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4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366.53188928126821</v>
      </c>
      <c r="E95" s="116">
        <v>366.53188928126821</v>
      </c>
      <c r="F95" s="116">
        <v>366.53188928126821</v>
      </c>
      <c r="G95" s="116">
        <v>366.53188928126821</v>
      </c>
      <c r="H95" s="116">
        <v>257.67025503699961</v>
      </c>
      <c r="I95" s="116">
        <v>257.67025503699961</v>
      </c>
      <c r="J95" s="116">
        <v>257.67025503699961</v>
      </c>
      <c r="K95" s="116">
        <v>257.67025503699961</v>
      </c>
      <c r="L95" s="116">
        <v>186.15725554790953</v>
      </c>
      <c r="M95" s="116">
        <v>186.15725554790953</v>
      </c>
      <c r="N95" s="116">
        <v>186.15725554790953</v>
      </c>
      <c r="O95" s="116">
        <v>186.15725554790953</v>
      </c>
      <c r="P95" s="116">
        <v>2362.2582857644206</v>
      </c>
      <c r="Q95" s="116">
        <v>2362.2582857644206</v>
      </c>
      <c r="R95" s="116">
        <v>2362.2582857644206</v>
      </c>
      <c r="S95" s="116">
        <v>2362.2582857644206</v>
      </c>
      <c r="T95" s="116">
        <v>2176.2075085137244</v>
      </c>
      <c r="U95" s="116">
        <v>2176.2075085137244</v>
      </c>
      <c r="V95" s="116">
        <v>2176.2075085137244</v>
      </c>
      <c r="W95" s="116">
        <v>2176.2075085137244</v>
      </c>
      <c r="X95" s="116">
        <v>1779.2670699594989</v>
      </c>
      <c r="Y95" s="116">
        <v>1779.2670699594989</v>
      </c>
      <c r="Z95" s="116">
        <v>1779.2670699594989</v>
      </c>
      <c r="AA95" s="116">
        <v>1779.2670699594989</v>
      </c>
      <c r="AB95" s="116">
        <v>0</v>
      </c>
      <c r="AC95" s="116">
        <v>0</v>
      </c>
      <c r="AD95" s="116">
        <v>0</v>
      </c>
      <c r="AE95" s="116">
        <v>0</v>
      </c>
      <c r="AF95" s="116">
        <v>2694.396542800223</v>
      </c>
      <c r="AG95" s="116">
        <v>2694.396542800223</v>
      </c>
      <c r="AH95" s="116">
        <v>2694.396542800223</v>
      </c>
      <c r="AI95" s="116">
        <v>2694.396542800223</v>
      </c>
      <c r="AJ95" s="116">
        <v>2349.9163126230237</v>
      </c>
      <c r="AK95" s="116">
        <v>2349.9163126230237</v>
      </c>
      <c r="AL95" s="116">
        <v>2349.9163126230237</v>
      </c>
      <c r="AM95" s="116">
        <v>2349.9163126230237</v>
      </c>
      <c r="AN95" s="116">
        <v>1344.1839621481424</v>
      </c>
      <c r="AO95" s="116">
        <v>1344.1839621481424</v>
      </c>
      <c r="AP95" s="116">
        <v>1344.1839621481424</v>
      </c>
      <c r="AQ95" s="116">
        <v>1344.1839621481424</v>
      </c>
      <c r="AR95" s="116">
        <v>1211.1371009321049</v>
      </c>
      <c r="AS95" s="116">
        <v>1211.1371009321049</v>
      </c>
      <c r="AT95" s="116">
        <v>1211.1371009321049</v>
      </c>
      <c r="AU95" s="116">
        <v>1211.1371009321049</v>
      </c>
      <c r="AV95" s="116">
        <v>1421.4905007439327</v>
      </c>
      <c r="AW95" s="116">
        <v>1421.4905007439327</v>
      </c>
      <c r="AX95" s="116">
        <v>1421.4905007439327</v>
      </c>
      <c r="AY95" s="116">
        <v>1421.4905007439327</v>
      </c>
    </row>
    <row r="96" spans="1:52" x14ac:dyDescent="0.2">
      <c r="A96" s="115"/>
      <c r="B96" s="126">
        <v>2</v>
      </c>
      <c r="C96" s="116"/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99.258285764420634</v>
      </c>
      <c r="S96" s="116">
        <v>107.51657152884127</v>
      </c>
      <c r="T96" s="116">
        <v>390.7748572932619</v>
      </c>
      <c r="U96" s="116">
        <v>594.98236580698631</v>
      </c>
      <c r="V96" s="116">
        <v>846.18987432071071</v>
      </c>
      <c r="W96" s="116">
        <v>1269.3973828344351</v>
      </c>
      <c r="X96" s="116">
        <v>1401.6048913481595</v>
      </c>
      <c r="Y96" s="116">
        <v>968.87196130765847</v>
      </c>
      <c r="Z96" s="116">
        <v>983.13903126715741</v>
      </c>
      <c r="AA96" s="116">
        <v>714.40610122665635</v>
      </c>
      <c r="AB96" s="116">
        <v>331.67317118615529</v>
      </c>
      <c r="AC96" s="116">
        <v>0</v>
      </c>
      <c r="AD96" s="116">
        <v>0</v>
      </c>
      <c r="AE96" s="116">
        <v>0</v>
      </c>
      <c r="AF96" s="116">
        <v>0</v>
      </c>
      <c r="AG96" s="116">
        <v>660.39654280022296</v>
      </c>
      <c r="AH96" s="116">
        <v>1093.7930856004459</v>
      </c>
      <c r="AI96" s="116">
        <v>1440.1896284006689</v>
      </c>
      <c r="AJ96" s="116">
        <v>2129.5861712008918</v>
      </c>
      <c r="AK96" s="116">
        <v>2248.5024838239156</v>
      </c>
      <c r="AL96" s="116">
        <v>2237.4187964469393</v>
      </c>
      <c r="AM96" s="116">
        <v>2349.9163126230237</v>
      </c>
      <c r="AN96" s="116">
        <v>2349.9163126230237</v>
      </c>
      <c r="AO96" s="116">
        <v>1344.1839621481424</v>
      </c>
      <c r="AP96" s="116">
        <v>265.61934598927155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122.41879644693927</v>
      </c>
      <c r="AN97" s="116">
        <v>471.33510906996298</v>
      </c>
      <c r="AO97" s="116">
        <v>442.2514216929867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0</v>
      </c>
      <c r="G100" s="112">
        <v>0</v>
      </c>
      <c r="H100" s="112">
        <v>23.627372843797573</v>
      </c>
      <c r="I100" s="112">
        <v>23.627372843797573</v>
      </c>
      <c r="J100" s="112">
        <v>16.60993590067617</v>
      </c>
      <c r="K100" s="112">
        <v>16.60993590067617</v>
      </c>
      <c r="L100" s="112">
        <v>0</v>
      </c>
      <c r="M100" s="112">
        <v>16.60993590067617</v>
      </c>
      <c r="N100" s="112">
        <v>12.000066059827404</v>
      </c>
      <c r="O100" s="112">
        <v>12.000066059827404</v>
      </c>
      <c r="P100" s="112">
        <v>0</v>
      </c>
      <c r="Q100" s="112">
        <v>0</v>
      </c>
      <c r="R100" s="112">
        <v>152.2758562169081</v>
      </c>
      <c r="S100" s="112">
        <v>0</v>
      </c>
      <c r="T100" s="112">
        <v>0</v>
      </c>
      <c r="U100" s="112">
        <v>152.2758562169081</v>
      </c>
      <c r="V100" s="112">
        <v>140.28265395938985</v>
      </c>
      <c r="W100" s="112">
        <v>0</v>
      </c>
      <c r="X100" s="112">
        <v>140.28265395938985</v>
      </c>
      <c r="Y100" s="112">
        <v>0</v>
      </c>
      <c r="Z100" s="112">
        <v>114.69508569379691</v>
      </c>
      <c r="AA100" s="112">
        <v>114.69508569379691</v>
      </c>
      <c r="AB100" s="112">
        <v>114.69508569379691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173.68614728342959</v>
      </c>
      <c r="AI100" s="112">
        <v>173.68614728342959</v>
      </c>
      <c r="AJ100" s="112">
        <v>173.68614728342959</v>
      </c>
      <c r="AK100" s="112">
        <v>173.68614728342959</v>
      </c>
      <c r="AL100" s="112">
        <v>151.48026813966953</v>
      </c>
      <c r="AM100" s="112">
        <v>0</v>
      </c>
      <c r="AN100" s="112">
        <v>151.48026813966953</v>
      </c>
      <c r="AO100" s="112">
        <v>151.48026813966953</v>
      </c>
      <c r="AP100" s="112">
        <v>0</v>
      </c>
      <c r="AQ100" s="112">
        <v>86.648765286437879</v>
      </c>
      <c r="AR100" s="112">
        <v>0</v>
      </c>
      <c r="AS100" s="112">
        <v>0</v>
      </c>
      <c r="AT100" s="112">
        <v>0</v>
      </c>
      <c r="AU100" s="112">
        <v>0</v>
      </c>
      <c r="AV100" s="112">
        <v>156.14460125034131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23.627372843797573</v>
      </c>
      <c r="I101" s="112">
        <v>0</v>
      </c>
      <c r="J101" s="112">
        <v>0</v>
      </c>
      <c r="K101" s="112">
        <v>0</v>
      </c>
      <c r="L101" s="112">
        <v>0</v>
      </c>
      <c r="M101" s="112">
        <v>16.60993590067617</v>
      </c>
      <c r="N101" s="112">
        <v>0</v>
      </c>
      <c r="O101" s="112">
        <v>0</v>
      </c>
      <c r="P101" s="112">
        <v>0</v>
      </c>
      <c r="Q101" s="112">
        <v>12.000066059827404</v>
      </c>
      <c r="R101" s="112">
        <v>0</v>
      </c>
      <c r="S101" s="112">
        <v>0</v>
      </c>
      <c r="T101" s="112">
        <v>0</v>
      </c>
      <c r="U101" s="112">
        <v>152.2758562169081</v>
      </c>
      <c r="V101" s="112">
        <v>0</v>
      </c>
      <c r="W101" s="112">
        <v>0</v>
      </c>
      <c r="X101" s="112">
        <v>140.28265395938985</v>
      </c>
      <c r="Y101" s="112">
        <v>0</v>
      </c>
      <c r="Z101" s="112">
        <v>140.28265395938985</v>
      </c>
      <c r="AA101" s="112">
        <v>1.4210854715202004E-14</v>
      </c>
      <c r="AB101" s="112">
        <v>0</v>
      </c>
      <c r="AC101" s="112">
        <v>0</v>
      </c>
      <c r="AD101" s="112">
        <v>114.69508569379691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151.48026813966953</v>
      </c>
      <c r="AO101" s="112">
        <v>0</v>
      </c>
      <c r="AP101" s="112">
        <v>0</v>
      </c>
      <c r="AQ101" s="112">
        <v>86.648765286437879</v>
      </c>
      <c r="AR101" s="112">
        <v>0</v>
      </c>
      <c r="AS101" s="112">
        <v>0</v>
      </c>
      <c r="AT101" s="112">
        <v>86.648765286437879</v>
      </c>
      <c r="AU101" s="112">
        <v>78.072300625170655</v>
      </c>
      <c r="AV101" s="112">
        <v>0</v>
      </c>
      <c r="AW101" s="112">
        <v>0</v>
      </c>
      <c r="AX101" s="112">
        <v>0</v>
      </c>
      <c r="AY101" s="112">
        <v>91.632098153457576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23.627372843797573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12.000066059827404</v>
      </c>
      <c r="T102" s="112">
        <v>0</v>
      </c>
      <c r="U102" s="112">
        <v>152.2758562169081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86.648765286437879</v>
      </c>
      <c r="AU102" s="112">
        <v>0</v>
      </c>
      <c r="AV102" s="112">
        <v>0</v>
      </c>
      <c r="AW102" s="112">
        <v>0</v>
      </c>
      <c r="AX102" s="112">
        <v>0</v>
      </c>
      <c r="AY102" s="112">
        <v>78.072300625170655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31.685234983606776</v>
      </c>
      <c r="J109" s="112">
        <v>10.561744994535594</v>
      </c>
      <c r="K109" s="112">
        <v>7.4248588075493842</v>
      </c>
      <c r="L109" s="112">
        <v>7.4248588075493833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583.86668614080327</v>
      </c>
      <c r="W109" s="112">
        <v>346.70722427668085</v>
      </c>
      <c r="X109" s="112">
        <v>70.539269320702402</v>
      </c>
      <c r="Y109" s="112">
        <v>382.86843540990537</v>
      </c>
      <c r="Z109" s="112">
        <v>141.40505525269506</v>
      </c>
      <c r="AA109" s="112">
        <v>347.95081747466259</v>
      </c>
      <c r="AB109" s="112">
        <v>275.95155478280702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152.56389744400909</v>
      </c>
      <c r="AP109" s="112">
        <v>76.281948722004543</v>
      </c>
      <c r="AQ109" s="112">
        <v>0</v>
      </c>
      <c r="AR109" s="112">
        <v>87.268615927068197</v>
      </c>
      <c r="AS109" s="112">
        <v>0</v>
      </c>
      <c r="AT109" s="112">
        <v>0</v>
      </c>
      <c r="AU109" s="112">
        <v>95.202126615174365</v>
      </c>
      <c r="AV109" s="112">
        <v>42.889526611747343</v>
      </c>
      <c r="AW109" s="112">
        <v>92.927307782083005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111.94187636642475</v>
      </c>
      <c r="I122" s="112">
        <v>111.94187636642475</v>
      </c>
      <c r="J122" s="112">
        <v>78.694631152605226</v>
      </c>
      <c r="K122" s="112">
        <v>78.694631152605226</v>
      </c>
      <c r="L122" s="112">
        <v>0</v>
      </c>
      <c r="M122" s="112">
        <v>78.694631152605226</v>
      </c>
      <c r="N122" s="112">
        <v>56.853968494036842</v>
      </c>
      <c r="O122" s="112">
        <v>56.853968494036842</v>
      </c>
      <c r="P122" s="112">
        <v>0</v>
      </c>
      <c r="Q122" s="112">
        <v>0</v>
      </c>
      <c r="R122" s="112">
        <v>721.45325605675009</v>
      </c>
      <c r="S122" s="112">
        <v>0</v>
      </c>
      <c r="T122" s="112">
        <v>0</v>
      </c>
      <c r="U122" s="112">
        <v>721.45325605675009</v>
      </c>
      <c r="V122" s="112">
        <v>664.63180691704747</v>
      </c>
      <c r="W122" s="112">
        <v>0</v>
      </c>
      <c r="X122" s="112">
        <v>664.63180691704747</v>
      </c>
      <c r="Y122" s="112">
        <v>0</v>
      </c>
      <c r="Z122" s="112">
        <v>543.40290761280824</v>
      </c>
      <c r="AA122" s="112">
        <v>543.40290761280824</v>
      </c>
      <c r="AB122" s="112">
        <v>543.40290761280824</v>
      </c>
      <c r="AC122" s="112">
        <v>0</v>
      </c>
      <c r="AD122" s="112">
        <v>0</v>
      </c>
      <c r="AE122" s="112">
        <v>0</v>
      </c>
      <c r="AF122" s="112">
        <v>0</v>
      </c>
      <c r="AG122" s="112">
        <v>0</v>
      </c>
      <c r="AH122" s="112">
        <v>822.89103212193277</v>
      </c>
      <c r="AI122" s="112">
        <v>822.89103212193277</v>
      </c>
      <c r="AJ122" s="112">
        <v>822.89103212193277</v>
      </c>
      <c r="AK122" s="112">
        <v>822.89103212193277</v>
      </c>
      <c r="AL122" s="112">
        <v>717.68391518378792</v>
      </c>
      <c r="AM122" s="112">
        <v>0</v>
      </c>
      <c r="AN122" s="112">
        <v>717.68391518378792</v>
      </c>
      <c r="AO122" s="112">
        <v>717.68391518378792</v>
      </c>
      <c r="AP122" s="112">
        <v>0</v>
      </c>
      <c r="AQ122" s="112">
        <v>410.52492103640861</v>
      </c>
      <c r="AR122" s="112">
        <v>0</v>
      </c>
      <c r="AS122" s="112">
        <v>0</v>
      </c>
      <c r="AT122" s="112">
        <v>0</v>
      </c>
      <c r="AU122" s="112">
        <v>0</v>
      </c>
      <c r="AV122" s="112">
        <v>739.7826141740868</v>
      </c>
      <c r="AW122" s="112">
        <v>0</v>
      </c>
      <c r="AX122" s="112">
        <v>0</v>
      </c>
      <c r="AY122" s="112">
        <v>0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111.94187636642475</v>
      </c>
      <c r="I123" s="112">
        <v>2.8421709430404007E-14</v>
      </c>
      <c r="J123" s="112">
        <v>1.4210854715202004E-14</v>
      </c>
      <c r="K123" s="112">
        <v>0</v>
      </c>
      <c r="L123" s="112">
        <v>0</v>
      </c>
      <c r="M123" s="112">
        <v>78.694631152605226</v>
      </c>
      <c r="N123" s="112">
        <v>0</v>
      </c>
      <c r="O123" s="112">
        <v>0</v>
      </c>
      <c r="P123" s="112">
        <v>0</v>
      </c>
      <c r="Q123" s="112">
        <v>56.853968494036842</v>
      </c>
      <c r="R123" s="112">
        <v>0</v>
      </c>
      <c r="S123" s="112">
        <v>0</v>
      </c>
      <c r="T123" s="112">
        <v>0</v>
      </c>
      <c r="U123" s="112">
        <v>721.45325605675009</v>
      </c>
      <c r="V123" s="112">
        <v>526.83102734314912</v>
      </c>
      <c r="W123" s="112">
        <v>261.48495918302211</v>
      </c>
      <c r="X123" s="112">
        <v>664.63180691704747</v>
      </c>
      <c r="Y123" s="112">
        <v>473.19758921209478</v>
      </c>
      <c r="Z123" s="112">
        <v>664.63180691704747</v>
      </c>
      <c r="AA123" s="112">
        <v>386.88630784309834</v>
      </c>
      <c r="AB123" s="112">
        <v>247.5980350144805</v>
      </c>
      <c r="AC123" s="112">
        <v>0</v>
      </c>
      <c r="AD123" s="112">
        <v>543.40290761280824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11.936724967660211</v>
      </c>
      <c r="AL123" s="112">
        <v>0</v>
      </c>
      <c r="AM123" s="112">
        <v>0</v>
      </c>
      <c r="AN123" s="112">
        <v>717.68391518378792</v>
      </c>
      <c r="AO123" s="112">
        <v>0</v>
      </c>
      <c r="AP123" s="112">
        <v>0</v>
      </c>
      <c r="AQ123" s="112">
        <v>410.52492103640861</v>
      </c>
      <c r="AR123" s="112">
        <v>0</v>
      </c>
      <c r="AS123" s="112">
        <v>0</v>
      </c>
      <c r="AT123" s="112">
        <v>410.52492103640861</v>
      </c>
      <c r="AU123" s="112">
        <v>369.8913070870434</v>
      </c>
      <c r="AV123" s="112">
        <v>0</v>
      </c>
      <c r="AW123" s="112">
        <v>0</v>
      </c>
      <c r="AX123" s="112">
        <v>0</v>
      </c>
      <c r="AY123" s="112">
        <v>434.13497854811789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111.94187636642475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56.853968494036842</v>
      </c>
      <c r="T124" s="112">
        <v>0</v>
      </c>
      <c r="U124" s="112">
        <v>721.45325605675009</v>
      </c>
      <c r="V124" s="112">
        <v>93.760634333907092</v>
      </c>
      <c r="W124" s="112">
        <v>0</v>
      </c>
      <c r="X124" s="112">
        <v>0</v>
      </c>
      <c r="Y124" s="112">
        <v>17.740230089643319</v>
      </c>
      <c r="Z124" s="112">
        <v>0</v>
      </c>
      <c r="AA124" s="112">
        <v>27.774513566350947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410.52492103640861</v>
      </c>
      <c r="AU124" s="112">
        <v>0</v>
      </c>
      <c r="AV124" s="112">
        <v>0</v>
      </c>
      <c r="AW124" s="112">
        <v>0</v>
      </c>
      <c r="AX124" s="112">
        <v>0</v>
      </c>
      <c r="AY124" s="112">
        <v>369.8913070870434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</v>
      </c>
      <c r="E172" s="140">
        <v>0</v>
      </c>
      <c r="F172" s="140">
        <v>0</v>
      </c>
      <c r="G172" s="140">
        <v>0</v>
      </c>
      <c r="H172" s="140">
        <v>9.4350258700000009E-2</v>
      </c>
      <c r="I172" s="140">
        <v>9.4350258700000009E-2</v>
      </c>
      <c r="J172" s="140">
        <v>9.4350258700000009E-2</v>
      </c>
      <c r="K172" s="140">
        <v>9.4350258700000009E-2</v>
      </c>
      <c r="L172" s="140">
        <v>0</v>
      </c>
      <c r="M172" s="140">
        <v>0</v>
      </c>
      <c r="N172" s="140">
        <v>0</v>
      </c>
      <c r="O172" s="140">
        <v>0</v>
      </c>
      <c r="P172" s="140">
        <v>0</v>
      </c>
      <c r="Q172" s="140">
        <v>0</v>
      </c>
      <c r="R172" s="140">
        <v>0</v>
      </c>
      <c r="S172" s="140">
        <v>0</v>
      </c>
      <c r="T172" s="140">
        <v>0.26976415599999998</v>
      </c>
      <c r="U172" s="140">
        <v>0.26976415599999998</v>
      </c>
      <c r="V172" s="140">
        <v>0.26976415599999998</v>
      </c>
      <c r="W172" s="140">
        <v>0.26976415599999998</v>
      </c>
      <c r="X172" s="140">
        <v>0.28803047900000001</v>
      </c>
      <c r="Y172" s="140">
        <v>0.28803047900000001</v>
      </c>
      <c r="Z172" s="140">
        <v>0.28803047900000001</v>
      </c>
      <c r="AA172" s="140">
        <v>0.28803047900000001</v>
      </c>
      <c r="AB172" s="140">
        <v>0</v>
      </c>
      <c r="AC172" s="140">
        <v>0</v>
      </c>
      <c r="AD172" s="140">
        <v>0</v>
      </c>
      <c r="AE172" s="140">
        <v>0</v>
      </c>
      <c r="AF172" s="140">
        <v>0</v>
      </c>
      <c r="AG172" s="140">
        <v>0</v>
      </c>
      <c r="AH172" s="140">
        <v>0</v>
      </c>
      <c r="AI172" s="140">
        <v>0</v>
      </c>
      <c r="AJ172" s="140">
        <v>0</v>
      </c>
      <c r="AK172" s="140">
        <v>0</v>
      </c>
      <c r="AL172" s="140">
        <v>0</v>
      </c>
      <c r="AM172" s="140">
        <v>0</v>
      </c>
      <c r="AN172" s="140">
        <v>0.10628906</v>
      </c>
      <c r="AO172" s="140">
        <v>0.10628906</v>
      </c>
      <c r="AP172" s="140">
        <v>0.10628906</v>
      </c>
      <c r="AQ172" s="140">
        <v>0.10628906</v>
      </c>
      <c r="AR172" s="140">
        <v>0.115951702</v>
      </c>
      <c r="AS172" s="140">
        <v>0.115951702</v>
      </c>
      <c r="AT172" s="140">
        <v>0.115951702</v>
      </c>
      <c r="AU172" s="140">
        <v>0.115951702</v>
      </c>
      <c r="AV172" s="140">
        <v>0.12561434399999999</v>
      </c>
      <c r="AW172" s="140">
        <v>0.12561434399999999</v>
      </c>
      <c r="AX172" s="140">
        <v>0.12561434399999999</v>
      </c>
      <c r="AY172" s="140">
        <v>0.12561434399999999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366.53188928126821</v>
      </c>
      <c r="E175" s="130">
        <f t="shared" si="1"/>
        <v>366.53188928126821</v>
      </c>
      <c r="F175" s="130">
        <f t="shared" si="1"/>
        <v>366.53188928126821</v>
      </c>
      <c r="G175" s="130">
        <f t="shared" si="1"/>
        <v>366.53188928126821</v>
      </c>
      <c r="H175" s="130">
        <f t="shared" si="1"/>
        <v>257.67025503699961</v>
      </c>
      <c r="I175" s="130">
        <f t="shared" si="1"/>
        <v>257.67025503699961</v>
      </c>
      <c r="J175" s="130">
        <f t="shared" si="1"/>
        <v>257.67025503699961</v>
      </c>
      <c r="K175" s="130">
        <f t="shared" si="1"/>
        <v>257.67025503699961</v>
      </c>
      <c r="L175" s="130">
        <f t="shared" si="1"/>
        <v>186.15725554790953</v>
      </c>
      <c r="M175" s="130">
        <f t="shared" si="1"/>
        <v>186.15725554790953</v>
      </c>
      <c r="N175" s="130">
        <f t="shared" si="1"/>
        <v>186.15725554790953</v>
      </c>
      <c r="O175" s="130">
        <f t="shared" si="1"/>
        <v>186.15725554790953</v>
      </c>
      <c r="P175" s="130">
        <f t="shared" si="1"/>
        <v>2362.2582857644206</v>
      </c>
      <c r="Q175" s="130">
        <f t="shared" si="1"/>
        <v>2362.2582857644206</v>
      </c>
      <c r="R175" s="130">
        <f t="shared" si="1"/>
        <v>2461.5165715288413</v>
      </c>
      <c r="S175" s="130">
        <f t="shared" si="1"/>
        <v>2469.7748572932619</v>
      </c>
      <c r="T175" s="130">
        <f t="shared" si="1"/>
        <v>2566.9823658069863</v>
      </c>
      <c r="U175" s="130">
        <f t="shared" si="1"/>
        <v>2771.1898743207107</v>
      </c>
      <c r="V175" s="130">
        <f t="shared" si="1"/>
        <v>3022.3973828344351</v>
      </c>
      <c r="W175" s="130">
        <f t="shared" si="1"/>
        <v>3445.6048913481595</v>
      </c>
      <c r="X175" s="130">
        <f t="shared" si="1"/>
        <v>3180.8719613076582</v>
      </c>
      <c r="Y175" s="130">
        <f t="shared" si="1"/>
        <v>2748.1390312671574</v>
      </c>
      <c r="Z175" s="130">
        <f t="shared" si="1"/>
        <v>2762.4061012266566</v>
      </c>
      <c r="AA175" s="130">
        <f t="shared" si="1"/>
        <v>2493.6731711861553</v>
      </c>
      <c r="AB175" s="130">
        <f t="shared" si="1"/>
        <v>331.67317118615529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2694.396542800223</v>
      </c>
      <c r="AG175" s="130">
        <f t="shared" si="1"/>
        <v>3354.7930856004459</v>
      </c>
      <c r="AH175" s="130">
        <f t="shared" si="1"/>
        <v>3788.1896284006689</v>
      </c>
      <c r="AI175" s="130">
        <f t="shared" si="1"/>
        <v>4134.5861712008918</v>
      </c>
      <c r="AJ175" s="130">
        <f t="shared" si="1"/>
        <v>4479.5024838239151</v>
      </c>
      <c r="AK175" s="130">
        <f t="shared" si="1"/>
        <v>4598.4187964469393</v>
      </c>
      <c r="AL175" s="130">
        <f t="shared" si="1"/>
        <v>4587.3351090699634</v>
      </c>
      <c r="AM175" s="130">
        <f t="shared" si="1"/>
        <v>4822.2514216929867</v>
      </c>
      <c r="AN175" s="130">
        <f t="shared" si="1"/>
        <v>4165.4353838411298</v>
      </c>
      <c r="AO175" s="130">
        <f t="shared" si="1"/>
        <v>3130.6193459892716</v>
      </c>
      <c r="AP175" s="130">
        <f t="shared" si="1"/>
        <v>1609.803308137414</v>
      </c>
      <c r="AQ175" s="130">
        <f t="shared" si="1"/>
        <v>1344.1839621481424</v>
      </c>
      <c r="AR175" s="130">
        <f t="shared" si="1"/>
        <v>1211.1371009321049</v>
      </c>
      <c r="AS175" s="130">
        <f t="shared" si="1"/>
        <v>1211.1371009321049</v>
      </c>
      <c r="AT175" s="130">
        <f t="shared" si="1"/>
        <v>1211.1371009321049</v>
      </c>
      <c r="AU175" s="130">
        <f t="shared" si="1"/>
        <v>1211.1371009321049</v>
      </c>
      <c r="AV175" s="130">
        <f t="shared" si="1"/>
        <v>1421.4905007439327</v>
      </c>
      <c r="AW175" s="130">
        <f t="shared" si="1"/>
        <v>1421.4905007439327</v>
      </c>
      <c r="AX175" s="130">
        <f t="shared" si="1"/>
        <v>1421.4905007439327</v>
      </c>
      <c r="AY175" s="130">
        <f t="shared" si="1"/>
        <v>1421.4905007439327</v>
      </c>
    </row>
    <row r="176" spans="1:52" x14ac:dyDescent="0.2">
      <c r="A176" s="131"/>
      <c r="B176" s="142" t="s">
        <v>298</v>
      </c>
      <c r="C176" s="131" t="s">
        <v>292</v>
      </c>
      <c r="D176" s="131">
        <v>366.53188928126821</v>
      </c>
      <c r="E176" s="131">
        <v>366.53188928126821</v>
      </c>
      <c r="F176" s="131">
        <v>366.53188928126821</v>
      </c>
      <c r="G176" s="131">
        <v>366.53188928126821</v>
      </c>
      <c r="H176" s="131">
        <v>257.67025503699961</v>
      </c>
      <c r="I176" s="131">
        <v>257.67025503699961</v>
      </c>
      <c r="J176" s="131">
        <v>257.67025503699961</v>
      </c>
      <c r="K176" s="131">
        <v>257.67025503699961</v>
      </c>
      <c r="L176" s="131">
        <v>186.15725554790953</v>
      </c>
      <c r="M176" s="131">
        <v>186.15725554790953</v>
      </c>
      <c r="N176" s="131">
        <v>186.15725554790953</v>
      </c>
      <c r="O176" s="131">
        <v>186.15725554790953</v>
      </c>
      <c r="P176" s="131">
        <v>2362.2582857644206</v>
      </c>
      <c r="Q176" s="131">
        <v>2263</v>
      </c>
      <c r="R176" s="131">
        <v>2354</v>
      </c>
      <c r="S176" s="131">
        <v>2079</v>
      </c>
      <c r="T176" s="131">
        <v>1972</v>
      </c>
      <c r="U176" s="131">
        <v>1925</v>
      </c>
      <c r="V176" s="131">
        <v>1753</v>
      </c>
      <c r="W176" s="131">
        <v>2044</v>
      </c>
      <c r="X176" s="131">
        <v>2212</v>
      </c>
      <c r="Y176" s="131">
        <v>1765</v>
      </c>
      <c r="Z176" s="131">
        <v>2048</v>
      </c>
      <c r="AA176" s="131">
        <v>2162</v>
      </c>
      <c r="AB176" s="131">
        <v>331.67317118615529</v>
      </c>
      <c r="AC176" s="131">
        <v>0</v>
      </c>
      <c r="AD176" s="131">
        <v>0</v>
      </c>
      <c r="AE176" s="131">
        <v>0</v>
      </c>
      <c r="AF176" s="131">
        <v>2034</v>
      </c>
      <c r="AG176" s="131">
        <v>2261</v>
      </c>
      <c r="AH176" s="131">
        <v>2348</v>
      </c>
      <c r="AI176" s="131">
        <v>2005</v>
      </c>
      <c r="AJ176" s="131">
        <v>2231</v>
      </c>
      <c r="AK176" s="131">
        <v>2361</v>
      </c>
      <c r="AL176" s="131">
        <v>2115</v>
      </c>
      <c r="AM176" s="131">
        <v>2001</v>
      </c>
      <c r="AN176" s="131">
        <v>2379</v>
      </c>
      <c r="AO176" s="131">
        <v>2865</v>
      </c>
      <c r="AP176" s="131">
        <v>1609.803308137414</v>
      </c>
      <c r="AQ176" s="131">
        <v>1344.1839621481424</v>
      </c>
      <c r="AR176" s="131">
        <v>1211.1371009321049</v>
      </c>
      <c r="AS176" s="131">
        <v>1211.1371009321049</v>
      </c>
      <c r="AT176" s="131">
        <v>1211.1371009321049</v>
      </c>
      <c r="AU176" s="131">
        <v>1211.1371009321049</v>
      </c>
      <c r="AV176" s="131">
        <v>1421.4905007439327</v>
      </c>
      <c r="AW176" s="131">
        <v>1421.4905007439327</v>
      </c>
      <c r="AX176" s="131">
        <v>1421.4905007439327</v>
      </c>
      <c r="AY176" s="131">
        <v>1421.4905007439327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70.88211853139272</v>
      </c>
      <c r="I177" s="130">
        <f t="shared" si="2"/>
        <v>23.627372843797573</v>
      </c>
      <c r="J177" s="130">
        <f t="shared" si="2"/>
        <v>16.60993590067617</v>
      </c>
      <c r="K177" s="130">
        <f t="shared" si="2"/>
        <v>16.60993590067617</v>
      </c>
      <c r="L177" s="130">
        <f t="shared" si="2"/>
        <v>0</v>
      </c>
      <c r="M177" s="130">
        <f t="shared" si="2"/>
        <v>33.21987180135234</v>
      </c>
      <c r="N177" s="130">
        <f t="shared" si="2"/>
        <v>12.000066059827404</v>
      </c>
      <c r="O177" s="130">
        <f t="shared" si="2"/>
        <v>12.000066059827404</v>
      </c>
      <c r="P177" s="130">
        <f t="shared" si="2"/>
        <v>0</v>
      </c>
      <c r="Q177" s="130">
        <f t="shared" si="2"/>
        <v>12.000066059827404</v>
      </c>
      <c r="R177" s="130">
        <f t="shared" si="2"/>
        <v>152.2758562169081</v>
      </c>
      <c r="S177" s="130">
        <f t="shared" si="2"/>
        <v>12.000066059827404</v>
      </c>
      <c r="T177" s="130">
        <f t="shared" si="2"/>
        <v>0</v>
      </c>
      <c r="U177" s="130">
        <f t="shared" si="2"/>
        <v>456.82756865072429</v>
      </c>
      <c r="V177" s="130">
        <f t="shared" si="2"/>
        <v>140.28265395938985</v>
      </c>
      <c r="W177" s="130">
        <f t="shared" si="2"/>
        <v>0</v>
      </c>
      <c r="X177" s="130">
        <f t="shared" si="2"/>
        <v>280.56530791877969</v>
      </c>
      <c r="Y177" s="130">
        <f t="shared" si="2"/>
        <v>0</v>
      </c>
      <c r="Z177" s="130">
        <f t="shared" si="2"/>
        <v>254.97773965318675</v>
      </c>
      <c r="AA177" s="130">
        <f t="shared" si="2"/>
        <v>114.69508569379693</v>
      </c>
      <c r="AB177" s="130">
        <f t="shared" si="2"/>
        <v>114.69508569379691</v>
      </c>
      <c r="AC177" s="130">
        <f t="shared" si="2"/>
        <v>0</v>
      </c>
      <c r="AD177" s="130">
        <f t="shared" si="2"/>
        <v>114.69508569379691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173.68614728342959</v>
      </c>
      <c r="AI177" s="130">
        <f t="shared" si="2"/>
        <v>173.68614728342959</v>
      </c>
      <c r="AJ177" s="130">
        <f t="shared" si="2"/>
        <v>173.68614728342959</v>
      </c>
      <c r="AK177" s="130">
        <f t="shared" si="2"/>
        <v>173.68614728342959</v>
      </c>
      <c r="AL177" s="130">
        <f t="shared" si="2"/>
        <v>151.48026813966953</v>
      </c>
      <c r="AM177" s="130">
        <f t="shared" si="2"/>
        <v>0</v>
      </c>
      <c r="AN177" s="130">
        <f t="shared" si="2"/>
        <v>302.96053627933907</v>
      </c>
      <c r="AO177" s="130">
        <f t="shared" si="2"/>
        <v>151.48026813966953</v>
      </c>
      <c r="AP177" s="130">
        <f t="shared" si="2"/>
        <v>0</v>
      </c>
      <c r="AQ177" s="130">
        <f t="shared" si="2"/>
        <v>173.29753057287576</v>
      </c>
      <c r="AR177" s="130">
        <f t="shared" si="2"/>
        <v>0</v>
      </c>
      <c r="AS177" s="130">
        <f t="shared" si="2"/>
        <v>0</v>
      </c>
      <c r="AT177" s="130">
        <f t="shared" si="2"/>
        <v>173.29753057287576</v>
      </c>
      <c r="AU177" s="130">
        <f t="shared" si="2"/>
        <v>78.072300625170655</v>
      </c>
      <c r="AV177" s="130">
        <f t="shared" si="2"/>
        <v>156.14460125034131</v>
      </c>
      <c r="AW177" s="130">
        <f t="shared" si="2"/>
        <v>0</v>
      </c>
      <c r="AX177" s="130">
        <f t="shared" si="2"/>
        <v>0</v>
      </c>
      <c r="AY177" s="130">
        <f t="shared" si="2"/>
        <v>169.70439877862822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0</v>
      </c>
      <c r="G178" s="131">
        <v>0</v>
      </c>
      <c r="H178" s="131">
        <v>70.88211853139272</v>
      </c>
      <c r="I178" s="131">
        <v>23.627372843797573</v>
      </c>
      <c r="J178" s="131">
        <v>16.60993590067617</v>
      </c>
      <c r="K178" s="131">
        <v>16.60993590067617</v>
      </c>
      <c r="L178" s="131">
        <v>0</v>
      </c>
      <c r="M178" s="131">
        <v>33.21987180135234</v>
      </c>
      <c r="N178" s="131">
        <v>12.000066059827404</v>
      </c>
      <c r="O178" s="131">
        <v>12.000066059827404</v>
      </c>
      <c r="P178" s="131">
        <v>0</v>
      </c>
      <c r="Q178" s="131">
        <v>12.000066059827404</v>
      </c>
      <c r="R178" s="131">
        <v>152.2758562169081</v>
      </c>
      <c r="S178" s="131">
        <v>12.000066059827404</v>
      </c>
      <c r="T178" s="131">
        <v>0</v>
      </c>
      <c r="U178" s="131">
        <v>456.82756865072429</v>
      </c>
      <c r="V178" s="131">
        <v>140.28265395938985</v>
      </c>
      <c r="W178" s="131">
        <v>0</v>
      </c>
      <c r="X178" s="131">
        <v>280.56530791877969</v>
      </c>
      <c r="Y178" s="131">
        <v>0</v>
      </c>
      <c r="Z178" s="131">
        <v>254.97773965318675</v>
      </c>
      <c r="AA178" s="131">
        <v>114.69508569379693</v>
      </c>
      <c r="AB178" s="131">
        <v>114.69508569379691</v>
      </c>
      <c r="AC178" s="131">
        <v>0</v>
      </c>
      <c r="AD178" s="131">
        <v>114.69508569379691</v>
      </c>
      <c r="AE178" s="131">
        <v>0</v>
      </c>
      <c r="AF178" s="131">
        <v>0</v>
      </c>
      <c r="AG178" s="131">
        <v>0</v>
      </c>
      <c r="AH178" s="131">
        <v>173.68614728342959</v>
      </c>
      <c r="AI178" s="131">
        <v>173.68614728342959</v>
      </c>
      <c r="AJ178" s="131">
        <v>173.68614728342959</v>
      </c>
      <c r="AK178" s="131">
        <v>173.68614728342959</v>
      </c>
      <c r="AL178" s="131">
        <v>151.48026813966953</v>
      </c>
      <c r="AM178" s="131">
        <v>0</v>
      </c>
      <c r="AN178" s="131">
        <v>302.96053627933907</v>
      </c>
      <c r="AO178" s="131">
        <v>151.48026813966953</v>
      </c>
      <c r="AP178" s="131">
        <v>0</v>
      </c>
      <c r="AQ178" s="131">
        <v>173.29753057287576</v>
      </c>
      <c r="AR178" s="131">
        <v>0</v>
      </c>
      <c r="AS178" s="131">
        <v>0</v>
      </c>
      <c r="AT178" s="131">
        <v>173.29753057287576</v>
      </c>
      <c r="AU178" s="131">
        <v>78.072300625170655</v>
      </c>
      <c r="AV178" s="131">
        <v>156.14460125034131</v>
      </c>
      <c r="AW178" s="131">
        <v>0</v>
      </c>
      <c r="AX178" s="131">
        <v>0</v>
      </c>
      <c r="AY178" s="131">
        <v>169.70439877862822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31.685234983606776</v>
      </c>
      <c r="J179" s="130">
        <f t="shared" si="3"/>
        <v>10.561744994535594</v>
      </c>
      <c r="K179" s="130">
        <f t="shared" si="3"/>
        <v>7.4248588075493842</v>
      </c>
      <c r="L179" s="130">
        <f t="shared" si="3"/>
        <v>7.4248588075493833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583.86668614080327</v>
      </c>
      <c r="W179" s="130">
        <f t="shared" si="3"/>
        <v>346.70722427668085</v>
      </c>
      <c r="X179" s="130">
        <f t="shared" si="3"/>
        <v>70.539269320702402</v>
      </c>
      <c r="Y179" s="130">
        <f t="shared" si="3"/>
        <v>382.86843540990537</v>
      </c>
      <c r="Z179" s="130">
        <f t="shared" si="3"/>
        <v>141.40505525269506</v>
      </c>
      <c r="AA179" s="130">
        <f t="shared" si="3"/>
        <v>347.95081747466259</v>
      </c>
      <c r="AB179" s="130">
        <f t="shared" si="3"/>
        <v>275.95155478280702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152.56389744400909</v>
      </c>
      <c r="AP179" s="130">
        <f t="shared" si="3"/>
        <v>76.281948722004543</v>
      </c>
      <c r="AQ179" s="130">
        <f t="shared" si="3"/>
        <v>0</v>
      </c>
      <c r="AR179" s="130">
        <f t="shared" si="3"/>
        <v>87.268615927068197</v>
      </c>
      <c r="AS179" s="130">
        <f t="shared" si="3"/>
        <v>0</v>
      </c>
      <c r="AT179" s="130">
        <f t="shared" si="3"/>
        <v>0</v>
      </c>
      <c r="AU179" s="130">
        <f t="shared" si="3"/>
        <v>95.202126615174365</v>
      </c>
      <c r="AV179" s="130">
        <f t="shared" si="3"/>
        <v>42.889526611747343</v>
      </c>
      <c r="AW179" s="130">
        <f t="shared" si="3"/>
        <v>92.927307782083005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31.685234983606776</v>
      </c>
      <c r="J180" s="131">
        <v>10.561744994535594</v>
      </c>
      <c r="K180" s="131">
        <v>7.4248588075493842</v>
      </c>
      <c r="L180" s="131">
        <v>7.4248588075493833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583.86668614080327</v>
      </c>
      <c r="W180" s="131">
        <v>346.70722427668085</v>
      </c>
      <c r="X180" s="131">
        <v>70.539269320702402</v>
      </c>
      <c r="Y180" s="131">
        <v>382.86843540990537</v>
      </c>
      <c r="Z180" s="131">
        <v>141.40505525269506</v>
      </c>
      <c r="AA180" s="131">
        <v>347.95081747466259</v>
      </c>
      <c r="AB180" s="131">
        <v>275.95155478280702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152.56389744400909</v>
      </c>
      <c r="AP180" s="131">
        <v>76.281948722004543</v>
      </c>
      <c r="AQ180" s="131">
        <v>0</v>
      </c>
      <c r="AR180" s="131">
        <v>87.268615927068197</v>
      </c>
      <c r="AS180" s="131">
        <v>0</v>
      </c>
      <c r="AT180" s="131">
        <v>0</v>
      </c>
      <c r="AU180" s="131">
        <v>95.202126615174365</v>
      </c>
      <c r="AV180" s="131">
        <v>42.889526611747343</v>
      </c>
      <c r="AW180" s="131">
        <v>92.927307782083005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304.14039411566745</v>
      </c>
      <c r="I181" s="130">
        <f t="shared" si="4"/>
        <v>101.38013137188918</v>
      </c>
      <c r="J181" s="130">
        <f t="shared" si="4"/>
        <v>71.269772345055856</v>
      </c>
      <c r="K181" s="130">
        <f t="shared" si="4"/>
        <v>71.269772345055841</v>
      </c>
      <c r="L181" s="130">
        <f t="shared" si="4"/>
        <v>0</v>
      </c>
      <c r="M181" s="130">
        <f t="shared" si="4"/>
        <v>157.38926230521045</v>
      </c>
      <c r="N181" s="130">
        <f t="shared" si="4"/>
        <v>56.853968494036842</v>
      </c>
      <c r="O181" s="130">
        <f t="shared" si="4"/>
        <v>56.853968494036842</v>
      </c>
      <c r="P181" s="130">
        <f t="shared" si="4"/>
        <v>0</v>
      </c>
      <c r="Q181" s="130">
        <f t="shared" si="4"/>
        <v>56.853968494036842</v>
      </c>
      <c r="R181" s="130">
        <f t="shared" si="4"/>
        <v>721.45325605675009</v>
      </c>
      <c r="S181" s="130">
        <f t="shared" si="4"/>
        <v>56.853968494036842</v>
      </c>
      <c r="T181" s="130">
        <f t="shared" si="4"/>
        <v>0</v>
      </c>
      <c r="U181" s="130">
        <f t="shared" si="4"/>
        <v>1580.4930820294474</v>
      </c>
      <c r="V181" s="130">
        <f t="shared" si="4"/>
        <v>938.51624431742289</v>
      </c>
      <c r="W181" s="130">
        <f t="shared" si="4"/>
        <v>190.94568986231971</v>
      </c>
      <c r="X181" s="130">
        <f t="shared" si="4"/>
        <v>946.39517842418957</v>
      </c>
      <c r="Y181" s="130">
        <f t="shared" si="4"/>
        <v>349.53276404904301</v>
      </c>
      <c r="Z181" s="130">
        <f t="shared" si="4"/>
        <v>860.08389705519301</v>
      </c>
      <c r="AA181" s="130">
        <f t="shared" si="4"/>
        <v>682.11217423945038</v>
      </c>
      <c r="AB181" s="130">
        <f t="shared" si="4"/>
        <v>791.00094262728874</v>
      </c>
      <c r="AC181" s="130">
        <f t="shared" si="4"/>
        <v>0</v>
      </c>
      <c r="AD181" s="130">
        <f t="shared" si="4"/>
        <v>543.40290761280824</v>
      </c>
      <c r="AE181" s="130">
        <f t="shared" si="4"/>
        <v>0</v>
      </c>
      <c r="AF181" s="130">
        <f t="shared" si="4"/>
        <v>0</v>
      </c>
      <c r="AG181" s="130">
        <f t="shared" si="4"/>
        <v>0</v>
      </c>
      <c r="AH181" s="130">
        <f t="shared" si="4"/>
        <v>822.89103212193277</v>
      </c>
      <c r="AI181" s="130">
        <f t="shared" si="4"/>
        <v>822.89103212193277</v>
      </c>
      <c r="AJ181" s="130">
        <f t="shared" si="4"/>
        <v>822.89103212193277</v>
      </c>
      <c r="AK181" s="130">
        <f t="shared" si="4"/>
        <v>834.82775708959298</v>
      </c>
      <c r="AL181" s="130">
        <f t="shared" si="4"/>
        <v>717.68391518378792</v>
      </c>
      <c r="AM181" s="130">
        <f t="shared" si="4"/>
        <v>0</v>
      </c>
      <c r="AN181" s="130">
        <f t="shared" si="4"/>
        <v>1282.8039329235667</v>
      </c>
      <c r="AO181" s="130">
        <f t="shared" si="4"/>
        <v>641.40196646178333</v>
      </c>
      <c r="AP181" s="130">
        <f t="shared" si="4"/>
        <v>0</v>
      </c>
      <c r="AQ181" s="130">
        <f t="shared" si="4"/>
        <v>733.78122614574897</v>
      </c>
      <c r="AR181" s="130">
        <f t="shared" si="4"/>
        <v>0</v>
      </c>
      <c r="AS181" s="130">
        <f t="shared" si="4"/>
        <v>0</v>
      </c>
      <c r="AT181" s="130">
        <f t="shared" si="4"/>
        <v>725.84771545764283</v>
      </c>
      <c r="AU181" s="130">
        <f t="shared" si="4"/>
        <v>327.00178047529602</v>
      </c>
      <c r="AV181" s="130">
        <f t="shared" si="4"/>
        <v>646.85530639200385</v>
      </c>
      <c r="AW181" s="130">
        <f t="shared" si="4"/>
        <v>0</v>
      </c>
      <c r="AX181" s="130">
        <f t="shared" si="4"/>
        <v>0</v>
      </c>
      <c r="AY181" s="130">
        <f t="shared" si="4"/>
        <v>703.02905120634387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304.14039411566745</v>
      </c>
      <c r="I182" s="131">
        <v>101.38013137188918</v>
      </c>
      <c r="J182" s="131">
        <v>71.269772345055856</v>
      </c>
      <c r="K182" s="131">
        <v>71.269772345055841</v>
      </c>
      <c r="L182" s="131">
        <v>0</v>
      </c>
      <c r="M182" s="131">
        <v>157.38926230521045</v>
      </c>
      <c r="N182" s="131">
        <v>56.853968494036842</v>
      </c>
      <c r="O182" s="131">
        <v>56.853968494036842</v>
      </c>
      <c r="P182" s="131">
        <v>0</v>
      </c>
      <c r="Q182" s="131">
        <v>56.853968494036842</v>
      </c>
      <c r="R182" s="131">
        <v>721.45325605675009</v>
      </c>
      <c r="S182" s="131">
        <v>56.853968494036842</v>
      </c>
      <c r="T182" s="131">
        <v>0</v>
      </c>
      <c r="U182" s="131">
        <v>959.90142035239114</v>
      </c>
      <c r="V182" s="131">
        <v>677.03128513440072</v>
      </c>
      <c r="W182" s="131">
        <v>190.94568986231971</v>
      </c>
      <c r="X182" s="131">
        <v>455.45735912245146</v>
      </c>
      <c r="Y182" s="131">
        <v>349.53276404904301</v>
      </c>
      <c r="Z182" s="131">
        <v>445.42307564574384</v>
      </c>
      <c r="AA182" s="131">
        <v>434.51413922496999</v>
      </c>
      <c r="AB182" s="131">
        <v>791.00094262728874</v>
      </c>
      <c r="AC182" s="131">
        <v>0</v>
      </c>
      <c r="AD182" s="131">
        <v>543.40290761280824</v>
      </c>
      <c r="AE182" s="131">
        <v>0</v>
      </c>
      <c r="AF182" s="131">
        <v>0</v>
      </c>
      <c r="AG182" s="131">
        <v>0</v>
      </c>
      <c r="AH182" s="131">
        <v>822.89103212193277</v>
      </c>
      <c r="AI182" s="131">
        <v>822.89103212193277</v>
      </c>
      <c r="AJ182" s="131">
        <v>810.95430715427256</v>
      </c>
      <c r="AK182" s="131">
        <v>834.82775708959298</v>
      </c>
      <c r="AL182" s="131">
        <v>717.68391518378792</v>
      </c>
      <c r="AM182" s="131">
        <v>0</v>
      </c>
      <c r="AN182" s="131">
        <v>1282.8039329235667</v>
      </c>
      <c r="AO182" s="131">
        <v>641.40196646178333</v>
      </c>
      <c r="AP182" s="131">
        <v>0</v>
      </c>
      <c r="AQ182" s="131">
        <v>733.78122614574897</v>
      </c>
      <c r="AR182" s="131">
        <v>0</v>
      </c>
      <c r="AS182" s="131">
        <v>0</v>
      </c>
      <c r="AT182" s="131">
        <v>725.84771545764283</v>
      </c>
      <c r="AU182" s="131">
        <v>327.00178047529602</v>
      </c>
      <c r="AV182" s="131">
        <v>646.85530639200385</v>
      </c>
      <c r="AW182" s="131">
        <v>0</v>
      </c>
      <c r="AX182" s="131">
        <v>0</v>
      </c>
      <c r="AY182" s="131">
        <v>703.02905120634387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366.53188928126821</v>
      </c>
      <c r="E185" s="130">
        <v>366.53188928126821</v>
      </c>
      <c r="F185" s="130">
        <v>366.53188928126821</v>
      </c>
      <c r="G185" s="130">
        <v>366.53188928126821</v>
      </c>
      <c r="H185" s="130">
        <v>257.67025503699961</v>
      </c>
      <c r="I185" s="130">
        <v>257.67025503699961</v>
      </c>
      <c r="J185" s="130">
        <v>257.67025503699961</v>
      </c>
      <c r="K185" s="130">
        <v>257.67025503699961</v>
      </c>
      <c r="L185" s="130">
        <v>186.15725554790953</v>
      </c>
      <c r="M185" s="130">
        <v>186.15725554790953</v>
      </c>
      <c r="N185" s="130">
        <v>186.15725554790953</v>
      </c>
      <c r="O185" s="130">
        <v>186.15725554790953</v>
      </c>
      <c r="P185" s="130">
        <v>2362.2582857644206</v>
      </c>
      <c r="Q185" s="130">
        <v>2263</v>
      </c>
      <c r="R185" s="130">
        <v>2254.7417142355794</v>
      </c>
      <c r="S185" s="130">
        <v>1971.4834284711587</v>
      </c>
      <c r="T185" s="130">
        <v>1581.2251427067381</v>
      </c>
      <c r="U185" s="130">
        <v>1330.0176341930137</v>
      </c>
      <c r="V185" s="130">
        <v>906.81012567928929</v>
      </c>
      <c r="W185" s="130">
        <v>774.60261716556488</v>
      </c>
      <c r="X185" s="130">
        <v>810.39510865184047</v>
      </c>
      <c r="Y185" s="130">
        <v>796.12803869234153</v>
      </c>
      <c r="Z185" s="130">
        <v>1064.8609687328426</v>
      </c>
      <c r="AA185" s="130">
        <v>1447.5938987733437</v>
      </c>
      <c r="AB185" s="130">
        <v>0</v>
      </c>
      <c r="AC185" s="130">
        <v>0</v>
      </c>
      <c r="AD185" s="130">
        <v>0</v>
      </c>
      <c r="AE185" s="130">
        <v>0</v>
      </c>
      <c r="AF185" s="130">
        <v>2034</v>
      </c>
      <c r="AG185" s="130">
        <v>1600.603457199777</v>
      </c>
      <c r="AH185" s="130">
        <v>1254.2069143995541</v>
      </c>
      <c r="AI185" s="130">
        <v>564.81037159933112</v>
      </c>
      <c r="AJ185" s="130">
        <v>101.41382879910816</v>
      </c>
      <c r="AK185" s="130">
        <v>112.49751617608445</v>
      </c>
      <c r="AL185" s="130">
        <v>0</v>
      </c>
      <c r="AM185" s="130">
        <v>0</v>
      </c>
      <c r="AN185" s="130">
        <v>0</v>
      </c>
      <c r="AO185" s="130">
        <v>1078.5646161588709</v>
      </c>
      <c r="AP185" s="130">
        <v>1344.1839621481424</v>
      </c>
      <c r="AQ185" s="130">
        <v>1344.1839621481424</v>
      </c>
      <c r="AR185" s="130">
        <v>1211.1371009321049</v>
      </c>
      <c r="AS185" s="130">
        <v>1211.1371009321049</v>
      </c>
      <c r="AT185" s="130">
        <v>1211.1371009321049</v>
      </c>
      <c r="AU185" s="130">
        <v>1211.1371009321049</v>
      </c>
      <c r="AV185" s="130">
        <v>1421.4905007439327</v>
      </c>
      <c r="AW185" s="130">
        <v>1421.4905007439327</v>
      </c>
      <c r="AX185" s="130">
        <v>1421.4905007439327</v>
      </c>
      <c r="AY185" s="130">
        <v>1421.4905007439327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99.258285764420634</v>
      </c>
      <c r="S186" s="112">
        <v>107.51657152884127</v>
      </c>
      <c r="T186" s="112">
        <v>390.7748572932619</v>
      </c>
      <c r="U186" s="112">
        <v>594.98236580698631</v>
      </c>
      <c r="V186" s="112">
        <v>846.18987432071071</v>
      </c>
      <c r="W186" s="112">
        <v>1269.3973828344351</v>
      </c>
      <c r="X186" s="112">
        <v>1401.6048913481595</v>
      </c>
      <c r="Y186" s="112">
        <v>968.87196130765847</v>
      </c>
      <c r="Z186" s="112">
        <v>983.13903126715741</v>
      </c>
      <c r="AA186" s="112">
        <v>714.40610122665635</v>
      </c>
      <c r="AB186" s="112">
        <v>331.67317118615529</v>
      </c>
      <c r="AC186" s="112">
        <v>0</v>
      </c>
      <c r="AD186" s="112">
        <v>0</v>
      </c>
      <c r="AE186" s="112">
        <v>0</v>
      </c>
      <c r="AF186" s="112">
        <v>0</v>
      </c>
      <c r="AG186" s="112">
        <v>660.39654280022296</v>
      </c>
      <c r="AH186" s="112">
        <v>1093.7930856004459</v>
      </c>
      <c r="AI186" s="112">
        <v>1440.1896284006689</v>
      </c>
      <c r="AJ186" s="112">
        <v>2129.5861712008918</v>
      </c>
      <c r="AK186" s="112">
        <v>2248.5024838239156</v>
      </c>
      <c r="AL186" s="112">
        <v>2115</v>
      </c>
      <c r="AM186" s="112">
        <v>1878.5812035530607</v>
      </c>
      <c r="AN186" s="112">
        <v>1907.664890930037</v>
      </c>
      <c r="AO186" s="112">
        <v>1344.1839621481424</v>
      </c>
      <c r="AP186" s="112">
        <v>265.61934598927155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122.41879644693927</v>
      </c>
      <c r="AN187" s="112">
        <v>471.33510906996298</v>
      </c>
      <c r="AO187" s="112">
        <v>442.2514216929867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0</v>
      </c>
      <c r="G189" s="130">
        <v>0</v>
      </c>
      <c r="H189" s="130">
        <v>23.627372843797573</v>
      </c>
      <c r="I189" s="130">
        <v>23.627372843797573</v>
      </c>
      <c r="J189" s="130">
        <v>16.60993590067617</v>
      </c>
      <c r="K189" s="130">
        <v>16.60993590067617</v>
      </c>
      <c r="L189" s="130">
        <v>0</v>
      </c>
      <c r="M189" s="130">
        <v>16.60993590067617</v>
      </c>
      <c r="N189" s="130">
        <v>12.000066059827404</v>
      </c>
      <c r="O189" s="130">
        <v>12.000066059827404</v>
      </c>
      <c r="P189" s="130">
        <v>0</v>
      </c>
      <c r="Q189" s="130">
        <v>0</v>
      </c>
      <c r="R189" s="130">
        <v>152.2758562169081</v>
      </c>
      <c r="S189" s="130">
        <v>0</v>
      </c>
      <c r="T189" s="130">
        <v>0</v>
      </c>
      <c r="U189" s="130">
        <v>152.2758562169081</v>
      </c>
      <c r="V189" s="130">
        <v>140.28265395938985</v>
      </c>
      <c r="W189" s="130">
        <v>0</v>
      </c>
      <c r="X189" s="130">
        <v>140.28265395938985</v>
      </c>
      <c r="Y189" s="130">
        <v>0</v>
      </c>
      <c r="Z189" s="130">
        <v>114.6950856937969</v>
      </c>
      <c r="AA189" s="130">
        <v>114.69508569379691</v>
      </c>
      <c r="AB189" s="130">
        <v>114.69508569379691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173.68614728342959</v>
      </c>
      <c r="AI189" s="130">
        <v>173.68614728342959</v>
      </c>
      <c r="AJ189" s="130">
        <v>173.68614728342959</v>
      </c>
      <c r="AK189" s="130">
        <v>173.68614728342959</v>
      </c>
      <c r="AL189" s="130">
        <v>151.48026813966953</v>
      </c>
      <c r="AM189" s="130">
        <v>0</v>
      </c>
      <c r="AN189" s="130">
        <v>151.48026813966953</v>
      </c>
      <c r="AO189" s="130">
        <v>151.48026813966953</v>
      </c>
      <c r="AP189" s="130">
        <v>0</v>
      </c>
      <c r="AQ189" s="130">
        <v>86.648765286437879</v>
      </c>
      <c r="AR189" s="130">
        <v>0</v>
      </c>
      <c r="AS189" s="130">
        <v>0</v>
      </c>
      <c r="AT189" s="130">
        <v>0</v>
      </c>
      <c r="AU189" s="130">
        <v>0</v>
      </c>
      <c r="AV189" s="130">
        <v>156.14460125034131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23.627372843797573</v>
      </c>
      <c r="I190" s="112">
        <v>0</v>
      </c>
      <c r="J190" s="112">
        <v>0</v>
      </c>
      <c r="K190" s="112">
        <v>0</v>
      </c>
      <c r="L190" s="112">
        <v>0</v>
      </c>
      <c r="M190" s="112">
        <v>16.60993590067617</v>
      </c>
      <c r="N190" s="112">
        <v>0</v>
      </c>
      <c r="O190" s="112">
        <v>0</v>
      </c>
      <c r="P190" s="112">
        <v>0</v>
      </c>
      <c r="Q190" s="112">
        <v>12.000066059827404</v>
      </c>
      <c r="R190" s="112">
        <v>0</v>
      </c>
      <c r="S190" s="112">
        <v>0</v>
      </c>
      <c r="T190" s="112">
        <v>0</v>
      </c>
      <c r="U190" s="112">
        <v>152.2758562169081</v>
      </c>
      <c r="V190" s="112">
        <v>0</v>
      </c>
      <c r="W190" s="112">
        <v>0</v>
      </c>
      <c r="X190" s="112">
        <v>140.28265395938985</v>
      </c>
      <c r="Y190" s="112">
        <v>0</v>
      </c>
      <c r="Z190" s="112">
        <v>140.28265395938985</v>
      </c>
      <c r="AA190" s="112">
        <v>1.4210854715202004E-14</v>
      </c>
      <c r="AB190" s="112">
        <v>0</v>
      </c>
      <c r="AC190" s="112">
        <v>0</v>
      </c>
      <c r="AD190" s="112">
        <v>114.69508569379691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151.48026813966953</v>
      </c>
      <c r="AO190" s="112">
        <v>0</v>
      </c>
      <c r="AP190" s="112">
        <v>0</v>
      </c>
      <c r="AQ190" s="112">
        <v>86.648765286437879</v>
      </c>
      <c r="AR190" s="112">
        <v>0</v>
      </c>
      <c r="AS190" s="112">
        <v>0</v>
      </c>
      <c r="AT190" s="112">
        <v>86.648765286437879</v>
      </c>
      <c r="AU190" s="112">
        <v>78.072300625170655</v>
      </c>
      <c r="AV190" s="112">
        <v>0</v>
      </c>
      <c r="AW190" s="112">
        <v>0</v>
      </c>
      <c r="AX190" s="112">
        <v>0</v>
      </c>
      <c r="AY190" s="112">
        <v>91.632098153457562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23.627372843797573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12.000066059827404</v>
      </c>
      <c r="T191" s="112">
        <v>0</v>
      </c>
      <c r="U191" s="112">
        <v>152.2758562169081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86.648765286437879</v>
      </c>
      <c r="AU191" s="112">
        <v>0</v>
      </c>
      <c r="AV191" s="112">
        <v>0</v>
      </c>
      <c r="AW191" s="112">
        <v>0</v>
      </c>
      <c r="AX191" s="112">
        <v>0</v>
      </c>
      <c r="AY191" s="112">
        <v>78.072300625170655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31.685234983606776</v>
      </c>
      <c r="J197" s="112">
        <v>10.561744994535594</v>
      </c>
      <c r="K197" s="112">
        <v>7.4248588075493842</v>
      </c>
      <c r="L197" s="112">
        <v>7.4248588075493833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583.86668614080327</v>
      </c>
      <c r="W197" s="112">
        <v>346.70722427668085</v>
      </c>
      <c r="X197" s="112">
        <v>70.539269320702402</v>
      </c>
      <c r="Y197" s="112">
        <v>382.86843540990537</v>
      </c>
      <c r="Z197" s="112">
        <v>141.40505525269506</v>
      </c>
      <c r="AA197" s="112">
        <v>347.95081747466259</v>
      </c>
      <c r="AB197" s="112">
        <v>275.95155478280702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152.56389744400909</v>
      </c>
      <c r="AP197" s="112">
        <v>76.281948722004543</v>
      </c>
      <c r="AQ197" s="112">
        <v>0</v>
      </c>
      <c r="AR197" s="112">
        <v>87.268615927068197</v>
      </c>
      <c r="AS197" s="112">
        <v>0</v>
      </c>
      <c r="AT197" s="112">
        <v>0</v>
      </c>
      <c r="AU197" s="112">
        <v>95.202126615174365</v>
      </c>
      <c r="AV197" s="112">
        <v>42.889526611747343</v>
      </c>
      <c r="AW197" s="112">
        <v>92.927307782083005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101.38013137188914</v>
      </c>
      <c r="I209" s="130">
        <v>101.38013137188915</v>
      </c>
      <c r="J209" s="130">
        <v>71.269772345055841</v>
      </c>
      <c r="K209" s="130">
        <v>71.269772345055841</v>
      </c>
      <c r="L209" s="130">
        <v>0</v>
      </c>
      <c r="M209" s="130">
        <v>78.694631152605226</v>
      </c>
      <c r="N209" s="130">
        <v>56.853968494036842</v>
      </c>
      <c r="O209" s="130">
        <v>56.853968494036842</v>
      </c>
      <c r="P209" s="130">
        <v>0</v>
      </c>
      <c r="Q209" s="130">
        <v>0</v>
      </c>
      <c r="R209" s="130">
        <v>721.45325605675009</v>
      </c>
      <c r="S209" s="130">
        <v>0</v>
      </c>
      <c r="T209" s="130">
        <v>0</v>
      </c>
      <c r="U209" s="130">
        <v>0</v>
      </c>
      <c r="V209" s="130">
        <v>223.85300929029313</v>
      </c>
      <c r="W209" s="130">
        <v>0</v>
      </c>
      <c r="X209" s="130">
        <v>0</v>
      </c>
      <c r="Y209" s="130">
        <v>0</v>
      </c>
      <c r="Z209" s="130">
        <v>0</v>
      </c>
      <c r="AA209" s="130">
        <v>139.28827282861783</v>
      </c>
      <c r="AB209" s="130">
        <v>543.40290761280824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822.89103212193277</v>
      </c>
      <c r="AI209" s="130">
        <v>822.89103212193277</v>
      </c>
      <c r="AJ209" s="130">
        <v>810.95430715427256</v>
      </c>
      <c r="AK209" s="130">
        <v>822.89103212193277</v>
      </c>
      <c r="AL209" s="130">
        <v>717.68391518378792</v>
      </c>
      <c r="AM209" s="130">
        <v>0</v>
      </c>
      <c r="AN209" s="130">
        <v>641.40196646178333</v>
      </c>
      <c r="AO209" s="130">
        <v>641.40196646178333</v>
      </c>
      <c r="AP209" s="130">
        <v>0</v>
      </c>
      <c r="AQ209" s="130">
        <v>366.89061307287449</v>
      </c>
      <c r="AR209" s="130">
        <v>0</v>
      </c>
      <c r="AS209" s="130">
        <v>0</v>
      </c>
      <c r="AT209" s="130">
        <v>0</v>
      </c>
      <c r="AU209" s="130">
        <v>0</v>
      </c>
      <c r="AV209" s="130">
        <v>646.85530639200385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101.38013137188916</v>
      </c>
      <c r="I210" s="116">
        <v>2.5740113792949159E-14</v>
      </c>
      <c r="J210" s="116">
        <v>1.287005689647458E-14</v>
      </c>
      <c r="K210" s="116">
        <v>0</v>
      </c>
      <c r="L210" s="116">
        <v>0</v>
      </c>
      <c r="M210" s="116">
        <v>78.694631152605226</v>
      </c>
      <c r="N210" s="116">
        <v>0</v>
      </c>
      <c r="O210" s="116">
        <v>0</v>
      </c>
      <c r="P210" s="116">
        <v>0</v>
      </c>
      <c r="Q210" s="116">
        <v>56.853968494036842</v>
      </c>
      <c r="R210" s="116">
        <v>0</v>
      </c>
      <c r="S210" s="116">
        <v>0</v>
      </c>
      <c r="T210" s="116">
        <v>0</v>
      </c>
      <c r="U210" s="116">
        <v>433.07039300924203</v>
      </c>
      <c r="V210" s="116">
        <v>384.71089989731161</v>
      </c>
      <c r="W210" s="116">
        <v>190.94568986231971</v>
      </c>
      <c r="X210" s="116">
        <v>455.45735912245146</v>
      </c>
      <c r="Y210" s="116">
        <v>336.90226092968987</v>
      </c>
      <c r="Z210" s="116">
        <v>445.42307564574384</v>
      </c>
      <c r="AA210" s="116">
        <v>275.45125927650929</v>
      </c>
      <c r="AB210" s="116">
        <v>247.5980350144805</v>
      </c>
      <c r="AC210" s="116">
        <v>0</v>
      </c>
      <c r="AD210" s="116">
        <v>543.40290761280824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11.936724967660211</v>
      </c>
      <c r="AL210" s="116">
        <v>0</v>
      </c>
      <c r="AM210" s="116">
        <v>0</v>
      </c>
      <c r="AN210" s="116">
        <v>641.40196646178333</v>
      </c>
      <c r="AO210" s="116">
        <v>0</v>
      </c>
      <c r="AP210" s="116">
        <v>0</v>
      </c>
      <c r="AQ210" s="116">
        <v>366.89061307287449</v>
      </c>
      <c r="AR210" s="116">
        <v>0</v>
      </c>
      <c r="AS210" s="116">
        <v>0</v>
      </c>
      <c r="AT210" s="116">
        <v>362.92385772882142</v>
      </c>
      <c r="AU210" s="116">
        <v>327.00178047529602</v>
      </c>
      <c r="AV210" s="116">
        <v>0</v>
      </c>
      <c r="AW210" s="116">
        <v>0</v>
      </c>
      <c r="AX210" s="116">
        <v>0</v>
      </c>
      <c r="AY210" s="116">
        <v>379.60139801034194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101.38013137188916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56.853968494036842</v>
      </c>
      <c r="T211" s="116">
        <v>0</v>
      </c>
      <c r="U211" s="116">
        <v>526.83102734314912</v>
      </c>
      <c r="V211" s="116">
        <v>68.467375946796025</v>
      </c>
      <c r="W211" s="116">
        <v>0</v>
      </c>
      <c r="X211" s="116">
        <v>0</v>
      </c>
      <c r="Y211" s="116">
        <v>12.63050311935314</v>
      </c>
      <c r="Z211" s="116">
        <v>0</v>
      </c>
      <c r="AA211" s="116">
        <v>19.774607119842887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362.92385772882142</v>
      </c>
      <c r="AU211" s="116">
        <v>0</v>
      </c>
      <c r="AV211" s="116">
        <v>0</v>
      </c>
      <c r="AW211" s="116">
        <v>0</v>
      </c>
      <c r="AX211" s="116">
        <v>0</v>
      </c>
      <c r="AY211" s="116">
        <v>323.42765319600193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20595.402739344405</v>
      </c>
      <c r="I259" s="130">
        <f t="shared" si="5"/>
        <v>6865.1342464481368</v>
      </c>
      <c r="J259" s="130">
        <f t="shared" si="5"/>
        <v>4826.1582249070998</v>
      </c>
      <c r="K259" s="130">
        <f t="shared" si="5"/>
        <v>4826.1582249070989</v>
      </c>
      <c r="L259" s="130">
        <f t="shared" si="5"/>
        <v>0</v>
      </c>
      <c r="M259" s="130">
        <f t="shared" si="5"/>
        <v>0</v>
      </c>
      <c r="N259" s="130">
        <f t="shared" si="5"/>
        <v>0</v>
      </c>
      <c r="O259" s="130">
        <f t="shared" si="5"/>
        <v>0</v>
      </c>
      <c r="P259" s="130">
        <f t="shared" si="5"/>
        <v>0</v>
      </c>
      <c r="Q259" s="130">
        <f t="shared" si="5"/>
        <v>0</v>
      </c>
      <c r="R259" s="130">
        <f t="shared" si="5"/>
        <v>0</v>
      </c>
      <c r="S259" s="130">
        <f t="shared" si="5"/>
        <v>0</v>
      </c>
      <c r="T259" s="130">
        <f t="shared" si="5"/>
        <v>0</v>
      </c>
      <c r="U259" s="130">
        <f t="shared" si="5"/>
        <v>379513.34599152213</v>
      </c>
      <c r="V259" s="130">
        <f t="shared" si="5"/>
        <v>225359.69577984256</v>
      </c>
      <c r="W259" s="130">
        <f t="shared" si="5"/>
        <v>45850.525058456558</v>
      </c>
      <c r="X259" s="130">
        <f t="shared" si="5"/>
        <v>248864.48301643849</v>
      </c>
      <c r="Y259" s="130">
        <f t="shared" si="5"/>
        <v>91913.285914251785</v>
      </c>
      <c r="Z259" s="130">
        <f t="shared" si="5"/>
        <v>226168.03135853069</v>
      </c>
      <c r="AA259" s="130">
        <f t="shared" si="5"/>
        <v>179368.51060882455</v>
      </c>
      <c r="AB259" s="130">
        <f t="shared" si="5"/>
        <v>0</v>
      </c>
      <c r="AC259" s="130">
        <f t="shared" si="5"/>
        <v>0</v>
      </c>
      <c r="AD259" s="130">
        <f t="shared" si="5"/>
        <v>0</v>
      </c>
      <c r="AE259" s="130">
        <f t="shared" si="5"/>
        <v>0</v>
      </c>
      <c r="AF259" s="130">
        <f t="shared" si="5"/>
        <v>0</v>
      </c>
      <c r="AG259" s="130">
        <f t="shared" si="5"/>
        <v>0</v>
      </c>
      <c r="AH259" s="130">
        <f t="shared" si="5"/>
        <v>0</v>
      </c>
      <c r="AI259" s="130">
        <f t="shared" si="5"/>
        <v>0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99166.533338605906</v>
      </c>
      <c r="AO259" s="130">
        <f t="shared" si="5"/>
        <v>49583.266669302953</v>
      </c>
      <c r="AP259" s="130">
        <f t="shared" si="5"/>
        <v>0</v>
      </c>
      <c r="AQ259" s="130">
        <f t="shared" si="5"/>
        <v>56724.600352594331</v>
      </c>
      <c r="AR259" s="130">
        <f t="shared" si="5"/>
        <v>0</v>
      </c>
      <c r="AS259" s="130">
        <f t="shared" si="5"/>
        <v>0</v>
      </c>
      <c r="AT259" s="130">
        <f t="shared" si="5"/>
        <v>61881.38229986334</v>
      </c>
      <c r="AU259" s="130">
        <f t="shared" si="5"/>
        <v>27878.192297635771</v>
      </c>
      <c r="AV259" s="130">
        <f t="shared" si="5"/>
        <v>60402.750058353951</v>
      </c>
      <c r="AW259" s="130">
        <f t="shared" si="5"/>
        <v>0</v>
      </c>
      <c r="AX259" s="130">
        <f t="shared" si="5"/>
        <v>0</v>
      </c>
      <c r="AY259" s="130">
        <f>AZ$14*$B$259</f>
        <v>65648.202378731308</v>
      </c>
      <c r="AZ259" s="145">
        <f>SUM($D259:$AY259)</f>
        <v>1855435.6585585612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0</v>
      </c>
      <c r="E260" s="131">
        <f t="shared" ref="E260:AY260" si="6">(E$175-E$176+E$177-E$178+E$179-E$180+E$181-E$182)*$B$260</f>
        <v>0</v>
      </c>
      <c r="F260" s="131">
        <f t="shared" si="6"/>
        <v>0</v>
      </c>
      <c r="G260" s="131">
        <f t="shared" si="6"/>
        <v>0</v>
      </c>
      <c r="H260" s="131">
        <f t="shared" si="6"/>
        <v>0</v>
      </c>
      <c r="I260" s="131">
        <f t="shared" si="6"/>
        <v>0</v>
      </c>
      <c r="J260" s="131">
        <f t="shared" si="6"/>
        <v>0</v>
      </c>
      <c r="K260" s="131">
        <f t="shared" si="6"/>
        <v>0</v>
      </c>
      <c r="L260" s="131">
        <f t="shared" si="6"/>
        <v>0</v>
      </c>
      <c r="M260" s="131">
        <f t="shared" si="6"/>
        <v>0</v>
      </c>
      <c r="N260" s="131">
        <f t="shared" si="6"/>
        <v>0</v>
      </c>
      <c r="O260" s="131">
        <f t="shared" si="6"/>
        <v>0</v>
      </c>
      <c r="P260" s="131">
        <f t="shared" si="6"/>
        <v>0</v>
      </c>
      <c r="Q260" s="131">
        <f t="shared" si="6"/>
        <v>5955.4971458652381</v>
      </c>
      <c r="R260" s="131">
        <f t="shared" si="6"/>
        <v>6450.9942917304761</v>
      </c>
      <c r="S260" s="131">
        <f t="shared" si="6"/>
        <v>23446.491437595716</v>
      </c>
      <c r="T260" s="131">
        <f t="shared" si="6"/>
        <v>35698.941948419175</v>
      </c>
      <c r="U260" s="131">
        <f t="shared" si="6"/>
        <v>88006.892159865994</v>
      </c>
      <c r="V260" s="131">
        <f t="shared" si="6"/>
        <v>91852.940521047451</v>
      </c>
      <c r="W260" s="131">
        <f t="shared" si="6"/>
        <v>84096.293480889566</v>
      </c>
      <c r="X260" s="131">
        <f t="shared" si="6"/>
        <v>87588.586836563773</v>
      </c>
      <c r="Y260" s="131">
        <f t="shared" si="6"/>
        <v>58988.341876029459</v>
      </c>
      <c r="Z260" s="131">
        <f t="shared" si="6"/>
        <v>67744.015358166347</v>
      </c>
      <c r="AA260" s="131">
        <f t="shared" si="6"/>
        <v>34756.27237203814</v>
      </c>
      <c r="AB260" s="131">
        <f t="shared" si="6"/>
        <v>0</v>
      </c>
      <c r="AC260" s="131">
        <f t="shared" si="6"/>
        <v>0</v>
      </c>
      <c r="AD260" s="131">
        <f t="shared" si="6"/>
        <v>0</v>
      </c>
      <c r="AE260" s="131">
        <f t="shared" si="6"/>
        <v>0</v>
      </c>
      <c r="AF260" s="131">
        <f t="shared" si="6"/>
        <v>39623.792568013378</v>
      </c>
      <c r="AG260" s="131">
        <f t="shared" si="6"/>
        <v>65627.585136026755</v>
      </c>
      <c r="AH260" s="131">
        <f t="shared" si="6"/>
        <v>86411.377704040133</v>
      </c>
      <c r="AI260" s="131">
        <f t="shared" si="6"/>
        <v>127775.17027205351</v>
      </c>
      <c r="AJ260" s="131">
        <f t="shared" si="6"/>
        <v>135626.35252749451</v>
      </c>
      <c r="AK260" s="131">
        <f t="shared" si="6"/>
        <v>134245.12778681636</v>
      </c>
      <c r="AL260" s="131">
        <f t="shared" si="6"/>
        <v>148340.1065441978</v>
      </c>
      <c r="AM260" s="131">
        <f t="shared" si="6"/>
        <v>169275.08530157921</v>
      </c>
      <c r="AN260" s="131">
        <f t="shared" si="6"/>
        <v>107186.12303046779</v>
      </c>
      <c r="AO260" s="131">
        <f t="shared" si="6"/>
        <v>15937.160759356293</v>
      </c>
      <c r="AP260" s="131">
        <f t="shared" si="6"/>
        <v>0</v>
      </c>
      <c r="AQ260" s="131">
        <f t="shared" si="6"/>
        <v>0</v>
      </c>
      <c r="AR260" s="131">
        <f t="shared" si="6"/>
        <v>0</v>
      </c>
      <c r="AS260" s="131">
        <f t="shared" si="6"/>
        <v>0</v>
      </c>
      <c r="AT260" s="131">
        <f t="shared" si="6"/>
        <v>0</v>
      </c>
      <c r="AU260" s="131">
        <f t="shared" si="6"/>
        <v>0</v>
      </c>
      <c r="AV260" s="131">
        <f t="shared" si="6"/>
        <v>0</v>
      </c>
      <c r="AW260" s="131">
        <f t="shared" si="6"/>
        <v>0</v>
      </c>
      <c r="AX260" s="131">
        <f t="shared" si="6"/>
        <v>0</v>
      </c>
      <c r="AY260" s="131">
        <f t="shared" si="6"/>
        <v>0</v>
      </c>
      <c r="AZ260" s="147">
        <f>SUM($D260:$AY260)</f>
        <v>1614633.1490582572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3.0392362295295872</v>
      </c>
      <c r="E6" s="106">
        <v>1757.8942351599133</v>
      </c>
      <c r="F6" s="106">
        <v>3.0449170449118852</v>
      </c>
      <c r="G6" s="106">
        <v>1761.1800187770343</v>
      </c>
      <c r="H6" s="106">
        <v>3.4139295360660036</v>
      </c>
      <c r="I6" s="106">
        <v>1974.6168436605765</v>
      </c>
      <c r="J6" s="106">
        <v>2.9469900645730109</v>
      </c>
      <c r="K6" s="106">
        <v>1704.5390533490295</v>
      </c>
      <c r="L6" s="106">
        <v>2.5297219989607256</v>
      </c>
      <c r="M6" s="106">
        <v>1463.1912041988837</v>
      </c>
      <c r="N6" s="106">
        <v>2.744416917553842</v>
      </c>
      <c r="O6" s="106">
        <v>1587.3707451131422</v>
      </c>
      <c r="P6" s="106">
        <v>3.3726473172382145</v>
      </c>
      <c r="Q6" s="106">
        <v>1950.7392082905833</v>
      </c>
      <c r="R6" s="106">
        <v>2.7123184740736801</v>
      </c>
      <c r="S6" s="106">
        <v>1568.8050054042164</v>
      </c>
      <c r="T6" s="106">
        <v>2.2049082721410604</v>
      </c>
      <c r="U6" s="106">
        <v>1275.3189446063893</v>
      </c>
      <c r="V6" s="106">
        <v>2.0234484298685818</v>
      </c>
      <c r="W6" s="106">
        <v>1170.3625718359876</v>
      </c>
      <c r="X6" s="106">
        <v>2.0356764635454856</v>
      </c>
      <c r="Y6" s="106">
        <v>1177.4352665147089</v>
      </c>
      <c r="Z6" s="106">
        <v>1.9818338359806482</v>
      </c>
      <c r="AA6" s="106">
        <v>1146.2926907312069</v>
      </c>
      <c r="AB6" s="106">
        <v>49.954565899677711</v>
      </c>
      <c r="AC6" s="106">
        <v>28893.720916373586</v>
      </c>
      <c r="AD6" s="106">
        <v>50</v>
      </c>
      <c r="AE6" s="106">
        <v>28920</v>
      </c>
      <c r="AF6" s="106">
        <v>46</v>
      </c>
      <c r="AG6" s="106">
        <v>26606.399999999998</v>
      </c>
      <c r="AH6" s="106">
        <v>47</v>
      </c>
      <c r="AI6" s="106">
        <v>27184.799999999999</v>
      </c>
      <c r="AJ6" s="106">
        <v>31</v>
      </c>
      <c r="AK6" s="106">
        <v>17930.399999999998</v>
      </c>
      <c r="AL6" s="106">
        <v>37</v>
      </c>
      <c r="AM6" s="106">
        <v>21400.799999999999</v>
      </c>
      <c r="AN6" s="106">
        <v>23</v>
      </c>
      <c r="AO6" s="106">
        <v>13303.199999999999</v>
      </c>
      <c r="AP6" s="106">
        <v>31</v>
      </c>
      <c r="AQ6" s="106">
        <v>17930.399999999998</v>
      </c>
      <c r="AR6" s="106">
        <v>36</v>
      </c>
      <c r="AS6" s="106">
        <v>20822.399999999998</v>
      </c>
      <c r="AT6" s="106">
        <v>26</v>
      </c>
      <c r="AU6" s="106">
        <v>15038.4</v>
      </c>
      <c r="AV6" s="106">
        <v>31</v>
      </c>
      <c r="AW6" s="106">
        <v>17930.399999999998</v>
      </c>
      <c r="AX6" s="106">
        <v>28</v>
      </c>
      <c r="AY6" s="106">
        <v>16195.199999999999</v>
      </c>
      <c r="AZ6" s="106">
        <v>4.7466643461346019</v>
      </c>
      <c r="BA6" s="106">
        <v>2745.4706578042537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47</v>
      </c>
      <c r="BI6" s="106">
        <v>27184.799999999999</v>
      </c>
      <c r="BJ6" s="106">
        <v>67</v>
      </c>
      <c r="BK6" s="106">
        <v>38752.799999999996</v>
      </c>
      <c r="BL6" s="106">
        <v>77</v>
      </c>
      <c r="BM6" s="106">
        <v>44536.799999999996</v>
      </c>
      <c r="BN6" s="106">
        <v>36</v>
      </c>
      <c r="BO6" s="106">
        <v>20822.399999999998</v>
      </c>
      <c r="BP6" s="106">
        <v>46</v>
      </c>
      <c r="BQ6" s="106">
        <v>26606.399999999998</v>
      </c>
      <c r="BR6" s="106">
        <v>49</v>
      </c>
      <c r="BS6" s="106">
        <v>28341.599999999999</v>
      </c>
      <c r="BT6" s="106">
        <v>66</v>
      </c>
      <c r="BU6" s="106">
        <v>38174.400000000001</v>
      </c>
      <c r="BV6" s="106">
        <v>43</v>
      </c>
      <c r="BW6" s="106">
        <v>24871.200000000001</v>
      </c>
      <c r="BX6" s="106">
        <v>32</v>
      </c>
      <c r="BY6" s="106">
        <v>18508.8</v>
      </c>
      <c r="BZ6" s="106">
        <v>32</v>
      </c>
      <c r="CA6" s="106">
        <v>18508.8</v>
      </c>
      <c r="CB6" s="106">
        <v>16.397715467504394</v>
      </c>
      <c r="CC6" s="106">
        <v>9484.4386264045406</v>
      </c>
      <c r="CD6" s="106">
        <v>12.667702261081971</v>
      </c>
      <c r="CE6" s="106">
        <v>7326.9989878098113</v>
      </c>
      <c r="CF6" s="106">
        <v>13.23832593507626</v>
      </c>
      <c r="CG6" s="106">
        <v>7657.0477208481079</v>
      </c>
      <c r="CH6" s="106">
        <v>8.0391338812156192</v>
      </c>
      <c r="CI6" s="106">
        <v>4649.8350368951142</v>
      </c>
      <c r="CJ6" s="106">
        <v>9.4225726107526917</v>
      </c>
      <c r="CK6" s="106">
        <v>5450.0159980593571</v>
      </c>
      <c r="CL6" s="106">
        <v>10.481910393590208</v>
      </c>
      <c r="CM6" s="106">
        <v>6062.7369716525764</v>
      </c>
      <c r="CN6" s="106">
        <v>11.791708840679657</v>
      </c>
      <c r="CO6" s="106">
        <v>6820.3243934491138</v>
      </c>
      <c r="CP6" s="106">
        <v>10.915459342536307</v>
      </c>
      <c r="CQ6" s="106">
        <v>6313.5016837229996</v>
      </c>
      <c r="CR6" s="106">
        <v>13.635400486752351</v>
      </c>
      <c r="CS6" s="106">
        <v>7886.7156415375593</v>
      </c>
      <c r="CT6" s="106">
        <v>14.871740199587787</v>
      </c>
      <c r="CU6" s="106">
        <v>8601.814531441576</v>
      </c>
    </row>
    <row r="7" spans="1:99" x14ac:dyDescent="0.2">
      <c r="C7" s="105" t="s">
        <v>172</v>
      </c>
      <c r="D7" s="106">
        <v>3.0392362295295872</v>
      </c>
      <c r="E7" s="106">
        <v>2396.1338433611263</v>
      </c>
      <c r="F7" s="106">
        <v>2.6643024142978997</v>
      </c>
      <c r="G7" s="106">
        <v>2100.5360234324639</v>
      </c>
      <c r="H7" s="106">
        <v>3.4139295360660036</v>
      </c>
      <c r="I7" s="106">
        <v>2691.5420462344373</v>
      </c>
      <c r="J7" s="106">
        <v>2.9469900645730109</v>
      </c>
      <c r="K7" s="106">
        <v>2323.4069669093619</v>
      </c>
      <c r="L7" s="106">
        <v>2.1683331419663361</v>
      </c>
      <c r="M7" s="106">
        <v>1709.5138491262594</v>
      </c>
      <c r="N7" s="106">
        <v>2.4394817044923038</v>
      </c>
      <c r="O7" s="106">
        <v>1923.2873758217322</v>
      </c>
      <c r="P7" s="106">
        <v>3.3726473172382145</v>
      </c>
      <c r="Q7" s="106">
        <v>2658.9951449106084</v>
      </c>
      <c r="R7" s="106">
        <v>3.0997925417984917</v>
      </c>
      <c r="S7" s="106">
        <v>2443.8764399539309</v>
      </c>
      <c r="T7" s="106">
        <v>1.9424191921242675</v>
      </c>
      <c r="U7" s="106">
        <v>1531.4032910707724</v>
      </c>
      <c r="V7" s="106">
        <v>2.0234484298685818</v>
      </c>
      <c r="W7" s="106">
        <v>1595.2867421083897</v>
      </c>
      <c r="X7" s="106">
        <v>2.3035286298014706</v>
      </c>
      <c r="Y7" s="106">
        <v>1816.1019717354793</v>
      </c>
      <c r="Z7" s="106">
        <v>2.0268755140711177</v>
      </c>
      <c r="AA7" s="106">
        <v>1597.9886552936691</v>
      </c>
      <c r="AB7" s="106">
        <v>51.647941014921024</v>
      </c>
      <c r="AC7" s="106">
        <v>40719.236696163731</v>
      </c>
      <c r="AD7" s="106">
        <v>44</v>
      </c>
      <c r="AE7" s="106">
        <v>34689.599999999999</v>
      </c>
      <c r="AF7" s="106">
        <v>50</v>
      </c>
      <c r="AG7" s="106">
        <v>39420</v>
      </c>
      <c r="AH7" s="106">
        <v>54</v>
      </c>
      <c r="AI7" s="106">
        <v>42573.599999999999</v>
      </c>
      <c r="AJ7" s="106">
        <v>26</v>
      </c>
      <c r="AK7" s="106">
        <v>20498.399999999998</v>
      </c>
      <c r="AL7" s="106">
        <v>36</v>
      </c>
      <c r="AM7" s="106">
        <v>28382.399999999998</v>
      </c>
      <c r="AN7" s="106">
        <v>20</v>
      </c>
      <c r="AO7" s="106">
        <v>15768</v>
      </c>
      <c r="AP7" s="106">
        <v>29</v>
      </c>
      <c r="AQ7" s="106">
        <v>22863.599999999999</v>
      </c>
      <c r="AR7" s="106">
        <v>36</v>
      </c>
      <c r="AS7" s="106">
        <v>28382.399999999998</v>
      </c>
      <c r="AT7" s="106">
        <v>25</v>
      </c>
      <c r="AU7" s="106">
        <v>19710</v>
      </c>
      <c r="AV7" s="106">
        <v>26</v>
      </c>
      <c r="AW7" s="106">
        <v>20498.399999999998</v>
      </c>
      <c r="AX7" s="106">
        <v>25</v>
      </c>
      <c r="AY7" s="106">
        <v>19710</v>
      </c>
      <c r="AZ7" s="106">
        <v>4.944442027223543</v>
      </c>
      <c r="BA7" s="106">
        <v>3898.1980942630412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49</v>
      </c>
      <c r="BI7" s="106">
        <v>38631.599999999999</v>
      </c>
      <c r="BJ7" s="106">
        <v>61</v>
      </c>
      <c r="BK7" s="106">
        <v>48092.4</v>
      </c>
      <c r="BL7" s="106">
        <v>72</v>
      </c>
      <c r="BM7" s="106">
        <v>56764.799999999996</v>
      </c>
      <c r="BN7" s="106">
        <v>38</v>
      </c>
      <c r="BO7" s="106">
        <v>29959.200000000001</v>
      </c>
      <c r="BP7" s="106">
        <v>42</v>
      </c>
      <c r="BQ7" s="106">
        <v>33112.799999999996</v>
      </c>
      <c r="BR7" s="106">
        <v>46</v>
      </c>
      <c r="BS7" s="106">
        <v>36266.400000000001</v>
      </c>
      <c r="BT7" s="106">
        <v>63</v>
      </c>
      <c r="BU7" s="106">
        <v>49669.2</v>
      </c>
      <c r="BV7" s="106">
        <v>38</v>
      </c>
      <c r="BW7" s="106">
        <v>29959.200000000001</v>
      </c>
      <c r="BX7" s="106">
        <v>27</v>
      </c>
      <c r="BY7" s="106">
        <v>21286.799999999999</v>
      </c>
      <c r="BZ7" s="106">
        <v>32</v>
      </c>
      <c r="CA7" s="106">
        <v>25228.799999999999</v>
      </c>
      <c r="CB7" s="106">
        <v>18.094030860694502</v>
      </c>
      <c r="CC7" s="106">
        <v>14265.333930571545</v>
      </c>
      <c r="CD7" s="106">
        <v>14.7789859712623</v>
      </c>
      <c r="CE7" s="106">
        <v>11651.752539743196</v>
      </c>
      <c r="CF7" s="106">
        <v>10.862216151857442</v>
      </c>
      <c r="CG7" s="106">
        <v>8563.7712141244065</v>
      </c>
      <c r="CH7" s="106">
        <v>6.6530763154887893</v>
      </c>
      <c r="CI7" s="106">
        <v>5245.2853671313615</v>
      </c>
      <c r="CJ7" s="106">
        <v>8.0764908092165939</v>
      </c>
      <c r="CK7" s="106">
        <v>6367.505353986362</v>
      </c>
      <c r="CL7" s="106">
        <v>9.5290094487183712</v>
      </c>
      <c r="CM7" s="106">
        <v>7512.6710493695637</v>
      </c>
      <c r="CN7" s="106">
        <v>11.202123398645673</v>
      </c>
      <c r="CO7" s="106">
        <v>8831.7540874922488</v>
      </c>
      <c r="CP7" s="106">
        <v>10.915459342536307</v>
      </c>
      <c r="CQ7" s="106">
        <v>8605.7481456556234</v>
      </c>
      <c r="CR7" s="106">
        <v>14.122379075564936</v>
      </c>
      <c r="CS7" s="106">
        <v>11134.083663175395</v>
      </c>
      <c r="CT7" s="106">
        <v>12.393116832989822</v>
      </c>
      <c r="CU7" s="106">
        <v>9770.7333111291755</v>
      </c>
    </row>
    <row r="8" spans="1:99" x14ac:dyDescent="0.2">
      <c r="C8" s="105" t="s">
        <v>173</v>
      </c>
      <c r="D8" s="106">
        <v>3.0392362295295872</v>
      </c>
      <c r="E8" s="106">
        <v>940.94753666236011</v>
      </c>
      <c r="F8" s="106">
        <v>2.6643024142978997</v>
      </c>
      <c r="G8" s="106">
        <v>824.86802746662966</v>
      </c>
      <c r="H8" s="106">
        <v>3.4139295360660036</v>
      </c>
      <c r="I8" s="106">
        <v>1056.9525843660347</v>
      </c>
      <c r="J8" s="106">
        <v>3.3153638226446369</v>
      </c>
      <c r="K8" s="106">
        <v>1026.4366394907795</v>
      </c>
      <c r="L8" s="106">
        <v>2.8911108559551146</v>
      </c>
      <c r="M8" s="106">
        <v>895.0879210037034</v>
      </c>
      <c r="N8" s="106">
        <v>2.4394817044923038</v>
      </c>
      <c r="O8" s="106">
        <v>755.26353571081722</v>
      </c>
      <c r="P8" s="106">
        <v>3.3726473172382145</v>
      </c>
      <c r="Q8" s="106">
        <v>1044.171609416951</v>
      </c>
      <c r="R8" s="106">
        <v>2.7123184740736801</v>
      </c>
      <c r="S8" s="106">
        <v>839.73379957321129</v>
      </c>
      <c r="T8" s="106">
        <v>2.2049082721410604</v>
      </c>
      <c r="U8" s="106">
        <v>682.63960105487229</v>
      </c>
      <c r="V8" s="106">
        <v>2.1272150160156884</v>
      </c>
      <c r="W8" s="106">
        <v>658.58576895845704</v>
      </c>
      <c r="X8" s="106">
        <v>2.2499581965502733</v>
      </c>
      <c r="Y8" s="106">
        <v>696.58705765196453</v>
      </c>
      <c r="Z8" s="106">
        <v>2.0268755140711177</v>
      </c>
      <c r="AA8" s="106">
        <v>627.52065915641799</v>
      </c>
      <c r="AB8" s="106">
        <v>56.728066360650963</v>
      </c>
      <c r="AC8" s="106">
        <v>17563.009345257535</v>
      </c>
      <c r="AD8" s="106">
        <v>53</v>
      </c>
      <c r="AE8" s="106">
        <v>16408.8</v>
      </c>
      <c r="AF8" s="106">
        <v>51</v>
      </c>
      <c r="AG8" s="106">
        <v>15789.599999999999</v>
      </c>
      <c r="AH8" s="106">
        <v>60</v>
      </c>
      <c r="AI8" s="106">
        <v>18575.999999999996</v>
      </c>
      <c r="AJ8" s="106">
        <v>31</v>
      </c>
      <c r="AK8" s="106">
        <v>9597.5999999999985</v>
      </c>
      <c r="AL8" s="106">
        <v>42</v>
      </c>
      <c r="AM8" s="106">
        <v>13003.199999999999</v>
      </c>
      <c r="AN8" s="106">
        <v>22</v>
      </c>
      <c r="AO8" s="106">
        <v>6811.1999999999989</v>
      </c>
      <c r="AP8" s="106">
        <v>29</v>
      </c>
      <c r="AQ8" s="106">
        <v>8978.4</v>
      </c>
      <c r="AR8" s="106">
        <v>36</v>
      </c>
      <c r="AS8" s="106">
        <v>11145.599999999999</v>
      </c>
      <c r="AT8" s="106">
        <v>26</v>
      </c>
      <c r="AU8" s="106">
        <v>8049.5999999999995</v>
      </c>
      <c r="AV8" s="106">
        <v>32</v>
      </c>
      <c r="AW8" s="106">
        <v>9907.1999999999989</v>
      </c>
      <c r="AX8" s="106">
        <v>28</v>
      </c>
      <c r="AY8" s="106">
        <v>8668.7999999999993</v>
      </c>
      <c r="AZ8" s="106">
        <v>5.339997389401427</v>
      </c>
      <c r="BA8" s="106">
        <v>1653.2631917586816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45</v>
      </c>
      <c r="BI8" s="106">
        <v>13931.999999999998</v>
      </c>
      <c r="BJ8" s="106">
        <v>70</v>
      </c>
      <c r="BK8" s="106">
        <v>21671.999999999996</v>
      </c>
      <c r="BL8" s="106">
        <v>72</v>
      </c>
      <c r="BM8" s="106">
        <v>22291.199999999997</v>
      </c>
      <c r="BN8" s="106">
        <v>40</v>
      </c>
      <c r="BO8" s="106">
        <v>12383.999999999998</v>
      </c>
      <c r="BP8" s="106">
        <v>51</v>
      </c>
      <c r="BQ8" s="106">
        <v>15789.599999999999</v>
      </c>
      <c r="BR8" s="106">
        <v>50</v>
      </c>
      <c r="BS8" s="106">
        <v>15479.999999999998</v>
      </c>
      <c r="BT8" s="106">
        <v>63</v>
      </c>
      <c r="BU8" s="106">
        <v>19504.8</v>
      </c>
      <c r="BV8" s="106">
        <v>43</v>
      </c>
      <c r="BW8" s="106">
        <v>13312.8</v>
      </c>
      <c r="BX8" s="106">
        <v>31</v>
      </c>
      <c r="BY8" s="106">
        <v>9597.5999999999985</v>
      </c>
      <c r="BZ8" s="106">
        <v>35</v>
      </c>
      <c r="CA8" s="106">
        <v>10835.999999999998</v>
      </c>
      <c r="CB8" s="106">
        <v>18.094030860694502</v>
      </c>
      <c r="CC8" s="106">
        <v>5601.9119544710175</v>
      </c>
      <c r="CD8" s="106">
        <v>13.371463497808746</v>
      </c>
      <c r="CE8" s="106">
        <v>4139.8050989215872</v>
      </c>
      <c r="CF8" s="106">
        <v>13.91721444456735</v>
      </c>
      <c r="CG8" s="106">
        <v>4308.7695920380511</v>
      </c>
      <c r="CH8" s="106">
        <v>7.2074993417795206</v>
      </c>
      <c r="CI8" s="106">
        <v>2231.4417962149391</v>
      </c>
      <c r="CJ8" s="106">
        <v>9.4225726107526917</v>
      </c>
      <c r="CK8" s="106">
        <v>2917.2284802890331</v>
      </c>
      <c r="CL8" s="106">
        <v>11.434811338462044</v>
      </c>
      <c r="CM8" s="106">
        <v>3540.2175903878483</v>
      </c>
      <c r="CN8" s="106">
        <v>10.612537956611691</v>
      </c>
      <c r="CO8" s="106">
        <v>3285.641751366979</v>
      </c>
      <c r="CP8" s="106">
        <v>10.419302099693747</v>
      </c>
      <c r="CQ8" s="106">
        <v>3225.8159300651837</v>
      </c>
      <c r="CR8" s="106">
        <v>14.609357664377519</v>
      </c>
      <c r="CS8" s="106">
        <v>4523.0571328912793</v>
      </c>
      <c r="CT8" s="106">
        <v>15.491396041237278</v>
      </c>
      <c r="CU8" s="106">
        <v>4796.1362143670613</v>
      </c>
    </row>
    <row r="9" spans="1:99" x14ac:dyDescent="0.2">
      <c r="C9" s="105" t="s">
        <v>174</v>
      </c>
      <c r="D9" s="106">
        <v>3.0392362295295872</v>
      </c>
      <c r="E9" s="106">
        <v>2133.5438331297701</v>
      </c>
      <c r="F9" s="106">
        <v>2.6643024142978997</v>
      </c>
      <c r="G9" s="106">
        <v>1870.3402948371256</v>
      </c>
      <c r="H9" s="106">
        <v>3.1035723055145485</v>
      </c>
      <c r="I9" s="106">
        <v>2178.7077584712129</v>
      </c>
      <c r="J9" s="106">
        <v>3.3153638226446369</v>
      </c>
      <c r="K9" s="106">
        <v>2327.3854034965352</v>
      </c>
      <c r="L9" s="106">
        <v>2.5297219989607256</v>
      </c>
      <c r="M9" s="106">
        <v>1775.8648432704294</v>
      </c>
      <c r="N9" s="106">
        <v>2.4394817044923038</v>
      </c>
      <c r="O9" s="106">
        <v>1712.5161565535973</v>
      </c>
      <c r="P9" s="106">
        <v>3.3726473172382145</v>
      </c>
      <c r="Q9" s="106">
        <v>2367.5984167012266</v>
      </c>
      <c r="R9" s="106">
        <v>2.7123184740736801</v>
      </c>
      <c r="S9" s="106">
        <v>1904.0475687997234</v>
      </c>
      <c r="T9" s="106">
        <v>1.9424191921242675</v>
      </c>
      <c r="U9" s="106">
        <v>1363.5782728712359</v>
      </c>
      <c r="V9" s="106">
        <v>2.2828648952363486</v>
      </c>
      <c r="W9" s="106">
        <v>1602.5711564559167</v>
      </c>
      <c r="X9" s="106">
        <v>2.0892468967966824</v>
      </c>
      <c r="Y9" s="106">
        <v>1466.6513215512709</v>
      </c>
      <c r="Z9" s="106">
        <v>1.8016671236187713</v>
      </c>
      <c r="AA9" s="106">
        <v>1264.7703207803775</v>
      </c>
      <c r="AB9" s="106">
        <v>44.874440553947771</v>
      </c>
      <c r="AC9" s="106">
        <v>31501.857268871336</v>
      </c>
      <c r="AD9" s="106">
        <v>44</v>
      </c>
      <c r="AE9" s="106">
        <v>30888</v>
      </c>
      <c r="AF9" s="106">
        <v>52</v>
      </c>
      <c r="AG9" s="106">
        <v>36504</v>
      </c>
      <c r="AH9" s="106">
        <v>54</v>
      </c>
      <c r="AI9" s="106">
        <v>37908</v>
      </c>
      <c r="AJ9" s="106">
        <v>29</v>
      </c>
      <c r="AK9" s="106">
        <v>20358</v>
      </c>
      <c r="AL9" s="106">
        <v>42</v>
      </c>
      <c r="AM9" s="106">
        <v>29484</v>
      </c>
      <c r="AN9" s="106">
        <v>20</v>
      </c>
      <c r="AO9" s="106">
        <v>14040</v>
      </c>
      <c r="AP9" s="106">
        <v>27</v>
      </c>
      <c r="AQ9" s="106">
        <v>18954</v>
      </c>
      <c r="AR9" s="106">
        <v>36</v>
      </c>
      <c r="AS9" s="106">
        <v>25272</v>
      </c>
      <c r="AT9" s="106">
        <v>24</v>
      </c>
      <c r="AU9" s="106">
        <v>16848</v>
      </c>
      <c r="AV9" s="106">
        <v>26</v>
      </c>
      <c r="AW9" s="106">
        <v>18252</v>
      </c>
      <c r="AX9" s="106">
        <v>27</v>
      </c>
      <c r="AY9" s="106">
        <v>18954</v>
      </c>
      <c r="AZ9" s="106">
        <v>5.142219708312485</v>
      </c>
      <c r="BA9" s="106">
        <v>3609.8382352353647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46</v>
      </c>
      <c r="BI9" s="106">
        <v>32292</v>
      </c>
      <c r="BJ9" s="106">
        <v>62</v>
      </c>
      <c r="BK9" s="106">
        <v>43524</v>
      </c>
      <c r="BL9" s="106">
        <v>78</v>
      </c>
      <c r="BM9" s="106">
        <v>54756</v>
      </c>
      <c r="BN9" s="106">
        <v>35</v>
      </c>
      <c r="BO9" s="106">
        <v>24570</v>
      </c>
      <c r="BP9" s="106">
        <v>47</v>
      </c>
      <c r="BQ9" s="106">
        <v>32994</v>
      </c>
      <c r="BR9" s="106">
        <v>45</v>
      </c>
      <c r="BS9" s="106">
        <v>31590</v>
      </c>
      <c r="BT9" s="106">
        <v>56</v>
      </c>
      <c r="BU9" s="106">
        <v>39312</v>
      </c>
      <c r="BV9" s="106">
        <v>41</v>
      </c>
      <c r="BW9" s="106">
        <v>28782</v>
      </c>
      <c r="BX9" s="106">
        <v>28</v>
      </c>
      <c r="BY9" s="106">
        <v>19656</v>
      </c>
      <c r="BZ9" s="106">
        <v>30</v>
      </c>
      <c r="CA9" s="106">
        <v>21060</v>
      </c>
      <c r="CB9" s="106">
        <v>17.5285923962978</v>
      </c>
      <c r="CC9" s="106">
        <v>12305.071862201055</v>
      </c>
      <c r="CD9" s="106">
        <v>14.7789859712623</v>
      </c>
      <c r="CE9" s="106">
        <v>10374.848151826134</v>
      </c>
      <c r="CF9" s="106">
        <v>12.898881680330712</v>
      </c>
      <c r="CG9" s="106">
        <v>9055.0149395921599</v>
      </c>
      <c r="CH9" s="106">
        <v>8.0391338812156192</v>
      </c>
      <c r="CI9" s="106">
        <v>5643.4719846133648</v>
      </c>
      <c r="CJ9" s="106">
        <v>9.0860521603686664</v>
      </c>
      <c r="CK9" s="106">
        <v>6378.408616578804</v>
      </c>
      <c r="CL9" s="106">
        <v>9.5290094487183712</v>
      </c>
      <c r="CM9" s="106">
        <v>6689.3646330002966</v>
      </c>
      <c r="CN9" s="106">
        <v>11.202123398645673</v>
      </c>
      <c r="CO9" s="106">
        <v>7863.8906258492625</v>
      </c>
      <c r="CP9" s="106">
        <v>10.419302099693747</v>
      </c>
      <c r="CQ9" s="106">
        <v>7314.3500739850106</v>
      </c>
      <c r="CR9" s="106">
        <v>12.661443309127185</v>
      </c>
      <c r="CS9" s="106">
        <v>8888.3332030072834</v>
      </c>
      <c r="CT9" s="106">
        <v>13.012772674639313</v>
      </c>
      <c r="CU9" s="106">
        <v>9134.9664175967973</v>
      </c>
    </row>
    <row r="10" spans="1:99" x14ac:dyDescent="0.2">
      <c r="C10" s="105" t="s">
        <v>175</v>
      </c>
      <c r="D10" s="106">
        <v>3.3431598524825459</v>
      </c>
      <c r="E10" s="106">
        <v>1821.3534876324909</v>
      </c>
      <c r="F10" s="106">
        <v>2.2836877836839138</v>
      </c>
      <c r="G10" s="106">
        <v>1244.1531045509962</v>
      </c>
      <c r="H10" s="106">
        <v>3.7242867666174582</v>
      </c>
      <c r="I10" s="106">
        <v>2028.991430453191</v>
      </c>
      <c r="J10" s="106">
        <v>3.3153638226446369</v>
      </c>
      <c r="K10" s="106">
        <v>1806.2102105767981</v>
      </c>
      <c r="L10" s="106">
        <v>2.5297219989607256</v>
      </c>
      <c r="M10" s="106">
        <v>1378.1925450338031</v>
      </c>
      <c r="N10" s="106">
        <v>2.744416917553842</v>
      </c>
      <c r="O10" s="106">
        <v>1495.1583366833329</v>
      </c>
      <c r="P10" s="106">
        <v>3.0353825855143932</v>
      </c>
      <c r="Q10" s="106">
        <v>1653.6764325882414</v>
      </c>
      <c r="R10" s="106">
        <v>3.0997925417984917</v>
      </c>
      <c r="S10" s="106">
        <v>1688.7669767718182</v>
      </c>
      <c r="T10" s="106">
        <v>1.8899213761209088</v>
      </c>
      <c r="U10" s="106">
        <v>1029.629165710671</v>
      </c>
      <c r="V10" s="106">
        <v>2.0753317229421353</v>
      </c>
      <c r="W10" s="106">
        <v>1130.6407226588751</v>
      </c>
      <c r="X10" s="106">
        <v>1.9821060302942883</v>
      </c>
      <c r="Y10" s="106">
        <v>1079.8513653043283</v>
      </c>
      <c r="Z10" s="106">
        <v>2.1169588702520561</v>
      </c>
      <c r="AA10" s="106">
        <v>1153.3191925133201</v>
      </c>
      <c r="AB10" s="106">
        <v>51.647941014921024</v>
      </c>
      <c r="AC10" s="106">
        <v>28137.79826492897</v>
      </c>
      <c r="AD10" s="106">
        <v>49</v>
      </c>
      <c r="AE10" s="106">
        <v>26695.199999999997</v>
      </c>
      <c r="AF10" s="106">
        <v>44</v>
      </c>
      <c r="AG10" s="106">
        <v>23971.199999999997</v>
      </c>
      <c r="AH10" s="106">
        <v>56</v>
      </c>
      <c r="AI10" s="106">
        <v>30508.799999999996</v>
      </c>
      <c r="AJ10" s="106">
        <v>30</v>
      </c>
      <c r="AK10" s="106">
        <v>16343.999999999998</v>
      </c>
      <c r="AL10" s="106">
        <v>43</v>
      </c>
      <c r="AM10" s="106">
        <v>23426.399999999998</v>
      </c>
      <c r="AN10" s="106">
        <v>22</v>
      </c>
      <c r="AO10" s="106">
        <v>11985.599999999999</v>
      </c>
      <c r="AP10" s="106">
        <v>31</v>
      </c>
      <c r="AQ10" s="106">
        <v>16888.8</v>
      </c>
      <c r="AR10" s="106">
        <v>34</v>
      </c>
      <c r="AS10" s="106">
        <v>18523.199999999997</v>
      </c>
      <c r="AT10" s="106">
        <v>25</v>
      </c>
      <c r="AU10" s="106">
        <v>13619.999999999998</v>
      </c>
      <c r="AV10" s="106">
        <v>28</v>
      </c>
      <c r="AW10" s="106">
        <v>15254.399999999998</v>
      </c>
      <c r="AX10" s="106">
        <v>30</v>
      </c>
      <c r="AY10" s="106">
        <v>16343.999999999998</v>
      </c>
      <c r="AZ10" s="106">
        <v>5.9333304326682521</v>
      </c>
      <c r="BA10" s="106">
        <v>3232.4784197176637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47</v>
      </c>
      <c r="BI10" s="106">
        <v>25605.599999999999</v>
      </c>
      <c r="BJ10" s="106">
        <v>67</v>
      </c>
      <c r="BK10" s="106">
        <v>36501.599999999999</v>
      </c>
      <c r="BL10" s="106">
        <v>75</v>
      </c>
      <c r="BM10" s="106">
        <v>40860</v>
      </c>
      <c r="BN10" s="106">
        <v>42</v>
      </c>
      <c r="BO10" s="106">
        <v>22881.599999999999</v>
      </c>
      <c r="BP10" s="106">
        <v>45</v>
      </c>
      <c r="BQ10" s="106">
        <v>24515.999999999996</v>
      </c>
      <c r="BR10" s="106">
        <v>46</v>
      </c>
      <c r="BS10" s="106">
        <v>25060.799999999999</v>
      </c>
      <c r="BT10" s="106">
        <v>59</v>
      </c>
      <c r="BU10" s="106">
        <v>32143.199999999997</v>
      </c>
      <c r="BV10" s="106">
        <v>43</v>
      </c>
      <c r="BW10" s="106">
        <v>23426.399999999998</v>
      </c>
      <c r="BX10" s="106">
        <v>29</v>
      </c>
      <c r="BY10" s="106">
        <v>15799.199999999999</v>
      </c>
      <c r="BZ10" s="106">
        <v>32</v>
      </c>
      <c r="CA10" s="106">
        <v>17433.599999999999</v>
      </c>
      <c r="CB10" s="106">
        <v>16.397715467504394</v>
      </c>
      <c r="CC10" s="106">
        <v>8933.4753866963929</v>
      </c>
      <c r="CD10" s="106">
        <v>13.371463497808746</v>
      </c>
      <c r="CE10" s="106">
        <v>7284.7733136062043</v>
      </c>
      <c r="CF10" s="106">
        <v>11.201660406602988</v>
      </c>
      <c r="CG10" s="106">
        <v>6102.6645895173078</v>
      </c>
      <c r="CH10" s="106">
        <v>8.0391338812156192</v>
      </c>
      <c r="CI10" s="106">
        <v>4379.7201384862692</v>
      </c>
      <c r="CJ10" s="106">
        <v>8.7495317099846428</v>
      </c>
      <c r="CK10" s="106">
        <v>4766.7448755996329</v>
      </c>
      <c r="CL10" s="106">
        <v>9.8466430970089842</v>
      </c>
      <c r="CM10" s="106">
        <v>5364.4511592504941</v>
      </c>
      <c r="CN10" s="106">
        <v>11.202123398645673</v>
      </c>
      <c r="CO10" s="106">
        <v>6102.9168275821621</v>
      </c>
      <c r="CP10" s="106">
        <v>10.419302099693747</v>
      </c>
      <c r="CQ10" s="106">
        <v>5676.4357839131526</v>
      </c>
      <c r="CR10" s="106">
        <v>12.174464720314599</v>
      </c>
      <c r="CS10" s="106">
        <v>6632.6483796273933</v>
      </c>
      <c r="CT10" s="106">
        <v>14.871740199587787</v>
      </c>
      <c r="CU10" s="106">
        <v>8102.1240607354257</v>
      </c>
    </row>
    <row r="11" spans="1:99" x14ac:dyDescent="0.2">
      <c r="C11" s="105" t="s">
        <v>176</v>
      </c>
      <c r="D11" s="106">
        <v>2.7353126065766284</v>
      </c>
      <c r="E11" s="106">
        <v>1457.3745567840276</v>
      </c>
      <c r="F11" s="106">
        <v>2.6643024142978997</v>
      </c>
      <c r="G11" s="106">
        <v>1419.5403263379208</v>
      </c>
      <c r="H11" s="106">
        <v>3.4139295360660036</v>
      </c>
      <c r="I11" s="106">
        <v>1818.9416568159666</v>
      </c>
      <c r="J11" s="106">
        <v>2.9469900645730109</v>
      </c>
      <c r="K11" s="106">
        <v>1570.1563064045001</v>
      </c>
      <c r="L11" s="106">
        <v>2.5297219989607256</v>
      </c>
      <c r="M11" s="106">
        <v>1347.8358810462744</v>
      </c>
      <c r="N11" s="106">
        <v>3.0493521306153797</v>
      </c>
      <c r="O11" s="106">
        <v>1624.6948151918741</v>
      </c>
      <c r="P11" s="106">
        <v>3.3726473172382145</v>
      </c>
      <c r="Q11" s="106">
        <v>1796.9464906245205</v>
      </c>
      <c r="R11" s="106">
        <v>2.7123184740736801</v>
      </c>
      <c r="S11" s="106">
        <v>1445.1232829864566</v>
      </c>
      <c r="T11" s="106">
        <v>1.8899213761209088</v>
      </c>
      <c r="U11" s="106">
        <v>1006.9501091972202</v>
      </c>
      <c r="V11" s="106">
        <v>1.9715651367950284</v>
      </c>
      <c r="W11" s="106">
        <v>1050.4499048843911</v>
      </c>
      <c r="X11" s="106">
        <v>2.4106694963038642</v>
      </c>
      <c r="Y11" s="106">
        <v>1284.4047076306988</v>
      </c>
      <c r="Z11" s="106">
        <v>1.9818338359806482</v>
      </c>
      <c r="AA11" s="106">
        <v>1055.9210678104894</v>
      </c>
      <c r="AB11" s="106">
        <v>50.801253457299374</v>
      </c>
      <c r="AC11" s="106">
        <v>27066.907842049106</v>
      </c>
      <c r="AD11" s="106">
        <v>48</v>
      </c>
      <c r="AE11" s="106">
        <v>25574.399999999998</v>
      </c>
      <c r="AF11" s="106">
        <v>54</v>
      </c>
      <c r="AG11" s="106">
        <v>28771.199999999997</v>
      </c>
      <c r="AH11" s="106">
        <v>57</v>
      </c>
      <c r="AI11" s="106">
        <v>30369.599999999999</v>
      </c>
      <c r="AJ11" s="106">
        <v>28</v>
      </c>
      <c r="AK11" s="106">
        <v>14918.399999999998</v>
      </c>
      <c r="AL11" s="106">
        <v>41</v>
      </c>
      <c r="AM11" s="106">
        <v>21844.799999999999</v>
      </c>
      <c r="AN11" s="106">
        <v>22</v>
      </c>
      <c r="AO11" s="106">
        <v>11721.599999999999</v>
      </c>
      <c r="AP11" s="106">
        <v>30</v>
      </c>
      <c r="AQ11" s="106">
        <v>15983.999999999998</v>
      </c>
      <c r="AR11" s="106">
        <v>36</v>
      </c>
      <c r="AS11" s="106">
        <v>19180.8</v>
      </c>
      <c r="AT11" s="106">
        <v>25</v>
      </c>
      <c r="AU11" s="106">
        <v>13319.999999999998</v>
      </c>
      <c r="AV11" s="106">
        <v>28</v>
      </c>
      <c r="AW11" s="106">
        <v>14918.399999999998</v>
      </c>
      <c r="AX11" s="106">
        <v>31</v>
      </c>
      <c r="AY11" s="106">
        <v>16516.8</v>
      </c>
      <c r="AZ11" s="106">
        <v>5.339997389401427</v>
      </c>
      <c r="BA11" s="106">
        <v>2845.15060907308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46</v>
      </c>
      <c r="BI11" s="106">
        <v>24508.799999999999</v>
      </c>
      <c r="BJ11" s="106">
        <v>70</v>
      </c>
      <c r="BK11" s="106">
        <v>37296</v>
      </c>
      <c r="BL11" s="106">
        <v>72</v>
      </c>
      <c r="BM11" s="106">
        <v>38361.599999999999</v>
      </c>
      <c r="BN11" s="106">
        <v>37</v>
      </c>
      <c r="BO11" s="106">
        <v>19713.599999999999</v>
      </c>
      <c r="BP11" s="106">
        <v>45</v>
      </c>
      <c r="BQ11" s="106">
        <v>23975.999999999996</v>
      </c>
      <c r="BR11" s="106">
        <v>51</v>
      </c>
      <c r="BS11" s="106">
        <v>27172.799999999999</v>
      </c>
      <c r="BT11" s="106">
        <v>66</v>
      </c>
      <c r="BU11" s="106">
        <v>35164.799999999996</v>
      </c>
      <c r="BV11" s="106">
        <v>39</v>
      </c>
      <c r="BW11" s="106">
        <v>20779.199999999997</v>
      </c>
      <c r="BX11" s="106">
        <v>32</v>
      </c>
      <c r="BY11" s="106">
        <v>17049.599999999999</v>
      </c>
      <c r="BZ11" s="106">
        <v>32</v>
      </c>
      <c r="CA11" s="106">
        <v>17049.599999999999</v>
      </c>
      <c r="CB11" s="106">
        <v>18.094030860694502</v>
      </c>
      <c r="CC11" s="106">
        <v>9640.49964257803</v>
      </c>
      <c r="CD11" s="106">
        <v>14.075224734535524</v>
      </c>
      <c r="CE11" s="106">
        <v>7499.2797385605263</v>
      </c>
      <c r="CF11" s="106">
        <v>13.23832593507626</v>
      </c>
      <c r="CG11" s="106">
        <v>7053.3800582086305</v>
      </c>
      <c r="CH11" s="106">
        <v>7.2074993417795206</v>
      </c>
      <c r="CI11" s="106">
        <v>3840.1556493001281</v>
      </c>
      <c r="CJ11" s="106">
        <v>9.4225726107526917</v>
      </c>
      <c r="CK11" s="106">
        <v>5020.3466870090333</v>
      </c>
      <c r="CL11" s="106">
        <v>11.752444986752659</v>
      </c>
      <c r="CM11" s="106">
        <v>6261.7026889418157</v>
      </c>
      <c r="CN11" s="106">
        <v>11.202123398645673</v>
      </c>
      <c r="CO11" s="106">
        <v>5968.4913467984143</v>
      </c>
      <c r="CP11" s="106">
        <v>10.419302099693747</v>
      </c>
      <c r="CQ11" s="106">
        <v>5551.4041587168276</v>
      </c>
      <c r="CR11" s="106">
        <v>14.122379075564936</v>
      </c>
      <c r="CS11" s="106">
        <v>7524.4035714609972</v>
      </c>
      <c r="CT11" s="106">
        <v>13.632428516288806</v>
      </c>
      <c r="CU11" s="106">
        <v>7263.3579134786751</v>
      </c>
    </row>
    <row r="12" spans="1:99" x14ac:dyDescent="0.2">
      <c r="C12" s="105" t="s">
        <v>177</v>
      </c>
      <c r="D12" s="106">
        <v>3.3431598524825459</v>
      </c>
      <c r="E12" s="106">
        <v>1881.5303649771768</v>
      </c>
      <c r="F12" s="106">
        <v>2.6643024142978997</v>
      </c>
      <c r="G12" s="106">
        <v>1499.4693987668579</v>
      </c>
      <c r="H12" s="106">
        <v>3.7242867666174582</v>
      </c>
      <c r="I12" s="106">
        <v>2096.0285922523053</v>
      </c>
      <c r="J12" s="106">
        <v>3.3153638226446369</v>
      </c>
      <c r="K12" s="106">
        <v>1865.8867593844016</v>
      </c>
      <c r="L12" s="106">
        <v>2.5297219989607256</v>
      </c>
      <c r="M12" s="106">
        <v>1423.7275410150962</v>
      </c>
      <c r="N12" s="106">
        <v>2.744416917553842</v>
      </c>
      <c r="O12" s="106">
        <v>1544.5578411993022</v>
      </c>
      <c r="P12" s="106">
        <v>3.0353825855143932</v>
      </c>
      <c r="Q12" s="106">
        <v>1708.3133191275003</v>
      </c>
      <c r="R12" s="106">
        <v>2.7123184740736801</v>
      </c>
      <c r="S12" s="106">
        <v>1526.492837208667</v>
      </c>
      <c r="T12" s="106">
        <v>1.8899213761209088</v>
      </c>
      <c r="U12" s="106">
        <v>1063.6477504808474</v>
      </c>
      <c r="V12" s="106">
        <v>2.2828648952363486</v>
      </c>
      <c r="W12" s="106">
        <v>1284.7963630390168</v>
      </c>
      <c r="X12" s="106">
        <v>2.1963877632990765</v>
      </c>
      <c r="Y12" s="106">
        <v>1236.1270331847202</v>
      </c>
      <c r="Z12" s="106">
        <v>2.0719171921615867</v>
      </c>
      <c r="AA12" s="106">
        <v>1166.0749957485409</v>
      </c>
      <c r="AB12" s="106">
        <v>53.341316130164337</v>
      </c>
      <c r="AC12" s="106">
        <v>30020.492718056488</v>
      </c>
      <c r="AD12" s="106">
        <v>43</v>
      </c>
      <c r="AE12" s="106">
        <v>24200.399999999998</v>
      </c>
      <c r="AF12" s="106">
        <v>52</v>
      </c>
      <c r="AG12" s="106">
        <v>29265.599999999999</v>
      </c>
      <c r="AH12" s="106">
        <v>51</v>
      </c>
      <c r="AI12" s="106">
        <v>28702.799999999999</v>
      </c>
      <c r="AJ12" s="106">
        <v>31</v>
      </c>
      <c r="AK12" s="106">
        <v>17446.8</v>
      </c>
      <c r="AL12" s="106">
        <v>38</v>
      </c>
      <c r="AM12" s="106">
        <v>21386.399999999998</v>
      </c>
      <c r="AN12" s="106">
        <v>23</v>
      </c>
      <c r="AO12" s="106">
        <v>12944.4</v>
      </c>
      <c r="AP12" s="106">
        <v>29</v>
      </c>
      <c r="AQ12" s="106">
        <v>16321.199999999999</v>
      </c>
      <c r="AR12" s="106">
        <v>37</v>
      </c>
      <c r="AS12" s="106">
        <v>20823.599999999999</v>
      </c>
      <c r="AT12" s="106">
        <v>26</v>
      </c>
      <c r="AU12" s="106">
        <v>14632.8</v>
      </c>
      <c r="AV12" s="106">
        <v>29</v>
      </c>
      <c r="AW12" s="106">
        <v>16321.199999999999</v>
      </c>
      <c r="AX12" s="106">
        <v>29</v>
      </c>
      <c r="AY12" s="106">
        <v>16321.199999999999</v>
      </c>
      <c r="AZ12" s="106">
        <v>5.735552751579311</v>
      </c>
      <c r="BA12" s="106">
        <v>3227.9690885888358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47</v>
      </c>
      <c r="BI12" s="106">
        <v>26451.599999999999</v>
      </c>
      <c r="BJ12" s="106">
        <v>66</v>
      </c>
      <c r="BK12" s="106">
        <v>37144.799999999996</v>
      </c>
      <c r="BL12" s="106">
        <v>72</v>
      </c>
      <c r="BM12" s="106">
        <v>40521.599999999999</v>
      </c>
      <c r="BN12" s="106">
        <v>42</v>
      </c>
      <c r="BO12" s="106">
        <v>23637.599999999999</v>
      </c>
      <c r="BP12" s="106">
        <v>51</v>
      </c>
      <c r="BQ12" s="106">
        <v>28702.799999999999</v>
      </c>
      <c r="BR12" s="106">
        <v>55</v>
      </c>
      <c r="BS12" s="106">
        <v>30953.999999999996</v>
      </c>
      <c r="BT12" s="106">
        <v>64</v>
      </c>
      <c r="BU12" s="106">
        <v>36019.199999999997</v>
      </c>
      <c r="BV12" s="106">
        <v>41</v>
      </c>
      <c r="BW12" s="106">
        <v>23074.799999999999</v>
      </c>
      <c r="BX12" s="106">
        <v>29</v>
      </c>
      <c r="BY12" s="106">
        <v>16321.199999999999</v>
      </c>
      <c r="BZ12" s="106">
        <v>34</v>
      </c>
      <c r="CA12" s="106">
        <v>19135.199999999997</v>
      </c>
      <c r="CB12" s="106">
        <v>18.659469325091205</v>
      </c>
      <c r="CC12" s="106">
        <v>10501.54933616133</v>
      </c>
      <c r="CD12" s="106">
        <v>14.7789859712623</v>
      </c>
      <c r="CE12" s="106">
        <v>8317.6133046264222</v>
      </c>
      <c r="CF12" s="106">
        <v>11.880548916094078</v>
      </c>
      <c r="CG12" s="106">
        <v>6686.3729299777469</v>
      </c>
      <c r="CH12" s="106">
        <v>6.930287828634154</v>
      </c>
      <c r="CI12" s="106">
        <v>3900.3659899553018</v>
      </c>
      <c r="CJ12" s="106">
        <v>9.4225726107526917</v>
      </c>
      <c r="CK12" s="106">
        <v>5303.0238653316146</v>
      </c>
      <c r="CL12" s="106">
        <v>11.752444986752659</v>
      </c>
      <c r="CM12" s="106">
        <v>6614.2760385443962</v>
      </c>
      <c r="CN12" s="106">
        <v>11.791708840679657</v>
      </c>
      <c r="CO12" s="106">
        <v>6636.3737355345102</v>
      </c>
      <c r="CP12" s="106">
        <v>10.915459342536307</v>
      </c>
      <c r="CQ12" s="106">
        <v>6143.2205179794328</v>
      </c>
      <c r="CR12" s="106">
        <v>13.635400486752351</v>
      </c>
      <c r="CS12" s="106">
        <v>7674.0033939442228</v>
      </c>
      <c r="CT12" s="106">
        <v>14.252084357938298</v>
      </c>
      <c r="CU12" s="106">
        <v>8021.0730766476736</v>
      </c>
    </row>
    <row r="13" spans="1:99" x14ac:dyDescent="0.2">
      <c r="C13" s="105" t="s">
        <v>178</v>
      </c>
      <c r="D13" s="106">
        <v>3.3431598524825459</v>
      </c>
      <c r="E13" s="106">
        <v>284.83721943151289</v>
      </c>
      <c r="F13" s="106">
        <v>3.0449170449118852</v>
      </c>
      <c r="G13" s="106">
        <v>259.42693222649262</v>
      </c>
      <c r="H13" s="106">
        <v>3.7242867666174582</v>
      </c>
      <c r="I13" s="106">
        <v>317.30923251580742</v>
      </c>
      <c r="J13" s="106">
        <v>3.3153638226446369</v>
      </c>
      <c r="K13" s="106">
        <v>282.46899768932309</v>
      </c>
      <c r="L13" s="106">
        <v>2.5297219989607256</v>
      </c>
      <c r="M13" s="106">
        <v>215.53231431145383</v>
      </c>
      <c r="N13" s="106">
        <v>3.0493521306153797</v>
      </c>
      <c r="O13" s="106">
        <v>259.80480152843035</v>
      </c>
      <c r="P13" s="106">
        <v>3.7099120489620363</v>
      </c>
      <c r="Q13" s="106">
        <v>316.0845065715655</v>
      </c>
      <c r="R13" s="106">
        <v>3.0997925417984917</v>
      </c>
      <c r="S13" s="106">
        <v>264.10232456123151</v>
      </c>
      <c r="T13" s="106">
        <v>2.0999126401343431</v>
      </c>
      <c r="U13" s="106">
        <v>178.91255693944603</v>
      </c>
      <c r="V13" s="106">
        <v>2.4903980675305624</v>
      </c>
      <c r="W13" s="106">
        <v>212.18191535360393</v>
      </c>
      <c r="X13" s="106">
        <v>2.3570990630526674</v>
      </c>
      <c r="Y13" s="106">
        <v>200.82484017208728</v>
      </c>
      <c r="Z13" s="106">
        <v>2.207042226432995</v>
      </c>
      <c r="AA13" s="106">
        <v>188.03999769209119</v>
      </c>
      <c r="AB13" s="106">
        <v>55.8813788030293</v>
      </c>
      <c r="AC13" s="106">
        <v>4761.0934740180965</v>
      </c>
      <c r="AD13" s="106">
        <v>48</v>
      </c>
      <c r="AE13" s="106">
        <v>4089.6000000000004</v>
      </c>
      <c r="AF13" s="106">
        <v>52</v>
      </c>
      <c r="AG13" s="106">
        <v>4430.4000000000005</v>
      </c>
      <c r="AH13" s="106">
        <v>62</v>
      </c>
      <c r="AI13" s="106">
        <v>5282.4000000000005</v>
      </c>
      <c r="AJ13" s="106">
        <v>31</v>
      </c>
      <c r="AK13" s="106">
        <v>2641.2000000000003</v>
      </c>
      <c r="AL13" s="106">
        <v>39</v>
      </c>
      <c r="AM13" s="106">
        <v>3322.8</v>
      </c>
      <c r="AN13" s="106">
        <v>26</v>
      </c>
      <c r="AO13" s="106">
        <v>2215.2000000000003</v>
      </c>
      <c r="AP13" s="106">
        <v>34</v>
      </c>
      <c r="AQ13" s="106">
        <v>2896.8</v>
      </c>
      <c r="AR13" s="106">
        <v>39</v>
      </c>
      <c r="AS13" s="106">
        <v>3322.8</v>
      </c>
      <c r="AT13" s="106">
        <v>26</v>
      </c>
      <c r="AU13" s="106">
        <v>2215.2000000000003</v>
      </c>
      <c r="AV13" s="106">
        <v>34</v>
      </c>
      <c r="AW13" s="106">
        <v>2896.8</v>
      </c>
      <c r="AX13" s="106">
        <v>34</v>
      </c>
      <c r="AY13" s="106">
        <v>2896.8</v>
      </c>
      <c r="AZ13" s="106">
        <v>5.339997389401427</v>
      </c>
      <c r="BA13" s="106">
        <v>454.96777757700158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51</v>
      </c>
      <c r="BI13" s="106">
        <v>4345.2</v>
      </c>
      <c r="BJ13" s="106">
        <v>74</v>
      </c>
      <c r="BK13" s="106">
        <v>6304.8</v>
      </c>
      <c r="BL13" s="106">
        <v>79</v>
      </c>
      <c r="BM13" s="106">
        <v>6730.8</v>
      </c>
      <c r="BN13" s="106">
        <v>47</v>
      </c>
      <c r="BO13" s="106">
        <v>4004.4</v>
      </c>
      <c r="BP13" s="106">
        <v>49</v>
      </c>
      <c r="BQ13" s="106">
        <v>4174.8</v>
      </c>
      <c r="BR13" s="106">
        <v>55</v>
      </c>
      <c r="BS13" s="106">
        <v>4686</v>
      </c>
      <c r="BT13" s="106">
        <v>75</v>
      </c>
      <c r="BU13" s="106">
        <v>6390</v>
      </c>
      <c r="BV13" s="106">
        <v>47</v>
      </c>
      <c r="BW13" s="106">
        <v>4004.4</v>
      </c>
      <c r="BX13" s="106">
        <v>30</v>
      </c>
      <c r="BY13" s="106">
        <v>2556</v>
      </c>
      <c r="BZ13" s="106">
        <v>40</v>
      </c>
      <c r="CA13" s="106">
        <v>3408</v>
      </c>
      <c r="CB13" s="106">
        <v>20.355784718281313</v>
      </c>
      <c r="CC13" s="106">
        <v>1734.312857997568</v>
      </c>
      <c r="CD13" s="106">
        <v>13.371463497808746</v>
      </c>
      <c r="CE13" s="106">
        <v>1139.2486900133051</v>
      </c>
      <c r="CF13" s="106">
        <v>13.577770189821804</v>
      </c>
      <c r="CG13" s="106">
        <v>1156.8260201728176</v>
      </c>
      <c r="CH13" s="106">
        <v>8.8707684206517179</v>
      </c>
      <c r="CI13" s="106">
        <v>755.78946943952644</v>
      </c>
      <c r="CJ13" s="106">
        <v>9.759093061136717</v>
      </c>
      <c r="CK13" s="106">
        <v>831.47472880884834</v>
      </c>
      <c r="CL13" s="106">
        <v>12.07007863504327</v>
      </c>
      <c r="CM13" s="106">
        <v>1028.3706997056865</v>
      </c>
      <c r="CN13" s="106">
        <v>11.202123398645673</v>
      </c>
      <c r="CO13" s="106">
        <v>954.4209135646114</v>
      </c>
      <c r="CP13" s="106">
        <v>11.411616585378866</v>
      </c>
      <c r="CQ13" s="106">
        <v>972.26973307427943</v>
      </c>
      <c r="CR13" s="106">
        <v>14.122379075564936</v>
      </c>
      <c r="CS13" s="106">
        <v>1203.2266972381326</v>
      </c>
      <c r="CT13" s="106">
        <v>16.11105188288677</v>
      </c>
      <c r="CU13" s="106">
        <v>1372.6616204219529</v>
      </c>
    </row>
    <row r="14" spans="1:99" x14ac:dyDescent="0.2">
      <c r="C14" s="105" t="s">
        <v>179</v>
      </c>
      <c r="D14" s="106">
        <v>3.3431598524825459</v>
      </c>
      <c r="E14" s="106">
        <v>1632.7992719524752</v>
      </c>
      <c r="F14" s="106">
        <v>2.6643024142978997</v>
      </c>
      <c r="G14" s="106">
        <v>1301.2452991430941</v>
      </c>
      <c r="H14" s="106">
        <v>3.7242867666174582</v>
      </c>
      <c r="I14" s="106">
        <v>1818.9416568159666</v>
      </c>
      <c r="J14" s="106">
        <v>2.9469900645730109</v>
      </c>
      <c r="K14" s="106">
        <v>1439.3099475374586</v>
      </c>
      <c r="L14" s="106">
        <v>2.8911108559551146</v>
      </c>
      <c r="M14" s="106">
        <v>1412.0185420484779</v>
      </c>
      <c r="N14" s="106">
        <v>2.744416917553842</v>
      </c>
      <c r="O14" s="106">
        <v>1340.3732225332963</v>
      </c>
      <c r="P14" s="106">
        <v>3.3726473172382145</v>
      </c>
      <c r="Q14" s="106">
        <v>1647.2009497391439</v>
      </c>
      <c r="R14" s="106">
        <v>2.7123184740736801</v>
      </c>
      <c r="S14" s="106">
        <v>1324.6963427375854</v>
      </c>
      <c r="T14" s="106">
        <v>2.2049082721410604</v>
      </c>
      <c r="U14" s="106">
        <v>1076.8772001136938</v>
      </c>
      <c r="V14" s="106">
        <v>2.0753317229421353</v>
      </c>
      <c r="W14" s="106">
        <v>1013.5920134849389</v>
      </c>
      <c r="X14" s="106">
        <v>2.4106694963038642</v>
      </c>
      <c r="Y14" s="106">
        <v>1177.3709819948072</v>
      </c>
      <c r="Z14" s="106">
        <v>1.936792157890179</v>
      </c>
      <c r="AA14" s="106">
        <v>945.92928991356337</v>
      </c>
      <c r="AB14" s="106">
        <v>56.728066360650963</v>
      </c>
      <c r="AC14" s="106">
        <v>27705.987610541928</v>
      </c>
      <c r="AD14" s="106">
        <v>48</v>
      </c>
      <c r="AE14" s="106">
        <v>23443.199999999997</v>
      </c>
      <c r="AF14" s="106">
        <v>47</v>
      </c>
      <c r="AG14" s="106">
        <v>22954.799999999999</v>
      </c>
      <c r="AH14" s="106">
        <v>52</v>
      </c>
      <c r="AI14" s="106">
        <v>25396.799999999999</v>
      </c>
      <c r="AJ14" s="106">
        <v>31</v>
      </c>
      <c r="AK14" s="106">
        <v>15140.4</v>
      </c>
      <c r="AL14" s="106">
        <v>40</v>
      </c>
      <c r="AM14" s="106">
        <v>19536</v>
      </c>
      <c r="AN14" s="106">
        <v>23</v>
      </c>
      <c r="AO14" s="106">
        <v>11233.199999999999</v>
      </c>
      <c r="AP14" s="106">
        <v>29</v>
      </c>
      <c r="AQ14" s="106">
        <v>14163.599999999999</v>
      </c>
      <c r="AR14" s="106">
        <v>36</v>
      </c>
      <c r="AS14" s="106">
        <v>17582.399999999998</v>
      </c>
      <c r="AT14" s="106">
        <v>24</v>
      </c>
      <c r="AU14" s="106">
        <v>11721.599999999999</v>
      </c>
      <c r="AV14" s="106">
        <v>31</v>
      </c>
      <c r="AW14" s="106">
        <v>15140.4</v>
      </c>
      <c r="AX14" s="106">
        <v>26</v>
      </c>
      <c r="AY14" s="106">
        <v>12698.4</v>
      </c>
      <c r="AZ14" s="106">
        <v>5.339997389401427</v>
      </c>
      <c r="BA14" s="106">
        <v>2608.0547249836568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49</v>
      </c>
      <c r="BI14" s="106">
        <v>23931.599999999999</v>
      </c>
      <c r="BJ14" s="106">
        <v>63</v>
      </c>
      <c r="BK14" s="106">
        <v>30769.199999999997</v>
      </c>
      <c r="BL14" s="106">
        <v>78</v>
      </c>
      <c r="BM14" s="106">
        <v>38095.199999999997</v>
      </c>
      <c r="BN14" s="106">
        <v>41</v>
      </c>
      <c r="BO14" s="106">
        <v>20024.399999999998</v>
      </c>
      <c r="BP14" s="106">
        <v>50</v>
      </c>
      <c r="BQ14" s="106">
        <v>24420</v>
      </c>
      <c r="BR14" s="106">
        <v>50</v>
      </c>
      <c r="BS14" s="106">
        <v>24420</v>
      </c>
      <c r="BT14" s="106">
        <v>66</v>
      </c>
      <c r="BU14" s="106">
        <v>32234.399999999998</v>
      </c>
      <c r="BV14" s="106">
        <v>40</v>
      </c>
      <c r="BW14" s="106">
        <v>19536</v>
      </c>
      <c r="BX14" s="106">
        <v>33</v>
      </c>
      <c r="BY14" s="106">
        <v>16117.199999999999</v>
      </c>
      <c r="BZ14" s="106">
        <v>33</v>
      </c>
      <c r="CA14" s="106">
        <v>16117.199999999999</v>
      </c>
      <c r="CB14" s="106">
        <v>16.397715467504394</v>
      </c>
      <c r="CC14" s="106">
        <v>8008.6442343291455</v>
      </c>
      <c r="CD14" s="106">
        <v>13.371463497808746</v>
      </c>
      <c r="CE14" s="106">
        <v>6530.6227723297907</v>
      </c>
      <c r="CF14" s="106">
        <v>12.55943742558517</v>
      </c>
      <c r="CG14" s="106">
        <v>6134.0292386557967</v>
      </c>
      <c r="CH14" s="106">
        <v>7.2074993417795206</v>
      </c>
      <c r="CI14" s="106">
        <v>3520.1426785251178</v>
      </c>
      <c r="CJ14" s="106">
        <v>8.0764908092165939</v>
      </c>
      <c r="CK14" s="106">
        <v>3944.5581112213845</v>
      </c>
      <c r="CL14" s="106">
        <v>10.164276745299595</v>
      </c>
      <c r="CM14" s="106">
        <v>4964.2327624043219</v>
      </c>
      <c r="CN14" s="106">
        <v>10.612537956611691</v>
      </c>
      <c r="CO14" s="106">
        <v>5183.1635380091493</v>
      </c>
      <c r="CP14" s="106">
        <v>11.907773828221426</v>
      </c>
      <c r="CQ14" s="106">
        <v>5815.7567377033447</v>
      </c>
      <c r="CR14" s="106">
        <v>13.148421897939768</v>
      </c>
      <c r="CS14" s="106">
        <v>6421.6892549537824</v>
      </c>
      <c r="CT14" s="106">
        <v>14.871740199587787</v>
      </c>
      <c r="CU14" s="106">
        <v>7263.3579134786751</v>
      </c>
    </row>
    <row r="15" spans="1:99" x14ac:dyDescent="0.2">
      <c r="C15" s="105" t="s">
        <v>180</v>
      </c>
      <c r="D15" s="106">
        <v>2.7353126065766284</v>
      </c>
      <c r="E15" s="106">
        <v>2087.5905813392828</v>
      </c>
      <c r="F15" s="106">
        <v>2.6643024142978997</v>
      </c>
      <c r="G15" s="106">
        <v>2033.3956025921568</v>
      </c>
      <c r="H15" s="106">
        <v>3.4139295360660036</v>
      </c>
      <c r="I15" s="106">
        <v>2605.5110219255739</v>
      </c>
      <c r="J15" s="106">
        <v>3.3153638226446369</v>
      </c>
      <c r="K15" s="106">
        <v>2530.2856694423867</v>
      </c>
      <c r="L15" s="106">
        <v>2.5297219989607256</v>
      </c>
      <c r="M15" s="106">
        <v>1930.6838296068256</v>
      </c>
      <c r="N15" s="106">
        <v>2.4394817044923038</v>
      </c>
      <c r="O15" s="106">
        <v>1861.8124368685262</v>
      </c>
      <c r="P15" s="106">
        <v>3.3726473172382145</v>
      </c>
      <c r="Q15" s="106">
        <v>2574.0044325162053</v>
      </c>
      <c r="R15" s="106">
        <v>2.7123184740736801</v>
      </c>
      <c r="S15" s="106">
        <v>2070.0414594130325</v>
      </c>
      <c r="T15" s="106">
        <v>1.8899213761209088</v>
      </c>
      <c r="U15" s="106">
        <v>1442.3879942554775</v>
      </c>
      <c r="V15" s="106">
        <v>2.179098309089242</v>
      </c>
      <c r="W15" s="106">
        <v>1663.0878294969093</v>
      </c>
      <c r="X15" s="106">
        <v>2.0356764635454856</v>
      </c>
      <c r="Y15" s="106">
        <v>1553.6282769779145</v>
      </c>
      <c r="Z15" s="106">
        <v>2.0719171921615867</v>
      </c>
      <c r="AA15" s="106">
        <v>1581.2872010577228</v>
      </c>
      <c r="AB15" s="106">
        <v>44.874440553947771</v>
      </c>
      <c r="AC15" s="106">
        <v>34248.173030772938</v>
      </c>
      <c r="AD15" s="106">
        <v>48</v>
      </c>
      <c r="AE15" s="106">
        <v>36633.599999999999</v>
      </c>
      <c r="AF15" s="106">
        <v>46</v>
      </c>
      <c r="AG15" s="106">
        <v>35107.199999999997</v>
      </c>
      <c r="AH15" s="106">
        <v>49</v>
      </c>
      <c r="AI15" s="106">
        <v>37396.799999999996</v>
      </c>
      <c r="AJ15" s="106">
        <v>31</v>
      </c>
      <c r="AK15" s="106">
        <v>23659.199999999997</v>
      </c>
      <c r="AL15" s="106">
        <v>35</v>
      </c>
      <c r="AM15" s="106">
        <v>26711.999999999996</v>
      </c>
      <c r="AN15" s="106">
        <v>24</v>
      </c>
      <c r="AO15" s="106">
        <v>18316.8</v>
      </c>
      <c r="AP15" s="106">
        <v>28</v>
      </c>
      <c r="AQ15" s="106">
        <v>21369.599999999999</v>
      </c>
      <c r="AR15" s="106">
        <v>33</v>
      </c>
      <c r="AS15" s="106">
        <v>25185.599999999999</v>
      </c>
      <c r="AT15" s="106">
        <v>24</v>
      </c>
      <c r="AU15" s="106">
        <v>18316.8</v>
      </c>
      <c r="AV15" s="106">
        <v>30</v>
      </c>
      <c r="AW15" s="106">
        <v>22895.999999999996</v>
      </c>
      <c r="AX15" s="106">
        <v>28</v>
      </c>
      <c r="AY15" s="106">
        <v>21369.599999999999</v>
      </c>
      <c r="AZ15" s="106">
        <v>5.5377750704903681</v>
      </c>
      <c r="BA15" s="106">
        <v>4226.4299337982484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45</v>
      </c>
      <c r="BI15" s="106">
        <v>34344</v>
      </c>
      <c r="BJ15" s="106">
        <v>59</v>
      </c>
      <c r="BK15" s="106">
        <v>45028.799999999996</v>
      </c>
      <c r="BL15" s="106">
        <v>68</v>
      </c>
      <c r="BM15" s="106">
        <v>51897.599999999999</v>
      </c>
      <c r="BN15" s="106">
        <v>35</v>
      </c>
      <c r="BO15" s="106">
        <v>26711.999999999996</v>
      </c>
      <c r="BP15" s="106">
        <v>42</v>
      </c>
      <c r="BQ15" s="106">
        <v>32054.399999999998</v>
      </c>
      <c r="BR15" s="106">
        <v>44</v>
      </c>
      <c r="BS15" s="106">
        <v>33580.799999999996</v>
      </c>
      <c r="BT15" s="106">
        <v>55</v>
      </c>
      <c r="BU15" s="106">
        <v>41975.999999999993</v>
      </c>
      <c r="BV15" s="106">
        <v>36</v>
      </c>
      <c r="BW15" s="106">
        <v>27475.199999999997</v>
      </c>
      <c r="BX15" s="106">
        <v>32</v>
      </c>
      <c r="BY15" s="106">
        <v>24422.399999999998</v>
      </c>
      <c r="BZ15" s="106">
        <v>35</v>
      </c>
      <c r="CA15" s="106">
        <v>26711.999999999996</v>
      </c>
      <c r="CB15" s="106">
        <v>18.094030860694502</v>
      </c>
      <c r="CC15" s="106">
        <v>13809.364352882043</v>
      </c>
      <c r="CD15" s="106">
        <v>12.667702261081971</v>
      </c>
      <c r="CE15" s="106">
        <v>9667.990365657759</v>
      </c>
      <c r="CF15" s="106">
        <v>12.219993170839622</v>
      </c>
      <c r="CG15" s="106">
        <v>9326.2987879847988</v>
      </c>
      <c r="CH15" s="106">
        <v>7.7619223680702527</v>
      </c>
      <c r="CI15" s="106">
        <v>5923.899151311216</v>
      </c>
      <c r="CJ15" s="106">
        <v>9.0860521603686664</v>
      </c>
      <c r="CK15" s="106">
        <v>6934.4750087933653</v>
      </c>
      <c r="CL15" s="106">
        <v>10.79954404188082</v>
      </c>
      <c r="CM15" s="106">
        <v>8242.2120127634407</v>
      </c>
      <c r="CN15" s="106">
        <v>10.022952514577709</v>
      </c>
      <c r="CO15" s="106">
        <v>7649.5173591257062</v>
      </c>
      <c r="CP15" s="106">
        <v>11.411616585378866</v>
      </c>
      <c r="CQ15" s="106">
        <v>8709.345777961149</v>
      </c>
      <c r="CR15" s="106">
        <v>14.122379075564936</v>
      </c>
      <c r="CS15" s="106">
        <v>10778.199710471159</v>
      </c>
      <c r="CT15" s="106">
        <v>12.393116832989822</v>
      </c>
      <c r="CU15" s="106">
        <v>9458.4267669378314</v>
      </c>
    </row>
    <row r="16" spans="1:99" x14ac:dyDescent="0.2">
      <c r="C16" s="105" t="s">
        <v>181</v>
      </c>
      <c r="D16" s="106">
        <v>3.0392362295295872</v>
      </c>
      <c r="E16" s="106">
        <v>1035.7717070236833</v>
      </c>
      <c r="F16" s="106">
        <v>2.2836877836839138</v>
      </c>
      <c r="G16" s="106">
        <v>778.28079667947782</v>
      </c>
      <c r="H16" s="106">
        <v>3.4139295360660036</v>
      </c>
      <c r="I16" s="106">
        <v>1163.4671858912941</v>
      </c>
      <c r="J16" s="106">
        <v>2.9469900645730109</v>
      </c>
      <c r="K16" s="106">
        <v>1004.3342140064822</v>
      </c>
      <c r="L16" s="106">
        <v>2.5297219989607256</v>
      </c>
      <c r="M16" s="106">
        <v>862.12925724581532</v>
      </c>
      <c r="N16" s="106">
        <v>3.0493521306153797</v>
      </c>
      <c r="O16" s="106">
        <v>1039.2192061137214</v>
      </c>
      <c r="P16" s="106">
        <v>3.0353825855143932</v>
      </c>
      <c r="Q16" s="106">
        <v>1034.4583851433053</v>
      </c>
      <c r="R16" s="106">
        <v>3.0997925417984917</v>
      </c>
      <c r="S16" s="106">
        <v>1056.409298244926</v>
      </c>
      <c r="T16" s="106">
        <v>1.9949170081276262</v>
      </c>
      <c r="U16" s="106">
        <v>679.86771636989499</v>
      </c>
      <c r="V16" s="106">
        <v>2.4385147744570088</v>
      </c>
      <c r="W16" s="106">
        <v>831.04583513494867</v>
      </c>
      <c r="X16" s="106">
        <v>2.3035286298014706</v>
      </c>
      <c r="Y16" s="106">
        <v>785.04255703634124</v>
      </c>
      <c r="Z16" s="106">
        <v>2.0268755140711177</v>
      </c>
      <c r="AA16" s="106">
        <v>690.75917519543691</v>
      </c>
      <c r="AB16" s="106">
        <v>55.03469124540765</v>
      </c>
      <c r="AC16" s="106">
        <v>18755.822776434929</v>
      </c>
      <c r="AD16" s="106">
        <v>51</v>
      </c>
      <c r="AE16" s="106">
        <v>17380.8</v>
      </c>
      <c r="AF16" s="106">
        <v>53</v>
      </c>
      <c r="AG16" s="106">
        <v>18062.400000000001</v>
      </c>
      <c r="AH16" s="106">
        <v>58</v>
      </c>
      <c r="AI16" s="106">
        <v>19766.400000000001</v>
      </c>
      <c r="AJ16" s="106">
        <v>30</v>
      </c>
      <c r="AK16" s="106">
        <v>10224</v>
      </c>
      <c r="AL16" s="106">
        <v>39</v>
      </c>
      <c r="AM16" s="106">
        <v>13291.2</v>
      </c>
      <c r="AN16" s="106">
        <v>25</v>
      </c>
      <c r="AO16" s="106">
        <v>8520</v>
      </c>
      <c r="AP16" s="106">
        <v>29</v>
      </c>
      <c r="AQ16" s="106">
        <v>9883.2000000000007</v>
      </c>
      <c r="AR16" s="106">
        <v>33</v>
      </c>
      <c r="AS16" s="106">
        <v>11246.4</v>
      </c>
      <c r="AT16" s="106">
        <v>26</v>
      </c>
      <c r="AU16" s="106">
        <v>8860.8000000000011</v>
      </c>
      <c r="AV16" s="106">
        <v>28</v>
      </c>
      <c r="AW16" s="106">
        <v>9542.4</v>
      </c>
      <c r="AX16" s="106">
        <v>31</v>
      </c>
      <c r="AY16" s="106">
        <v>10564.800000000001</v>
      </c>
      <c r="AZ16" s="106">
        <v>5.339997389401427</v>
      </c>
      <c r="BA16" s="106">
        <v>1819.8711103080063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46</v>
      </c>
      <c r="BI16" s="106">
        <v>15676.800000000001</v>
      </c>
      <c r="BJ16" s="106">
        <v>61</v>
      </c>
      <c r="BK16" s="106">
        <v>20788.8</v>
      </c>
      <c r="BL16" s="106">
        <v>71</v>
      </c>
      <c r="BM16" s="106">
        <v>24196.799999999999</v>
      </c>
      <c r="BN16" s="106">
        <v>41</v>
      </c>
      <c r="BO16" s="106">
        <v>13972.800000000001</v>
      </c>
      <c r="BP16" s="106">
        <v>47</v>
      </c>
      <c r="BQ16" s="106">
        <v>16017.6</v>
      </c>
      <c r="BR16" s="106">
        <v>57</v>
      </c>
      <c r="BS16" s="106">
        <v>19425.600000000002</v>
      </c>
      <c r="BT16" s="106">
        <v>66</v>
      </c>
      <c r="BU16" s="106">
        <v>22492.799999999999</v>
      </c>
      <c r="BV16" s="106">
        <v>40</v>
      </c>
      <c r="BW16" s="106">
        <v>13632</v>
      </c>
      <c r="BX16" s="106">
        <v>31</v>
      </c>
      <c r="BY16" s="106">
        <v>10564.800000000001</v>
      </c>
      <c r="BZ16" s="106">
        <v>35</v>
      </c>
      <c r="CA16" s="106">
        <v>11928</v>
      </c>
      <c r="CB16" s="106">
        <v>16.963153931901097</v>
      </c>
      <c r="CC16" s="106">
        <v>5781.0428599918941</v>
      </c>
      <c r="CD16" s="106">
        <v>14.7789859712623</v>
      </c>
      <c r="CE16" s="106">
        <v>5036.6784190061917</v>
      </c>
      <c r="CF16" s="106">
        <v>13.91721444456735</v>
      </c>
      <c r="CG16" s="106">
        <v>4742.9866827085525</v>
      </c>
      <c r="CH16" s="106">
        <v>7.4847108549248871</v>
      </c>
      <c r="CI16" s="106">
        <v>2550.7894593584015</v>
      </c>
      <c r="CJ16" s="106">
        <v>9.759093061136717</v>
      </c>
      <c r="CK16" s="106">
        <v>3325.8989152353934</v>
      </c>
      <c r="CL16" s="106">
        <v>11.117177690171433</v>
      </c>
      <c r="CM16" s="106">
        <v>3788.7341568104243</v>
      </c>
      <c r="CN16" s="106">
        <v>10.612537956611691</v>
      </c>
      <c r="CO16" s="106">
        <v>3616.7529356132645</v>
      </c>
      <c r="CP16" s="106">
        <v>12.403931071063985</v>
      </c>
      <c r="CQ16" s="106">
        <v>4227.2597090186064</v>
      </c>
      <c r="CR16" s="106">
        <v>13.635400486752351</v>
      </c>
      <c r="CS16" s="106">
        <v>4646.9444858852012</v>
      </c>
      <c r="CT16" s="106">
        <v>15.491396041237278</v>
      </c>
      <c r="CU16" s="106">
        <v>5279.4677708536647</v>
      </c>
    </row>
    <row r="17" spans="2:99" x14ac:dyDescent="0.2">
      <c r="C17" s="105" t="s">
        <v>182</v>
      </c>
      <c r="D17" s="106">
        <v>3.3431598524825459</v>
      </c>
      <c r="E17" s="106">
        <v>1412.1507216886273</v>
      </c>
      <c r="F17" s="106">
        <v>2.6643024142978997</v>
      </c>
      <c r="G17" s="106">
        <v>1125.4013397994329</v>
      </c>
      <c r="H17" s="106">
        <v>3.7242867666174582</v>
      </c>
      <c r="I17" s="106">
        <v>1573.1387302192143</v>
      </c>
      <c r="J17" s="106">
        <v>3.3153638226446369</v>
      </c>
      <c r="K17" s="106">
        <v>1400.4096786850946</v>
      </c>
      <c r="L17" s="106">
        <v>2.5297219989607256</v>
      </c>
      <c r="M17" s="106">
        <v>1068.5545723610105</v>
      </c>
      <c r="N17" s="106">
        <v>2.744416917553842</v>
      </c>
      <c r="O17" s="106">
        <v>1159.2417059747429</v>
      </c>
      <c r="P17" s="106">
        <v>3.3726473172382145</v>
      </c>
      <c r="Q17" s="106">
        <v>1424.6062268014218</v>
      </c>
      <c r="R17" s="106">
        <v>2.7123184740736801</v>
      </c>
      <c r="S17" s="106">
        <v>1145.6833234487224</v>
      </c>
      <c r="T17" s="106">
        <v>1.9424191921242675</v>
      </c>
      <c r="U17" s="106">
        <v>820.47786675329053</v>
      </c>
      <c r="V17" s="106">
        <v>2.4385147744570088</v>
      </c>
      <c r="W17" s="106">
        <v>1030.0286407306405</v>
      </c>
      <c r="X17" s="106">
        <v>2.0356764635454856</v>
      </c>
      <c r="Y17" s="106">
        <v>859.86973820161302</v>
      </c>
      <c r="Z17" s="106">
        <v>1.936792157890179</v>
      </c>
      <c r="AA17" s="106">
        <v>818.10100749281162</v>
      </c>
      <c r="AB17" s="106">
        <v>54.188003687785994</v>
      </c>
      <c r="AC17" s="106">
        <v>22889.012757720804</v>
      </c>
      <c r="AD17" s="106">
        <v>48</v>
      </c>
      <c r="AE17" s="106">
        <v>20275.199999999997</v>
      </c>
      <c r="AF17" s="106">
        <v>48</v>
      </c>
      <c r="AG17" s="106">
        <v>20275.199999999997</v>
      </c>
      <c r="AH17" s="106">
        <v>57</v>
      </c>
      <c r="AI17" s="106">
        <v>24076.799999999999</v>
      </c>
      <c r="AJ17" s="106">
        <v>29</v>
      </c>
      <c r="AK17" s="106">
        <v>12249.599999999999</v>
      </c>
      <c r="AL17" s="106">
        <v>39</v>
      </c>
      <c r="AM17" s="106">
        <v>16473.599999999999</v>
      </c>
      <c r="AN17" s="106">
        <v>23</v>
      </c>
      <c r="AO17" s="106">
        <v>9715.1999999999989</v>
      </c>
      <c r="AP17" s="106">
        <v>29</v>
      </c>
      <c r="AQ17" s="106">
        <v>12249.599999999999</v>
      </c>
      <c r="AR17" s="106">
        <v>34</v>
      </c>
      <c r="AS17" s="106">
        <v>14361.599999999999</v>
      </c>
      <c r="AT17" s="106">
        <v>24</v>
      </c>
      <c r="AU17" s="106">
        <v>10137.599999999999</v>
      </c>
      <c r="AV17" s="106">
        <v>32</v>
      </c>
      <c r="AW17" s="106">
        <v>13516.8</v>
      </c>
      <c r="AX17" s="106">
        <v>28</v>
      </c>
      <c r="AY17" s="106">
        <v>11827.199999999999</v>
      </c>
      <c r="AZ17" s="106">
        <v>4.944442027223543</v>
      </c>
      <c r="BA17" s="106">
        <v>2088.5323122992245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46</v>
      </c>
      <c r="BI17" s="106">
        <v>19430.399999999998</v>
      </c>
      <c r="BJ17" s="106">
        <v>65</v>
      </c>
      <c r="BK17" s="106">
        <v>27456</v>
      </c>
      <c r="BL17" s="106">
        <v>83</v>
      </c>
      <c r="BM17" s="106">
        <v>35059.199999999997</v>
      </c>
      <c r="BN17" s="106">
        <v>37</v>
      </c>
      <c r="BO17" s="106">
        <v>15628.8</v>
      </c>
      <c r="BP17" s="106">
        <v>54</v>
      </c>
      <c r="BQ17" s="106">
        <v>22809.599999999999</v>
      </c>
      <c r="BR17" s="106">
        <v>54</v>
      </c>
      <c r="BS17" s="106">
        <v>22809.599999999999</v>
      </c>
      <c r="BT17" s="106">
        <v>66</v>
      </c>
      <c r="BU17" s="106">
        <v>27878.399999999998</v>
      </c>
      <c r="BV17" s="106">
        <v>37</v>
      </c>
      <c r="BW17" s="106">
        <v>15628.8</v>
      </c>
      <c r="BX17" s="106">
        <v>28</v>
      </c>
      <c r="BY17" s="106">
        <v>11827.199999999999</v>
      </c>
      <c r="BZ17" s="106">
        <v>35</v>
      </c>
      <c r="CA17" s="106">
        <v>14784</v>
      </c>
      <c r="CB17" s="106">
        <v>16.397715467504394</v>
      </c>
      <c r="CC17" s="106">
        <v>6926.3950134738561</v>
      </c>
      <c r="CD17" s="106">
        <v>15.482747207989075</v>
      </c>
      <c r="CE17" s="106">
        <v>6539.9124206545848</v>
      </c>
      <c r="CF17" s="106">
        <v>12.898881680330712</v>
      </c>
      <c r="CG17" s="106">
        <v>5448.4876217716928</v>
      </c>
      <c r="CH17" s="106">
        <v>8.0391338812156192</v>
      </c>
      <c r="CI17" s="106">
        <v>3395.7301514254773</v>
      </c>
      <c r="CJ17" s="106">
        <v>9.4225726107526917</v>
      </c>
      <c r="CK17" s="106">
        <v>3980.0946707819367</v>
      </c>
      <c r="CL17" s="106">
        <v>11.117177690171433</v>
      </c>
      <c r="CM17" s="106">
        <v>4695.8958563284132</v>
      </c>
      <c r="CN17" s="106">
        <v>11.791708840679657</v>
      </c>
      <c r="CO17" s="106">
        <v>4980.8178143030873</v>
      </c>
      <c r="CP17" s="106">
        <v>11.411616585378866</v>
      </c>
      <c r="CQ17" s="106">
        <v>4820.2668456640331</v>
      </c>
      <c r="CR17" s="106">
        <v>14.122379075564936</v>
      </c>
      <c r="CS17" s="106">
        <v>5965.2929215186286</v>
      </c>
      <c r="CT17" s="106">
        <v>13.632428516288806</v>
      </c>
      <c r="CU17" s="106">
        <v>5758.3378052803919</v>
      </c>
    </row>
    <row r="18" spans="2:99" x14ac:dyDescent="0.2">
      <c r="C18" s="105" t="s">
        <v>183</v>
      </c>
      <c r="D18" s="106">
        <v>3.3431598524825459</v>
      </c>
      <c r="E18" s="106">
        <v>2182.4147517006058</v>
      </c>
      <c r="F18" s="106">
        <v>2.2836877836839138</v>
      </c>
      <c r="G18" s="106">
        <v>1490.7913851888588</v>
      </c>
      <c r="H18" s="106">
        <v>3.7242867666174582</v>
      </c>
      <c r="I18" s="106">
        <v>2431.2144012478766</v>
      </c>
      <c r="J18" s="106">
        <v>2.9469900645730109</v>
      </c>
      <c r="K18" s="106">
        <v>1923.7951141532615</v>
      </c>
      <c r="L18" s="106">
        <v>2.5297219989607256</v>
      </c>
      <c r="M18" s="106">
        <v>1651.4025209215615</v>
      </c>
      <c r="N18" s="106">
        <v>2.4394817044923038</v>
      </c>
      <c r="O18" s="106">
        <v>1592.4936566925758</v>
      </c>
      <c r="P18" s="106">
        <v>3.0353825855143932</v>
      </c>
      <c r="Q18" s="106">
        <v>1981.4977518237959</v>
      </c>
      <c r="R18" s="106">
        <v>2.7123184740736801</v>
      </c>
      <c r="S18" s="106">
        <v>1770.6014998752983</v>
      </c>
      <c r="T18" s="106">
        <v>2.0999126401343431</v>
      </c>
      <c r="U18" s="106">
        <v>1370.8229714796992</v>
      </c>
      <c r="V18" s="106">
        <v>2.0234484298685818</v>
      </c>
      <c r="W18" s="106">
        <v>1320.9071350182101</v>
      </c>
      <c r="X18" s="106">
        <v>2.3035286298014706</v>
      </c>
      <c r="Y18" s="106">
        <v>1503.7434895343999</v>
      </c>
      <c r="Z18" s="106">
        <v>1.8467088017092403</v>
      </c>
      <c r="AA18" s="106">
        <v>1205.5315057557921</v>
      </c>
      <c r="AB18" s="106">
        <v>52.49462857254268</v>
      </c>
      <c r="AC18" s="106">
        <v>34268.493532155859</v>
      </c>
      <c r="AD18" s="106">
        <v>44</v>
      </c>
      <c r="AE18" s="106">
        <v>28723.199999999997</v>
      </c>
      <c r="AF18" s="106">
        <v>52</v>
      </c>
      <c r="AG18" s="106">
        <v>33945.599999999999</v>
      </c>
      <c r="AH18" s="106">
        <v>52</v>
      </c>
      <c r="AI18" s="106">
        <v>33945.599999999999</v>
      </c>
      <c r="AJ18" s="106">
        <v>27</v>
      </c>
      <c r="AK18" s="106">
        <v>17625.599999999999</v>
      </c>
      <c r="AL18" s="106">
        <v>42</v>
      </c>
      <c r="AM18" s="106">
        <v>27417.599999999999</v>
      </c>
      <c r="AN18" s="106">
        <v>22</v>
      </c>
      <c r="AO18" s="106">
        <v>14361.599999999999</v>
      </c>
      <c r="AP18" s="106">
        <v>30</v>
      </c>
      <c r="AQ18" s="106">
        <v>19584</v>
      </c>
      <c r="AR18" s="106">
        <v>37</v>
      </c>
      <c r="AS18" s="106">
        <v>24153.599999999999</v>
      </c>
      <c r="AT18" s="106">
        <v>24</v>
      </c>
      <c r="AU18" s="106">
        <v>15667.199999999999</v>
      </c>
      <c r="AV18" s="106">
        <v>29</v>
      </c>
      <c r="AW18" s="106">
        <v>18931.199999999997</v>
      </c>
      <c r="AX18" s="106">
        <v>28</v>
      </c>
      <c r="AY18" s="106">
        <v>18278.399999999998</v>
      </c>
      <c r="AZ18" s="106">
        <v>5.735552751579311</v>
      </c>
      <c r="BA18" s="106">
        <v>3744.1688362309737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45</v>
      </c>
      <c r="BI18" s="106">
        <v>29375.999999999996</v>
      </c>
      <c r="BJ18" s="106">
        <v>58</v>
      </c>
      <c r="BK18" s="106">
        <v>37862.399999999994</v>
      </c>
      <c r="BL18" s="106">
        <v>73</v>
      </c>
      <c r="BM18" s="106">
        <v>47654.399999999994</v>
      </c>
      <c r="BN18" s="106">
        <v>41</v>
      </c>
      <c r="BO18" s="106">
        <v>26764.799999999999</v>
      </c>
      <c r="BP18" s="106">
        <v>45</v>
      </c>
      <c r="BQ18" s="106">
        <v>29375.999999999996</v>
      </c>
      <c r="BR18" s="106">
        <v>55</v>
      </c>
      <c r="BS18" s="106">
        <v>35904</v>
      </c>
      <c r="BT18" s="106">
        <v>64</v>
      </c>
      <c r="BU18" s="106">
        <v>41779.199999999997</v>
      </c>
      <c r="BV18" s="106">
        <v>36</v>
      </c>
      <c r="BW18" s="106">
        <v>23500.799999999999</v>
      </c>
      <c r="BX18" s="106">
        <v>29</v>
      </c>
      <c r="BY18" s="106">
        <v>18931.199999999997</v>
      </c>
      <c r="BZ18" s="106">
        <v>31</v>
      </c>
      <c r="CA18" s="106">
        <v>20236.8</v>
      </c>
      <c r="CB18" s="106">
        <v>16.963153931901097</v>
      </c>
      <c r="CC18" s="106">
        <v>11073.546886745034</v>
      </c>
      <c r="CD18" s="106">
        <v>12.667702261081971</v>
      </c>
      <c r="CE18" s="106">
        <v>8269.4760360343098</v>
      </c>
      <c r="CF18" s="106">
        <v>13.23832593507626</v>
      </c>
      <c r="CG18" s="106">
        <v>8641.9791704177824</v>
      </c>
      <c r="CH18" s="106">
        <v>6.930287828634154</v>
      </c>
      <c r="CI18" s="106">
        <v>4524.0918945323756</v>
      </c>
      <c r="CJ18" s="106">
        <v>9.4225726107526917</v>
      </c>
      <c r="CK18" s="106">
        <v>6151.0554002993567</v>
      </c>
      <c r="CL18" s="106">
        <v>10.164276745299595</v>
      </c>
      <c r="CM18" s="106">
        <v>6635.2398593315756</v>
      </c>
      <c r="CN18" s="106">
        <v>11.202123398645673</v>
      </c>
      <c r="CO18" s="106">
        <v>7312.7461546358945</v>
      </c>
      <c r="CP18" s="106">
        <v>11.411616585378866</v>
      </c>
      <c r="CQ18" s="106">
        <v>7449.5033069353231</v>
      </c>
      <c r="CR18" s="106">
        <v>12.174464720314599</v>
      </c>
      <c r="CS18" s="106">
        <v>7947.4905694213703</v>
      </c>
      <c r="CT18" s="106">
        <v>14.252084357938298</v>
      </c>
      <c r="CU18" s="106">
        <v>9303.7606688621199</v>
      </c>
    </row>
    <row r="19" spans="2:99" x14ac:dyDescent="0.2">
      <c r="C19" s="105" t="s">
        <v>184</v>
      </c>
      <c r="D19" s="106">
        <v>3.0392362295295872</v>
      </c>
      <c r="E19" s="106">
        <v>1002.9479557447638</v>
      </c>
      <c r="F19" s="106">
        <v>2.6643024142978997</v>
      </c>
      <c r="G19" s="106">
        <v>879.21979671830695</v>
      </c>
      <c r="H19" s="106">
        <v>3.7242867666174582</v>
      </c>
      <c r="I19" s="106">
        <v>1229.0146329837612</v>
      </c>
      <c r="J19" s="106">
        <v>3.3153638226446369</v>
      </c>
      <c r="K19" s="106">
        <v>1094.0700614727302</v>
      </c>
      <c r="L19" s="106">
        <v>2.5297219989607256</v>
      </c>
      <c r="M19" s="106">
        <v>834.80825965703946</v>
      </c>
      <c r="N19" s="106">
        <v>2.744416917553842</v>
      </c>
      <c r="O19" s="106">
        <v>905.65758279276781</v>
      </c>
      <c r="P19" s="106">
        <v>3.3726473172382145</v>
      </c>
      <c r="Q19" s="106">
        <v>1112.9736146886107</v>
      </c>
      <c r="R19" s="106">
        <v>3.0997925417984917</v>
      </c>
      <c r="S19" s="106">
        <v>1022.9315387935022</v>
      </c>
      <c r="T19" s="106">
        <v>2.3099039041477774</v>
      </c>
      <c r="U19" s="106">
        <v>762.26828836876655</v>
      </c>
      <c r="V19" s="106">
        <v>2.2309816021627955</v>
      </c>
      <c r="W19" s="106">
        <v>736.22392871372256</v>
      </c>
      <c r="X19" s="106">
        <v>2.3035286298014706</v>
      </c>
      <c r="Y19" s="106">
        <v>760.16444783448526</v>
      </c>
      <c r="Z19" s="106">
        <v>2.1620005483425255</v>
      </c>
      <c r="AA19" s="106">
        <v>713.46018095303339</v>
      </c>
      <c r="AB19" s="106">
        <v>53.341316130164337</v>
      </c>
      <c r="AC19" s="106">
        <v>17602.634322954233</v>
      </c>
      <c r="AD19" s="106">
        <v>46</v>
      </c>
      <c r="AE19" s="106">
        <v>15180</v>
      </c>
      <c r="AF19" s="106">
        <v>48</v>
      </c>
      <c r="AG19" s="106">
        <v>15840</v>
      </c>
      <c r="AH19" s="106">
        <v>54</v>
      </c>
      <c r="AI19" s="106">
        <v>17820</v>
      </c>
      <c r="AJ19" s="106">
        <v>33</v>
      </c>
      <c r="AK19" s="106">
        <v>10890</v>
      </c>
      <c r="AL19" s="106">
        <v>44</v>
      </c>
      <c r="AM19" s="106">
        <v>14520</v>
      </c>
      <c r="AN19" s="106">
        <v>24</v>
      </c>
      <c r="AO19" s="106">
        <v>7920</v>
      </c>
      <c r="AP19" s="106">
        <v>32</v>
      </c>
      <c r="AQ19" s="106">
        <v>10560</v>
      </c>
      <c r="AR19" s="106">
        <v>36</v>
      </c>
      <c r="AS19" s="106">
        <v>11880</v>
      </c>
      <c r="AT19" s="106">
        <v>24</v>
      </c>
      <c r="AU19" s="106">
        <v>7920</v>
      </c>
      <c r="AV19" s="106">
        <v>27</v>
      </c>
      <c r="AW19" s="106">
        <v>8910</v>
      </c>
      <c r="AX19" s="106">
        <v>29</v>
      </c>
      <c r="AY19" s="106">
        <v>9570</v>
      </c>
      <c r="AZ19" s="106">
        <v>5.339997389401427</v>
      </c>
      <c r="BA19" s="106">
        <v>1762.199138502471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50</v>
      </c>
      <c r="BI19" s="106">
        <v>16500</v>
      </c>
      <c r="BJ19" s="106">
        <v>66</v>
      </c>
      <c r="BK19" s="106">
        <v>21780</v>
      </c>
      <c r="BL19" s="106">
        <v>87</v>
      </c>
      <c r="BM19" s="106">
        <v>28710</v>
      </c>
      <c r="BN19" s="106">
        <v>43</v>
      </c>
      <c r="BO19" s="106">
        <v>14190</v>
      </c>
      <c r="BP19" s="106">
        <v>49</v>
      </c>
      <c r="BQ19" s="106">
        <v>16170</v>
      </c>
      <c r="BR19" s="106">
        <v>54</v>
      </c>
      <c r="BS19" s="106">
        <v>17820</v>
      </c>
      <c r="BT19" s="106">
        <v>71</v>
      </c>
      <c r="BU19" s="106">
        <v>23430</v>
      </c>
      <c r="BV19" s="106">
        <v>38</v>
      </c>
      <c r="BW19" s="106">
        <v>12540</v>
      </c>
      <c r="BX19" s="106">
        <v>33</v>
      </c>
      <c r="BY19" s="106">
        <v>10890</v>
      </c>
      <c r="BZ19" s="106">
        <v>33</v>
      </c>
      <c r="CA19" s="106">
        <v>10890</v>
      </c>
      <c r="CB19" s="106">
        <v>19.790346253884614</v>
      </c>
      <c r="CC19" s="106">
        <v>6530.8142637819228</v>
      </c>
      <c r="CD19" s="106">
        <v>13.371463497808746</v>
      </c>
      <c r="CE19" s="106">
        <v>4412.5829542768861</v>
      </c>
      <c r="CF19" s="106">
        <v>12.55943742558517</v>
      </c>
      <c r="CG19" s="106">
        <v>4144.6143504431056</v>
      </c>
      <c r="CH19" s="106">
        <v>7.7619223680702527</v>
      </c>
      <c r="CI19" s="106">
        <v>2561.4343814631834</v>
      </c>
      <c r="CJ19" s="106">
        <v>8.4130112596006175</v>
      </c>
      <c r="CK19" s="106">
        <v>2776.2937156682037</v>
      </c>
      <c r="CL19" s="106">
        <v>11.117177690171433</v>
      </c>
      <c r="CM19" s="106">
        <v>3668.6686377565729</v>
      </c>
      <c r="CN19" s="106">
        <v>11.791708840679657</v>
      </c>
      <c r="CO19" s="106">
        <v>3891.2639174242868</v>
      </c>
      <c r="CP19" s="106">
        <v>11.907773828221426</v>
      </c>
      <c r="CQ19" s="106">
        <v>3929.5653633130705</v>
      </c>
      <c r="CR19" s="106">
        <v>14.609357664377519</v>
      </c>
      <c r="CS19" s="106">
        <v>4821.0880292445818</v>
      </c>
      <c r="CT19" s="106">
        <v>13.012772674639313</v>
      </c>
      <c r="CU19" s="106">
        <v>4294.2149826309733</v>
      </c>
    </row>
    <row r="20" spans="2:99" x14ac:dyDescent="0.2">
      <c r="B20" s="105" t="s">
        <v>127</v>
      </c>
      <c r="C20" s="105" t="s">
        <v>185</v>
      </c>
      <c r="D20" s="106">
        <v>8.5098614426828441</v>
      </c>
      <c r="E20" s="106">
        <v>2440.6282617614397</v>
      </c>
      <c r="F20" s="106">
        <v>6.0898340898237704</v>
      </c>
      <c r="G20" s="106">
        <v>1746.5644169614575</v>
      </c>
      <c r="H20" s="106">
        <v>6.8278590721320072</v>
      </c>
      <c r="I20" s="106">
        <v>1958.2299818874596</v>
      </c>
      <c r="J20" s="106">
        <v>7.7358489195041527</v>
      </c>
      <c r="K20" s="106">
        <v>2218.641470113791</v>
      </c>
      <c r="L20" s="106">
        <v>6.5049994258990083</v>
      </c>
      <c r="M20" s="106">
        <v>1865.6338353478357</v>
      </c>
      <c r="N20" s="106">
        <v>8.5381859657230645</v>
      </c>
      <c r="O20" s="106">
        <v>2448.7517349693749</v>
      </c>
      <c r="P20" s="106">
        <v>8.4316182930955375</v>
      </c>
      <c r="Q20" s="106">
        <v>2418.1881264598001</v>
      </c>
      <c r="R20" s="106">
        <v>6.9745332190466058</v>
      </c>
      <c r="S20" s="106">
        <v>2000.2961272225666</v>
      </c>
      <c r="T20" s="106">
        <v>4.8297990723089894</v>
      </c>
      <c r="U20" s="106">
        <v>1385.1863739382181</v>
      </c>
      <c r="V20" s="106">
        <v>6.1741118757528524</v>
      </c>
      <c r="W20" s="106">
        <v>1770.7352859659181</v>
      </c>
      <c r="X20" s="106">
        <v>4.6606276928541384</v>
      </c>
      <c r="Y20" s="106">
        <v>1336.668022310567</v>
      </c>
      <c r="Z20" s="106">
        <v>4.5492094871373974</v>
      </c>
      <c r="AA20" s="106">
        <v>1304.7132809110055</v>
      </c>
      <c r="AB20" s="106">
        <v>52.49462857254268</v>
      </c>
      <c r="AC20" s="106">
        <v>15055.459474605241</v>
      </c>
      <c r="AD20" s="106">
        <v>49</v>
      </c>
      <c r="AE20" s="106">
        <v>14053.2</v>
      </c>
      <c r="AF20" s="106">
        <v>44</v>
      </c>
      <c r="AG20" s="106">
        <v>12619.2</v>
      </c>
      <c r="AH20" s="106">
        <v>35</v>
      </c>
      <c r="AI20" s="106">
        <v>10038</v>
      </c>
      <c r="AJ20" s="106">
        <v>38</v>
      </c>
      <c r="AK20" s="106">
        <v>10898.4</v>
      </c>
      <c r="AL20" s="106">
        <v>31</v>
      </c>
      <c r="AM20" s="106">
        <v>8890.8000000000011</v>
      </c>
      <c r="AN20" s="106">
        <v>43</v>
      </c>
      <c r="AO20" s="106">
        <v>12332.4</v>
      </c>
      <c r="AP20" s="106">
        <v>45</v>
      </c>
      <c r="AQ20" s="106">
        <v>12906</v>
      </c>
      <c r="AR20" s="106">
        <v>37</v>
      </c>
      <c r="AS20" s="106">
        <v>10611.6</v>
      </c>
      <c r="AT20" s="106">
        <v>30</v>
      </c>
      <c r="AU20" s="106">
        <v>8604</v>
      </c>
      <c r="AV20" s="106">
        <v>36</v>
      </c>
      <c r="AW20" s="106">
        <v>10324.800000000001</v>
      </c>
      <c r="AX20" s="106">
        <v>44</v>
      </c>
      <c r="AY20" s="106">
        <v>12619.2</v>
      </c>
      <c r="AZ20" s="106">
        <v>9.6911063733581457</v>
      </c>
      <c r="BA20" s="106">
        <v>2779.4093078791161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54</v>
      </c>
      <c r="BI20" s="106">
        <v>15487.2</v>
      </c>
      <c r="BJ20" s="106">
        <v>47</v>
      </c>
      <c r="BK20" s="106">
        <v>13479.6</v>
      </c>
      <c r="BL20" s="106">
        <v>48</v>
      </c>
      <c r="BM20" s="106">
        <v>13766.400000000001</v>
      </c>
      <c r="BN20" s="106">
        <v>49</v>
      </c>
      <c r="BO20" s="106">
        <v>14053.2</v>
      </c>
      <c r="BP20" s="106">
        <v>50</v>
      </c>
      <c r="BQ20" s="106">
        <v>14340</v>
      </c>
      <c r="BR20" s="106">
        <v>50</v>
      </c>
      <c r="BS20" s="106">
        <v>14340</v>
      </c>
      <c r="BT20" s="106">
        <v>36</v>
      </c>
      <c r="BU20" s="106">
        <v>10324.800000000001</v>
      </c>
      <c r="BV20" s="106">
        <v>56</v>
      </c>
      <c r="BW20" s="106">
        <v>16060.800000000001</v>
      </c>
      <c r="BX20" s="106">
        <v>93</v>
      </c>
      <c r="BY20" s="106">
        <v>26672.400000000001</v>
      </c>
      <c r="BZ20" s="106">
        <v>122</v>
      </c>
      <c r="CA20" s="106">
        <v>34989.599999999999</v>
      </c>
      <c r="CB20" s="106">
        <v>63.894546476827465</v>
      </c>
      <c r="CC20" s="106">
        <v>18324.955929554118</v>
      </c>
      <c r="CD20" s="106">
        <v>45.040719150513681</v>
      </c>
      <c r="CE20" s="106">
        <v>12917.678252367325</v>
      </c>
      <c r="CF20" s="106">
        <v>23.421653577442612</v>
      </c>
      <c r="CG20" s="106">
        <v>6717.3302460105415</v>
      </c>
      <c r="CH20" s="106">
        <v>31.047689472281011</v>
      </c>
      <c r="CI20" s="106">
        <v>8904.4773406501936</v>
      </c>
      <c r="CJ20" s="106">
        <v>29.950320084178198</v>
      </c>
      <c r="CK20" s="106">
        <v>8589.7518001423068</v>
      </c>
      <c r="CL20" s="106">
        <v>30.175196587608173</v>
      </c>
      <c r="CM20" s="106">
        <v>8654.2463813260238</v>
      </c>
      <c r="CN20" s="106">
        <v>46.57724992068465</v>
      </c>
      <c r="CO20" s="106">
        <v>13358.355277252358</v>
      </c>
      <c r="CP20" s="106">
        <v>51.600353255626182</v>
      </c>
      <c r="CQ20" s="106">
        <v>14798.98131371359</v>
      </c>
      <c r="CR20" s="106">
        <v>42.367137226694808</v>
      </c>
      <c r="CS20" s="106">
        <v>12150.894956616072</v>
      </c>
      <c r="CT20" s="106">
        <v>42.756253073814889</v>
      </c>
      <c r="CU20" s="106">
        <v>12262.493381570112</v>
      </c>
    </row>
    <row r="21" spans="2:99" x14ac:dyDescent="0.2">
      <c r="C21" s="105" t="s">
        <v>186</v>
      </c>
      <c r="D21" s="106">
        <v>7.2941669508710092</v>
      </c>
      <c r="E21" s="106">
        <v>455.15601773435094</v>
      </c>
      <c r="F21" s="106">
        <v>6.0898340898237704</v>
      </c>
      <c r="G21" s="106">
        <v>380.00564720500324</v>
      </c>
      <c r="H21" s="106">
        <v>8.0692879943378273</v>
      </c>
      <c r="I21" s="106">
        <v>503.5235708466804</v>
      </c>
      <c r="J21" s="106">
        <v>8.1042226775757804</v>
      </c>
      <c r="K21" s="106">
        <v>505.70349508072866</v>
      </c>
      <c r="L21" s="106">
        <v>6.5049994258990083</v>
      </c>
      <c r="M21" s="106">
        <v>405.91196417609808</v>
      </c>
      <c r="N21" s="106">
        <v>8.233250752661526</v>
      </c>
      <c r="O21" s="106">
        <v>513.75484696607919</v>
      </c>
      <c r="P21" s="106">
        <v>9.1061477565431801</v>
      </c>
      <c r="Q21" s="106">
        <v>568.22362000829446</v>
      </c>
      <c r="R21" s="106">
        <v>6.5870591513217942</v>
      </c>
      <c r="S21" s="106">
        <v>411.03249104247993</v>
      </c>
      <c r="T21" s="106">
        <v>5.2497816003358579</v>
      </c>
      <c r="U21" s="106">
        <v>327.58637186095751</v>
      </c>
      <c r="V21" s="106">
        <v>5.9665787034586382</v>
      </c>
      <c r="W21" s="106">
        <v>372.314511095819</v>
      </c>
      <c r="X21" s="106">
        <v>4.6606276928541384</v>
      </c>
      <c r="Y21" s="106">
        <v>290.82316803409822</v>
      </c>
      <c r="Z21" s="106">
        <v>5.58516808321819</v>
      </c>
      <c r="AA21" s="106">
        <v>348.51448839281505</v>
      </c>
      <c r="AB21" s="106">
        <v>47.414503226812741</v>
      </c>
      <c r="AC21" s="106">
        <v>2958.6650013531148</v>
      </c>
      <c r="AD21" s="106">
        <v>56</v>
      </c>
      <c r="AE21" s="106">
        <v>3494.4</v>
      </c>
      <c r="AF21" s="106">
        <v>54</v>
      </c>
      <c r="AG21" s="106">
        <v>3369.6</v>
      </c>
      <c r="AH21" s="106">
        <v>32</v>
      </c>
      <c r="AI21" s="106">
        <v>1996.8</v>
      </c>
      <c r="AJ21" s="106">
        <v>37</v>
      </c>
      <c r="AK21" s="106">
        <v>2308.7999999999997</v>
      </c>
      <c r="AL21" s="106">
        <v>34</v>
      </c>
      <c r="AM21" s="106">
        <v>2121.6</v>
      </c>
      <c r="AN21" s="106">
        <v>50</v>
      </c>
      <c r="AO21" s="106">
        <v>3120</v>
      </c>
      <c r="AP21" s="106">
        <v>43</v>
      </c>
      <c r="AQ21" s="106">
        <v>2683.2</v>
      </c>
      <c r="AR21" s="106">
        <v>45</v>
      </c>
      <c r="AS21" s="106">
        <v>2808</v>
      </c>
      <c r="AT21" s="106">
        <v>33</v>
      </c>
      <c r="AU21" s="106">
        <v>2059.1999999999998</v>
      </c>
      <c r="AV21" s="106">
        <v>38</v>
      </c>
      <c r="AW21" s="106">
        <v>2371.1999999999998</v>
      </c>
      <c r="AX21" s="106">
        <v>45</v>
      </c>
      <c r="AY21" s="106">
        <v>2808</v>
      </c>
      <c r="AZ21" s="106">
        <v>10.679994778802854</v>
      </c>
      <c r="BA21" s="106">
        <v>666.43167419729809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60</v>
      </c>
      <c r="BI21" s="106">
        <v>3744</v>
      </c>
      <c r="BJ21" s="106">
        <v>44</v>
      </c>
      <c r="BK21" s="106">
        <v>2745.6</v>
      </c>
      <c r="BL21" s="106">
        <v>53</v>
      </c>
      <c r="BM21" s="106">
        <v>3307.2</v>
      </c>
      <c r="BN21" s="106">
        <v>54</v>
      </c>
      <c r="BO21" s="106">
        <v>3369.6</v>
      </c>
      <c r="BP21" s="106">
        <v>55</v>
      </c>
      <c r="BQ21" s="106">
        <v>3432</v>
      </c>
      <c r="BR21" s="106">
        <v>56</v>
      </c>
      <c r="BS21" s="106">
        <v>3494.4</v>
      </c>
      <c r="BT21" s="106">
        <v>36</v>
      </c>
      <c r="BU21" s="106">
        <v>2246.4</v>
      </c>
      <c r="BV21" s="106">
        <v>64</v>
      </c>
      <c r="BW21" s="106">
        <v>3993.6</v>
      </c>
      <c r="BX21" s="106">
        <v>93</v>
      </c>
      <c r="BY21" s="106">
        <v>5803.2</v>
      </c>
      <c r="BZ21" s="106">
        <v>128</v>
      </c>
      <c r="CA21" s="106">
        <v>7987.2</v>
      </c>
      <c r="CB21" s="106">
        <v>69.548931120794492</v>
      </c>
      <c r="CC21" s="106">
        <v>4339.8533019375764</v>
      </c>
      <c r="CD21" s="106">
        <v>50.670809044327882</v>
      </c>
      <c r="CE21" s="106">
        <v>3161.8584843660597</v>
      </c>
      <c r="CF21" s="106">
        <v>24.779430596424792</v>
      </c>
      <c r="CG21" s="106">
        <v>1546.2364692169069</v>
      </c>
      <c r="CH21" s="106">
        <v>36.869131248333701</v>
      </c>
      <c r="CI21" s="106">
        <v>2300.6337898960228</v>
      </c>
      <c r="CJ21" s="106">
        <v>29.950320084178198</v>
      </c>
      <c r="CK21" s="106">
        <v>1868.8999732527195</v>
      </c>
      <c r="CL21" s="106">
        <v>34.304434015386136</v>
      </c>
      <c r="CM21" s="106">
        <v>2140.5966825600949</v>
      </c>
      <c r="CN21" s="106">
        <v>47.756420804752615</v>
      </c>
      <c r="CO21" s="106">
        <v>2980.0006582165629</v>
      </c>
      <c r="CP21" s="106">
        <v>49.119567041413376</v>
      </c>
      <c r="CQ21" s="106">
        <v>3065.0609833841945</v>
      </c>
      <c r="CR21" s="106">
        <v>44.315051581945141</v>
      </c>
      <c r="CS21" s="106">
        <v>2765.2592187133769</v>
      </c>
      <c r="CT21" s="106">
        <v>39.657973865567435</v>
      </c>
      <c r="CU21" s="106">
        <v>2474.6575692114079</v>
      </c>
    </row>
    <row r="22" spans="2:99" x14ac:dyDescent="0.2">
      <c r="C22" s="105" t="s">
        <v>187</v>
      </c>
      <c r="D22" s="106">
        <v>8.8137850656358037</v>
      </c>
      <c r="E22" s="106">
        <v>1649.9405642870224</v>
      </c>
      <c r="F22" s="106">
        <v>6.8510633510517414</v>
      </c>
      <c r="G22" s="106">
        <v>1282.5190593168859</v>
      </c>
      <c r="H22" s="106">
        <v>7.1382163026834622</v>
      </c>
      <c r="I22" s="106">
        <v>1336.274091862344</v>
      </c>
      <c r="J22" s="106">
        <v>8.8409701937190324</v>
      </c>
      <c r="K22" s="106">
        <v>1655.0296202642028</v>
      </c>
      <c r="L22" s="106">
        <v>6.8663882828933973</v>
      </c>
      <c r="M22" s="106">
        <v>1285.3878865576439</v>
      </c>
      <c r="N22" s="106">
        <v>7.318445113476912</v>
      </c>
      <c r="O22" s="106">
        <v>1370.0129252428778</v>
      </c>
      <c r="P22" s="106">
        <v>8.7688830248193579</v>
      </c>
      <c r="Q22" s="106">
        <v>1641.5349022461837</v>
      </c>
      <c r="R22" s="106">
        <v>7.3620072867714175</v>
      </c>
      <c r="S22" s="106">
        <v>1378.1677640836092</v>
      </c>
      <c r="T22" s="106">
        <v>4.6723056242989136</v>
      </c>
      <c r="U22" s="106">
        <v>874.65561286875652</v>
      </c>
      <c r="V22" s="106">
        <v>6.2778784618999595</v>
      </c>
      <c r="W22" s="106">
        <v>1175.2188480676723</v>
      </c>
      <c r="X22" s="106">
        <v>5.0891911588637138</v>
      </c>
      <c r="Y22" s="106">
        <v>952.69658493928716</v>
      </c>
      <c r="Z22" s="106">
        <v>5.1347513023134974</v>
      </c>
      <c r="AA22" s="106">
        <v>961.2254437930867</v>
      </c>
      <c r="AB22" s="106">
        <v>51.647941014921024</v>
      </c>
      <c r="AC22" s="106">
        <v>9668.4945579932155</v>
      </c>
      <c r="AD22" s="106">
        <v>54</v>
      </c>
      <c r="AE22" s="106">
        <v>10108.799999999999</v>
      </c>
      <c r="AF22" s="106">
        <v>45</v>
      </c>
      <c r="AG22" s="106">
        <v>8424</v>
      </c>
      <c r="AH22" s="106">
        <v>31</v>
      </c>
      <c r="AI22" s="106">
        <v>5803.2</v>
      </c>
      <c r="AJ22" s="106">
        <v>38</v>
      </c>
      <c r="AK22" s="106">
        <v>7113.5999999999995</v>
      </c>
      <c r="AL22" s="106">
        <v>36</v>
      </c>
      <c r="AM22" s="106">
        <v>6739.2</v>
      </c>
      <c r="AN22" s="106">
        <v>45</v>
      </c>
      <c r="AO22" s="106">
        <v>8424</v>
      </c>
      <c r="AP22" s="106">
        <v>45</v>
      </c>
      <c r="AQ22" s="106">
        <v>8424</v>
      </c>
      <c r="AR22" s="106">
        <v>37</v>
      </c>
      <c r="AS22" s="106">
        <v>6926.4</v>
      </c>
      <c r="AT22" s="106">
        <v>36</v>
      </c>
      <c r="AU22" s="106">
        <v>6739.2</v>
      </c>
      <c r="AV22" s="106">
        <v>38</v>
      </c>
      <c r="AW22" s="106">
        <v>7113.5999999999995</v>
      </c>
      <c r="AX22" s="106">
        <v>41</v>
      </c>
      <c r="AY22" s="106">
        <v>7675.2</v>
      </c>
      <c r="AZ22" s="106">
        <v>9.888884054447086</v>
      </c>
      <c r="BA22" s="106">
        <v>1851.1990949924943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57</v>
      </c>
      <c r="BI22" s="106">
        <v>10670.4</v>
      </c>
      <c r="BJ22" s="106">
        <v>51</v>
      </c>
      <c r="BK22" s="106">
        <v>9547.1999999999989</v>
      </c>
      <c r="BL22" s="106">
        <v>45</v>
      </c>
      <c r="BM22" s="106">
        <v>8424</v>
      </c>
      <c r="BN22" s="106">
        <v>49</v>
      </c>
      <c r="BO22" s="106">
        <v>9172.7999999999993</v>
      </c>
      <c r="BP22" s="106">
        <v>52</v>
      </c>
      <c r="BQ22" s="106">
        <v>9734.4</v>
      </c>
      <c r="BR22" s="106">
        <v>54</v>
      </c>
      <c r="BS22" s="106">
        <v>10108.799999999999</v>
      </c>
      <c r="BT22" s="106">
        <v>33</v>
      </c>
      <c r="BU22" s="106">
        <v>6177.5999999999995</v>
      </c>
      <c r="BV22" s="106">
        <v>56</v>
      </c>
      <c r="BW22" s="106">
        <v>10483.199999999999</v>
      </c>
      <c r="BX22" s="106">
        <v>103</v>
      </c>
      <c r="BY22" s="106">
        <v>19281.599999999999</v>
      </c>
      <c r="BZ22" s="106">
        <v>120</v>
      </c>
      <c r="CA22" s="106">
        <v>22464</v>
      </c>
      <c r="CB22" s="106">
        <v>67.852615727604388</v>
      </c>
      <c r="CC22" s="106">
        <v>12702.00966420754</v>
      </c>
      <c r="CD22" s="106">
        <v>52.078331517781436</v>
      </c>
      <c r="CE22" s="106">
        <v>9749.0636601286842</v>
      </c>
      <c r="CF22" s="106">
        <v>23.761097832188156</v>
      </c>
      <c r="CG22" s="106">
        <v>4448.0775141856229</v>
      </c>
      <c r="CH22" s="106">
        <v>36.314708222042974</v>
      </c>
      <c r="CI22" s="106">
        <v>6798.1133791664442</v>
      </c>
      <c r="CJ22" s="106">
        <v>31.296401885714296</v>
      </c>
      <c r="CK22" s="106">
        <v>5858.686433005716</v>
      </c>
      <c r="CL22" s="106">
        <v>33.66916671880491</v>
      </c>
      <c r="CM22" s="106">
        <v>6302.8680097602783</v>
      </c>
      <c r="CN22" s="106">
        <v>43.039737268480749</v>
      </c>
      <c r="CO22" s="106">
        <v>8057.0388166595958</v>
      </c>
      <c r="CP22" s="106">
        <v>47.631095312885705</v>
      </c>
      <c r="CQ22" s="106">
        <v>8916.5410425722039</v>
      </c>
      <c r="CR22" s="106">
        <v>45.289008759570308</v>
      </c>
      <c r="CS22" s="106">
        <v>8478.1024397915608</v>
      </c>
      <c r="CT22" s="106">
        <v>43.375908915464379</v>
      </c>
      <c r="CU22" s="106">
        <v>8119.9701489749314</v>
      </c>
    </row>
    <row r="23" spans="2:99" x14ac:dyDescent="0.2">
      <c r="C23" s="105" t="s">
        <v>188</v>
      </c>
      <c r="D23" s="106">
        <v>7.5980905738239679</v>
      </c>
      <c r="E23" s="106">
        <v>2233.8386287042467</v>
      </c>
      <c r="F23" s="106">
        <v>6.8510633510517414</v>
      </c>
      <c r="G23" s="106">
        <v>2014.2126252092119</v>
      </c>
      <c r="H23" s="106">
        <v>8.0692879943378273</v>
      </c>
      <c r="I23" s="106">
        <v>2372.3706703353214</v>
      </c>
      <c r="J23" s="106">
        <v>8.1042226775757804</v>
      </c>
      <c r="K23" s="106">
        <v>2382.6414672072792</v>
      </c>
      <c r="L23" s="106">
        <v>5.7822217119102293</v>
      </c>
      <c r="M23" s="106">
        <v>1699.9731833016074</v>
      </c>
      <c r="N23" s="106">
        <v>8.233250752661526</v>
      </c>
      <c r="O23" s="106">
        <v>2420.5757212824888</v>
      </c>
      <c r="P23" s="106">
        <v>8.0943535613717152</v>
      </c>
      <c r="Q23" s="106">
        <v>2379.7399470432842</v>
      </c>
      <c r="R23" s="106">
        <v>6.5870591513217942</v>
      </c>
      <c r="S23" s="106">
        <v>1936.5953904886076</v>
      </c>
      <c r="T23" s="106">
        <v>4.1473274642653282</v>
      </c>
      <c r="U23" s="106">
        <v>1219.3142744940064</v>
      </c>
      <c r="V23" s="106">
        <v>5.7590455311644249</v>
      </c>
      <c r="W23" s="106">
        <v>1693.159386162341</v>
      </c>
      <c r="X23" s="106">
        <v>4.4999163931005466</v>
      </c>
      <c r="Y23" s="106">
        <v>1322.9754195715607</v>
      </c>
      <c r="Z23" s="106">
        <v>5.2698763365849057</v>
      </c>
      <c r="AA23" s="106">
        <v>1549.3436429559622</v>
      </c>
      <c r="AB23" s="106">
        <v>46.567815669191084</v>
      </c>
      <c r="AC23" s="106">
        <v>13690.937806742179</v>
      </c>
      <c r="AD23" s="106">
        <v>48</v>
      </c>
      <c r="AE23" s="106">
        <v>14112</v>
      </c>
      <c r="AF23" s="106">
        <v>48</v>
      </c>
      <c r="AG23" s="106">
        <v>14112</v>
      </c>
      <c r="AH23" s="106">
        <v>32</v>
      </c>
      <c r="AI23" s="106">
        <v>9408</v>
      </c>
      <c r="AJ23" s="106">
        <v>41</v>
      </c>
      <c r="AK23" s="106">
        <v>12054</v>
      </c>
      <c r="AL23" s="106">
        <v>37</v>
      </c>
      <c r="AM23" s="106">
        <v>10878</v>
      </c>
      <c r="AN23" s="106">
        <v>46</v>
      </c>
      <c r="AO23" s="106">
        <v>13524</v>
      </c>
      <c r="AP23" s="106">
        <v>43</v>
      </c>
      <c r="AQ23" s="106">
        <v>12642</v>
      </c>
      <c r="AR23" s="106">
        <v>40</v>
      </c>
      <c r="AS23" s="106">
        <v>11760</v>
      </c>
      <c r="AT23" s="106">
        <v>33</v>
      </c>
      <c r="AU23" s="106">
        <v>9702</v>
      </c>
      <c r="AV23" s="106">
        <v>34</v>
      </c>
      <c r="AW23" s="106">
        <v>9996</v>
      </c>
      <c r="AX23" s="106">
        <v>40</v>
      </c>
      <c r="AY23" s="106">
        <v>11760</v>
      </c>
      <c r="AZ23" s="106">
        <v>10.28443941662497</v>
      </c>
      <c r="BA23" s="106">
        <v>3023.6251884877411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56</v>
      </c>
      <c r="BI23" s="106">
        <v>16464</v>
      </c>
      <c r="BJ23" s="106">
        <v>44</v>
      </c>
      <c r="BK23" s="106">
        <v>12936</v>
      </c>
      <c r="BL23" s="106">
        <v>42</v>
      </c>
      <c r="BM23" s="106">
        <v>12348</v>
      </c>
      <c r="BN23" s="106">
        <v>49</v>
      </c>
      <c r="BO23" s="106">
        <v>14406</v>
      </c>
      <c r="BP23" s="106">
        <v>51</v>
      </c>
      <c r="BQ23" s="106">
        <v>14994</v>
      </c>
      <c r="BR23" s="106">
        <v>53</v>
      </c>
      <c r="BS23" s="106">
        <v>15582</v>
      </c>
      <c r="BT23" s="106">
        <v>35</v>
      </c>
      <c r="BU23" s="106">
        <v>10290</v>
      </c>
      <c r="BV23" s="106">
        <v>61</v>
      </c>
      <c r="BW23" s="106">
        <v>17934</v>
      </c>
      <c r="BX23" s="106">
        <v>96</v>
      </c>
      <c r="BY23" s="106">
        <v>28224</v>
      </c>
      <c r="BZ23" s="106">
        <v>124</v>
      </c>
      <c r="CA23" s="106">
        <v>36456</v>
      </c>
      <c r="CB23" s="106">
        <v>66.721738798810975</v>
      </c>
      <c r="CC23" s="106">
        <v>19616.191206850428</v>
      </c>
      <c r="CD23" s="106">
        <v>47.855764097420781</v>
      </c>
      <c r="CE23" s="106">
        <v>14069.594644641709</v>
      </c>
      <c r="CF23" s="106">
        <v>25.797763360661424</v>
      </c>
      <c r="CG23" s="106">
        <v>7584.5424280344587</v>
      </c>
      <c r="CH23" s="106">
        <v>32.156535524862477</v>
      </c>
      <c r="CI23" s="106">
        <v>9454.0214443095683</v>
      </c>
      <c r="CJ23" s="106">
        <v>31.969442786482343</v>
      </c>
      <c r="CK23" s="106">
        <v>9399.0161792258095</v>
      </c>
      <c r="CL23" s="106">
        <v>31.445731180770622</v>
      </c>
      <c r="CM23" s="106">
        <v>9245.0449671465631</v>
      </c>
      <c r="CN23" s="106">
        <v>48.93559168882058</v>
      </c>
      <c r="CO23" s="106">
        <v>14387.06395651325</v>
      </c>
      <c r="CP23" s="106">
        <v>46.638780827200584</v>
      </c>
      <c r="CQ23" s="106">
        <v>13711.801563196972</v>
      </c>
      <c r="CR23" s="106">
        <v>41.880158637882225</v>
      </c>
      <c r="CS23" s="106">
        <v>12312.766639537374</v>
      </c>
      <c r="CT23" s="106">
        <v>39.657973865567435</v>
      </c>
      <c r="CU23" s="106">
        <v>11659.444316476825</v>
      </c>
    </row>
    <row r="24" spans="2:99" x14ac:dyDescent="0.2">
      <c r="C24" s="105" t="s">
        <v>189</v>
      </c>
      <c r="D24" s="106">
        <v>7.9020141967769257</v>
      </c>
      <c r="E24" s="106">
        <v>2901.6196130564872</v>
      </c>
      <c r="F24" s="106">
        <v>6.8510633510517414</v>
      </c>
      <c r="G24" s="106">
        <v>2515.7104625061993</v>
      </c>
      <c r="H24" s="106">
        <v>6.8278590721320072</v>
      </c>
      <c r="I24" s="106">
        <v>2507.1898512868729</v>
      </c>
      <c r="J24" s="106">
        <v>8.4725964356474055</v>
      </c>
      <c r="K24" s="106">
        <v>3111.1374111697273</v>
      </c>
      <c r="L24" s="106">
        <v>6.5049994258990083</v>
      </c>
      <c r="M24" s="106">
        <v>2388.6357891901157</v>
      </c>
      <c r="N24" s="106">
        <v>8.5381859657230645</v>
      </c>
      <c r="O24" s="106">
        <v>3135.221886613509</v>
      </c>
      <c r="P24" s="106">
        <v>8.0943535613717152</v>
      </c>
      <c r="Q24" s="106">
        <v>2972.2466277356939</v>
      </c>
      <c r="R24" s="106">
        <v>6.9745332190466058</v>
      </c>
      <c r="S24" s="106">
        <v>2561.0485980339135</v>
      </c>
      <c r="T24" s="106">
        <v>4.5673099922921967</v>
      </c>
      <c r="U24" s="106">
        <v>1677.1162291696946</v>
      </c>
      <c r="V24" s="106">
        <v>5.4996290657966584</v>
      </c>
      <c r="W24" s="106">
        <v>2019.4637929605328</v>
      </c>
      <c r="X24" s="106">
        <v>4.392775526598153</v>
      </c>
      <c r="Y24" s="106">
        <v>1613.0271733668417</v>
      </c>
      <c r="Z24" s="106">
        <v>5.089709624223028</v>
      </c>
      <c r="AA24" s="106">
        <v>1868.9413740146958</v>
      </c>
      <c r="AB24" s="106">
        <v>51.647941014921024</v>
      </c>
      <c r="AC24" s="106">
        <v>18965.123940679001</v>
      </c>
      <c r="AD24" s="106">
        <v>56</v>
      </c>
      <c r="AE24" s="106">
        <v>20563.2</v>
      </c>
      <c r="AF24" s="106">
        <v>48</v>
      </c>
      <c r="AG24" s="106">
        <v>17625.599999999999</v>
      </c>
      <c r="AH24" s="106">
        <v>34</v>
      </c>
      <c r="AI24" s="106">
        <v>12484.8</v>
      </c>
      <c r="AJ24" s="106">
        <v>36</v>
      </c>
      <c r="AK24" s="106">
        <v>13219.199999999999</v>
      </c>
      <c r="AL24" s="106">
        <v>34</v>
      </c>
      <c r="AM24" s="106">
        <v>12484.8</v>
      </c>
      <c r="AN24" s="106">
        <v>40</v>
      </c>
      <c r="AO24" s="106">
        <v>14688</v>
      </c>
      <c r="AP24" s="106">
        <v>47</v>
      </c>
      <c r="AQ24" s="106">
        <v>17258.399999999998</v>
      </c>
      <c r="AR24" s="106">
        <v>38</v>
      </c>
      <c r="AS24" s="106">
        <v>13953.6</v>
      </c>
      <c r="AT24" s="106">
        <v>34</v>
      </c>
      <c r="AU24" s="106">
        <v>12484.8</v>
      </c>
      <c r="AV24" s="106">
        <v>34</v>
      </c>
      <c r="AW24" s="106">
        <v>12484.8</v>
      </c>
      <c r="AX24" s="106">
        <v>37</v>
      </c>
      <c r="AY24" s="106">
        <v>13586.4</v>
      </c>
      <c r="AZ24" s="106">
        <v>9.4933286922692037</v>
      </c>
      <c r="BA24" s="106">
        <v>3485.9502958012513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48</v>
      </c>
      <c r="BI24" s="106">
        <v>17625.599999999999</v>
      </c>
      <c r="BJ24" s="106">
        <v>43</v>
      </c>
      <c r="BK24" s="106">
        <v>15789.6</v>
      </c>
      <c r="BL24" s="106">
        <v>45</v>
      </c>
      <c r="BM24" s="106">
        <v>16524</v>
      </c>
      <c r="BN24" s="106">
        <v>52</v>
      </c>
      <c r="BO24" s="106">
        <v>19094.399999999998</v>
      </c>
      <c r="BP24" s="106">
        <v>51</v>
      </c>
      <c r="BQ24" s="106">
        <v>18727.2</v>
      </c>
      <c r="BR24" s="106">
        <v>53</v>
      </c>
      <c r="BS24" s="106">
        <v>19461.599999999999</v>
      </c>
      <c r="BT24" s="106">
        <v>38</v>
      </c>
      <c r="BU24" s="106">
        <v>13953.6</v>
      </c>
      <c r="BV24" s="106">
        <v>57</v>
      </c>
      <c r="BW24" s="106">
        <v>20930.399999999998</v>
      </c>
      <c r="BX24" s="106">
        <v>83</v>
      </c>
      <c r="BY24" s="106">
        <v>30477.599999999999</v>
      </c>
      <c r="BZ24" s="106">
        <v>111</v>
      </c>
      <c r="CA24" s="106">
        <v>40759.199999999997</v>
      </c>
      <c r="CB24" s="106">
        <v>66.156300334414269</v>
      </c>
      <c r="CC24" s="106">
        <v>24292.593482796918</v>
      </c>
      <c r="CD24" s="106">
        <v>49.263286570874328</v>
      </c>
      <c r="CE24" s="106">
        <v>18089.478828825053</v>
      </c>
      <c r="CF24" s="106">
        <v>25.458319105915884</v>
      </c>
      <c r="CG24" s="106">
        <v>9348.2947756923113</v>
      </c>
      <c r="CH24" s="106">
        <v>31.324900985426378</v>
      </c>
      <c r="CI24" s="106">
        <v>11502.503641848565</v>
      </c>
      <c r="CJ24" s="106">
        <v>28.604238282642097</v>
      </c>
      <c r="CK24" s="106">
        <v>10503.476297386178</v>
      </c>
      <c r="CL24" s="106">
        <v>29.857562939317564</v>
      </c>
      <c r="CM24" s="106">
        <v>10963.69711131741</v>
      </c>
      <c r="CN24" s="106">
        <v>44.218908152548714</v>
      </c>
      <c r="CO24" s="106">
        <v>16237.183073615888</v>
      </c>
      <c r="CP24" s="106">
        <v>49.119567041413376</v>
      </c>
      <c r="CQ24" s="106">
        <v>18036.70501760699</v>
      </c>
      <c r="CR24" s="106">
        <v>46.749944526008065</v>
      </c>
      <c r="CS24" s="106">
        <v>17166.57962995016</v>
      </c>
      <c r="CT24" s="106">
        <v>38.418662182268456</v>
      </c>
      <c r="CU24" s="106">
        <v>14107.332753328976</v>
      </c>
    </row>
    <row r="25" spans="2:99" x14ac:dyDescent="0.2">
      <c r="C25" s="105" t="s">
        <v>190</v>
      </c>
      <c r="D25" s="106">
        <v>8.2059378197298845</v>
      </c>
      <c r="E25" s="106">
        <v>4352.4294195847306</v>
      </c>
      <c r="F25" s="106">
        <v>6.8510633510517414</v>
      </c>
      <c r="G25" s="106">
        <v>3633.8040013978434</v>
      </c>
      <c r="H25" s="106">
        <v>6.517501841580553</v>
      </c>
      <c r="I25" s="106">
        <v>3456.882976774325</v>
      </c>
      <c r="J25" s="106">
        <v>7.7358489195041527</v>
      </c>
      <c r="K25" s="106">
        <v>4103.0942669050028</v>
      </c>
      <c r="L25" s="106">
        <v>6.1436105689046192</v>
      </c>
      <c r="M25" s="106">
        <v>3258.57104574701</v>
      </c>
      <c r="N25" s="106">
        <v>7.0135099004153734</v>
      </c>
      <c r="O25" s="106">
        <v>3719.9656511803137</v>
      </c>
      <c r="P25" s="106">
        <v>7.4198240979240726</v>
      </c>
      <c r="Q25" s="106">
        <v>3935.474701538928</v>
      </c>
      <c r="R25" s="106">
        <v>6.1995850835969835</v>
      </c>
      <c r="S25" s="106">
        <v>3288.2599283398399</v>
      </c>
      <c r="T25" s="106">
        <v>4.1473274642653282</v>
      </c>
      <c r="U25" s="106">
        <v>2199.7424870463301</v>
      </c>
      <c r="V25" s="106">
        <v>5.7071622380908718</v>
      </c>
      <c r="W25" s="106">
        <v>3027.0788510833981</v>
      </c>
      <c r="X25" s="106">
        <v>4.3392050933469557</v>
      </c>
      <c r="Y25" s="106">
        <v>2301.5143815112251</v>
      </c>
      <c r="Z25" s="106">
        <v>4.5041678090469279</v>
      </c>
      <c r="AA25" s="106">
        <v>2389.0106059184905</v>
      </c>
      <c r="AB25" s="106">
        <v>49.107878342056054</v>
      </c>
      <c r="AC25" s="106">
        <v>26046.81867262653</v>
      </c>
      <c r="AD25" s="106">
        <v>53</v>
      </c>
      <c r="AE25" s="106">
        <v>28111.199999999997</v>
      </c>
      <c r="AF25" s="106">
        <v>43</v>
      </c>
      <c r="AG25" s="106">
        <v>22807.200000000001</v>
      </c>
      <c r="AH25" s="106">
        <v>31</v>
      </c>
      <c r="AI25" s="106">
        <v>16442.399999999998</v>
      </c>
      <c r="AJ25" s="106">
        <v>34</v>
      </c>
      <c r="AK25" s="106">
        <v>18033.599999999999</v>
      </c>
      <c r="AL25" s="106">
        <v>32</v>
      </c>
      <c r="AM25" s="106">
        <v>16972.8</v>
      </c>
      <c r="AN25" s="106">
        <v>41</v>
      </c>
      <c r="AO25" s="106">
        <v>21746.399999999998</v>
      </c>
      <c r="AP25" s="106">
        <v>43</v>
      </c>
      <c r="AQ25" s="106">
        <v>22807.200000000001</v>
      </c>
      <c r="AR25" s="106">
        <v>36</v>
      </c>
      <c r="AS25" s="106">
        <v>19094.399999999998</v>
      </c>
      <c r="AT25" s="106">
        <v>33</v>
      </c>
      <c r="AU25" s="106">
        <v>17503.2</v>
      </c>
      <c r="AV25" s="106">
        <v>34</v>
      </c>
      <c r="AW25" s="106">
        <v>18033.599999999999</v>
      </c>
      <c r="AX25" s="106">
        <v>37</v>
      </c>
      <c r="AY25" s="106">
        <v>19624.8</v>
      </c>
      <c r="AZ25" s="106">
        <v>9.888884054447086</v>
      </c>
      <c r="BA25" s="106">
        <v>5245.0641024787337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50</v>
      </c>
      <c r="BI25" s="106">
        <v>26520</v>
      </c>
      <c r="BJ25" s="106">
        <v>48</v>
      </c>
      <c r="BK25" s="106">
        <v>25459.199999999997</v>
      </c>
      <c r="BL25" s="106">
        <v>46</v>
      </c>
      <c r="BM25" s="106">
        <v>24398.399999999998</v>
      </c>
      <c r="BN25" s="106">
        <v>47</v>
      </c>
      <c r="BO25" s="106">
        <v>24928.799999999999</v>
      </c>
      <c r="BP25" s="106">
        <v>43</v>
      </c>
      <c r="BQ25" s="106">
        <v>22807.200000000001</v>
      </c>
      <c r="BR25" s="106">
        <v>46</v>
      </c>
      <c r="BS25" s="106">
        <v>24398.399999999998</v>
      </c>
      <c r="BT25" s="106">
        <v>36</v>
      </c>
      <c r="BU25" s="106">
        <v>19094.399999999998</v>
      </c>
      <c r="BV25" s="106">
        <v>58</v>
      </c>
      <c r="BW25" s="106">
        <v>30763.199999999997</v>
      </c>
      <c r="BX25" s="106">
        <v>83</v>
      </c>
      <c r="BY25" s="106">
        <v>44023.199999999997</v>
      </c>
      <c r="BZ25" s="106">
        <v>106</v>
      </c>
      <c r="CA25" s="106">
        <v>56222.399999999994</v>
      </c>
      <c r="CB25" s="106">
        <v>65.590861870017577</v>
      </c>
      <c r="CC25" s="106">
        <v>34789.393135857325</v>
      </c>
      <c r="CD25" s="106">
        <v>43.63319667706012</v>
      </c>
      <c r="CE25" s="106">
        <v>23143.047517512685</v>
      </c>
      <c r="CF25" s="106">
        <v>23.761097832188156</v>
      </c>
      <c r="CG25" s="106">
        <v>12602.886290192597</v>
      </c>
      <c r="CH25" s="106">
        <v>32.988170064298579</v>
      </c>
      <c r="CI25" s="106">
        <v>17496.925402103967</v>
      </c>
      <c r="CJ25" s="106">
        <v>29.950320084178198</v>
      </c>
      <c r="CK25" s="106">
        <v>15885.649772648116</v>
      </c>
      <c r="CL25" s="106">
        <v>30.175196587608173</v>
      </c>
      <c r="CM25" s="106">
        <v>16004.924270067375</v>
      </c>
      <c r="CN25" s="106">
        <v>40.68139550034482</v>
      </c>
      <c r="CO25" s="106">
        <v>21577.412173382891</v>
      </c>
      <c r="CP25" s="106">
        <v>51.600353255626182</v>
      </c>
      <c r="CQ25" s="106">
        <v>27368.827366784124</v>
      </c>
      <c r="CR25" s="106">
        <v>44.802030170757732</v>
      </c>
      <c r="CS25" s="106">
        <v>23762.996802569898</v>
      </c>
      <c r="CT25" s="106">
        <v>37.799006340618959</v>
      </c>
      <c r="CU25" s="106">
        <v>20048.592963064297</v>
      </c>
    </row>
    <row r="26" spans="2:99" x14ac:dyDescent="0.2">
      <c r="C26" s="105" t="s">
        <v>191</v>
      </c>
      <c r="D26" s="106">
        <v>6.9902433279180505</v>
      </c>
      <c r="E26" s="106">
        <v>3397.2582573681725</v>
      </c>
      <c r="F26" s="106">
        <v>6.0898340898237704</v>
      </c>
      <c r="G26" s="106">
        <v>2959.6593676543525</v>
      </c>
      <c r="H26" s="106">
        <v>7.7589307637863714</v>
      </c>
      <c r="I26" s="106">
        <v>3770.8403512001764</v>
      </c>
      <c r="J26" s="106">
        <v>7.3674751614325267</v>
      </c>
      <c r="K26" s="106">
        <v>3580.592928456208</v>
      </c>
      <c r="L26" s="106">
        <v>6.8663882828933973</v>
      </c>
      <c r="M26" s="106">
        <v>3337.0647054861911</v>
      </c>
      <c r="N26" s="106">
        <v>8.233250752661526</v>
      </c>
      <c r="O26" s="106">
        <v>4001.3598657935017</v>
      </c>
      <c r="P26" s="106">
        <v>8.4316182930955375</v>
      </c>
      <c r="Q26" s="106">
        <v>4097.7664904444309</v>
      </c>
      <c r="R26" s="106">
        <v>6.9745332190466058</v>
      </c>
      <c r="S26" s="106">
        <v>3389.6231444566506</v>
      </c>
      <c r="T26" s="106">
        <v>4.1473274642653282</v>
      </c>
      <c r="U26" s="106">
        <v>2015.6011476329495</v>
      </c>
      <c r="V26" s="106">
        <v>5.6552789450173178</v>
      </c>
      <c r="W26" s="106">
        <v>2748.4655672784165</v>
      </c>
      <c r="X26" s="106">
        <v>4.4999163931005466</v>
      </c>
      <c r="Y26" s="106">
        <v>2186.9593670468657</v>
      </c>
      <c r="Z26" s="106">
        <v>4.7293761994992742</v>
      </c>
      <c r="AA26" s="106">
        <v>2298.4768329566473</v>
      </c>
      <c r="AB26" s="106">
        <v>46.567815669191084</v>
      </c>
      <c r="AC26" s="106">
        <v>22631.958415226865</v>
      </c>
      <c r="AD26" s="106">
        <v>51</v>
      </c>
      <c r="AE26" s="106">
        <v>24786</v>
      </c>
      <c r="AF26" s="106">
        <v>43</v>
      </c>
      <c r="AG26" s="106">
        <v>20898</v>
      </c>
      <c r="AH26" s="106">
        <v>34</v>
      </c>
      <c r="AI26" s="106">
        <v>16524</v>
      </c>
      <c r="AJ26" s="106">
        <v>33</v>
      </c>
      <c r="AK26" s="106">
        <v>16038</v>
      </c>
      <c r="AL26" s="106">
        <v>31</v>
      </c>
      <c r="AM26" s="106">
        <v>15066</v>
      </c>
      <c r="AN26" s="106">
        <v>47</v>
      </c>
      <c r="AO26" s="106">
        <v>22842</v>
      </c>
      <c r="AP26" s="106">
        <v>41</v>
      </c>
      <c r="AQ26" s="106">
        <v>19926</v>
      </c>
      <c r="AR26" s="106">
        <v>40</v>
      </c>
      <c r="AS26" s="106">
        <v>19440</v>
      </c>
      <c r="AT26" s="106">
        <v>34</v>
      </c>
      <c r="AU26" s="106">
        <v>16524</v>
      </c>
      <c r="AV26" s="106">
        <v>34</v>
      </c>
      <c r="AW26" s="106">
        <v>16524</v>
      </c>
      <c r="AX26" s="106">
        <v>42</v>
      </c>
      <c r="AY26" s="106">
        <v>20412</v>
      </c>
      <c r="AZ26" s="106">
        <v>8.7022179679134357</v>
      </c>
      <c r="BA26" s="106">
        <v>4229.2779324059302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56</v>
      </c>
      <c r="BI26" s="106">
        <v>27216</v>
      </c>
      <c r="BJ26" s="106">
        <v>44</v>
      </c>
      <c r="BK26" s="106">
        <v>21384</v>
      </c>
      <c r="BL26" s="106">
        <v>45</v>
      </c>
      <c r="BM26" s="106">
        <v>21870</v>
      </c>
      <c r="BN26" s="106">
        <v>45</v>
      </c>
      <c r="BO26" s="106">
        <v>21870</v>
      </c>
      <c r="BP26" s="106">
        <v>44</v>
      </c>
      <c r="BQ26" s="106">
        <v>21384</v>
      </c>
      <c r="BR26" s="106">
        <v>46</v>
      </c>
      <c r="BS26" s="106">
        <v>22356</v>
      </c>
      <c r="BT26" s="106">
        <v>33</v>
      </c>
      <c r="BU26" s="106">
        <v>16038</v>
      </c>
      <c r="BV26" s="106">
        <v>51</v>
      </c>
      <c r="BW26" s="106">
        <v>24786</v>
      </c>
      <c r="BX26" s="106">
        <v>83</v>
      </c>
      <c r="BY26" s="106">
        <v>40338</v>
      </c>
      <c r="BZ26" s="106">
        <v>101</v>
      </c>
      <c r="CA26" s="106">
        <v>49086</v>
      </c>
      <c r="CB26" s="106">
        <v>58.805600297257129</v>
      </c>
      <c r="CC26" s="106">
        <v>28579.521744466965</v>
      </c>
      <c r="CD26" s="106">
        <v>44.336957913786897</v>
      </c>
      <c r="CE26" s="106">
        <v>21547.761546100432</v>
      </c>
      <c r="CF26" s="106">
        <v>24.439986341679244</v>
      </c>
      <c r="CG26" s="106">
        <v>11877.833362056113</v>
      </c>
      <c r="CH26" s="106">
        <v>30.216054932844916</v>
      </c>
      <c r="CI26" s="106">
        <v>14685.002697362628</v>
      </c>
      <c r="CJ26" s="106">
        <v>26.921636030721977</v>
      </c>
      <c r="CK26" s="106">
        <v>13083.91511093088</v>
      </c>
      <c r="CL26" s="106">
        <v>27.951761049573886</v>
      </c>
      <c r="CM26" s="106">
        <v>13584.555870092909</v>
      </c>
      <c r="CN26" s="106">
        <v>44.218908152548714</v>
      </c>
      <c r="CO26" s="106">
        <v>21490.389362138674</v>
      </c>
      <c r="CP26" s="106">
        <v>45.646466341515463</v>
      </c>
      <c r="CQ26" s="106">
        <v>22184.182641976517</v>
      </c>
      <c r="CR26" s="106">
        <v>46.262965937195474</v>
      </c>
      <c r="CS26" s="106">
        <v>22483.801445477002</v>
      </c>
      <c r="CT26" s="106">
        <v>38.418662182268456</v>
      </c>
      <c r="CU26" s="106">
        <v>18671.469820582468</v>
      </c>
    </row>
    <row r="27" spans="2:99" x14ac:dyDescent="0.2">
      <c r="C27" s="105" t="s">
        <v>192</v>
      </c>
      <c r="D27" s="106">
        <v>7.9020141967769257</v>
      </c>
      <c r="E27" s="106">
        <v>3375.7404648631027</v>
      </c>
      <c r="F27" s="106">
        <v>6.0898340898237704</v>
      </c>
      <c r="G27" s="106">
        <v>2601.5771231727144</v>
      </c>
      <c r="H27" s="106">
        <v>7.1382163026834622</v>
      </c>
      <c r="I27" s="106">
        <v>3049.4460045063752</v>
      </c>
      <c r="J27" s="106">
        <v>8.4725964356474055</v>
      </c>
      <c r="K27" s="106">
        <v>3619.4931973085713</v>
      </c>
      <c r="L27" s="106">
        <v>6.8663882828933973</v>
      </c>
      <c r="M27" s="106">
        <v>2933.3210744520593</v>
      </c>
      <c r="N27" s="106">
        <v>7.0135099004153734</v>
      </c>
      <c r="O27" s="106">
        <v>2996.1714294574476</v>
      </c>
      <c r="P27" s="106">
        <v>7.7570888296478939</v>
      </c>
      <c r="Q27" s="106">
        <v>3313.82834802558</v>
      </c>
      <c r="R27" s="106">
        <v>6.9745332190466058</v>
      </c>
      <c r="S27" s="106">
        <v>2979.5205911767098</v>
      </c>
      <c r="T27" s="106">
        <v>4.5673099922921967</v>
      </c>
      <c r="U27" s="106">
        <v>1951.1548287072264</v>
      </c>
      <c r="V27" s="106">
        <v>5.9146954103850851</v>
      </c>
      <c r="W27" s="106">
        <v>2526.7578793165085</v>
      </c>
      <c r="X27" s="106">
        <v>4.8213389926077284</v>
      </c>
      <c r="Y27" s="106">
        <v>2059.6760176420216</v>
      </c>
      <c r="Z27" s="106">
        <v>5.089709624223028</v>
      </c>
      <c r="AA27" s="106">
        <v>2174.3239514680777</v>
      </c>
      <c r="AB27" s="106">
        <v>44.027752996326122</v>
      </c>
      <c r="AC27" s="106">
        <v>18808.65608003052</v>
      </c>
      <c r="AD27" s="106">
        <v>46</v>
      </c>
      <c r="AE27" s="106">
        <v>19651.2</v>
      </c>
      <c r="AF27" s="106">
        <v>46</v>
      </c>
      <c r="AG27" s="106">
        <v>19651.2</v>
      </c>
      <c r="AH27" s="106">
        <v>33</v>
      </c>
      <c r="AI27" s="106">
        <v>14097.6</v>
      </c>
      <c r="AJ27" s="106">
        <v>35</v>
      </c>
      <c r="AK27" s="106">
        <v>14952</v>
      </c>
      <c r="AL27" s="106">
        <v>31</v>
      </c>
      <c r="AM27" s="106">
        <v>13243.199999999999</v>
      </c>
      <c r="AN27" s="106">
        <v>44</v>
      </c>
      <c r="AO27" s="106">
        <v>18796.8</v>
      </c>
      <c r="AP27" s="106">
        <v>45</v>
      </c>
      <c r="AQ27" s="106">
        <v>19224</v>
      </c>
      <c r="AR27" s="106">
        <v>43</v>
      </c>
      <c r="AS27" s="106">
        <v>18369.599999999999</v>
      </c>
      <c r="AT27" s="106">
        <v>33</v>
      </c>
      <c r="AU27" s="106">
        <v>14097.6</v>
      </c>
      <c r="AV27" s="106">
        <v>36</v>
      </c>
      <c r="AW27" s="106">
        <v>15379.199999999999</v>
      </c>
      <c r="AX27" s="106">
        <v>36</v>
      </c>
      <c r="AY27" s="106">
        <v>15379.199999999999</v>
      </c>
      <c r="AZ27" s="106">
        <v>9.0977733300913197</v>
      </c>
      <c r="BA27" s="106">
        <v>3886.5687666150116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56</v>
      </c>
      <c r="BI27" s="106">
        <v>23923.200000000001</v>
      </c>
      <c r="BJ27" s="106">
        <v>42</v>
      </c>
      <c r="BK27" s="106">
        <v>17942.399999999998</v>
      </c>
      <c r="BL27" s="106">
        <v>50</v>
      </c>
      <c r="BM27" s="106">
        <v>21360</v>
      </c>
      <c r="BN27" s="106">
        <v>44</v>
      </c>
      <c r="BO27" s="106">
        <v>18796.8</v>
      </c>
      <c r="BP27" s="106">
        <v>50</v>
      </c>
      <c r="BQ27" s="106">
        <v>21360</v>
      </c>
      <c r="BR27" s="106">
        <v>45</v>
      </c>
      <c r="BS27" s="106">
        <v>19224</v>
      </c>
      <c r="BT27" s="106">
        <v>38</v>
      </c>
      <c r="BU27" s="106">
        <v>16233.6</v>
      </c>
      <c r="BV27" s="106">
        <v>56</v>
      </c>
      <c r="BW27" s="106">
        <v>23923.200000000001</v>
      </c>
      <c r="BX27" s="106">
        <v>89</v>
      </c>
      <c r="BY27" s="106">
        <v>38020.799999999996</v>
      </c>
      <c r="BZ27" s="106">
        <v>108</v>
      </c>
      <c r="CA27" s="106">
        <v>46137.599999999999</v>
      </c>
      <c r="CB27" s="106">
        <v>62.198231083637353</v>
      </c>
      <c r="CC27" s="106">
        <v>26571.084318929876</v>
      </c>
      <c r="CD27" s="106">
        <v>42.92943544033335</v>
      </c>
      <c r="CE27" s="106">
        <v>18339.454820110408</v>
      </c>
      <c r="CF27" s="106">
        <v>21.38498804896934</v>
      </c>
      <c r="CG27" s="106">
        <v>9135.6668945197016</v>
      </c>
      <c r="CH27" s="106">
        <v>29.384420393408817</v>
      </c>
      <c r="CI27" s="106">
        <v>12553.024392064246</v>
      </c>
      <c r="CJ27" s="106">
        <v>30.286840534562224</v>
      </c>
      <c r="CK27" s="106">
        <v>12938.538276364981</v>
      </c>
      <c r="CL27" s="106">
        <v>30.175196587608173</v>
      </c>
      <c r="CM27" s="106">
        <v>12890.843982226212</v>
      </c>
      <c r="CN27" s="106">
        <v>46.57724992068465</v>
      </c>
      <c r="CO27" s="106">
        <v>19897.801166116482</v>
      </c>
      <c r="CP27" s="106">
        <v>49.119567041413376</v>
      </c>
      <c r="CQ27" s="106">
        <v>20983.879040091793</v>
      </c>
      <c r="CR27" s="106">
        <v>41.880158637882225</v>
      </c>
      <c r="CS27" s="106">
        <v>17891.203770103286</v>
      </c>
      <c r="CT27" s="106">
        <v>37.799006340618959</v>
      </c>
      <c r="CU27" s="106">
        <v>16147.73550871242</v>
      </c>
    </row>
    <row r="28" spans="2:99" x14ac:dyDescent="0.2">
      <c r="C28" s="105" t="s">
        <v>193</v>
      </c>
      <c r="D28" s="106">
        <v>7.5980905738239679</v>
      </c>
      <c r="E28" s="106">
        <v>5607.3908434820887</v>
      </c>
      <c r="F28" s="106">
        <v>6.4704487204377568</v>
      </c>
      <c r="G28" s="106">
        <v>4775.1911556830646</v>
      </c>
      <c r="H28" s="106">
        <v>6.8278590721320072</v>
      </c>
      <c r="I28" s="106">
        <v>5038.9599952334211</v>
      </c>
      <c r="J28" s="106">
        <v>6.9991014033609007</v>
      </c>
      <c r="K28" s="106">
        <v>5165.3368356803448</v>
      </c>
      <c r="L28" s="106">
        <v>6.8663882828933973</v>
      </c>
      <c r="M28" s="106">
        <v>5067.3945527753276</v>
      </c>
      <c r="N28" s="106">
        <v>7.0135099004153734</v>
      </c>
      <c r="O28" s="106">
        <v>5175.970306506546</v>
      </c>
      <c r="P28" s="106">
        <v>7.7570888296478939</v>
      </c>
      <c r="Q28" s="106">
        <v>5724.7315562801459</v>
      </c>
      <c r="R28" s="106">
        <v>5.8121110158721709</v>
      </c>
      <c r="S28" s="106">
        <v>4289.3379297136626</v>
      </c>
      <c r="T28" s="106">
        <v>4.0423318322586113</v>
      </c>
      <c r="U28" s="106">
        <v>2983.2408922068553</v>
      </c>
      <c r="V28" s="106">
        <v>4.7732629627669105</v>
      </c>
      <c r="W28" s="106">
        <v>3522.6680665219801</v>
      </c>
      <c r="X28" s="106">
        <v>3.9642120605885767</v>
      </c>
      <c r="Y28" s="106">
        <v>2925.5885007143697</v>
      </c>
      <c r="Z28" s="106">
        <v>4.1438343843231733</v>
      </c>
      <c r="AA28" s="106">
        <v>3058.1497756305021</v>
      </c>
      <c r="AB28" s="106">
        <v>46.567815669191084</v>
      </c>
      <c r="AC28" s="106">
        <v>34367.04796386302</v>
      </c>
      <c r="AD28" s="106">
        <v>47</v>
      </c>
      <c r="AE28" s="106">
        <v>34686</v>
      </c>
      <c r="AF28" s="106">
        <v>41</v>
      </c>
      <c r="AG28" s="106">
        <v>30258</v>
      </c>
      <c r="AH28" s="106">
        <v>30</v>
      </c>
      <c r="AI28" s="106">
        <v>22140</v>
      </c>
      <c r="AJ28" s="106">
        <v>38</v>
      </c>
      <c r="AK28" s="106">
        <v>28044</v>
      </c>
      <c r="AL28" s="106">
        <v>33</v>
      </c>
      <c r="AM28" s="106">
        <v>24354</v>
      </c>
      <c r="AN28" s="106">
        <v>45</v>
      </c>
      <c r="AO28" s="106">
        <v>33210</v>
      </c>
      <c r="AP28" s="106">
        <v>46</v>
      </c>
      <c r="AQ28" s="106">
        <v>33948</v>
      </c>
      <c r="AR28" s="106">
        <v>34</v>
      </c>
      <c r="AS28" s="106">
        <v>25092</v>
      </c>
      <c r="AT28" s="106">
        <v>31</v>
      </c>
      <c r="AU28" s="106">
        <v>22878</v>
      </c>
      <c r="AV28" s="106">
        <v>34</v>
      </c>
      <c r="AW28" s="106">
        <v>25092</v>
      </c>
      <c r="AX28" s="106">
        <v>38</v>
      </c>
      <c r="AY28" s="106">
        <v>28044</v>
      </c>
      <c r="AZ28" s="106">
        <v>8.7022179679134357</v>
      </c>
      <c r="BA28" s="106">
        <v>6422.2368603201157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52</v>
      </c>
      <c r="BI28" s="106">
        <v>38376</v>
      </c>
      <c r="BJ28" s="106">
        <v>46</v>
      </c>
      <c r="BK28" s="106">
        <v>33948</v>
      </c>
      <c r="BL28" s="106">
        <v>41</v>
      </c>
      <c r="BM28" s="106">
        <v>30258</v>
      </c>
      <c r="BN28" s="106">
        <v>45</v>
      </c>
      <c r="BO28" s="106">
        <v>33210</v>
      </c>
      <c r="BP28" s="106">
        <v>40</v>
      </c>
      <c r="BQ28" s="106">
        <v>29520</v>
      </c>
      <c r="BR28" s="106">
        <v>43</v>
      </c>
      <c r="BS28" s="106">
        <v>31734</v>
      </c>
      <c r="BT28" s="106">
        <v>34</v>
      </c>
      <c r="BU28" s="106">
        <v>25092</v>
      </c>
      <c r="BV28" s="106">
        <v>52</v>
      </c>
      <c r="BW28" s="106">
        <v>38376</v>
      </c>
      <c r="BX28" s="106">
        <v>90</v>
      </c>
      <c r="BY28" s="106">
        <v>66420</v>
      </c>
      <c r="BZ28" s="106">
        <v>104</v>
      </c>
      <c r="CA28" s="106">
        <v>76752</v>
      </c>
      <c r="CB28" s="106">
        <v>61.632792619240647</v>
      </c>
      <c r="CC28" s="106">
        <v>45485.000952999595</v>
      </c>
      <c r="CD28" s="106">
        <v>38.003106783245912</v>
      </c>
      <c r="CE28" s="106">
        <v>28046.292806035482</v>
      </c>
      <c r="CF28" s="106">
        <v>20.706099539478252</v>
      </c>
      <c r="CG28" s="106">
        <v>15281.101460134951</v>
      </c>
      <c r="CH28" s="106">
        <v>27.721151314536616</v>
      </c>
      <c r="CI28" s="106">
        <v>20458.209670128024</v>
      </c>
      <c r="CJ28" s="106">
        <v>28.604238282642097</v>
      </c>
      <c r="CK28" s="106">
        <v>21109.927852589866</v>
      </c>
      <c r="CL28" s="106">
        <v>26.99886010470205</v>
      </c>
      <c r="CM28" s="106">
        <v>19925.158757270114</v>
      </c>
      <c r="CN28" s="106">
        <v>44.218908152548714</v>
      </c>
      <c r="CO28" s="106">
        <v>32633.554216580949</v>
      </c>
      <c r="CP28" s="106">
        <v>43.661837370145228</v>
      </c>
      <c r="CQ28" s="106">
        <v>32222.435979167178</v>
      </c>
      <c r="CR28" s="106">
        <v>42.367137226694808</v>
      </c>
      <c r="CS28" s="106">
        <v>31266.947273300768</v>
      </c>
      <c r="CT28" s="106">
        <v>40.277629707216924</v>
      </c>
      <c r="CU28" s="106">
        <v>29724.890723926092</v>
      </c>
    </row>
    <row r="29" spans="2:99" x14ac:dyDescent="0.2">
      <c r="C29" s="105" t="s">
        <v>194</v>
      </c>
      <c r="D29" s="106">
        <v>7.5980905738239679</v>
      </c>
      <c r="E29" s="106">
        <v>2571.1938501820305</v>
      </c>
      <c r="F29" s="106">
        <v>6.8510633510517414</v>
      </c>
      <c r="G29" s="106">
        <v>2318.3998379959089</v>
      </c>
      <c r="H29" s="106">
        <v>6.8278590721320072</v>
      </c>
      <c r="I29" s="106">
        <v>2310.5475100094709</v>
      </c>
      <c r="J29" s="106">
        <v>7.3674751614325267</v>
      </c>
      <c r="K29" s="106">
        <v>2493.1535946287668</v>
      </c>
      <c r="L29" s="106">
        <v>6.8663882828933973</v>
      </c>
      <c r="M29" s="106">
        <v>2323.5857949311253</v>
      </c>
      <c r="N29" s="106">
        <v>7.9283155395999882</v>
      </c>
      <c r="O29" s="106">
        <v>2682.941978600636</v>
      </c>
      <c r="P29" s="106">
        <v>8.0943535613717152</v>
      </c>
      <c r="Q29" s="106">
        <v>2739.1292451681884</v>
      </c>
      <c r="R29" s="106">
        <v>7.3620072867714175</v>
      </c>
      <c r="S29" s="106">
        <v>2491.3032658434477</v>
      </c>
      <c r="T29" s="106">
        <v>4.4098165442821209</v>
      </c>
      <c r="U29" s="106">
        <v>1492.2819185850697</v>
      </c>
      <c r="V29" s="106">
        <v>5.9146954103850851</v>
      </c>
      <c r="W29" s="106">
        <v>2001.5329268743126</v>
      </c>
      <c r="X29" s="106">
        <v>4.6606276928541384</v>
      </c>
      <c r="Y29" s="106">
        <v>1577.1564112618403</v>
      </c>
      <c r="Z29" s="106">
        <v>5.1347513023134974</v>
      </c>
      <c r="AA29" s="106">
        <v>1737.5998407028874</v>
      </c>
      <c r="AB29" s="106">
        <v>44.874440553947771</v>
      </c>
      <c r="AC29" s="106">
        <v>15185.510683455925</v>
      </c>
      <c r="AD29" s="106">
        <v>47</v>
      </c>
      <c r="AE29" s="106">
        <v>15904.8</v>
      </c>
      <c r="AF29" s="106">
        <v>53</v>
      </c>
      <c r="AG29" s="106">
        <v>17935.199999999997</v>
      </c>
      <c r="AH29" s="106">
        <v>31</v>
      </c>
      <c r="AI29" s="106">
        <v>10490.4</v>
      </c>
      <c r="AJ29" s="106">
        <v>34</v>
      </c>
      <c r="AK29" s="106">
        <v>11505.599999999999</v>
      </c>
      <c r="AL29" s="106">
        <v>35</v>
      </c>
      <c r="AM29" s="106">
        <v>11844</v>
      </c>
      <c r="AN29" s="106">
        <v>45</v>
      </c>
      <c r="AO29" s="106">
        <v>15227.999999999998</v>
      </c>
      <c r="AP29" s="106">
        <v>45</v>
      </c>
      <c r="AQ29" s="106">
        <v>15227.999999999998</v>
      </c>
      <c r="AR29" s="106">
        <v>37</v>
      </c>
      <c r="AS29" s="106">
        <v>12520.8</v>
      </c>
      <c r="AT29" s="106">
        <v>31</v>
      </c>
      <c r="AU29" s="106">
        <v>10490.4</v>
      </c>
      <c r="AV29" s="106">
        <v>35</v>
      </c>
      <c r="AW29" s="106">
        <v>11844</v>
      </c>
      <c r="AX29" s="106">
        <v>38</v>
      </c>
      <c r="AY29" s="106">
        <v>12859.199999999999</v>
      </c>
      <c r="AZ29" s="106">
        <v>9.4933286922692037</v>
      </c>
      <c r="BA29" s="106">
        <v>3212.5424294638983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55</v>
      </c>
      <c r="BI29" s="106">
        <v>18612</v>
      </c>
      <c r="BJ29" s="106">
        <v>51</v>
      </c>
      <c r="BK29" s="106">
        <v>17258.399999999998</v>
      </c>
      <c r="BL29" s="106">
        <v>48</v>
      </c>
      <c r="BM29" s="106">
        <v>16243.199999999999</v>
      </c>
      <c r="BN29" s="106">
        <v>52</v>
      </c>
      <c r="BO29" s="106">
        <v>17596.8</v>
      </c>
      <c r="BP29" s="106">
        <v>48</v>
      </c>
      <c r="BQ29" s="106">
        <v>16243.199999999999</v>
      </c>
      <c r="BR29" s="106">
        <v>50</v>
      </c>
      <c r="BS29" s="106">
        <v>16920</v>
      </c>
      <c r="BT29" s="106">
        <v>37</v>
      </c>
      <c r="BU29" s="106">
        <v>12520.8</v>
      </c>
      <c r="BV29" s="106">
        <v>54</v>
      </c>
      <c r="BW29" s="106">
        <v>18273.599999999999</v>
      </c>
      <c r="BX29" s="106">
        <v>98</v>
      </c>
      <c r="BY29" s="106">
        <v>33163.199999999997</v>
      </c>
      <c r="BZ29" s="106">
        <v>106</v>
      </c>
      <c r="CA29" s="106">
        <v>35870.399999999994</v>
      </c>
      <c r="CB29" s="106">
        <v>62.198231083637353</v>
      </c>
      <c r="CC29" s="106">
        <v>21047.881398702877</v>
      </c>
      <c r="CD29" s="106">
        <v>48.559525334147551</v>
      </c>
      <c r="CE29" s="106">
        <v>16432.543373075529</v>
      </c>
      <c r="CF29" s="106">
        <v>23.761097832188156</v>
      </c>
      <c r="CG29" s="106">
        <v>8040.7555064124717</v>
      </c>
      <c r="CH29" s="106">
        <v>32.156535524862477</v>
      </c>
      <c r="CI29" s="106">
        <v>10881.771621613461</v>
      </c>
      <c r="CJ29" s="106">
        <v>27.258156481106003</v>
      </c>
      <c r="CK29" s="106">
        <v>9224.1601532062705</v>
      </c>
      <c r="CL29" s="106">
        <v>26.99886010470205</v>
      </c>
      <c r="CM29" s="106">
        <v>9136.4142594311725</v>
      </c>
      <c r="CN29" s="106">
        <v>45.987664478650665</v>
      </c>
      <c r="CO29" s="106">
        <v>15562.225659575384</v>
      </c>
      <c r="CP29" s="106">
        <v>51.600353255626182</v>
      </c>
      <c r="CQ29" s="106">
        <v>17461.5595417039</v>
      </c>
      <c r="CR29" s="106">
        <v>48.210880292445822</v>
      </c>
      <c r="CS29" s="106">
        <v>16314.561890963665</v>
      </c>
      <c r="CT29" s="106">
        <v>37.799006340618959</v>
      </c>
      <c r="CU29" s="106">
        <v>12791.183745665456</v>
      </c>
    </row>
    <row r="30" spans="2:99" x14ac:dyDescent="0.2">
      <c r="C30" s="105" t="s">
        <v>195</v>
      </c>
      <c r="D30" s="106">
        <v>8.2059378197298845</v>
      </c>
      <c r="E30" s="106">
        <v>1142.2665445063999</v>
      </c>
      <c r="F30" s="106">
        <v>6.8510633510517414</v>
      </c>
      <c r="G30" s="106">
        <v>953.66801846640237</v>
      </c>
      <c r="H30" s="106">
        <v>6.8278590721320072</v>
      </c>
      <c r="I30" s="106">
        <v>950.43798284077536</v>
      </c>
      <c r="J30" s="106">
        <v>7.7358489195041527</v>
      </c>
      <c r="K30" s="106">
        <v>1076.8301695949779</v>
      </c>
      <c r="L30" s="106">
        <v>6.5049994258990083</v>
      </c>
      <c r="M30" s="106">
        <v>905.49592008514185</v>
      </c>
      <c r="N30" s="106">
        <v>8.5381859657230645</v>
      </c>
      <c r="O30" s="106">
        <v>1188.5154864286505</v>
      </c>
      <c r="P30" s="106">
        <v>8.7688830248193579</v>
      </c>
      <c r="Q30" s="106">
        <v>1220.6285170548545</v>
      </c>
      <c r="R30" s="106">
        <v>7.3620072867714175</v>
      </c>
      <c r="S30" s="106">
        <v>1024.7914143185812</v>
      </c>
      <c r="T30" s="106">
        <v>4.4098165442821209</v>
      </c>
      <c r="U30" s="106">
        <v>613.84646296407118</v>
      </c>
      <c r="V30" s="106">
        <v>6.0703452896057453</v>
      </c>
      <c r="W30" s="106">
        <v>844.99206431311973</v>
      </c>
      <c r="X30" s="106">
        <v>5.2499024586173046</v>
      </c>
      <c r="Y30" s="106">
        <v>730.78642223952875</v>
      </c>
      <c r="Z30" s="106">
        <v>4.99962626804209</v>
      </c>
      <c r="AA30" s="106">
        <v>695.94797651145882</v>
      </c>
      <c r="AB30" s="106">
        <v>52.49462857254268</v>
      </c>
      <c r="AC30" s="106">
        <v>7307.2522972979405</v>
      </c>
      <c r="AD30" s="106">
        <v>55</v>
      </c>
      <c r="AE30" s="106">
        <v>7655.9999999999991</v>
      </c>
      <c r="AF30" s="106">
        <v>55</v>
      </c>
      <c r="AG30" s="106">
        <v>7655.9999999999991</v>
      </c>
      <c r="AH30" s="106">
        <v>34</v>
      </c>
      <c r="AI30" s="106">
        <v>4732.7999999999993</v>
      </c>
      <c r="AJ30" s="106">
        <v>42</v>
      </c>
      <c r="AK30" s="106">
        <v>5846.4</v>
      </c>
      <c r="AL30" s="106">
        <v>32</v>
      </c>
      <c r="AM30" s="106">
        <v>4454.3999999999996</v>
      </c>
      <c r="AN30" s="106">
        <v>43</v>
      </c>
      <c r="AO30" s="106">
        <v>5985.5999999999995</v>
      </c>
      <c r="AP30" s="106">
        <v>49</v>
      </c>
      <c r="AQ30" s="106">
        <v>6820.7999999999993</v>
      </c>
      <c r="AR30" s="106">
        <v>41</v>
      </c>
      <c r="AS30" s="106">
        <v>5707.2</v>
      </c>
      <c r="AT30" s="106">
        <v>33</v>
      </c>
      <c r="AU30" s="106">
        <v>4593.5999999999995</v>
      </c>
      <c r="AV30" s="106">
        <v>37</v>
      </c>
      <c r="AW30" s="106">
        <v>5150.3999999999996</v>
      </c>
      <c r="AX30" s="106">
        <v>40</v>
      </c>
      <c r="AY30" s="106">
        <v>5568</v>
      </c>
      <c r="AZ30" s="106">
        <v>11.075550140980736</v>
      </c>
      <c r="BA30" s="106">
        <v>1541.7165796245183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52</v>
      </c>
      <c r="BI30" s="106">
        <v>7238.4</v>
      </c>
      <c r="BJ30" s="106">
        <v>44</v>
      </c>
      <c r="BK30" s="106">
        <v>6124.7999999999993</v>
      </c>
      <c r="BL30" s="106">
        <v>47</v>
      </c>
      <c r="BM30" s="106">
        <v>6542.4</v>
      </c>
      <c r="BN30" s="106">
        <v>46</v>
      </c>
      <c r="BO30" s="106">
        <v>6403.2</v>
      </c>
      <c r="BP30" s="106">
        <v>47</v>
      </c>
      <c r="BQ30" s="106">
        <v>6542.4</v>
      </c>
      <c r="BR30" s="106">
        <v>55</v>
      </c>
      <c r="BS30" s="106">
        <v>7655.9999999999991</v>
      </c>
      <c r="BT30" s="106">
        <v>37</v>
      </c>
      <c r="BU30" s="106">
        <v>5150.3999999999996</v>
      </c>
      <c r="BV30" s="106">
        <v>66</v>
      </c>
      <c r="BW30" s="106">
        <v>9187.1999999999989</v>
      </c>
      <c r="BX30" s="106">
        <v>91</v>
      </c>
      <c r="BY30" s="106">
        <v>12667.199999999999</v>
      </c>
      <c r="BZ30" s="106">
        <v>127</v>
      </c>
      <c r="CA30" s="106">
        <v>17678.399999999998</v>
      </c>
      <c r="CB30" s="106">
        <v>70.114369585191199</v>
      </c>
      <c r="CC30" s="106">
        <v>9759.9202462586145</v>
      </c>
      <c r="CD30" s="106">
        <v>51.374570281054652</v>
      </c>
      <c r="CE30" s="106">
        <v>7151.3401831228066</v>
      </c>
      <c r="CF30" s="106">
        <v>26.816096124898063</v>
      </c>
      <c r="CG30" s="106">
        <v>3732.8005805858102</v>
      </c>
      <c r="CH30" s="106">
        <v>32.988170064298579</v>
      </c>
      <c r="CI30" s="106">
        <v>4591.9532729503617</v>
      </c>
      <c r="CJ30" s="106">
        <v>30.623360984946249</v>
      </c>
      <c r="CK30" s="106">
        <v>4262.7718491045171</v>
      </c>
      <c r="CL30" s="106">
        <v>29.857562939317564</v>
      </c>
      <c r="CM30" s="106">
        <v>4156.1727611530041</v>
      </c>
      <c r="CN30" s="106">
        <v>47.756420804752615</v>
      </c>
      <c r="CO30" s="106">
        <v>6647.6937760215633</v>
      </c>
      <c r="CP30" s="106">
        <v>50.111881527098497</v>
      </c>
      <c r="CQ30" s="106">
        <v>6975.5739085721098</v>
      </c>
      <c r="CR30" s="106">
        <v>50.158794647696148</v>
      </c>
      <c r="CS30" s="106">
        <v>6982.1042149593031</v>
      </c>
      <c r="CT30" s="106">
        <v>40.897285548866414</v>
      </c>
      <c r="CU30" s="106">
        <v>5692.9021484022041</v>
      </c>
    </row>
    <row r="31" spans="2:99" x14ac:dyDescent="0.2">
      <c r="C31" s="105" t="s">
        <v>196</v>
      </c>
      <c r="D31" s="106">
        <v>8.2059378197298845</v>
      </c>
      <c r="E31" s="106">
        <v>2796.5836089639447</v>
      </c>
      <c r="F31" s="106">
        <v>6.0898340898237704</v>
      </c>
      <c r="G31" s="106">
        <v>2075.415457811941</v>
      </c>
      <c r="H31" s="106">
        <v>6.8278590721320072</v>
      </c>
      <c r="I31" s="106">
        <v>2326.9343717825882</v>
      </c>
      <c r="J31" s="106">
        <v>7.7358489195041527</v>
      </c>
      <c r="K31" s="106">
        <v>2636.3773117670153</v>
      </c>
      <c r="L31" s="106">
        <v>6.8663882828933973</v>
      </c>
      <c r="M31" s="106">
        <v>2340.0651268100701</v>
      </c>
      <c r="N31" s="106">
        <v>7.0135099004153734</v>
      </c>
      <c r="O31" s="106">
        <v>2390.2041740615591</v>
      </c>
      <c r="P31" s="106">
        <v>8.4316182930955375</v>
      </c>
      <c r="Q31" s="106">
        <v>2873.4955142869594</v>
      </c>
      <c r="R31" s="106">
        <v>6.9745332190466058</v>
      </c>
      <c r="S31" s="106">
        <v>2376.9209210510835</v>
      </c>
      <c r="T31" s="106">
        <v>4.8297990723089894</v>
      </c>
      <c r="U31" s="106">
        <v>1645.9955238429036</v>
      </c>
      <c r="V31" s="106">
        <v>6.0703452896057453</v>
      </c>
      <c r="W31" s="106">
        <v>2068.7736746976379</v>
      </c>
      <c r="X31" s="106">
        <v>4.767768559356532</v>
      </c>
      <c r="Y31" s="106">
        <v>1624.8555250287061</v>
      </c>
      <c r="Z31" s="106">
        <v>4.909542911861152</v>
      </c>
      <c r="AA31" s="106">
        <v>1673.1722243622808</v>
      </c>
      <c r="AB31" s="106">
        <v>46.567815669191084</v>
      </c>
      <c r="AC31" s="106">
        <v>15870.311580060323</v>
      </c>
      <c r="AD31" s="106">
        <v>54</v>
      </c>
      <c r="AE31" s="106">
        <v>18403.2</v>
      </c>
      <c r="AF31" s="106">
        <v>49</v>
      </c>
      <c r="AG31" s="106">
        <v>16699.2</v>
      </c>
      <c r="AH31" s="106">
        <v>33</v>
      </c>
      <c r="AI31" s="106">
        <v>11246.4</v>
      </c>
      <c r="AJ31" s="106">
        <v>35</v>
      </c>
      <c r="AK31" s="106">
        <v>11928</v>
      </c>
      <c r="AL31" s="106">
        <v>35</v>
      </c>
      <c r="AM31" s="106">
        <v>11928</v>
      </c>
      <c r="AN31" s="106">
        <v>43</v>
      </c>
      <c r="AO31" s="106">
        <v>14654.4</v>
      </c>
      <c r="AP31" s="106">
        <v>49</v>
      </c>
      <c r="AQ31" s="106">
        <v>16699.2</v>
      </c>
      <c r="AR31" s="106">
        <v>42</v>
      </c>
      <c r="AS31" s="106">
        <v>14313.6</v>
      </c>
      <c r="AT31" s="106">
        <v>35</v>
      </c>
      <c r="AU31" s="106">
        <v>11928</v>
      </c>
      <c r="AV31" s="106">
        <v>34</v>
      </c>
      <c r="AW31" s="106">
        <v>11587.2</v>
      </c>
      <c r="AX31" s="106">
        <v>40</v>
      </c>
      <c r="AY31" s="106">
        <v>13632</v>
      </c>
      <c r="AZ31" s="106">
        <v>10.08666173553603</v>
      </c>
      <c r="BA31" s="106">
        <v>3437.5343194706788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54</v>
      </c>
      <c r="BI31" s="106">
        <v>18403.2</v>
      </c>
      <c r="BJ31" s="106">
        <v>47</v>
      </c>
      <c r="BK31" s="106">
        <v>16017.6</v>
      </c>
      <c r="BL31" s="106">
        <v>51</v>
      </c>
      <c r="BM31" s="106">
        <v>17380.8</v>
      </c>
      <c r="BN31" s="106">
        <v>50</v>
      </c>
      <c r="BO31" s="106">
        <v>17040</v>
      </c>
      <c r="BP31" s="106">
        <v>52</v>
      </c>
      <c r="BQ31" s="106">
        <v>17721.600000000002</v>
      </c>
      <c r="BR31" s="106">
        <v>52</v>
      </c>
      <c r="BS31" s="106">
        <v>17721.600000000002</v>
      </c>
      <c r="BT31" s="106">
        <v>37</v>
      </c>
      <c r="BU31" s="106">
        <v>12609.6</v>
      </c>
      <c r="BV31" s="106">
        <v>58</v>
      </c>
      <c r="BW31" s="106">
        <v>19766.400000000001</v>
      </c>
      <c r="BX31" s="106">
        <v>87</v>
      </c>
      <c r="BY31" s="106">
        <v>29649.600000000002</v>
      </c>
      <c r="BZ31" s="106">
        <v>123</v>
      </c>
      <c r="CA31" s="106">
        <v>41918.400000000001</v>
      </c>
      <c r="CB31" s="106">
        <v>70.679808049587891</v>
      </c>
      <c r="CC31" s="106">
        <v>24087.678583299556</v>
      </c>
      <c r="CD31" s="106">
        <v>45.040719150513681</v>
      </c>
      <c r="CE31" s="106">
        <v>15349.877086495062</v>
      </c>
      <c r="CF31" s="106">
        <v>21.724432303714885</v>
      </c>
      <c r="CG31" s="106">
        <v>7403.686529106033</v>
      </c>
      <c r="CH31" s="106">
        <v>33.265381577443939</v>
      </c>
      <c r="CI31" s="106">
        <v>11336.842041592896</v>
      </c>
      <c r="CJ31" s="106">
        <v>30.286840534562224</v>
      </c>
      <c r="CK31" s="106">
        <v>10321.755254178806</v>
      </c>
      <c r="CL31" s="106">
        <v>27.951761049573886</v>
      </c>
      <c r="CM31" s="106">
        <v>9525.9601656947798</v>
      </c>
      <c r="CN31" s="106">
        <v>47.166835362718629</v>
      </c>
      <c r="CO31" s="106">
        <v>16074.45749161451</v>
      </c>
      <c r="CP31" s="106">
        <v>46.638780827200584</v>
      </c>
      <c r="CQ31" s="106">
        <v>15894.49650590996</v>
      </c>
      <c r="CR31" s="106">
        <v>43.341094404319975</v>
      </c>
      <c r="CS31" s="106">
        <v>14770.644972992248</v>
      </c>
      <c r="CT31" s="106">
        <v>38.418662182268456</v>
      </c>
      <c r="CU31" s="106">
        <v>13093.08007171709</v>
      </c>
    </row>
    <row r="32" spans="2:99" x14ac:dyDescent="0.2">
      <c r="C32" s="105" t="s">
        <v>197</v>
      </c>
      <c r="D32" s="106">
        <v>6.9902433279180505</v>
      </c>
      <c r="E32" s="106">
        <v>5871.8043954511622</v>
      </c>
      <c r="F32" s="106">
        <v>6.4704487204377568</v>
      </c>
      <c r="G32" s="106">
        <v>5435.176925167716</v>
      </c>
      <c r="H32" s="106">
        <v>6.2071446110290971</v>
      </c>
      <c r="I32" s="106">
        <v>5214.0014732644413</v>
      </c>
      <c r="J32" s="106">
        <v>6.6307276452892738</v>
      </c>
      <c r="K32" s="106">
        <v>5569.8112220429903</v>
      </c>
      <c r="L32" s="106">
        <v>6.8663882828933973</v>
      </c>
      <c r="M32" s="106">
        <v>5767.7661576304536</v>
      </c>
      <c r="N32" s="106">
        <v>6.7085746873538357</v>
      </c>
      <c r="O32" s="106">
        <v>5635.2027373772216</v>
      </c>
      <c r="P32" s="106">
        <v>7.7570888296478939</v>
      </c>
      <c r="Q32" s="106">
        <v>6515.9546169042305</v>
      </c>
      <c r="R32" s="106">
        <v>6.1995850835969835</v>
      </c>
      <c r="S32" s="106">
        <v>5207.6514702214663</v>
      </c>
      <c r="T32" s="106">
        <v>3.7273449362384596</v>
      </c>
      <c r="U32" s="106">
        <v>3130.9697464403062</v>
      </c>
      <c r="V32" s="106">
        <v>5.3439791865759982</v>
      </c>
      <c r="W32" s="106">
        <v>4488.9425167238387</v>
      </c>
      <c r="X32" s="106">
        <v>4.4463459598493502</v>
      </c>
      <c r="Y32" s="106">
        <v>3734.930606273454</v>
      </c>
      <c r="Z32" s="106">
        <v>3.9636676719612964</v>
      </c>
      <c r="AA32" s="106">
        <v>3329.4808444474888</v>
      </c>
      <c r="AB32" s="106">
        <v>40.641002765839495</v>
      </c>
      <c r="AC32" s="106">
        <v>34138.442323305178</v>
      </c>
      <c r="AD32" s="106">
        <v>47</v>
      </c>
      <c r="AE32" s="106">
        <v>39480</v>
      </c>
      <c r="AF32" s="106">
        <v>40</v>
      </c>
      <c r="AG32" s="106">
        <v>33600</v>
      </c>
      <c r="AH32" s="106">
        <v>30</v>
      </c>
      <c r="AI32" s="106">
        <v>25200</v>
      </c>
      <c r="AJ32" s="106">
        <v>33</v>
      </c>
      <c r="AK32" s="106">
        <v>27720</v>
      </c>
      <c r="AL32" s="106">
        <v>29</v>
      </c>
      <c r="AM32" s="106">
        <v>24360</v>
      </c>
      <c r="AN32" s="106">
        <v>38</v>
      </c>
      <c r="AO32" s="106">
        <v>31920</v>
      </c>
      <c r="AP32" s="106">
        <v>38</v>
      </c>
      <c r="AQ32" s="106">
        <v>31920</v>
      </c>
      <c r="AR32" s="106">
        <v>39</v>
      </c>
      <c r="AS32" s="106">
        <v>32760</v>
      </c>
      <c r="AT32" s="106">
        <v>31</v>
      </c>
      <c r="AU32" s="106">
        <v>26040</v>
      </c>
      <c r="AV32" s="106">
        <v>35</v>
      </c>
      <c r="AW32" s="106">
        <v>29400</v>
      </c>
      <c r="AX32" s="106">
        <v>39</v>
      </c>
      <c r="AY32" s="106">
        <v>32760</v>
      </c>
      <c r="AZ32" s="106">
        <v>9.6911063733581457</v>
      </c>
      <c r="BA32" s="106">
        <v>8140.5293536208428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49</v>
      </c>
      <c r="BI32" s="106">
        <v>41160</v>
      </c>
      <c r="BJ32" s="106">
        <v>46</v>
      </c>
      <c r="BK32" s="106">
        <v>38640</v>
      </c>
      <c r="BL32" s="106">
        <v>41</v>
      </c>
      <c r="BM32" s="106">
        <v>34440</v>
      </c>
      <c r="BN32" s="106">
        <v>45</v>
      </c>
      <c r="BO32" s="106">
        <v>37800</v>
      </c>
      <c r="BP32" s="106">
        <v>43</v>
      </c>
      <c r="BQ32" s="106">
        <v>36120</v>
      </c>
      <c r="BR32" s="106">
        <v>41</v>
      </c>
      <c r="BS32" s="106">
        <v>34440</v>
      </c>
      <c r="BT32" s="106">
        <v>31</v>
      </c>
      <c r="BU32" s="106">
        <v>26040</v>
      </c>
      <c r="BV32" s="106">
        <v>50</v>
      </c>
      <c r="BW32" s="106">
        <v>42000</v>
      </c>
      <c r="BX32" s="106">
        <v>81</v>
      </c>
      <c r="BY32" s="106">
        <v>68040</v>
      </c>
      <c r="BZ32" s="106">
        <v>108</v>
      </c>
      <c r="CA32" s="106">
        <v>90720</v>
      </c>
      <c r="CB32" s="106">
        <v>53.151215653290102</v>
      </c>
      <c r="CC32" s="106">
        <v>44647.021148763684</v>
      </c>
      <c r="CD32" s="106">
        <v>39.410629256699465</v>
      </c>
      <c r="CE32" s="106">
        <v>33104.928575627549</v>
      </c>
      <c r="CF32" s="106">
        <v>21.724432303714885</v>
      </c>
      <c r="CG32" s="106">
        <v>18248.523135120504</v>
      </c>
      <c r="CH32" s="106">
        <v>27.721151314536616</v>
      </c>
      <c r="CI32" s="106">
        <v>23285.767104210758</v>
      </c>
      <c r="CJ32" s="106">
        <v>26.921636030721977</v>
      </c>
      <c r="CK32" s="106">
        <v>22614.174265806461</v>
      </c>
      <c r="CL32" s="106">
        <v>24.14015727008654</v>
      </c>
      <c r="CM32" s="106">
        <v>20277.732106872692</v>
      </c>
      <c r="CN32" s="106">
        <v>40.68139550034482</v>
      </c>
      <c r="CO32" s="106">
        <v>34172.372220289646</v>
      </c>
      <c r="CP32" s="106">
        <v>47.134938070043148</v>
      </c>
      <c r="CQ32" s="106">
        <v>39593.347978836246</v>
      </c>
      <c r="CR32" s="106">
        <v>42.854115815507392</v>
      </c>
      <c r="CS32" s="106">
        <v>35997.457285026212</v>
      </c>
      <c r="CT32" s="106">
        <v>35.940038815670484</v>
      </c>
      <c r="CU32" s="106">
        <v>30189.632605163206</v>
      </c>
    </row>
    <row r="33" spans="2:99" x14ac:dyDescent="0.2">
      <c r="C33" s="105" t="s">
        <v>198</v>
      </c>
      <c r="D33" s="106">
        <v>7.2941669508710092</v>
      </c>
      <c r="E33" s="106">
        <v>3457.4351347128581</v>
      </c>
      <c r="F33" s="106">
        <v>7.2316779816657277</v>
      </c>
      <c r="G33" s="106">
        <v>3427.8153633095549</v>
      </c>
      <c r="H33" s="106">
        <v>7.4485735332349163</v>
      </c>
      <c r="I33" s="106">
        <v>3530.6238547533503</v>
      </c>
      <c r="J33" s="106">
        <v>8.1042226775757804</v>
      </c>
      <c r="K33" s="106">
        <v>3841.4015491709201</v>
      </c>
      <c r="L33" s="106">
        <v>6.1436105689046192</v>
      </c>
      <c r="M33" s="106">
        <v>2912.0714096607894</v>
      </c>
      <c r="N33" s="106">
        <v>7.9283155395999882</v>
      </c>
      <c r="O33" s="106">
        <v>3758.0215657703943</v>
      </c>
      <c r="P33" s="106">
        <v>8.4316182930955375</v>
      </c>
      <c r="Q33" s="106">
        <v>3996.5870709272849</v>
      </c>
      <c r="R33" s="106">
        <v>6.5870591513217942</v>
      </c>
      <c r="S33" s="106">
        <v>3122.2660377265306</v>
      </c>
      <c r="T33" s="106">
        <v>4.2523230962720451</v>
      </c>
      <c r="U33" s="106">
        <v>2015.6011476329493</v>
      </c>
      <c r="V33" s="106">
        <v>5.7590455311644249</v>
      </c>
      <c r="W33" s="106">
        <v>2729.7875817719373</v>
      </c>
      <c r="X33" s="106">
        <v>4.392775526598153</v>
      </c>
      <c r="Y33" s="106">
        <v>2082.1755996075244</v>
      </c>
      <c r="Z33" s="106">
        <v>4.2789594185945807</v>
      </c>
      <c r="AA33" s="106">
        <v>2028.2267644138312</v>
      </c>
      <c r="AB33" s="106">
        <v>49.107878342056054</v>
      </c>
      <c r="AC33" s="106">
        <v>23277.134334134571</v>
      </c>
      <c r="AD33" s="106">
        <v>45</v>
      </c>
      <c r="AE33" s="106">
        <v>21330</v>
      </c>
      <c r="AF33" s="106">
        <v>48</v>
      </c>
      <c r="AG33" s="106">
        <v>22752</v>
      </c>
      <c r="AH33" s="106">
        <v>36</v>
      </c>
      <c r="AI33" s="106">
        <v>17064</v>
      </c>
      <c r="AJ33" s="106">
        <v>37</v>
      </c>
      <c r="AK33" s="106">
        <v>17538</v>
      </c>
      <c r="AL33" s="106">
        <v>31</v>
      </c>
      <c r="AM33" s="106">
        <v>14694</v>
      </c>
      <c r="AN33" s="106">
        <v>42</v>
      </c>
      <c r="AO33" s="106">
        <v>19908</v>
      </c>
      <c r="AP33" s="106">
        <v>44</v>
      </c>
      <c r="AQ33" s="106">
        <v>20856</v>
      </c>
      <c r="AR33" s="106">
        <v>40</v>
      </c>
      <c r="AS33" s="106">
        <v>18960</v>
      </c>
      <c r="AT33" s="106">
        <v>29</v>
      </c>
      <c r="AU33" s="106">
        <v>13746</v>
      </c>
      <c r="AV33" s="106">
        <v>38</v>
      </c>
      <c r="AW33" s="106">
        <v>18012</v>
      </c>
      <c r="AX33" s="106">
        <v>37</v>
      </c>
      <c r="AY33" s="106">
        <v>17538</v>
      </c>
      <c r="AZ33" s="106">
        <v>9.0977733300913197</v>
      </c>
      <c r="BA33" s="106">
        <v>4312.3445584632855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49</v>
      </c>
      <c r="BI33" s="106">
        <v>23226</v>
      </c>
      <c r="BJ33" s="106">
        <v>44</v>
      </c>
      <c r="BK33" s="106">
        <v>20856</v>
      </c>
      <c r="BL33" s="106">
        <v>42</v>
      </c>
      <c r="BM33" s="106">
        <v>19908</v>
      </c>
      <c r="BN33" s="106">
        <v>43</v>
      </c>
      <c r="BO33" s="106">
        <v>20382</v>
      </c>
      <c r="BP33" s="106">
        <v>50</v>
      </c>
      <c r="BQ33" s="106">
        <v>23700</v>
      </c>
      <c r="BR33" s="106">
        <v>53</v>
      </c>
      <c r="BS33" s="106">
        <v>25122</v>
      </c>
      <c r="BT33" s="106">
        <v>35</v>
      </c>
      <c r="BU33" s="106">
        <v>16590</v>
      </c>
      <c r="BV33" s="106">
        <v>59</v>
      </c>
      <c r="BW33" s="106">
        <v>27966</v>
      </c>
      <c r="BX33" s="106">
        <v>84</v>
      </c>
      <c r="BY33" s="106">
        <v>39816</v>
      </c>
      <c r="BZ33" s="106">
        <v>108</v>
      </c>
      <c r="CA33" s="106">
        <v>51192</v>
      </c>
      <c r="CB33" s="106">
        <v>62.763669548034059</v>
      </c>
      <c r="CC33" s="106">
        <v>29749.979365768144</v>
      </c>
      <c r="CD33" s="106">
        <v>46.44824162396722</v>
      </c>
      <c r="CE33" s="106">
        <v>22016.466529760462</v>
      </c>
      <c r="CF33" s="106">
        <v>25.118874851170339</v>
      </c>
      <c r="CG33" s="106">
        <v>11906.34667945474</v>
      </c>
      <c r="CH33" s="106">
        <v>32.710958551153212</v>
      </c>
      <c r="CI33" s="106">
        <v>15504.994353246622</v>
      </c>
      <c r="CJ33" s="106">
        <v>31.296401885714296</v>
      </c>
      <c r="CK33" s="106">
        <v>14834.494493828577</v>
      </c>
      <c r="CL33" s="106">
        <v>26.045959159830215</v>
      </c>
      <c r="CM33" s="106">
        <v>12345.784641759521</v>
      </c>
      <c r="CN33" s="106">
        <v>41.270980942378799</v>
      </c>
      <c r="CO33" s="106">
        <v>19562.444966687552</v>
      </c>
      <c r="CP33" s="106">
        <v>44.654151855830342</v>
      </c>
      <c r="CQ33" s="106">
        <v>21166.067979663581</v>
      </c>
      <c r="CR33" s="106">
        <v>46.262965937195474</v>
      </c>
      <c r="CS33" s="106">
        <v>21928.645854230654</v>
      </c>
      <c r="CT33" s="106">
        <v>42.756253073814889</v>
      </c>
      <c r="CU33" s="106">
        <v>20266.463956988257</v>
      </c>
    </row>
    <row r="34" spans="2:99" x14ac:dyDescent="0.2">
      <c r="C34" s="105" t="s">
        <v>199</v>
      </c>
      <c r="D34" s="106">
        <v>8.2059378197298845</v>
      </c>
      <c r="E34" s="106">
        <v>4500.1363003398683</v>
      </c>
      <c r="F34" s="106">
        <v>6.4704487204377568</v>
      </c>
      <c r="G34" s="106">
        <v>3548.3940782880659</v>
      </c>
      <c r="H34" s="106">
        <v>7.1382163026834622</v>
      </c>
      <c r="I34" s="106">
        <v>3914.5978203916106</v>
      </c>
      <c r="J34" s="106">
        <v>8.1042226775757804</v>
      </c>
      <c r="K34" s="106">
        <v>4444.3557163825581</v>
      </c>
      <c r="L34" s="106">
        <v>5.7822217119102293</v>
      </c>
      <c r="M34" s="106">
        <v>3170.9703868115698</v>
      </c>
      <c r="N34" s="106">
        <v>7.318445113476912</v>
      </c>
      <c r="O34" s="106">
        <v>4013.4353002307384</v>
      </c>
      <c r="P34" s="106">
        <v>7.4198240979240726</v>
      </c>
      <c r="Q34" s="106">
        <v>4069.0315353015612</v>
      </c>
      <c r="R34" s="106">
        <v>6.5870591513217942</v>
      </c>
      <c r="S34" s="106">
        <v>3612.3432385848719</v>
      </c>
      <c r="T34" s="106">
        <v>4.357318728278762</v>
      </c>
      <c r="U34" s="106">
        <v>2389.5535905880729</v>
      </c>
      <c r="V34" s="106">
        <v>5.6552789450173178</v>
      </c>
      <c r="W34" s="106">
        <v>3101.3549734474968</v>
      </c>
      <c r="X34" s="106">
        <v>4.0713529270909712</v>
      </c>
      <c r="Y34" s="106">
        <v>2232.7299452166885</v>
      </c>
      <c r="Z34" s="106">
        <v>4.9545845899516205</v>
      </c>
      <c r="AA34" s="106">
        <v>2717.0941891294688</v>
      </c>
      <c r="AB34" s="106">
        <v>47.414503226812741</v>
      </c>
      <c r="AC34" s="106">
        <v>26002.113569584108</v>
      </c>
      <c r="AD34" s="106">
        <v>50</v>
      </c>
      <c r="AE34" s="106">
        <v>27420</v>
      </c>
      <c r="AF34" s="106">
        <v>49</v>
      </c>
      <c r="AG34" s="106">
        <v>26871.599999999999</v>
      </c>
      <c r="AH34" s="106">
        <v>31</v>
      </c>
      <c r="AI34" s="106">
        <v>17000.399999999998</v>
      </c>
      <c r="AJ34" s="106">
        <v>34</v>
      </c>
      <c r="AK34" s="106">
        <v>18645.599999999999</v>
      </c>
      <c r="AL34" s="106">
        <v>32</v>
      </c>
      <c r="AM34" s="106">
        <v>17548.8</v>
      </c>
      <c r="AN34" s="106">
        <v>42</v>
      </c>
      <c r="AO34" s="106">
        <v>23032.799999999999</v>
      </c>
      <c r="AP34" s="106">
        <v>41</v>
      </c>
      <c r="AQ34" s="106">
        <v>22484.399999999998</v>
      </c>
      <c r="AR34" s="106">
        <v>36</v>
      </c>
      <c r="AS34" s="106">
        <v>19742.399999999998</v>
      </c>
      <c r="AT34" s="106">
        <v>34</v>
      </c>
      <c r="AU34" s="106">
        <v>18645.599999999999</v>
      </c>
      <c r="AV34" s="106">
        <v>35</v>
      </c>
      <c r="AW34" s="106">
        <v>19194</v>
      </c>
      <c r="AX34" s="106">
        <v>41</v>
      </c>
      <c r="AY34" s="106">
        <v>22484.399999999998</v>
      </c>
      <c r="AZ34" s="106">
        <v>8.8999956490023777</v>
      </c>
      <c r="BA34" s="106">
        <v>4880.7576139129042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52</v>
      </c>
      <c r="BI34" s="106">
        <v>28516.799999999999</v>
      </c>
      <c r="BJ34" s="106">
        <v>46</v>
      </c>
      <c r="BK34" s="106">
        <v>25226.399999999998</v>
      </c>
      <c r="BL34" s="106">
        <v>40</v>
      </c>
      <c r="BM34" s="106">
        <v>21936</v>
      </c>
      <c r="BN34" s="106">
        <v>50</v>
      </c>
      <c r="BO34" s="106">
        <v>27420</v>
      </c>
      <c r="BP34" s="106">
        <v>44</v>
      </c>
      <c r="BQ34" s="106">
        <v>24129.599999999999</v>
      </c>
      <c r="BR34" s="106">
        <v>52</v>
      </c>
      <c r="BS34" s="106">
        <v>28516.799999999999</v>
      </c>
      <c r="BT34" s="106">
        <v>37</v>
      </c>
      <c r="BU34" s="106">
        <v>20290.8</v>
      </c>
      <c r="BV34" s="106">
        <v>54</v>
      </c>
      <c r="BW34" s="106">
        <v>29613.599999999999</v>
      </c>
      <c r="BX34" s="106">
        <v>87</v>
      </c>
      <c r="BY34" s="106">
        <v>47710.799999999996</v>
      </c>
      <c r="BZ34" s="106">
        <v>112</v>
      </c>
      <c r="CA34" s="106">
        <v>61420.799999999996</v>
      </c>
      <c r="CB34" s="106">
        <v>62.198231083637353</v>
      </c>
      <c r="CC34" s="106">
        <v>34109.509926266721</v>
      </c>
      <c r="CD34" s="106">
        <v>46.44824162396722</v>
      </c>
      <c r="CE34" s="106">
        <v>25472.215706583622</v>
      </c>
      <c r="CF34" s="106">
        <v>23.082209322697064</v>
      </c>
      <c r="CG34" s="106">
        <v>12658.28359256707</v>
      </c>
      <c r="CH34" s="106">
        <v>29.384420393408817</v>
      </c>
      <c r="CI34" s="106">
        <v>16114.416143745395</v>
      </c>
      <c r="CJ34" s="106">
        <v>29.613799633794176</v>
      </c>
      <c r="CK34" s="106">
        <v>16240.207719172726</v>
      </c>
      <c r="CL34" s="106">
        <v>27.634127401283273</v>
      </c>
      <c r="CM34" s="106">
        <v>15154.555466863747</v>
      </c>
      <c r="CN34" s="106">
        <v>41.860566384412785</v>
      </c>
      <c r="CO34" s="106">
        <v>22956.33460521197</v>
      </c>
      <c r="CP34" s="106">
        <v>49.119567041413376</v>
      </c>
      <c r="CQ34" s="106">
        <v>26937.170565511093</v>
      </c>
      <c r="CR34" s="106">
        <v>39.932244282631885</v>
      </c>
      <c r="CS34" s="106">
        <v>21898.842764595323</v>
      </c>
      <c r="CT34" s="106">
        <v>39.038318023917945</v>
      </c>
      <c r="CU34" s="106">
        <v>21408.613604316601</v>
      </c>
    </row>
    <row r="35" spans="2:99" x14ac:dyDescent="0.2">
      <c r="C35" s="105" t="s">
        <v>200</v>
      </c>
      <c r="D35" s="106">
        <v>8.2059378197298845</v>
      </c>
      <c r="E35" s="106">
        <v>4125.9455357601846</v>
      </c>
      <c r="F35" s="106">
        <v>6.0898340898237704</v>
      </c>
      <c r="G35" s="106">
        <v>3061.9685803633911</v>
      </c>
      <c r="H35" s="106">
        <v>7.4485735332349163</v>
      </c>
      <c r="I35" s="106">
        <v>3745.142772510515</v>
      </c>
      <c r="J35" s="106">
        <v>7.3674751614325267</v>
      </c>
      <c r="K35" s="106">
        <v>3704.3665111682735</v>
      </c>
      <c r="L35" s="106">
        <v>6.5049994258990083</v>
      </c>
      <c r="M35" s="106">
        <v>3270.7137113420208</v>
      </c>
      <c r="N35" s="106">
        <v>7.6233803265384497</v>
      </c>
      <c r="O35" s="106">
        <v>3833.0356281835316</v>
      </c>
      <c r="P35" s="106">
        <v>7.7570888296478939</v>
      </c>
      <c r="Q35" s="106">
        <v>3900.2642635469601</v>
      </c>
      <c r="R35" s="106">
        <v>6.1995850835969835</v>
      </c>
      <c r="S35" s="106">
        <v>3117.1513800325624</v>
      </c>
      <c r="T35" s="106">
        <v>4.357318728278762</v>
      </c>
      <c r="U35" s="106">
        <v>2190.859856578561</v>
      </c>
      <c r="V35" s="106">
        <v>5.3958624796495513</v>
      </c>
      <c r="W35" s="106">
        <v>2713.0396547677938</v>
      </c>
      <c r="X35" s="106">
        <v>4.6606276928541384</v>
      </c>
      <c r="Y35" s="106">
        <v>2343.3636039670605</v>
      </c>
      <c r="Z35" s="106">
        <v>5.1347513023134974</v>
      </c>
      <c r="AA35" s="106">
        <v>2581.7529548032257</v>
      </c>
      <c r="AB35" s="106">
        <v>48.261190784434405</v>
      </c>
      <c r="AC35" s="106">
        <v>24265.726726413614</v>
      </c>
      <c r="AD35" s="106">
        <v>51</v>
      </c>
      <c r="AE35" s="106">
        <v>25642.799999999996</v>
      </c>
      <c r="AF35" s="106">
        <v>46</v>
      </c>
      <c r="AG35" s="106">
        <v>23128.799999999996</v>
      </c>
      <c r="AH35" s="106">
        <v>31</v>
      </c>
      <c r="AI35" s="106">
        <v>15586.799999999997</v>
      </c>
      <c r="AJ35" s="106">
        <v>37</v>
      </c>
      <c r="AK35" s="106">
        <v>18603.599999999995</v>
      </c>
      <c r="AL35" s="106">
        <v>31</v>
      </c>
      <c r="AM35" s="106">
        <v>15586.799999999997</v>
      </c>
      <c r="AN35" s="106">
        <v>44</v>
      </c>
      <c r="AO35" s="106">
        <v>22123.199999999997</v>
      </c>
      <c r="AP35" s="106">
        <v>41</v>
      </c>
      <c r="AQ35" s="106">
        <v>20614.799999999996</v>
      </c>
      <c r="AR35" s="106">
        <v>38</v>
      </c>
      <c r="AS35" s="106">
        <v>19106.399999999998</v>
      </c>
      <c r="AT35" s="106">
        <v>29</v>
      </c>
      <c r="AU35" s="106">
        <v>14581.199999999997</v>
      </c>
      <c r="AV35" s="106">
        <v>32</v>
      </c>
      <c r="AW35" s="106">
        <v>16089.599999999997</v>
      </c>
      <c r="AX35" s="106">
        <v>35</v>
      </c>
      <c r="AY35" s="106">
        <v>17597.999999999996</v>
      </c>
      <c r="AZ35" s="106">
        <v>9.888884054447086</v>
      </c>
      <c r="BA35" s="106">
        <v>4972.1309025759938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51</v>
      </c>
      <c r="BI35" s="106">
        <v>25642.799999999996</v>
      </c>
      <c r="BJ35" s="106">
        <v>45</v>
      </c>
      <c r="BK35" s="106">
        <v>22625.999999999996</v>
      </c>
      <c r="BL35" s="106">
        <v>44</v>
      </c>
      <c r="BM35" s="106">
        <v>22123.199999999997</v>
      </c>
      <c r="BN35" s="106">
        <v>46</v>
      </c>
      <c r="BO35" s="106">
        <v>23128.799999999996</v>
      </c>
      <c r="BP35" s="106">
        <v>46</v>
      </c>
      <c r="BQ35" s="106">
        <v>23128.799999999996</v>
      </c>
      <c r="BR35" s="106">
        <v>46</v>
      </c>
      <c r="BS35" s="106">
        <v>23128.799999999996</v>
      </c>
      <c r="BT35" s="106">
        <v>33</v>
      </c>
      <c r="BU35" s="106">
        <v>16592.399999999998</v>
      </c>
      <c r="BV35" s="106">
        <v>61</v>
      </c>
      <c r="BW35" s="106">
        <v>30670.799999999992</v>
      </c>
      <c r="BX35" s="106">
        <v>82</v>
      </c>
      <c r="BY35" s="106">
        <v>41229.599999999991</v>
      </c>
      <c r="BZ35" s="106">
        <v>100</v>
      </c>
      <c r="CA35" s="106">
        <v>50279.999999999993</v>
      </c>
      <c r="CB35" s="106">
        <v>59.371038761653836</v>
      </c>
      <c r="CC35" s="106">
        <v>29851.758289359543</v>
      </c>
      <c r="CD35" s="106">
        <v>41.521912966879796</v>
      </c>
      <c r="CE35" s="106">
        <v>20877.217839747158</v>
      </c>
      <c r="CF35" s="106">
        <v>24.439986341679244</v>
      </c>
      <c r="CG35" s="106">
        <v>12288.425132596321</v>
      </c>
      <c r="CH35" s="106">
        <v>34.374227630025409</v>
      </c>
      <c r="CI35" s="106">
        <v>17283.361652376771</v>
      </c>
      <c r="CJ35" s="106">
        <v>29.613799633794176</v>
      </c>
      <c r="CK35" s="106">
        <v>14889.818455871709</v>
      </c>
      <c r="CL35" s="106">
        <v>26.363592808120824</v>
      </c>
      <c r="CM35" s="106">
        <v>13255.614463923148</v>
      </c>
      <c r="CN35" s="106">
        <v>44.808493594582693</v>
      </c>
      <c r="CO35" s="106">
        <v>22529.710579356175</v>
      </c>
      <c r="CP35" s="106">
        <v>46.142623584358027</v>
      </c>
      <c r="CQ35" s="106">
        <v>23200.51113821521</v>
      </c>
      <c r="CR35" s="106">
        <v>39.445265693819302</v>
      </c>
      <c r="CS35" s="106">
        <v>19833.07959085234</v>
      </c>
      <c r="CT35" s="106">
        <v>43.375908915464379</v>
      </c>
      <c r="CU35" s="106">
        <v>21809.407002695487</v>
      </c>
    </row>
    <row r="36" spans="2:99" x14ac:dyDescent="0.2">
      <c r="C36" s="105" t="s">
        <v>201</v>
      </c>
      <c r="D36" s="106">
        <v>7.5980905738239679</v>
      </c>
      <c r="E36" s="106">
        <v>5780.6273085652747</v>
      </c>
      <c r="F36" s="106">
        <v>6.8510633510517414</v>
      </c>
      <c r="G36" s="106">
        <v>5212.2889974801647</v>
      </c>
      <c r="H36" s="106">
        <v>6.517501841580553</v>
      </c>
      <c r="I36" s="106">
        <v>4958.5154010744845</v>
      </c>
      <c r="J36" s="106">
        <v>7.7358489195041527</v>
      </c>
      <c r="K36" s="106">
        <v>5885.4338579587593</v>
      </c>
      <c r="L36" s="106">
        <v>5.4208328549158402</v>
      </c>
      <c r="M36" s="106">
        <v>4124.1696360199712</v>
      </c>
      <c r="N36" s="106">
        <v>7.318445113476912</v>
      </c>
      <c r="O36" s="106">
        <v>5567.8730423332345</v>
      </c>
      <c r="P36" s="106">
        <v>7.7570888296478939</v>
      </c>
      <c r="Q36" s="106">
        <v>5901.5931815961176</v>
      </c>
      <c r="R36" s="106">
        <v>6.5870591513217942</v>
      </c>
      <c r="S36" s="106">
        <v>5011.4346023256203</v>
      </c>
      <c r="T36" s="106">
        <v>4.2523230962720451</v>
      </c>
      <c r="U36" s="106">
        <v>3235.1674116437716</v>
      </c>
      <c r="V36" s="106">
        <v>5.3439791865759982</v>
      </c>
      <c r="W36" s="106">
        <v>4065.6993651470193</v>
      </c>
      <c r="X36" s="106">
        <v>4.2856346600957593</v>
      </c>
      <c r="Y36" s="106">
        <v>3260.5108494008537</v>
      </c>
      <c r="Z36" s="106">
        <v>4.0087093500517659</v>
      </c>
      <c r="AA36" s="106">
        <v>3049.8260735193835</v>
      </c>
      <c r="AB36" s="106">
        <v>48.261190784434405</v>
      </c>
      <c r="AC36" s="106">
        <v>36717.113948797691</v>
      </c>
      <c r="AD36" s="106">
        <v>51</v>
      </c>
      <c r="AE36" s="106">
        <v>38800.799999999996</v>
      </c>
      <c r="AF36" s="106">
        <v>45</v>
      </c>
      <c r="AG36" s="106">
        <v>34236</v>
      </c>
      <c r="AH36" s="106">
        <v>34</v>
      </c>
      <c r="AI36" s="106">
        <v>25867.199999999997</v>
      </c>
      <c r="AJ36" s="106">
        <v>35</v>
      </c>
      <c r="AK36" s="106">
        <v>26628</v>
      </c>
      <c r="AL36" s="106">
        <v>34</v>
      </c>
      <c r="AM36" s="106">
        <v>25867.199999999997</v>
      </c>
      <c r="AN36" s="106">
        <v>45</v>
      </c>
      <c r="AO36" s="106">
        <v>34236</v>
      </c>
      <c r="AP36" s="106">
        <v>44</v>
      </c>
      <c r="AQ36" s="106">
        <v>33475.199999999997</v>
      </c>
      <c r="AR36" s="106">
        <v>37</v>
      </c>
      <c r="AS36" s="106">
        <v>28149.599999999999</v>
      </c>
      <c r="AT36" s="106">
        <v>32</v>
      </c>
      <c r="AU36" s="106">
        <v>24345.599999999999</v>
      </c>
      <c r="AV36" s="106">
        <v>32</v>
      </c>
      <c r="AW36" s="106">
        <v>24345.599999999999</v>
      </c>
      <c r="AX36" s="106">
        <v>36</v>
      </c>
      <c r="AY36" s="106">
        <v>27388.799999999999</v>
      </c>
      <c r="AZ36" s="106">
        <v>9.0977733300913197</v>
      </c>
      <c r="BA36" s="106">
        <v>6921.5859495334753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53</v>
      </c>
      <c r="BI36" s="106">
        <v>40322.399999999994</v>
      </c>
      <c r="BJ36" s="106">
        <v>44</v>
      </c>
      <c r="BK36" s="106">
        <v>33475.199999999997</v>
      </c>
      <c r="BL36" s="106">
        <v>41</v>
      </c>
      <c r="BM36" s="106">
        <v>31192.799999999999</v>
      </c>
      <c r="BN36" s="106">
        <v>42</v>
      </c>
      <c r="BO36" s="106">
        <v>31953.599999999999</v>
      </c>
      <c r="BP36" s="106">
        <v>43</v>
      </c>
      <c r="BQ36" s="106">
        <v>32714.399999999998</v>
      </c>
      <c r="BR36" s="106">
        <v>47</v>
      </c>
      <c r="BS36" s="106">
        <v>35757.599999999999</v>
      </c>
      <c r="BT36" s="106">
        <v>34</v>
      </c>
      <c r="BU36" s="106">
        <v>25867.199999999997</v>
      </c>
      <c r="BV36" s="106">
        <v>50</v>
      </c>
      <c r="BW36" s="106">
        <v>38040</v>
      </c>
      <c r="BX36" s="106">
        <v>82</v>
      </c>
      <c r="BY36" s="106">
        <v>62385.599999999999</v>
      </c>
      <c r="BZ36" s="106">
        <v>108</v>
      </c>
      <c r="CA36" s="106">
        <v>82166.399999999994</v>
      </c>
      <c r="CB36" s="106">
        <v>60.501915690447241</v>
      </c>
      <c r="CC36" s="106">
        <v>46029.857457292259</v>
      </c>
      <c r="CD36" s="106">
        <v>38.003106783245912</v>
      </c>
      <c r="CE36" s="106">
        <v>28912.763640693487</v>
      </c>
      <c r="CF36" s="106">
        <v>21.38498804896934</v>
      </c>
      <c r="CG36" s="106">
        <v>16269.698907655873</v>
      </c>
      <c r="CH36" s="106">
        <v>32.710958551153212</v>
      </c>
      <c r="CI36" s="106">
        <v>24886.49726571736</v>
      </c>
      <c r="CJ36" s="106">
        <v>29.277279183410148</v>
      </c>
      <c r="CK36" s="106">
        <v>22274.15400273844</v>
      </c>
      <c r="CL36" s="106">
        <v>26.045959159830215</v>
      </c>
      <c r="CM36" s="106">
        <v>19815.765728798826</v>
      </c>
      <c r="CN36" s="106">
        <v>40.091810058310834</v>
      </c>
      <c r="CO36" s="106">
        <v>30501.849092362881</v>
      </c>
      <c r="CP36" s="106">
        <v>41.677208398774987</v>
      </c>
      <c r="CQ36" s="106">
        <v>31708.020149788008</v>
      </c>
      <c r="CR36" s="106">
        <v>44.315051581945141</v>
      </c>
      <c r="CS36" s="106">
        <v>33714.891243543861</v>
      </c>
      <c r="CT36" s="106">
        <v>37.179350498969463</v>
      </c>
      <c r="CU36" s="106">
        <v>28286.049859615967</v>
      </c>
    </row>
    <row r="37" spans="2:99" x14ac:dyDescent="0.2">
      <c r="B37" s="105" t="s">
        <v>128</v>
      </c>
      <c r="C37" s="105" t="s">
        <v>202</v>
      </c>
      <c r="D37" s="106">
        <v>13.068715786977224</v>
      </c>
      <c r="E37" s="106">
        <v>11244.323063115204</v>
      </c>
      <c r="F37" s="106">
        <v>10.657209657191599</v>
      </c>
      <c r="G37" s="106">
        <v>9169.4631890476521</v>
      </c>
      <c r="H37" s="106">
        <v>9.6210741470951007</v>
      </c>
      <c r="I37" s="106">
        <v>8277.9721961606247</v>
      </c>
      <c r="J37" s="106">
        <v>11.05121274214879</v>
      </c>
      <c r="K37" s="106">
        <v>9508.4634433448191</v>
      </c>
      <c r="L37" s="106">
        <v>1.084166570983168</v>
      </c>
      <c r="M37" s="106">
        <v>932.81691767391771</v>
      </c>
      <c r="N37" s="106">
        <v>0.91480563918461399</v>
      </c>
      <c r="O37" s="106">
        <v>787.09877195444187</v>
      </c>
      <c r="P37" s="106">
        <v>1.0117941951714644</v>
      </c>
      <c r="Q37" s="106">
        <v>870.54772552552799</v>
      </c>
      <c r="R37" s="106">
        <v>1.1624222031744345</v>
      </c>
      <c r="S37" s="106">
        <v>1000.1480636112834</v>
      </c>
      <c r="T37" s="106">
        <v>0.10499563200671717</v>
      </c>
      <c r="U37" s="106">
        <v>90.338241778579459</v>
      </c>
      <c r="V37" s="106">
        <v>0.15564987922066015</v>
      </c>
      <c r="W37" s="106">
        <v>133.92115608145599</v>
      </c>
      <c r="X37" s="106">
        <v>0.16071129975359097</v>
      </c>
      <c r="Y37" s="106">
        <v>138.27600230798967</v>
      </c>
      <c r="Z37" s="106">
        <v>0.18016671236187712</v>
      </c>
      <c r="AA37" s="106">
        <v>155.01543931615907</v>
      </c>
      <c r="AB37" s="106">
        <v>31.327439632001276</v>
      </c>
      <c r="AC37" s="106">
        <v>26954.129059373896</v>
      </c>
      <c r="AD37" s="106">
        <v>26</v>
      </c>
      <c r="AE37" s="106">
        <v>22370.399999999998</v>
      </c>
      <c r="AF37" s="106">
        <v>25</v>
      </c>
      <c r="AG37" s="106">
        <v>21510</v>
      </c>
      <c r="AH37" s="106">
        <v>25</v>
      </c>
      <c r="AI37" s="106">
        <v>21510</v>
      </c>
      <c r="AJ37" s="106">
        <v>22</v>
      </c>
      <c r="AK37" s="106">
        <v>18928.8</v>
      </c>
      <c r="AL37" s="106">
        <v>34</v>
      </c>
      <c r="AM37" s="106">
        <v>29253.599999999999</v>
      </c>
      <c r="AN37" s="106">
        <v>21</v>
      </c>
      <c r="AO37" s="106">
        <v>18068.399999999998</v>
      </c>
      <c r="AP37" s="106">
        <v>34</v>
      </c>
      <c r="AQ37" s="106">
        <v>29253.599999999999</v>
      </c>
      <c r="AR37" s="106">
        <v>77</v>
      </c>
      <c r="AS37" s="106">
        <v>66250.8</v>
      </c>
      <c r="AT37" s="106">
        <v>49</v>
      </c>
      <c r="AU37" s="106">
        <v>42159.6</v>
      </c>
      <c r="AV37" s="106">
        <v>76</v>
      </c>
      <c r="AW37" s="106">
        <v>65390.400000000001</v>
      </c>
      <c r="AX37" s="106">
        <v>78</v>
      </c>
      <c r="AY37" s="106">
        <v>67111.199999999997</v>
      </c>
      <c r="AZ37" s="106">
        <v>3.1644428974230676</v>
      </c>
      <c r="BA37" s="106">
        <v>2722.6866689428075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22</v>
      </c>
      <c r="BI37" s="106">
        <v>18928.8</v>
      </c>
      <c r="BJ37" s="106">
        <v>31</v>
      </c>
      <c r="BK37" s="106">
        <v>26672.399999999998</v>
      </c>
      <c r="BL37" s="106">
        <v>19</v>
      </c>
      <c r="BM37" s="106">
        <v>16347.6</v>
      </c>
      <c r="BN37" s="106">
        <v>30</v>
      </c>
      <c r="BO37" s="106">
        <v>25812</v>
      </c>
      <c r="BP37" s="106">
        <v>24</v>
      </c>
      <c r="BQ37" s="106">
        <v>20649.599999999999</v>
      </c>
      <c r="BR37" s="106">
        <v>30</v>
      </c>
      <c r="BS37" s="106">
        <v>25812</v>
      </c>
      <c r="BT37" s="106">
        <v>16</v>
      </c>
      <c r="BU37" s="106">
        <v>13766.4</v>
      </c>
      <c r="BV37" s="106">
        <v>16</v>
      </c>
      <c r="BW37" s="106">
        <v>13766.4</v>
      </c>
      <c r="BX37" s="106">
        <v>20</v>
      </c>
      <c r="BY37" s="106">
        <v>17208</v>
      </c>
      <c r="BZ37" s="106">
        <v>25</v>
      </c>
      <c r="CA37" s="106">
        <v>21510</v>
      </c>
      <c r="CB37" s="106">
        <v>11.874207752330767</v>
      </c>
      <c r="CC37" s="106">
        <v>10216.568350105392</v>
      </c>
      <c r="CD37" s="106">
        <v>16.890269681442629</v>
      </c>
      <c r="CE37" s="106">
        <v>14532.388033913237</v>
      </c>
      <c r="CF37" s="106">
        <v>16.293324227786165</v>
      </c>
      <c r="CG37" s="106">
        <v>14018.776165587216</v>
      </c>
      <c r="CH37" s="106">
        <v>19.404805920175633</v>
      </c>
      <c r="CI37" s="106">
        <v>16695.895013719113</v>
      </c>
      <c r="CJ37" s="106">
        <v>17.16254296958526</v>
      </c>
      <c r="CK37" s="106">
        <v>14766.651971031157</v>
      </c>
      <c r="CL37" s="106">
        <v>20.646187138889804</v>
      </c>
      <c r="CM37" s="106">
        <v>17763.979414300786</v>
      </c>
      <c r="CN37" s="106">
        <v>26.531344891529226</v>
      </c>
      <c r="CO37" s="106">
        <v>22827.569144671746</v>
      </c>
      <c r="CP37" s="106">
        <v>19.350132470859815</v>
      </c>
      <c r="CQ37" s="106">
        <v>16648.853977927785</v>
      </c>
      <c r="CR37" s="106">
        <v>23.374972263004032</v>
      </c>
      <c r="CS37" s="106">
        <v>20111.826135088668</v>
      </c>
      <c r="CT37" s="106">
        <v>32.841759607423029</v>
      </c>
      <c r="CU37" s="106">
        <v>28257.049966226772</v>
      </c>
    </row>
    <row r="38" spans="2:99" x14ac:dyDescent="0.2">
      <c r="C38" s="105" t="s">
        <v>203</v>
      </c>
      <c r="D38" s="106">
        <v>10.637326803353554</v>
      </c>
      <c r="E38" s="106">
        <v>13211.559889765114</v>
      </c>
      <c r="F38" s="106">
        <v>9.8959803959636261</v>
      </c>
      <c r="G38" s="106">
        <v>12290.807651786823</v>
      </c>
      <c r="H38" s="106">
        <v>9.0003596859921906</v>
      </c>
      <c r="I38" s="106">
        <v>11178.446730002301</v>
      </c>
      <c r="J38" s="106">
        <v>10.314465226005538</v>
      </c>
      <c r="K38" s="106">
        <v>12810.565810698878</v>
      </c>
      <c r="L38" s="106">
        <v>0.72277771398877866</v>
      </c>
      <c r="M38" s="106">
        <v>897.68992077406313</v>
      </c>
      <c r="N38" s="106">
        <v>0.91480563918461399</v>
      </c>
      <c r="O38" s="106">
        <v>1136.1886038672906</v>
      </c>
      <c r="P38" s="106">
        <v>1.0117941951714644</v>
      </c>
      <c r="Q38" s="106">
        <v>1256.6483904029587</v>
      </c>
      <c r="R38" s="106">
        <v>1.1624222031744345</v>
      </c>
      <c r="S38" s="106">
        <v>1443.7283763426476</v>
      </c>
      <c r="T38" s="106">
        <v>0.10499563200671717</v>
      </c>
      <c r="U38" s="106">
        <v>130.40457495234273</v>
      </c>
      <c r="V38" s="106">
        <v>0.15564987922066015</v>
      </c>
      <c r="W38" s="106">
        <v>193.31714999205991</v>
      </c>
      <c r="X38" s="106">
        <v>0.16071129975359097</v>
      </c>
      <c r="Y38" s="106">
        <v>199.60343429395999</v>
      </c>
      <c r="Z38" s="106">
        <v>0.13512503427140785</v>
      </c>
      <c r="AA38" s="106">
        <v>167.82529256508855</v>
      </c>
      <c r="AB38" s="106">
        <v>28.78737695913631</v>
      </c>
      <c r="AC38" s="106">
        <v>35753.922183247298</v>
      </c>
      <c r="AD38" s="106">
        <v>26</v>
      </c>
      <c r="AE38" s="106">
        <v>32292</v>
      </c>
      <c r="AF38" s="106">
        <v>21</v>
      </c>
      <c r="AG38" s="106">
        <v>26082</v>
      </c>
      <c r="AH38" s="106">
        <v>24</v>
      </c>
      <c r="AI38" s="106">
        <v>29808</v>
      </c>
      <c r="AJ38" s="106">
        <v>24</v>
      </c>
      <c r="AK38" s="106">
        <v>29808</v>
      </c>
      <c r="AL38" s="106">
        <v>33</v>
      </c>
      <c r="AM38" s="106">
        <v>40986</v>
      </c>
      <c r="AN38" s="106">
        <v>20</v>
      </c>
      <c r="AO38" s="106">
        <v>24840</v>
      </c>
      <c r="AP38" s="106">
        <v>35</v>
      </c>
      <c r="AQ38" s="106">
        <v>43470</v>
      </c>
      <c r="AR38" s="106">
        <v>72</v>
      </c>
      <c r="AS38" s="106">
        <v>89424</v>
      </c>
      <c r="AT38" s="106">
        <v>52</v>
      </c>
      <c r="AU38" s="106">
        <v>64584</v>
      </c>
      <c r="AV38" s="106">
        <v>66</v>
      </c>
      <c r="AW38" s="106">
        <v>81972</v>
      </c>
      <c r="AX38" s="106">
        <v>63</v>
      </c>
      <c r="AY38" s="106">
        <v>78246</v>
      </c>
      <c r="AZ38" s="106">
        <v>3.3622205785120092</v>
      </c>
      <c r="BA38" s="106">
        <v>4175.8779585119155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24</v>
      </c>
      <c r="BI38" s="106">
        <v>29808</v>
      </c>
      <c r="BJ38" s="106">
        <v>24</v>
      </c>
      <c r="BK38" s="106">
        <v>29808</v>
      </c>
      <c r="BL38" s="106">
        <v>17</v>
      </c>
      <c r="BM38" s="106">
        <v>21114</v>
      </c>
      <c r="BN38" s="106">
        <v>30</v>
      </c>
      <c r="BO38" s="106">
        <v>37260</v>
      </c>
      <c r="BP38" s="106">
        <v>21</v>
      </c>
      <c r="BQ38" s="106">
        <v>26082</v>
      </c>
      <c r="BR38" s="106">
        <v>26</v>
      </c>
      <c r="BS38" s="106">
        <v>32292</v>
      </c>
      <c r="BT38" s="106">
        <v>15</v>
      </c>
      <c r="BU38" s="106">
        <v>18630</v>
      </c>
      <c r="BV38" s="106">
        <v>14</v>
      </c>
      <c r="BW38" s="106">
        <v>17388</v>
      </c>
      <c r="BX38" s="106">
        <v>23</v>
      </c>
      <c r="BY38" s="106">
        <v>28566</v>
      </c>
      <c r="BZ38" s="106">
        <v>26</v>
      </c>
      <c r="CA38" s="106">
        <v>32292</v>
      </c>
      <c r="CB38" s="106">
        <v>12.439646216727471</v>
      </c>
      <c r="CC38" s="106">
        <v>15450.040601175519</v>
      </c>
      <c r="CD38" s="106">
        <v>16.186508444715852</v>
      </c>
      <c r="CE38" s="106">
        <v>20103.643488337089</v>
      </c>
      <c r="CF38" s="106">
        <v>18.329989756259437</v>
      </c>
      <c r="CG38" s="106">
        <v>22765.847277274221</v>
      </c>
      <c r="CH38" s="106">
        <v>15.801056249285873</v>
      </c>
      <c r="CI38" s="106">
        <v>19624.911861613054</v>
      </c>
      <c r="CJ38" s="106">
        <v>16.826022519201235</v>
      </c>
      <c r="CK38" s="106">
        <v>20897.919968847935</v>
      </c>
      <c r="CL38" s="106">
        <v>21.916721732052252</v>
      </c>
      <c r="CM38" s="106">
        <v>27220.568391208897</v>
      </c>
      <c r="CN38" s="106">
        <v>24.762588565427279</v>
      </c>
      <c r="CO38" s="106">
        <v>30755.134998260681</v>
      </c>
      <c r="CP38" s="106">
        <v>20.838604199387493</v>
      </c>
      <c r="CQ38" s="106">
        <v>25881.546415639266</v>
      </c>
      <c r="CR38" s="106">
        <v>20.940079318941113</v>
      </c>
      <c r="CS38" s="106">
        <v>26007.578514124863</v>
      </c>
      <c r="CT38" s="106">
        <v>32.222103765773539</v>
      </c>
      <c r="CU38" s="106">
        <v>40019.852877090736</v>
      </c>
    </row>
    <row r="39" spans="2:99" x14ac:dyDescent="0.2">
      <c r="C39" s="105" t="s">
        <v>204</v>
      </c>
      <c r="D39" s="106">
        <v>11.549097672212431</v>
      </c>
      <c r="E39" s="106">
        <v>16436.675807092732</v>
      </c>
      <c r="F39" s="106">
        <v>9.1347511347356551</v>
      </c>
      <c r="G39" s="106">
        <v>13000.577814955785</v>
      </c>
      <c r="H39" s="106">
        <v>8.0692879943378273</v>
      </c>
      <c r="I39" s="106">
        <v>11484.210673541596</v>
      </c>
      <c r="J39" s="106">
        <v>9.2093439517906592</v>
      </c>
      <c r="K39" s="106">
        <v>13106.738312188467</v>
      </c>
      <c r="L39" s="106">
        <v>0.72277771398877866</v>
      </c>
      <c r="M39" s="106">
        <v>1028.6572425488298</v>
      </c>
      <c r="N39" s="106">
        <v>0.91480563918461399</v>
      </c>
      <c r="O39" s="106">
        <v>1301.9513856875426</v>
      </c>
      <c r="P39" s="106">
        <v>1.0117941951714644</v>
      </c>
      <c r="Q39" s="106">
        <v>1439.9854985680281</v>
      </c>
      <c r="R39" s="106">
        <v>1.1624222031744345</v>
      </c>
      <c r="S39" s="106">
        <v>1654.3592795578552</v>
      </c>
      <c r="T39" s="106">
        <v>0.10499563200671717</v>
      </c>
      <c r="U39" s="106">
        <v>149.42978347195989</v>
      </c>
      <c r="V39" s="106">
        <v>0.15564987922066015</v>
      </c>
      <c r="W39" s="106">
        <v>221.52090810684354</v>
      </c>
      <c r="X39" s="106">
        <v>0.16071129975359097</v>
      </c>
      <c r="Y39" s="106">
        <v>228.72432180931068</v>
      </c>
      <c r="Z39" s="106">
        <v>0.13512503427140785</v>
      </c>
      <c r="AA39" s="106">
        <v>192.30994877506765</v>
      </c>
      <c r="AB39" s="106">
        <v>32.174127189622936</v>
      </c>
      <c r="AC39" s="106">
        <v>45790.217816271368</v>
      </c>
      <c r="AD39" s="106">
        <v>24</v>
      </c>
      <c r="AE39" s="106">
        <v>34156.800000000003</v>
      </c>
      <c r="AF39" s="106">
        <v>22</v>
      </c>
      <c r="AG39" s="106">
        <v>31310.400000000001</v>
      </c>
      <c r="AH39" s="106">
        <v>25</v>
      </c>
      <c r="AI39" s="106">
        <v>35580</v>
      </c>
      <c r="AJ39" s="106">
        <v>21</v>
      </c>
      <c r="AK39" s="106">
        <v>29887.200000000001</v>
      </c>
      <c r="AL39" s="106">
        <v>29</v>
      </c>
      <c r="AM39" s="106">
        <v>41272.800000000003</v>
      </c>
      <c r="AN39" s="106">
        <v>18</v>
      </c>
      <c r="AO39" s="106">
        <v>25617.600000000002</v>
      </c>
      <c r="AP39" s="106">
        <v>35</v>
      </c>
      <c r="AQ39" s="106">
        <v>49812</v>
      </c>
      <c r="AR39" s="106">
        <v>73</v>
      </c>
      <c r="AS39" s="106">
        <v>103893.6</v>
      </c>
      <c r="AT39" s="106">
        <v>50</v>
      </c>
      <c r="AU39" s="106">
        <v>71160</v>
      </c>
      <c r="AV39" s="106">
        <v>64</v>
      </c>
      <c r="AW39" s="106">
        <v>91084.800000000003</v>
      </c>
      <c r="AX39" s="106">
        <v>70</v>
      </c>
      <c r="AY39" s="106">
        <v>99624</v>
      </c>
      <c r="AZ39" s="106">
        <v>2.9666652163341261</v>
      </c>
      <c r="BA39" s="106">
        <v>4222.1579358867284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20</v>
      </c>
      <c r="BI39" s="106">
        <v>28464</v>
      </c>
      <c r="BJ39" s="106">
        <v>26</v>
      </c>
      <c r="BK39" s="106">
        <v>37003.200000000004</v>
      </c>
      <c r="BL39" s="106">
        <v>18</v>
      </c>
      <c r="BM39" s="106">
        <v>25617.600000000002</v>
      </c>
      <c r="BN39" s="106">
        <v>26</v>
      </c>
      <c r="BO39" s="106">
        <v>37003.200000000004</v>
      </c>
      <c r="BP39" s="106">
        <v>20</v>
      </c>
      <c r="BQ39" s="106">
        <v>28464</v>
      </c>
      <c r="BR39" s="106">
        <v>27</v>
      </c>
      <c r="BS39" s="106">
        <v>38426.400000000001</v>
      </c>
      <c r="BT39" s="106">
        <v>15</v>
      </c>
      <c r="BU39" s="106">
        <v>21348</v>
      </c>
      <c r="BV39" s="106">
        <v>15</v>
      </c>
      <c r="BW39" s="106">
        <v>21348</v>
      </c>
      <c r="BX39" s="106">
        <v>22</v>
      </c>
      <c r="BY39" s="106">
        <v>31310.400000000001</v>
      </c>
      <c r="BZ39" s="106">
        <v>23</v>
      </c>
      <c r="CA39" s="106">
        <v>32733.600000000002</v>
      </c>
      <c r="CB39" s="106">
        <v>12.439646216727471</v>
      </c>
      <c r="CC39" s="106">
        <v>17704.104495646538</v>
      </c>
      <c r="CD39" s="106">
        <v>16.186508444715852</v>
      </c>
      <c r="CE39" s="106">
        <v>23036.638818519601</v>
      </c>
      <c r="CF39" s="106">
        <v>14.935547208803984</v>
      </c>
      <c r="CG39" s="106">
        <v>21256.270787569829</v>
      </c>
      <c r="CH39" s="106">
        <v>16.909902301867337</v>
      </c>
      <c r="CI39" s="106">
        <v>24066.172956017595</v>
      </c>
      <c r="CJ39" s="106">
        <v>15.816461168049161</v>
      </c>
      <c r="CK39" s="106">
        <v>22509.987534367567</v>
      </c>
      <c r="CL39" s="106">
        <v>19.693286194017968</v>
      </c>
      <c r="CM39" s="106">
        <v>28027.484911326374</v>
      </c>
      <c r="CN39" s="106">
        <v>25.352174007461262</v>
      </c>
      <c r="CO39" s="106">
        <v>36081.214047418871</v>
      </c>
      <c r="CP39" s="106">
        <v>19.846289713702376</v>
      </c>
      <c r="CQ39" s="106">
        <v>28245.239520541221</v>
      </c>
      <c r="CR39" s="106">
        <v>18.505186374878193</v>
      </c>
      <c r="CS39" s="106">
        <v>26336.581248726645</v>
      </c>
      <c r="CT39" s="106">
        <v>30.363136240825067</v>
      </c>
      <c r="CU39" s="106">
        <v>43212.81549794224</v>
      </c>
    </row>
    <row r="40" spans="2:99" x14ac:dyDescent="0.2">
      <c r="C40" s="105" t="s">
        <v>205</v>
      </c>
      <c r="D40" s="106">
        <v>13.372639409930184</v>
      </c>
      <c r="E40" s="106">
        <v>9692.4890443173972</v>
      </c>
      <c r="F40" s="106">
        <v>10.276595026577613</v>
      </c>
      <c r="G40" s="106">
        <v>7448.4760752634538</v>
      </c>
      <c r="H40" s="106">
        <v>9.9314313776465557</v>
      </c>
      <c r="I40" s="106">
        <v>7198.3014625182232</v>
      </c>
      <c r="J40" s="106">
        <v>9.5777177098622843</v>
      </c>
      <c r="K40" s="106">
        <v>6941.9297961081829</v>
      </c>
      <c r="L40" s="106">
        <v>0.72277771398877866</v>
      </c>
      <c r="M40" s="106">
        <v>523.8692870990667</v>
      </c>
      <c r="N40" s="106">
        <v>0.91480563918461399</v>
      </c>
      <c r="O40" s="106">
        <v>663.05112728100823</v>
      </c>
      <c r="P40" s="106">
        <v>1.0117941951714644</v>
      </c>
      <c r="Q40" s="106">
        <v>733.34843266027735</v>
      </c>
      <c r="R40" s="106">
        <v>1.1624222031744345</v>
      </c>
      <c r="S40" s="106">
        <v>842.52361286082999</v>
      </c>
      <c r="T40" s="106">
        <v>0.10499563200671717</v>
      </c>
      <c r="U40" s="106">
        <v>76.100834078468608</v>
      </c>
      <c r="V40" s="106">
        <v>0.15564987922066015</v>
      </c>
      <c r="W40" s="106">
        <v>112.81503245913447</v>
      </c>
      <c r="X40" s="106">
        <v>0.21428173300478795</v>
      </c>
      <c r="Y40" s="106">
        <v>155.31140008187029</v>
      </c>
      <c r="Z40" s="106">
        <v>0.13512503427140785</v>
      </c>
      <c r="AA40" s="106">
        <v>97.9386248399164</v>
      </c>
      <c r="AB40" s="106">
        <v>36.407564977731212</v>
      </c>
      <c r="AC40" s="106">
        <v>26388.203095859582</v>
      </c>
      <c r="AD40" s="106">
        <v>28</v>
      </c>
      <c r="AE40" s="106">
        <v>20294.399999999998</v>
      </c>
      <c r="AF40" s="106">
        <v>26</v>
      </c>
      <c r="AG40" s="106">
        <v>18844.8</v>
      </c>
      <c r="AH40" s="106">
        <v>27</v>
      </c>
      <c r="AI40" s="106">
        <v>19569.599999999999</v>
      </c>
      <c r="AJ40" s="106">
        <v>23</v>
      </c>
      <c r="AK40" s="106">
        <v>16670.399999999998</v>
      </c>
      <c r="AL40" s="106">
        <v>32</v>
      </c>
      <c r="AM40" s="106">
        <v>23193.599999999999</v>
      </c>
      <c r="AN40" s="106">
        <v>21</v>
      </c>
      <c r="AO40" s="106">
        <v>15220.8</v>
      </c>
      <c r="AP40" s="106">
        <v>38</v>
      </c>
      <c r="AQ40" s="106">
        <v>27542.399999999998</v>
      </c>
      <c r="AR40" s="106">
        <v>83</v>
      </c>
      <c r="AS40" s="106">
        <v>60158.399999999994</v>
      </c>
      <c r="AT40" s="106">
        <v>60</v>
      </c>
      <c r="AU40" s="106">
        <v>43488</v>
      </c>
      <c r="AV40" s="106">
        <v>73</v>
      </c>
      <c r="AW40" s="106">
        <v>52910.399999999994</v>
      </c>
      <c r="AX40" s="106">
        <v>81</v>
      </c>
      <c r="AY40" s="106">
        <v>58708.799999999996</v>
      </c>
      <c r="AZ40" s="106">
        <v>3.3622205785120092</v>
      </c>
      <c r="BA40" s="106">
        <v>2436.937475305504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22</v>
      </c>
      <c r="BI40" s="106">
        <v>15945.599999999999</v>
      </c>
      <c r="BJ40" s="106">
        <v>31</v>
      </c>
      <c r="BK40" s="106">
        <v>22468.799999999999</v>
      </c>
      <c r="BL40" s="106">
        <v>18</v>
      </c>
      <c r="BM40" s="106">
        <v>13046.4</v>
      </c>
      <c r="BN40" s="106">
        <v>28</v>
      </c>
      <c r="BO40" s="106">
        <v>20294.399999999998</v>
      </c>
      <c r="BP40" s="106">
        <v>22</v>
      </c>
      <c r="BQ40" s="106">
        <v>15945.599999999999</v>
      </c>
      <c r="BR40" s="106">
        <v>32</v>
      </c>
      <c r="BS40" s="106">
        <v>23193.599999999999</v>
      </c>
      <c r="BT40" s="106">
        <v>17</v>
      </c>
      <c r="BU40" s="106">
        <v>12321.599999999999</v>
      </c>
      <c r="BV40" s="106">
        <v>15</v>
      </c>
      <c r="BW40" s="106">
        <v>10872</v>
      </c>
      <c r="BX40" s="106">
        <v>23</v>
      </c>
      <c r="BY40" s="106">
        <v>16670.399999999998</v>
      </c>
      <c r="BZ40" s="106">
        <v>25</v>
      </c>
      <c r="CA40" s="106">
        <v>18120</v>
      </c>
      <c r="CB40" s="106">
        <v>13.005084681124174</v>
      </c>
      <c r="CC40" s="106">
        <v>9426.0853768788002</v>
      </c>
      <c r="CD40" s="106">
        <v>18.297792154896179</v>
      </c>
      <c r="CE40" s="106">
        <v>13262.239753868749</v>
      </c>
      <c r="CF40" s="106">
        <v>16.972212737277257</v>
      </c>
      <c r="CG40" s="106">
        <v>12301.459791978556</v>
      </c>
      <c r="CH40" s="106">
        <v>20.236440459611732</v>
      </c>
      <c r="CI40" s="106">
        <v>14667.372045126582</v>
      </c>
      <c r="CJ40" s="106">
        <v>18.172104320737333</v>
      </c>
      <c r="CK40" s="106">
        <v>13171.141211670418</v>
      </c>
      <c r="CL40" s="106">
        <v>23.187256325214701</v>
      </c>
      <c r="CM40" s="106">
        <v>16806.123384515613</v>
      </c>
      <c r="CN40" s="106">
        <v>30.068857543733127</v>
      </c>
      <c r="CO40" s="106">
        <v>21793.907947697768</v>
      </c>
      <c r="CP40" s="106">
        <v>20.342446956544933</v>
      </c>
      <c r="CQ40" s="106">
        <v>14744.205554103766</v>
      </c>
      <c r="CR40" s="106">
        <v>23.861950851816616</v>
      </c>
      <c r="CS40" s="106">
        <v>17295.141977396681</v>
      </c>
      <c r="CT40" s="106">
        <v>30.982792082474557</v>
      </c>
      <c r="CU40" s="106">
        <v>22456.327701377559</v>
      </c>
    </row>
    <row r="41" spans="2:99" x14ac:dyDescent="0.2">
      <c r="C41" s="105" t="s">
        <v>206</v>
      </c>
      <c r="D41" s="106">
        <v>11.853021295165389</v>
      </c>
      <c r="E41" s="106">
        <v>7822.9940548091572</v>
      </c>
      <c r="F41" s="106">
        <v>9.8959803959636261</v>
      </c>
      <c r="G41" s="106">
        <v>6531.3470613359932</v>
      </c>
      <c r="H41" s="106">
        <v>9.9314313776465557</v>
      </c>
      <c r="I41" s="106">
        <v>6554.7447092467264</v>
      </c>
      <c r="J41" s="106">
        <v>10.314465226005538</v>
      </c>
      <c r="K41" s="106">
        <v>6807.5470491636552</v>
      </c>
      <c r="L41" s="106">
        <v>1.084166570983168</v>
      </c>
      <c r="M41" s="106">
        <v>715.54993684889087</v>
      </c>
      <c r="N41" s="106">
        <v>0.91480563918461399</v>
      </c>
      <c r="O41" s="106">
        <v>603.77172186184521</v>
      </c>
      <c r="P41" s="106">
        <v>1.0117941951714644</v>
      </c>
      <c r="Q41" s="106">
        <v>667.7841688131665</v>
      </c>
      <c r="R41" s="106">
        <v>1.1624222031744345</v>
      </c>
      <c r="S41" s="106">
        <v>767.1986540951267</v>
      </c>
      <c r="T41" s="106">
        <v>0.10499563200671717</v>
      </c>
      <c r="U41" s="106">
        <v>69.297117124433328</v>
      </c>
      <c r="V41" s="106">
        <v>0.15564987922066015</v>
      </c>
      <c r="W41" s="106">
        <v>102.7289202856357</v>
      </c>
      <c r="X41" s="106">
        <v>0.16071129975359097</v>
      </c>
      <c r="Y41" s="106">
        <v>106.06945783737004</v>
      </c>
      <c r="Z41" s="106">
        <v>0.18016671236187712</v>
      </c>
      <c r="AA41" s="106">
        <v>118.91003015883889</v>
      </c>
      <c r="AB41" s="106">
        <v>33.020814747244593</v>
      </c>
      <c r="AC41" s="106">
        <v>21793.737733181431</v>
      </c>
      <c r="AD41" s="106">
        <v>28</v>
      </c>
      <c r="AE41" s="106">
        <v>18480</v>
      </c>
      <c r="AF41" s="106">
        <v>25</v>
      </c>
      <c r="AG41" s="106">
        <v>16500</v>
      </c>
      <c r="AH41" s="106">
        <v>30</v>
      </c>
      <c r="AI41" s="106">
        <v>19800</v>
      </c>
      <c r="AJ41" s="106">
        <v>23</v>
      </c>
      <c r="AK41" s="106">
        <v>15180</v>
      </c>
      <c r="AL41" s="106">
        <v>36</v>
      </c>
      <c r="AM41" s="106">
        <v>23760</v>
      </c>
      <c r="AN41" s="106">
        <v>22</v>
      </c>
      <c r="AO41" s="106">
        <v>14520</v>
      </c>
      <c r="AP41" s="106">
        <v>41</v>
      </c>
      <c r="AQ41" s="106">
        <v>27060</v>
      </c>
      <c r="AR41" s="106">
        <v>76</v>
      </c>
      <c r="AS41" s="106">
        <v>50160</v>
      </c>
      <c r="AT41" s="106">
        <v>54</v>
      </c>
      <c r="AU41" s="106">
        <v>35640</v>
      </c>
      <c r="AV41" s="106">
        <v>84</v>
      </c>
      <c r="AW41" s="106">
        <v>55440</v>
      </c>
      <c r="AX41" s="106">
        <v>77</v>
      </c>
      <c r="AY41" s="106">
        <v>50820</v>
      </c>
      <c r="AZ41" s="106">
        <v>3.5599982596009507</v>
      </c>
      <c r="BA41" s="106">
        <v>2349.5988513366274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25</v>
      </c>
      <c r="BI41" s="106">
        <v>16500</v>
      </c>
      <c r="BJ41" s="106">
        <v>27</v>
      </c>
      <c r="BK41" s="106">
        <v>17820</v>
      </c>
      <c r="BL41" s="106">
        <v>21</v>
      </c>
      <c r="BM41" s="106">
        <v>13860</v>
      </c>
      <c r="BN41" s="106">
        <v>30</v>
      </c>
      <c r="BO41" s="106">
        <v>19800</v>
      </c>
      <c r="BP41" s="106">
        <v>23</v>
      </c>
      <c r="BQ41" s="106">
        <v>15180</v>
      </c>
      <c r="BR41" s="106">
        <v>31</v>
      </c>
      <c r="BS41" s="106">
        <v>20460</v>
      </c>
      <c r="BT41" s="106">
        <v>19</v>
      </c>
      <c r="BU41" s="106">
        <v>12540</v>
      </c>
      <c r="BV41" s="106">
        <v>18</v>
      </c>
      <c r="BW41" s="106">
        <v>11880</v>
      </c>
      <c r="BX41" s="106">
        <v>23</v>
      </c>
      <c r="BY41" s="106">
        <v>15180</v>
      </c>
      <c r="BZ41" s="106">
        <v>26</v>
      </c>
      <c r="CA41" s="106">
        <v>17160</v>
      </c>
      <c r="CB41" s="106">
        <v>13.005084681124174</v>
      </c>
      <c r="CC41" s="106">
        <v>8583.3558895419555</v>
      </c>
      <c r="CD41" s="106">
        <v>16.890269681442629</v>
      </c>
      <c r="CE41" s="106">
        <v>11147.577989752135</v>
      </c>
      <c r="CF41" s="106">
        <v>20.366655284732705</v>
      </c>
      <c r="CG41" s="106">
        <v>13441.992487923586</v>
      </c>
      <c r="CH41" s="106">
        <v>20.790863485902467</v>
      </c>
      <c r="CI41" s="106">
        <v>13721.969900695627</v>
      </c>
      <c r="CJ41" s="106">
        <v>19.854706572657459</v>
      </c>
      <c r="CK41" s="106">
        <v>13104.106337953923</v>
      </c>
      <c r="CL41" s="106">
        <v>24.14015727008654</v>
      </c>
      <c r="CM41" s="106">
        <v>15932.503798257116</v>
      </c>
      <c r="CN41" s="106">
        <v>32.427199311869053</v>
      </c>
      <c r="CO41" s="106">
        <v>21401.951545833574</v>
      </c>
      <c r="CP41" s="106">
        <v>20.838604199387493</v>
      </c>
      <c r="CQ41" s="106">
        <v>13753.478771595746</v>
      </c>
      <c r="CR41" s="106">
        <v>21.914036496566279</v>
      </c>
      <c r="CS41" s="106">
        <v>14463.264087733744</v>
      </c>
      <c r="CT41" s="106">
        <v>30.982792082474557</v>
      </c>
      <c r="CU41" s="106">
        <v>20448.642774433207</v>
      </c>
    </row>
    <row r="42" spans="2:99" x14ac:dyDescent="0.2">
      <c r="C42" s="105" t="s">
        <v>207</v>
      </c>
      <c r="D42" s="106">
        <v>12.156944918118349</v>
      </c>
      <c r="E42" s="106">
        <v>10284.775400728124</v>
      </c>
      <c r="F42" s="106">
        <v>10.657209657191599</v>
      </c>
      <c r="G42" s="106">
        <v>9015.9993699840925</v>
      </c>
      <c r="H42" s="106">
        <v>8.3796452248892805</v>
      </c>
      <c r="I42" s="106">
        <v>7089.1798602563313</v>
      </c>
      <c r="J42" s="106">
        <v>9.9460914679339112</v>
      </c>
      <c r="K42" s="106">
        <v>8414.3933818720889</v>
      </c>
      <c r="L42" s="106">
        <v>1.084166570983168</v>
      </c>
      <c r="M42" s="106">
        <v>917.20491905176016</v>
      </c>
      <c r="N42" s="106">
        <v>1.2197408522461519</v>
      </c>
      <c r="O42" s="106">
        <v>1031.9007610002445</v>
      </c>
      <c r="P42" s="106">
        <v>1.0117941951714644</v>
      </c>
      <c r="Q42" s="106">
        <v>855.97788911505893</v>
      </c>
      <c r="R42" s="106">
        <v>1.1624222031744345</v>
      </c>
      <c r="S42" s="106">
        <v>983.40918388557157</v>
      </c>
      <c r="T42" s="106">
        <v>0.10499563200671717</v>
      </c>
      <c r="U42" s="106">
        <v>88.826304677682728</v>
      </c>
      <c r="V42" s="106">
        <v>0.15564987922066015</v>
      </c>
      <c r="W42" s="106">
        <v>131.67979782067849</v>
      </c>
      <c r="X42" s="106">
        <v>0.16071129975359097</v>
      </c>
      <c r="Y42" s="106">
        <v>135.96175959153797</v>
      </c>
      <c r="Z42" s="106">
        <v>0.13512503427140785</v>
      </c>
      <c r="AA42" s="106">
        <v>114.31577899361103</v>
      </c>
      <c r="AB42" s="106">
        <v>35.560877420109563</v>
      </c>
      <c r="AC42" s="106">
        <v>30084.502297412691</v>
      </c>
      <c r="AD42" s="106">
        <v>28</v>
      </c>
      <c r="AE42" s="106">
        <v>23688</v>
      </c>
      <c r="AF42" s="106">
        <v>26</v>
      </c>
      <c r="AG42" s="106">
        <v>21996</v>
      </c>
      <c r="AH42" s="106">
        <v>26</v>
      </c>
      <c r="AI42" s="106">
        <v>21996</v>
      </c>
      <c r="AJ42" s="106">
        <v>23</v>
      </c>
      <c r="AK42" s="106">
        <v>19458</v>
      </c>
      <c r="AL42" s="106">
        <v>35</v>
      </c>
      <c r="AM42" s="106">
        <v>29610</v>
      </c>
      <c r="AN42" s="106">
        <v>22</v>
      </c>
      <c r="AO42" s="106">
        <v>18612</v>
      </c>
      <c r="AP42" s="106">
        <v>40</v>
      </c>
      <c r="AQ42" s="106">
        <v>33840</v>
      </c>
      <c r="AR42" s="106">
        <v>70</v>
      </c>
      <c r="AS42" s="106">
        <v>59220</v>
      </c>
      <c r="AT42" s="106">
        <v>54</v>
      </c>
      <c r="AU42" s="106">
        <v>45684</v>
      </c>
      <c r="AV42" s="106">
        <v>76</v>
      </c>
      <c r="AW42" s="106">
        <v>64296</v>
      </c>
      <c r="AX42" s="106">
        <v>67</v>
      </c>
      <c r="AY42" s="106">
        <v>56682</v>
      </c>
      <c r="AZ42" s="106">
        <v>3.3622205785120092</v>
      </c>
      <c r="BA42" s="106">
        <v>2844.43860942116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22</v>
      </c>
      <c r="BI42" s="106">
        <v>18612</v>
      </c>
      <c r="BJ42" s="106">
        <v>27</v>
      </c>
      <c r="BK42" s="106">
        <v>22842</v>
      </c>
      <c r="BL42" s="106">
        <v>18</v>
      </c>
      <c r="BM42" s="106">
        <v>15228</v>
      </c>
      <c r="BN42" s="106">
        <v>30</v>
      </c>
      <c r="BO42" s="106">
        <v>25380</v>
      </c>
      <c r="BP42" s="106">
        <v>21</v>
      </c>
      <c r="BQ42" s="106">
        <v>17766</v>
      </c>
      <c r="BR42" s="106">
        <v>29</v>
      </c>
      <c r="BS42" s="106">
        <v>24534</v>
      </c>
      <c r="BT42" s="106">
        <v>18</v>
      </c>
      <c r="BU42" s="106">
        <v>15228</v>
      </c>
      <c r="BV42" s="106">
        <v>14</v>
      </c>
      <c r="BW42" s="106">
        <v>11844</v>
      </c>
      <c r="BX42" s="106">
        <v>23</v>
      </c>
      <c r="BY42" s="106">
        <v>19458</v>
      </c>
      <c r="BZ42" s="106">
        <v>28</v>
      </c>
      <c r="CA42" s="106">
        <v>23688</v>
      </c>
      <c r="CB42" s="106">
        <v>11.874207752330767</v>
      </c>
      <c r="CC42" s="106">
        <v>10045.579758471829</v>
      </c>
      <c r="CD42" s="106">
        <v>17.594030918169402</v>
      </c>
      <c r="CE42" s="106">
        <v>14884.550156771315</v>
      </c>
      <c r="CF42" s="106">
        <v>17.651101246768345</v>
      </c>
      <c r="CG42" s="106">
        <v>14932.83165476602</v>
      </c>
      <c r="CH42" s="106">
        <v>20.513651972757096</v>
      </c>
      <c r="CI42" s="106">
        <v>17354.549568952501</v>
      </c>
      <c r="CJ42" s="106">
        <v>17.499063419969286</v>
      </c>
      <c r="CK42" s="106">
        <v>14804.207653294015</v>
      </c>
      <c r="CL42" s="106">
        <v>22.551989028633475</v>
      </c>
      <c r="CM42" s="106">
        <v>19078.982718223921</v>
      </c>
      <c r="CN42" s="106">
        <v>27.120930333563209</v>
      </c>
      <c r="CO42" s="106">
        <v>22944.307062194475</v>
      </c>
      <c r="CP42" s="106">
        <v>19.350132470859815</v>
      </c>
      <c r="CQ42" s="106">
        <v>16370.212070347405</v>
      </c>
      <c r="CR42" s="106">
        <v>21.427057907753696</v>
      </c>
      <c r="CS42" s="106">
        <v>18127.290989959627</v>
      </c>
      <c r="CT42" s="106">
        <v>32.222103765773539</v>
      </c>
      <c r="CU42" s="106">
        <v>27259.899785844413</v>
      </c>
    </row>
    <row r="43" spans="2:99" x14ac:dyDescent="0.2">
      <c r="C43" s="105" t="s">
        <v>208</v>
      </c>
      <c r="D43" s="106">
        <v>10.637326803353554</v>
      </c>
      <c r="E43" s="106">
        <v>10875.602923748673</v>
      </c>
      <c r="F43" s="106">
        <v>9.5153657653496424</v>
      </c>
      <c r="G43" s="106">
        <v>9728.5099584934742</v>
      </c>
      <c r="H43" s="106">
        <v>9.0003596859921906</v>
      </c>
      <c r="I43" s="106">
        <v>9201.9677429584153</v>
      </c>
      <c r="J43" s="106">
        <v>10.314465226005538</v>
      </c>
      <c r="K43" s="106">
        <v>10545.509247068061</v>
      </c>
      <c r="L43" s="106">
        <v>0.72277771398877866</v>
      </c>
      <c r="M43" s="106">
        <v>738.96793478212726</v>
      </c>
      <c r="N43" s="106">
        <v>0.91480563918461399</v>
      </c>
      <c r="O43" s="106">
        <v>935.29728550234938</v>
      </c>
      <c r="P43" s="106">
        <v>1.0117941951714644</v>
      </c>
      <c r="Q43" s="106">
        <v>1034.4583851433051</v>
      </c>
      <c r="R43" s="106">
        <v>1.1624222031744345</v>
      </c>
      <c r="S43" s="106">
        <v>1188.4604605255417</v>
      </c>
      <c r="T43" s="106">
        <v>0.10499563200671717</v>
      </c>
      <c r="U43" s="106">
        <v>107.34753416366763</v>
      </c>
      <c r="V43" s="106">
        <v>0.15564987922066015</v>
      </c>
      <c r="W43" s="106">
        <v>159.13643651520294</v>
      </c>
      <c r="X43" s="106">
        <v>0.16071129975359097</v>
      </c>
      <c r="Y43" s="106">
        <v>164.31123286807141</v>
      </c>
      <c r="Z43" s="106">
        <v>0.13512503427140785</v>
      </c>
      <c r="AA43" s="106">
        <v>138.15183503908739</v>
      </c>
      <c r="AB43" s="106">
        <v>33.867502304866242</v>
      </c>
      <c r="AC43" s="106">
        <v>34626.134356495248</v>
      </c>
      <c r="AD43" s="106">
        <v>24</v>
      </c>
      <c r="AE43" s="106">
        <v>24537.599999999999</v>
      </c>
      <c r="AF43" s="106">
        <v>23</v>
      </c>
      <c r="AG43" s="106">
        <v>23515.200000000001</v>
      </c>
      <c r="AH43" s="106">
        <v>26</v>
      </c>
      <c r="AI43" s="106">
        <v>26582.399999999998</v>
      </c>
      <c r="AJ43" s="106">
        <v>22</v>
      </c>
      <c r="AK43" s="106">
        <v>22492.799999999999</v>
      </c>
      <c r="AL43" s="106">
        <v>34</v>
      </c>
      <c r="AM43" s="106">
        <v>34761.599999999999</v>
      </c>
      <c r="AN43" s="106">
        <v>22</v>
      </c>
      <c r="AO43" s="106">
        <v>22492.799999999999</v>
      </c>
      <c r="AP43" s="106">
        <v>37</v>
      </c>
      <c r="AQ43" s="106">
        <v>37828.799999999996</v>
      </c>
      <c r="AR43" s="106">
        <v>73</v>
      </c>
      <c r="AS43" s="106">
        <v>74635.199999999997</v>
      </c>
      <c r="AT43" s="106">
        <v>51</v>
      </c>
      <c r="AU43" s="106">
        <v>52142.400000000001</v>
      </c>
      <c r="AV43" s="106">
        <v>68</v>
      </c>
      <c r="AW43" s="106">
        <v>69523.199999999997</v>
      </c>
      <c r="AX43" s="106">
        <v>64</v>
      </c>
      <c r="AY43" s="106">
        <v>65433.599999999999</v>
      </c>
      <c r="AZ43" s="106">
        <v>3.1644428974230676</v>
      </c>
      <c r="BA43" s="106">
        <v>3235.3264183253441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23</v>
      </c>
      <c r="BI43" s="106">
        <v>23515.200000000001</v>
      </c>
      <c r="BJ43" s="106">
        <v>28</v>
      </c>
      <c r="BK43" s="106">
        <v>28627.200000000001</v>
      </c>
      <c r="BL43" s="106">
        <v>17</v>
      </c>
      <c r="BM43" s="106">
        <v>17380.8</v>
      </c>
      <c r="BN43" s="106">
        <v>31</v>
      </c>
      <c r="BO43" s="106">
        <v>31694.399999999998</v>
      </c>
      <c r="BP43" s="106">
        <v>22</v>
      </c>
      <c r="BQ43" s="106">
        <v>22492.799999999999</v>
      </c>
      <c r="BR43" s="106">
        <v>29</v>
      </c>
      <c r="BS43" s="106">
        <v>29649.599999999999</v>
      </c>
      <c r="BT43" s="106">
        <v>18</v>
      </c>
      <c r="BU43" s="106">
        <v>18403.2</v>
      </c>
      <c r="BV43" s="106">
        <v>15</v>
      </c>
      <c r="BW43" s="106">
        <v>15336</v>
      </c>
      <c r="BX43" s="106">
        <v>20</v>
      </c>
      <c r="BY43" s="106">
        <v>20448</v>
      </c>
      <c r="BZ43" s="106">
        <v>26</v>
      </c>
      <c r="CA43" s="106">
        <v>26582.399999999998</v>
      </c>
      <c r="CB43" s="106">
        <v>13.570523145520875</v>
      </c>
      <c r="CC43" s="106">
        <v>13874.502863980542</v>
      </c>
      <c r="CD43" s="106">
        <v>16.186508444715852</v>
      </c>
      <c r="CE43" s="106">
        <v>16549.086233877486</v>
      </c>
      <c r="CF43" s="106">
        <v>15.614435718295075</v>
      </c>
      <c r="CG43" s="106">
        <v>15964.199078384885</v>
      </c>
      <c r="CH43" s="106">
        <v>16.078267762431238</v>
      </c>
      <c r="CI43" s="106">
        <v>16438.420960309697</v>
      </c>
      <c r="CJ43" s="106">
        <v>16.152981618433188</v>
      </c>
      <c r="CK43" s="106">
        <v>16514.80840668609</v>
      </c>
      <c r="CL43" s="106">
        <v>21.916721732052252</v>
      </c>
      <c r="CM43" s="106">
        <v>22407.656298850223</v>
      </c>
      <c r="CN43" s="106">
        <v>27.120930333563209</v>
      </c>
      <c r="CO43" s="106">
        <v>27728.439173035025</v>
      </c>
      <c r="CP43" s="106">
        <v>21.830918685072614</v>
      </c>
      <c r="CQ43" s="106">
        <v>22319.93126361824</v>
      </c>
      <c r="CR43" s="106">
        <v>20.453100730128529</v>
      </c>
      <c r="CS43" s="106">
        <v>20911.250186483408</v>
      </c>
      <c r="CT43" s="106">
        <v>32.222103765773539</v>
      </c>
      <c r="CU43" s="106">
        <v>32943.878890126864</v>
      </c>
    </row>
    <row r="44" spans="2:99" x14ac:dyDescent="0.2">
      <c r="C44" s="105" t="s">
        <v>209</v>
      </c>
      <c r="D44" s="106">
        <v>12.764792164024266</v>
      </c>
      <c r="E44" s="106">
        <v>13050.72350849841</v>
      </c>
      <c r="F44" s="106">
        <v>11.41843891841957</v>
      </c>
      <c r="G44" s="106">
        <v>11674.211950192168</v>
      </c>
      <c r="H44" s="106">
        <v>9.3107169165436456</v>
      </c>
      <c r="I44" s="106">
        <v>9519.2769754742239</v>
      </c>
      <c r="J44" s="106">
        <v>9.5777177098622843</v>
      </c>
      <c r="K44" s="106">
        <v>9792.2585865631991</v>
      </c>
      <c r="L44" s="106">
        <v>0.72277771398877866</v>
      </c>
      <c r="M44" s="106">
        <v>738.96793478212726</v>
      </c>
      <c r="N44" s="106">
        <v>0.91480563918461399</v>
      </c>
      <c r="O44" s="106">
        <v>935.29728550234938</v>
      </c>
      <c r="P44" s="106">
        <v>1.0117941951714644</v>
      </c>
      <c r="Q44" s="106">
        <v>1034.4583851433051</v>
      </c>
      <c r="R44" s="106">
        <v>1.1624222031744345</v>
      </c>
      <c r="S44" s="106">
        <v>1188.4604605255417</v>
      </c>
      <c r="T44" s="106">
        <v>0.10499563200671717</v>
      </c>
      <c r="U44" s="106">
        <v>107.34753416366763</v>
      </c>
      <c r="V44" s="106">
        <v>0.15564987922066015</v>
      </c>
      <c r="W44" s="106">
        <v>159.13643651520294</v>
      </c>
      <c r="X44" s="106">
        <v>0.16071129975359097</v>
      </c>
      <c r="Y44" s="106">
        <v>164.31123286807141</v>
      </c>
      <c r="Z44" s="106">
        <v>0.13512503427140785</v>
      </c>
      <c r="AA44" s="106">
        <v>138.15183503908739</v>
      </c>
      <c r="AB44" s="106">
        <v>31.327439632001276</v>
      </c>
      <c r="AC44" s="106">
        <v>32029.174279758103</v>
      </c>
      <c r="AD44" s="106">
        <v>27</v>
      </c>
      <c r="AE44" s="106">
        <v>27604.799999999999</v>
      </c>
      <c r="AF44" s="106">
        <v>24</v>
      </c>
      <c r="AG44" s="106">
        <v>24537.599999999999</v>
      </c>
      <c r="AH44" s="106">
        <v>25</v>
      </c>
      <c r="AI44" s="106">
        <v>25560</v>
      </c>
      <c r="AJ44" s="106">
        <v>24</v>
      </c>
      <c r="AK44" s="106">
        <v>24537.599999999999</v>
      </c>
      <c r="AL44" s="106">
        <v>34</v>
      </c>
      <c r="AM44" s="106">
        <v>34761.599999999999</v>
      </c>
      <c r="AN44" s="106">
        <v>20</v>
      </c>
      <c r="AO44" s="106">
        <v>20448</v>
      </c>
      <c r="AP44" s="106">
        <v>38</v>
      </c>
      <c r="AQ44" s="106">
        <v>38851.199999999997</v>
      </c>
      <c r="AR44" s="106">
        <v>68</v>
      </c>
      <c r="AS44" s="106">
        <v>69523.199999999997</v>
      </c>
      <c r="AT44" s="106">
        <v>49</v>
      </c>
      <c r="AU44" s="106">
        <v>50097.599999999999</v>
      </c>
      <c r="AV44" s="106">
        <v>74</v>
      </c>
      <c r="AW44" s="106">
        <v>75657.599999999991</v>
      </c>
      <c r="AX44" s="106">
        <v>74</v>
      </c>
      <c r="AY44" s="106">
        <v>75657.599999999991</v>
      </c>
      <c r="AZ44" s="106">
        <v>3.5599982596009507</v>
      </c>
      <c r="BA44" s="106">
        <v>3639.7422206160118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24</v>
      </c>
      <c r="BI44" s="106">
        <v>24537.599999999999</v>
      </c>
      <c r="BJ44" s="106">
        <v>28</v>
      </c>
      <c r="BK44" s="106">
        <v>28627.200000000001</v>
      </c>
      <c r="BL44" s="106">
        <v>19</v>
      </c>
      <c r="BM44" s="106">
        <v>19425.599999999999</v>
      </c>
      <c r="BN44" s="106">
        <v>30</v>
      </c>
      <c r="BO44" s="106">
        <v>30672</v>
      </c>
      <c r="BP44" s="106">
        <v>23</v>
      </c>
      <c r="BQ44" s="106">
        <v>23515.200000000001</v>
      </c>
      <c r="BR44" s="106">
        <v>27</v>
      </c>
      <c r="BS44" s="106">
        <v>27604.799999999999</v>
      </c>
      <c r="BT44" s="106">
        <v>18</v>
      </c>
      <c r="BU44" s="106">
        <v>18403.2</v>
      </c>
      <c r="BV44" s="106">
        <v>15</v>
      </c>
      <c r="BW44" s="106">
        <v>15336</v>
      </c>
      <c r="BX44" s="106">
        <v>23</v>
      </c>
      <c r="BY44" s="106">
        <v>23515.200000000001</v>
      </c>
      <c r="BZ44" s="106">
        <v>25</v>
      </c>
      <c r="CA44" s="106">
        <v>25560</v>
      </c>
      <c r="CB44" s="106">
        <v>11.308769287934064</v>
      </c>
      <c r="CC44" s="106">
        <v>11562.085719983786</v>
      </c>
      <c r="CD44" s="106">
        <v>18.297792154896179</v>
      </c>
      <c r="CE44" s="106">
        <v>18707.662699165852</v>
      </c>
      <c r="CF44" s="106">
        <v>18.329989756259437</v>
      </c>
      <c r="CG44" s="106">
        <v>18740.581526799648</v>
      </c>
      <c r="CH44" s="106">
        <v>18.850382893884902</v>
      </c>
      <c r="CI44" s="106">
        <v>19272.631470707922</v>
      </c>
      <c r="CJ44" s="106">
        <v>18.172104320737333</v>
      </c>
      <c r="CK44" s="106">
        <v>18579.159457521848</v>
      </c>
      <c r="CL44" s="106">
        <v>19.375652545727355</v>
      </c>
      <c r="CM44" s="106">
        <v>19809.667162751648</v>
      </c>
      <c r="CN44" s="106">
        <v>29.479272101699145</v>
      </c>
      <c r="CO44" s="106">
        <v>30139.607796777203</v>
      </c>
      <c r="CP44" s="106">
        <v>22.327075927915171</v>
      </c>
      <c r="CQ44" s="106">
        <v>22827.202428700472</v>
      </c>
      <c r="CR44" s="106">
        <v>18.992164963690776</v>
      </c>
      <c r="CS44" s="106">
        <v>19417.58945887745</v>
      </c>
      <c r="CT44" s="106">
        <v>31.60244792412405</v>
      </c>
      <c r="CU44" s="106">
        <v>32310.342757624428</v>
      </c>
    </row>
    <row r="45" spans="2:99" x14ac:dyDescent="0.2">
      <c r="C45" s="105" t="s">
        <v>210</v>
      </c>
      <c r="D45" s="106">
        <v>11.549097672212431</v>
      </c>
      <c r="E45" s="106">
        <v>14427.132812127769</v>
      </c>
      <c r="F45" s="106">
        <v>9.1347511347356551</v>
      </c>
      <c r="G45" s="106">
        <v>11411.131117511781</v>
      </c>
      <c r="H45" s="106">
        <v>7.7589307637863714</v>
      </c>
      <c r="I45" s="106">
        <v>9692.4563101219355</v>
      </c>
      <c r="J45" s="106">
        <v>10.314465226005538</v>
      </c>
      <c r="K45" s="106">
        <v>12884.829960326118</v>
      </c>
      <c r="L45" s="106">
        <v>1.084166570983168</v>
      </c>
      <c r="M45" s="106">
        <v>1354.3408804721735</v>
      </c>
      <c r="N45" s="106">
        <v>0.91480563918461399</v>
      </c>
      <c r="O45" s="106">
        <v>1142.7752044694198</v>
      </c>
      <c r="P45" s="106">
        <v>1.0117941951714644</v>
      </c>
      <c r="Q45" s="106">
        <v>1263.9333086081933</v>
      </c>
      <c r="R45" s="106">
        <v>1.1624222031744345</v>
      </c>
      <c r="S45" s="106">
        <v>1452.0978162055035</v>
      </c>
      <c r="T45" s="106">
        <v>0.10499563200671717</v>
      </c>
      <c r="U45" s="106">
        <v>131.16054350279109</v>
      </c>
      <c r="V45" s="106">
        <v>0.15564987922066015</v>
      </c>
      <c r="W45" s="106">
        <v>194.43782912244868</v>
      </c>
      <c r="X45" s="106">
        <v>0.16071129975359097</v>
      </c>
      <c r="Y45" s="106">
        <v>200.76055565218584</v>
      </c>
      <c r="Z45" s="106">
        <v>0.13512503427140785</v>
      </c>
      <c r="AA45" s="106">
        <v>168.79819281184268</v>
      </c>
      <c r="AB45" s="106">
        <v>32.174127189622936</v>
      </c>
      <c r="AC45" s="106">
        <v>40191.919685276975</v>
      </c>
      <c r="AD45" s="106">
        <v>27</v>
      </c>
      <c r="AE45" s="106">
        <v>33728.400000000001</v>
      </c>
      <c r="AF45" s="106">
        <v>21</v>
      </c>
      <c r="AG45" s="106">
        <v>26233.200000000001</v>
      </c>
      <c r="AH45" s="106">
        <v>23</v>
      </c>
      <c r="AI45" s="106">
        <v>28731.600000000002</v>
      </c>
      <c r="AJ45" s="106">
        <v>23</v>
      </c>
      <c r="AK45" s="106">
        <v>28731.600000000002</v>
      </c>
      <c r="AL45" s="106">
        <v>32</v>
      </c>
      <c r="AM45" s="106">
        <v>39974.400000000001</v>
      </c>
      <c r="AN45" s="106">
        <v>19</v>
      </c>
      <c r="AO45" s="106">
        <v>23734.799999999999</v>
      </c>
      <c r="AP45" s="106">
        <v>38</v>
      </c>
      <c r="AQ45" s="106">
        <v>47469.599999999999</v>
      </c>
      <c r="AR45" s="106">
        <v>65</v>
      </c>
      <c r="AS45" s="106">
        <v>81198</v>
      </c>
      <c r="AT45" s="106">
        <v>47</v>
      </c>
      <c r="AU45" s="106">
        <v>58712.4</v>
      </c>
      <c r="AV45" s="106">
        <v>73</v>
      </c>
      <c r="AW45" s="106">
        <v>91191.6</v>
      </c>
      <c r="AX45" s="106">
        <v>65</v>
      </c>
      <c r="AY45" s="106">
        <v>81198</v>
      </c>
      <c r="AZ45" s="106">
        <v>3.3622205785120092</v>
      </c>
      <c r="BA45" s="106">
        <v>4200.0859466772017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22</v>
      </c>
      <c r="BI45" s="106">
        <v>27482.400000000001</v>
      </c>
      <c r="BJ45" s="106">
        <v>28</v>
      </c>
      <c r="BK45" s="106">
        <v>34977.599999999999</v>
      </c>
      <c r="BL45" s="106">
        <v>18</v>
      </c>
      <c r="BM45" s="106">
        <v>22485.600000000002</v>
      </c>
      <c r="BN45" s="106">
        <v>29</v>
      </c>
      <c r="BO45" s="106">
        <v>36226.800000000003</v>
      </c>
      <c r="BP45" s="106">
        <v>20</v>
      </c>
      <c r="BQ45" s="106">
        <v>24984</v>
      </c>
      <c r="BR45" s="106">
        <v>29</v>
      </c>
      <c r="BS45" s="106">
        <v>36226.800000000003</v>
      </c>
      <c r="BT45" s="106">
        <v>18</v>
      </c>
      <c r="BU45" s="106">
        <v>22485.600000000002</v>
      </c>
      <c r="BV45" s="106">
        <v>14</v>
      </c>
      <c r="BW45" s="106">
        <v>17488.8</v>
      </c>
      <c r="BX45" s="106">
        <v>22</v>
      </c>
      <c r="BY45" s="106">
        <v>27482.400000000001</v>
      </c>
      <c r="BZ45" s="106">
        <v>26</v>
      </c>
      <c r="CA45" s="106">
        <v>32479.200000000001</v>
      </c>
      <c r="CB45" s="106">
        <v>10.743330823537361</v>
      </c>
      <c r="CC45" s="106">
        <v>13420.568864762872</v>
      </c>
      <c r="CD45" s="106">
        <v>15.482747207989075</v>
      </c>
      <c r="CE45" s="106">
        <v>19341.047812219953</v>
      </c>
      <c r="CF45" s="106">
        <v>15.614435718295075</v>
      </c>
      <c r="CG45" s="106">
        <v>19505.553099294208</v>
      </c>
      <c r="CH45" s="106">
        <v>16.078267762431238</v>
      </c>
      <c r="CI45" s="106">
        <v>20084.972088829105</v>
      </c>
      <c r="CJ45" s="106">
        <v>18.172104320737333</v>
      </c>
      <c r="CK45" s="106">
        <v>22700.592717465075</v>
      </c>
      <c r="CL45" s="106">
        <v>21.281454435471026</v>
      </c>
      <c r="CM45" s="106">
        <v>26584.792880790406</v>
      </c>
      <c r="CN45" s="106">
        <v>24.762588565427279</v>
      </c>
      <c r="CO45" s="106">
        <v>30933.425635931759</v>
      </c>
      <c r="CP45" s="106">
        <v>18.357817985174698</v>
      </c>
      <c r="CQ45" s="106">
        <v>22932.586227080235</v>
      </c>
      <c r="CR45" s="106">
        <v>20.940079318941113</v>
      </c>
      <c r="CS45" s="106">
        <v>26158.347085221238</v>
      </c>
      <c r="CT45" s="106">
        <v>28.504168715876595</v>
      </c>
      <c r="CU45" s="106">
        <v>35607.407559873041</v>
      </c>
    </row>
    <row r="46" spans="2:99" x14ac:dyDescent="0.2">
      <c r="C46" s="105" t="s">
        <v>211</v>
      </c>
      <c r="D46" s="106">
        <v>10.333403180400596</v>
      </c>
      <c r="E46" s="106">
        <v>12524.084654645523</v>
      </c>
      <c r="F46" s="106">
        <v>9.8959803959636261</v>
      </c>
      <c r="G46" s="106">
        <v>11993.928239907915</v>
      </c>
      <c r="H46" s="106">
        <v>8.3796452248892805</v>
      </c>
      <c r="I46" s="106">
        <v>10156.130012565807</v>
      </c>
      <c r="J46" s="106">
        <v>9.2093439517906592</v>
      </c>
      <c r="K46" s="106">
        <v>11161.724869570278</v>
      </c>
      <c r="L46" s="106">
        <v>0.72277771398877866</v>
      </c>
      <c r="M46" s="106">
        <v>876.00658935439969</v>
      </c>
      <c r="N46" s="106">
        <v>0.91480563918461399</v>
      </c>
      <c r="O46" s="106">
        <v>1108.7444346917521</v>
      </c>
      <c r="P46" s="106">
        <v>1.0117941951714644</v>
      </c>
      <c r="Q46" s="106">
        <v>1226.2945645478148</v>
      </c>
      <c r="R46" s="106">
        <v>1.1624222031744345</v>
      </c>
      <c r="S46" s="106">
        <v>1408.8557102474147</v>
      </c>
      <c r="T46" s="106">
        <v>0.10499563200671717</v>
      </c>
      <c r="U46" s="106">
        <v>127.25470599214121</v>
      </c>
      <c r="V46" s="106">
        <v>0.15564987922066015</v>
      </c>
      <c r="W46" s="106">
        <v>188.64765361544011</v>
      </c>
      <c r="X46" s="106">
        <v>0.16071129975359097</v>
      </c>
      <c r="Y46" s="106">
        <v>194.78209530135226</v>
      </c>
      <c r="Z46" s="106">
        <v>0.13512503427140785</v>
      </c>
      <c r="AA46" s="106">
        <v>163.7715415369463</v>
      </c>
      <c r="AB46" s="106">
        <v>30.48075207437962</v>
      </c>
      <c r="AC46" s="106">
        <v>36942.671514148096</v>
      </c>
      <c r="AD46" s="106">
        <v>27</v>
      </c>
      <c r="AE46" s="106">
        <v>32724</v>
      </c>
      <c r="AF46" s="106">
        <v>24</v>
      </c>
      <c r="AG46" s="106">
        <v>29088</v>
      </c>
      <c r="AH46" s="106">
        <v>23</v>
      </c>
      <c r="AI46" s="106">
        <v>27876</v>
      </c>
      <c r="AJ46" s="106">
        <v>24</v>
      </c>
      <c r="AK46" s="106">
        <v>29088</v>
      </c>
      <c r="AL46" s="106">
        <v>31</v>
      </c>
      <c r="AM46" s="106">
        <v>37572</v>
      </c>
      <c r="AN46" s="106">
        <v>19</v>
      </c>
      <c r="AO46" s="106">
        <v>23028</v>
      </c>
      <c r="AP46" s="106">
        <v>36</v>
      </c>
      <c r="AQ46" s="106">
        <v>43632</v>
      </c>
      <c r="AR46" s="106">
        <v>71</v>
      </c>
      <c r="AS46" s="106">
        <v>86052</v>
      </c>
      <c r="AT46" s="106">
        <v>52</v>
      </c>
      <c r="AU46" s="106">
        <v>63024</v>
      </c>
      <c r="AV46" s="106">
        <v>63</v>
      </c>
      <c r="AW46" s="106">
        <v>76356</v>
      </c>
      <c r="AX46" s="106">
        <v>67</v>
      </c>
      <c r="AY46" s="106">
        <v>81204</v>
      </c>
      <c r="AZ46" s="106">
        <v>3.3622205785120092</v>
      </c>
      <c r="BA46" s="106">
        <v>4075.0113411565553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22</v>
      </c>
      <c r="BI46" s="106">
        <v>26664</v>
      </c>
      <c r="BJ46" s="106">
        <v>27</v>
      </c>
      <c r="BK46" s="106">
        <v>32724</v>
      </c>
      <c r="BL46" s="106">
        <v>18</v>
      </c>
      <c r="BM46" s="106">
        <v>21816</v>
      </c>
      <c r="BN46" s="106">
        <v>30</v>
      </c>
      <c r="BO46" s="106">
        <v>36360</v>
      </c>
      <c r="BP46" s="106">
        <v>20</v>
      </c>
      <c r="BQ46" s="106">
        <v>24240</v>
      </c>
      <c r="BR46" s="106">
        <v>28</v>
      </c>
      <c r="BS46" s="106">
        <v>33936</v>
      </c>
      <c r="BT46" s="106">
        <v>17</v>
      </c>
      <c r="BU46" s="106">
        <v>20604</v>
      </c>
      <c r="BV46" s="106">
        <v>14</v>
      </c>
      <c r="BW46" s="106">
        <v>16968</v>
      </c>
      <c r="BX46" s="106">
        <v>23</v>
      </c>
      <c r="BY46" s="106">
        <v>27876</v>
      </c>
      <c r="BZ46" s="106">
        <v>25</v>
      </c>
      <c r="CA46" s="106">
        <v>30300</v>
      </c>
      <c r="CB46" s="106">
        <v>11.874207752330767</v>
      </c>
      <c r="CC46" s="106">
        <v>14391.539795824889</v>
      </c>
      <c r="CD46" s="106">
        <v>16.890269681442629</v>
      </c>
      <c r="CE46" s="106">
        <v>20471.006853908464</v>
      </c>
      <c r="CF46" s="106">
        <v>16.632768482531709</v>
      </c>
      <c r="CG46" s="106">
        <v>20158.915400828431</v>
      </c>
      <c r="CH46" s="106">
        <v>16.63269078872197</v>
      </c>
      <c r="CI46" s="106">
        <v>20158.821235931027</v>
      </c>
      <c r="CJ46" s="106">
        <v>16.152981618433188</v>
      </c>
      <c r="CK46" s="106">
        <v>19577.413721541023</v>
      </c>
      <c r="CL46" s="106">
        <v>20.328553490599191</v>
      </c>
      <c r="CM46" s="106">
        <v>24638.206830606221</v>
      </c>
      <c r="CN46" s="106">
        <v>28.30010121763118</v>
      </c>
      <c r="CO46" s="106">
        <v>34299.722675768993</v>
      </c>
      <c r="CP46" s="106">
        <v>20.342446956544933</v>
      </c>
      <c r="CQ46" s="106">
        <v>24655.045711332459</v>
      </c>
      <c r="CR46" s="106">
        <v>22.401015085378866</v>
      </c>
      <c r="CS46" s="106">
        <v>27150.030283479184</v>
      </c>
      <c r="CT46" s="106">
        <v>32.222103765773539</v>
      </c>
      <c r="CU46" s="106">
        <v>39053.189764117531</v>
      </c>
    </row>
    <row r="47" spans="2:99" x14ac:dyDescent="0.2">
      <c r="C47" s="105" t="s">
        <v>212</v>
      </c>
      <c r="D47" s="106">
        <v>10.941250426306514</v>
      </c>
      <c r="E47" s="106">
        <v>16713.854151225831</v>
      </c>
      <c r="F47" s="106">
        <v>9.1347511347356551</v>
      </c>
      <c r="G47" s="106">
        <v>13954.245833422186</v>
      </c>
      <c r="H47" s="106">
        <v>8.0692879943378273</v>
      </c>
      <c r="I47" s="106">
        <v>12326.644340150464</v>
      </c>
      <c r="J47" s="106">
        <v>9.5777177098622843</v>
      </c>
      <c r="K47" s="106">
        <v>14630.921573585625</v>
      </c>
      <c r="L47" s="106">
        <v>0.72277771398877866</v>
      </c>
      <c r="M47" s="106">
        <v>1104.1152358892582</v>
      </c>
      <c r="N47" s="106">
        <v>0.91480563918461399</v>
      </c>
      <c r="O47" s="106">
        <v>1397.4570944184163</v>
      </c>
      <c r="P47" s="106">
        <v>1.0117941951714644</v>
      </c>
      <c r="Q47" s="106">
        <v>1545.616812543929</v>
      </c>
      <c r="R47" s="106">
        <v>1.1624222031744345</v>
      </c>
      <c r="S47" s="106">
        <v>1775.716157569266</v>
      </c>
      <c r="T47" s="106">
        <v>0.10499563200671717</v>
      </c>
      <c r="U47" s="106">
        <v>160.39132745346114</v>
      </c>
      <c r="V47" s="106">
        <v>0.15564987922066015</v>
      </c>
      <c r="W47" s="106">
        <v>237.77075549748042</v>
      </c>
      <c r="X47" s="106">
        <v>0.16071129975359097</v>
      </c>
      <c r="Y47" s="106">
        <v>245.50258150358556</v>
      </c>
      <c r="Z47" s="106">
        <v>0.13512503427140785</v>
      </c>
      <c r="AA47" s="106">
        <v>206.4170023530026</v>
      </c>
      <c r="AB47" s="106">
        <v>30.48075207437962</v>
      </c>
      <c r="AC47" s="106">
        <v>46562.396868822303</v>
      </c>
      <c r="AD47" s="106">
        <v>26</v>
      </c>
      <c r="AE47" s="106">
        <v>39717.599999999999</v>
      </c>
      <c r="AF47" s="106">
        <v>22</v>
      </c>
      <c r="AG47" s="106">
        <v>33607.199999999997</v>
      </c>
      <c r="AH47" s="106">
        <v>25</v>
      </c>
      <c r="AI47" s="106">
        <v>38190</v>
      </c>
      <c r="AJ47" s="106">
        <v>22</v>
      </c>
      <c r="AK47" s="106">
        <v>33607.199999999997</v>
      </c>
      <c r="AL47" s="106">
        <v>29</v>
      </c>
      <c r="AM47" s="106">
        <v>44300.399999999994</v>
      </c>
      <c r="AN47" s="106">
        <v>20</v>
      </c>
      <c r="AO47" s="106">
        <v>30552</v>
      </c>
      <c r="AP47" s="106">
        <v>36</v>
      </c>
      <c r="AQ47" s="106">
        <v>54993.599999999999</v>
      </c>
      <c r="AR47" s="106">
        <v>71</v>
      </c>
      <c r="AS47" s="106">
        <v>108459.59999999999</v>
      </c>
      <c r="AT47" s="106">
        <v>44</v>
      </c>
      <c r="AU47" s="106">
        <v>67214.399999999994</v>
      </c>
      <c r="AV47" s="106">
        <v>66</v>
      </c>
      <c r="AW47" s="106">
        <v>100821.59999999999</v>
      </c>
      <c r="AX47" s="106">
        <v>61</v>
      </c>
      <c r="AY47" s="106">
        <v>93183.599999999991</v>
      </c>
      <c r="AZ47" s="106">
        <v>2.9666652163341261</v>
      </c>
      <c r="BA47" s="106">
        <v>4531.8777844720107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23</v>
      </c>
      <c r="BI47" s="106">
        <v>35134.799999999996</v>
      </c>
      <c r="BJ47" s="106">
        <v>27</v>
      </c>
      <c r="BK47" s="106">
        <v>41245.199999999997</v>
      </c>
      <c r="BL47" s="106">
        <v>16</v>
      </c>
      <c r="BM47" s="106">
        <v>24441.599999999999</v>
      </c>
      <c r="BN47" s="106">
        <v>29</v>
      </c>
      <c r="BO47" s="106">
        <v>44300.399999999994</v>
      </c>
      <c r="BP47" s="106">
        <v>21</v>
      </c>
      <c r="BQ47" s="106">
        <v>32079.599999999999</v>
      </c>
      <c r="BR47" s="106">
        <v>27</v>
      </c>
      <c r="BS47" s="106">
        <v>41245.199999999997</v>
      </c>
      <c r="BT47" s="106">
        <v>16</v>
      </c>
      <c r="BU47" s="106">
        <v>24441.599999999999</v>
      </c>
      <c r="BV47" s="106">
        <v>14</v>
      </c>
      <c r="BW47" s="106">
        <v>21386.399999999998</v>
      </c>
      <c r="BX47" s="106">
        <v>20</v>
      </c>
      <c r="BY47" s="106">
        <v>30552</v>
      </c>
      <c r="BZ47" s="106">
        <v>27</v>
      </c>
      <c r="CA47" s="106">
        <v>41245.199999999997</v>
      </c>
      <c r="CB47" s="106">
        <v>11.874207752330767</v>
      </c>
      <c r="CC47" s="106">
        <v>18139.039762460478</v>
      </c>
      <c r="CD47" s="106">
        <v>17.594030918169402</v>
      </c>
      <c r="CE47" s="106">
        <v>26876.641630595575</v>
      </c>
      <c r="CF47" s="106">
        <v>16.293324227786165</v>
      </c>
      <c r="CG47" s="106">
        <v>24889.682090366143</v>
      </c>
      <c r="CH47" s="106">
        <v>17.741536841303436</v>
      </c>
      <c r="CI47" s="106">
        <v>27101.971678775128</v>
      </c>
      <c r="CJ47" s="106">
        <v>17.16254296958526</v>
      </c>
      <c r="CK47" s="106">
        <v>26217.500640338443</v>
      </c>
      <c r="CL47" s="106">
        <v>20.328553490599191</v>
      </c>
      <c r="CM47" s="106">
        <v>31053.898312239322</v>
      </c>
      <c r="CN47" s="106">
        <v>25.352174007461262</v>
      </c>
      <c r="CO47" s="106">
        <v>38727.98101379782</v>
      </c>
      <c r="CP47" s="106">
        <v>18.357817985174698</v>
      </c>
      <c r="CQ47" s="106">
        <v>28043.402754152867</v>
      </c>
      <c r="CR47" s="106">
        <v>18.018207786065609</v>
      </c>
      <c r="CS47" s="106">
        <v>27524.614213993824</v>
      </c>
      <c r="CT47" s="106">
        <v>26.025545349278627</v>
      </c>
      <c r="CU47" s="106">
        <v>39756.623075558025</v>
      </c>
    </row>
    <row r="48" spans="2:99" x14ac:dyDescent="0.2">
      <c r="C48" s="105" t="s">
        <v>213</v>
      </c>
      <c r="D48" s="106">
        <v>10.941250426306514</v>
      </c>
      <c r="E48" s="106">
        <v>9492.6288698635308</v>
      </c>
      <c r="F48" s="106">
        <v>11.41843891841957</v>
      </c>
      <c r="G48" s="106">
        <v>9906.6376056208192</v>
      </c>
      <c r="H48" s="106">
        <v>8.6900024554407374</v>
      </c>
      <c r="I48" s="106">
        <v>7539.4461303403841</v>
      </c>
      <c r="J48" s="106">
        <v>11.419586500220417</v>
      </c>
      <c r="K48" s="106">
        <v>9907.6332475912332</v>
      </c>
      <c r="L48" s="106">
        <v>1.084166570983168</v>
      </c>
      <c r="M48" s="106">
        <v>940.62291698499666</v>
      </c>
      <c r="N48" s="106">
        <v>0.91480563918461399</v>
      </c>
      <c r="O48" s="106">
        <v>793.68537255657111</v>
      </c>
      <c r="P48" s="106">
        <v>1.0117941951714644</v>
      </c>
      <c r="Q48" s="106">
        <v>877.83264373076258</v>
      </c>
      <c r="R48" s="106">
        <v>1.1624222031744345</v>
      </c>
      <c r="S48" s="106">
        <v>1008.5175034741394</v>
      </c>
      <c r="T48" s="106">
        <v>0.10499563200671717</v>
      </c>
      <c r="U48" s="106">
        <v>91.094210329027817</v>
      </c>
      <c r="V48" s="106">
        <v>0.15564987922066015</v>
      </c>
      <c r="W48" s="106">
        <v>135.04183521184476</v>
      </c>
      <c r="X48" s="106">
        <v>0.16071129975359097</v>
      </c>
      <c r="Y48" s="106">
        <v>139.43312366621552</v>
      </c>
      <c r="Z48" s="106">
        <v>0.13512503427140785</v>
      </c>
      <c r="AA48" s="106">
        <v>117.23447973387346</v>
      </c>
      <c r="AB48" s="106">
        <v>33.020814747244593</v>
      </c>
      <c r="AC48" s="106">
        <v>28648.858874709411</v>
      </c>
      <c r="AD48" s="106">
        <v>25</v>
      </c>
      <c r="AE48" s="106">
        <v>21690</v>
      </c>
      <c r="AF48" s="106">
        <v>25</v>
      </c>
      <c r="AG48" s="106">
        <v>21690</v>
      </c>
      <c r="AH48" s="106">
        <v>26</v>
      </c>
      <c r="AI48" s="106">
        <v>22557.600000000002</v>
      </c>
      <c r="AJ48" s="106">
        <v>23</v>
      </c>
      <c r="AK48" s="106">
        <v>19954.8</v>
      </c>
      <c r="AL48" s="106">
        <v>34</v>
      </c>
      <c r="AM48" s="106">
        <v>29498.400000000001</v>
      </c>
      <c r="AN48" s="106">
        <v>22</v>
      </c>
      <c r="AO48" s="106">
        <v>19087.2</v>
      </c>
      <c r="AP48" s="106">
        <v>35</v>
      </c>
      <c r="AQ48" s="106">
        <v>30366</v>
      </c>
      <c r="AR48" s="106">
        <v>78</v>
      </c>
      <c r="AS48" s="106">
        <v>67672.800000000003</v>
      </c>
      <c r="AT48" s="106">
        <v>48</v>
      </c>
      <c r="AU48" s="106">
        <v>41644.800000000003</v>
      </c>
      <c r="AV48" s="106">
        <v>80</v>
      </c>
      <c r="AW48" s="106">
        <v>69408</v>
      </c>
      <c r="AX48" s="106">
        <v>66</v>
      </c>
      <c r="AY48" s="106">
        <v>57261.599999999999</v>
      </c>
      <c r="AZ48" s="106">
        <v>3.5599982596009507</v>
      </c>
      <c r="BA48" s="106">
        <v>3088.6544900297849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25</v>
      </c>
      <c r="BI48" s="106">
        <v>21690</v>
      </c>
      <c r="BJ48" s="106">
        <v>29</v>
      </c>
      <c r="BK48" s="106">
        <v>25160.400000000001</v>
      </c>
      <c r="BL48" s="106">
        <v>20</v>
      </c>
      <c r="BM48" s="106">
        <v>17352</v>
      </c>
      <c r="BN48" s="106">
        <v>27</v>
      </c>
      <c r="BO48" s="106">
        <v>23425.200000000001</v>
      </c>
      <c r="BP48" s="106">
        <v>23</v>
      </c>
      <c r="BQ48" s="106">
        <v>19954.8</v>
      </c>
      <c r="BR48" s="106">
        <v>27</v>
      </c>
      <c r="BS48" s="106">
        <v>23425.200000000001</v>
      </c>
      <c r="BT48" s="106">
        <v>18</v>
      </c>
      <c r="BU48" s="106">
        <v>15616.800000000001</v>
      </c>
      <c r="BV48" s="106">
        <v>17</v>
      </c>
      <c r="BW48" s="106">
        <v>14749.2</v>
      </c>
      <c r="BX48" s="106">
        <v>24</v>
      </c>
      <c r="BY48" s="106">
        <v>20822.400000000001</v>
      </c>
      <c r="BZ48" s="106">
        <v>28</v>
      </c>
      <c r="CA48" s="106">
        <v>24292.799999999999</v>
      </c>
      <c r="CB48" s="106">
        <v>12.439646216727471</v>
      </c>
      <c r="CC48" s="106">
        <v>10792.637057632754</v>
      </c>
      <c r="CD48" s="106">
        <v>19.001553391622956</v>
      </c>
      <c r="CE48" s="106">
        <v>16485.747722572076</v>
      </c>
      <c r="CF48" s="106">
        <v>19.348322520496072</v>
      </c>
      <c r="CG48" s="106">
        <v>16786.604618782392</v>
      </c>
      <c r="CH48" s="106">
        <v>18.573171380739534</v>
      </c>
      <c r="CI48" s="106">
        <v>16114.083489929621</v>
      </c>
      <c r="CJ48" s="106">
        <v>17.499063419969286</v>
      </c>
      <c r="CK48" s="106">
        <v>15182.187423165353</v>
      </c>
      <c r="CL48" s="106">
        <v>21.599088083761639</v>
      </c>
      <c r="CM48" s="106">
        <v>18739.368821471598</v>
      </c>
      <c r="CN48" s="106">
        <v>27.120930333563209</v>
      </c>
      <c r="CO48" s="106">
        <v>23530.11915739944</v>
      </c>
      <c r="CP48" s="106">
        <v>22.327075927915171</v>
      </c>
      <c r="CQ48" s="106">
        <v>19370.971075059202</v>
      </c>
      <c r="CR48" s="106">
        <v>22.401015085378866</v>
      </c>
      <c r="CS48" s="106">
        <v>19435.120688074705</v>
      </c>
      <c r="CT48" s="106">
        <v>30.982792082474557</v>
      </c>
      <c r="CU48" s="106">
        <v>26880.670410754927</v>
      </c>
    </row>
    <row r="49" spans="2:99" x14ac:dyDescent="0.2">
      <c r="B49" s="105" t="s">
        <v>129</v>
      </c>
      <c r="C49" s="105" t="s">
        <v>214</v>
      </c>
      <c r="D49" s="106">
        <v>4.7505154448265872</v>
      </c>
      <c r="E49" s="106">
        <v>4680.2078162431535</v>
      </c>
      <c r="F49" s="106">
        <v>5.8642407261042342</v>
      </c>
      <c r="G49" s="106">
        <v>5777.4499633578907</v>
      </c>
      <c r="H49" s="106">
        <v>7.984704747668121</v>
      </c>
      <c r="I49" s="106">
        <v>7866.5311174026319</v>
      </c>
      <c r="J49" s="106">
        <v>4.3781164835756954</v>
      </c>
      <c r="K49" s="106">
        <v>4313.320359618775</v>
      </c>
      <c r="L49" s="106">
        <v>3.4150370311971963</v>
      </c>
      <c r="M49" s="106">
        <v>3364.4944831354774</v>
      </c>
      <c r="N49" s="106">
        <v>3.7303222770317284</v>
      </c>
      <c r="O49" s="106">
        <v>3675.1135073316586</v>
      </c>
      <c r="P49" s="106">
        <v>3.0845102328206102</v>
      </c>
      <c r="Q49" s="106">
        <v>3038.859481374865</v>
      </c>
      <c r="R49" s="106">
        <v>3.1481895208561088</v>
      </c>
      <c r="S49" s="106">
        <v>3101.5963159474381</v>
      </c>
      <c r="T49" s="106">
        <v>1.880680533500213</v>
      </c>
      <c r="U49" s="106">
        <v>1852.8464616044098</v>
      </c>
      <c r="V49" s="106">
        <v>1.9743117216276562</v>
      </c>
      <c r="W49" s="106">
        <v>1945.0919081475668</v>
      </c>
      <c r="X49" s="106">
        <v>2.1788471860910517</v>
      </c>
      <c r="Y49" s="106">
        <v>2146.6002477369038</v>
      </c>
      <c r="Z49" s="106">
        <v>2.3846474175538406</v>
      </c>
      <c r="AA49" s="106">
        <v>2349.3546357740438</v>
      </c>
      <c r="AB49" s="106">
        <v>14.726268392454662</v>
      </c>
      <c r="AC49" s="106">
        <v>14508.319620246331</v>
      </c>
      <c r="AD49" s="106">
        <v>11.417498634948304</v>
      </c>
      <c r="AE49" s="106">
        <v>11248.519655151069</v>
      </c>
      <c r="AF49" s="106">
        <v>16.183490534205905</v>
      </c>
      <c r="AG49" s="106">
        <v>15943.974874299656</v>
      </c>
      <c r="AH49" s="106">
        <v>9.5379595476226626</v>
      </c>
      <c r="AI49" s="106">
        <v>9396.7977463178468</v>
      </c>
      <c r="AJ49" s="106">
        <v>14.795897094550003</v>
      </c>
      <c r="AK49" s="106">
        <v>14576.917817550662</v>
      </c>
      <c r="AL49" s="106">
        <v>8.4007712395203242</v>
      </c>
      <c r="AM49" s="106">
        <v>8276.4398251754228</v>
      </c>
      <c r="AN49" s="106">
        <v>7.4272239183048852</v>
      </c>
      <c r="AO49" s="106">
        <v>7317.301004313972</v>
      </c>
      <c r="AP49" s="106">
        <v>9.6608869254483718</v>
      </c>
      <c r="AQ49" s="106">
        <v>9517.9057989517351</v>
      </c>
      <c r="AR49" s="106">
        <v>3.0709730986147403</v>
      </c>
      <c r="AS49" s="106">
        <v>3025.5226967552421</v>
      </c>
      <c r="AT49" s="106">
        <v>4.4075601714387016</v>
      </c>
      <c r="AU49" s="106">
        <v>4342.3282809014081</v>
      </c>
      <c r="AV49" s="106">
        <v>3.26547644529195</v>
      </c>
      <c r="AW49" s="106">
        <v>3217.1473939016291</v>
      </c>
      <c r="AX49" s="106">
        <v>3.5623991488741664</v>
      </c>
      <c r="AY49" s="106">
        <v>3509.6756414708284</v>
      </c>
      <c r="AZ49" s="106">
        <v>10.562918281337048</v>
      </c>
      <c r="BA49" s="106">
        <v>10406.587090773259</v>
      </c>
      <c r="BB49" s="106">
        <v>10.9387144125</v>
      </c>
      <c r="BC49" s="106">
        <v>10776.821439194999</v>
      </c>
      <c r="BD49" s="106">
        <v>12.4886443853211</v>
      </c>
      <c r="BE49" s="106">
        <v>12303.812448418346</v>
      </c>
      <c r="BF49" s="106">
        <v>10.488055766292137</v>
      </c>
      <c r="BG49" s="106">
        <v>10332.832540951013</v>
      </c>
      <c r="BH49" s="106">
        <v>8.0344028912205747</v>
      </c>
      <c r="BI49" s="106">
        <v>7915.4937284305097</v>
      </c>
      <c r="BJ49" s="106">
        <v>9.7188793122772825</v>
      </c>
      <c r="BK49" s="106">
        <v>9575.0398984555777</v>
      </c>
      <c r="BL49" s="106">
        <v>15.74664390611837</v>
      </c>
      <c r="BM49" s="106">
        <v>15513.593576307818</v>
      </c>
      <c r="BN49" s="106">
        <v>13.170505843767717</v>
      </c>
      <c r="BO49" s="106">
        <v>12975.582357279955</v>
      </c>
      <c r="BP49" s="106">
        <v>22.59301539100526</v>
      </c>
      <c r="BQ49" s="106">
        <v>22258.63876321838</v>
      </c>
      <c r="BR49" s="106">
        <v>20.351344967594482</v>
      </c>
      <c r="BS49" s="106">
        <v>20050.145062074083</v>
      </c>
      <c r="BT49" s="106">
        <v>18.777665385797931</v>
      </c>
      <c r="BU49" s="106">
        <v>18499.755938088121</v>
      </c>
      <c r="BV49" s="106">
        <v>10.684456107987103</v>
      </c>
      <c r="BW49" s="106">
        <v>10526.326157588894</v>
      </c>
      <c r="BX49" s="106">
        <v>2.9272809937041449</v>
      </c>
      <c r="BY49" s="106">
        <v>2883.9572349973232</v>
      </c>
      <c r="BZ49" s="106">
        <v>2.1138050122958352</v>
      </c>
      <c r="CA49" s="106">
        <v>2082.5206981138567</v>
      </c>
      <c r="CB49" s="106">
        <v>2.6685910454233137</v>
      </c>
      <c r="CC49" s="106">
        <v>2629.0958979510483</v>
      </c>
      <c r="CD49" s="106">
        <v>3.1133562196605324</v>
      </c>
      <c r="CE49" s="106">
        <v>3067.2785476095564</v>
      </c>
      <c r="CF49" s="106">
        <v>22.17500994547396</v>
      </c>
      <c r="CG49" s="106">
        <v>21846.819798280943</v>
      </c>
      <c r="CH49" s="106">
        <v>18.695583780268752</v>
      </c>
      <c r="CI49" s="106">
        <v>18418.889140320774</v>
      </c>
      <c r="CJ49" s="106">
        <v>21.011832705697348</v>
      </c>
      <c r="CK49" s="106">
        <v>20700.857581653025</v>
      </c>
      <c r="CL49" s="106">
        <v>18.01844575039053</v>
      </c>
      <c r="CM49" s="106">
        <v>17751.772753284749</v>
      </c>
      <c r="CN49" s="106">
        <v>7.1381687553971602</v>
      </c>
      <c r="CO49" s="106">
        <v>7032.5238578172821</v>
      </c>
      <c r="CP49" s="106">
        <v>10.234241950509182</v>
      </c>
      <c r="CQ49" s="106">
        <v>10082.775169641645</v>
      </c>
      <c r="CR49" s="106">
        <v>12.887313907336431</v>
      </c>
      <c r="CS49" s="106">
        <v>12696.581661507851</v>
      </c>
      <c r="CT49" s="106">
        <v>6.2855122338750888</v>
      </c>
      <c r="CU49" s="106">
        <v>6192.4866528137372</v>
      </c>
    </row>
    <row r="50" spans="2:99" x14ac:dyDescent="0.2">
      <c r="C50" s="105" t="s">
        <v>215</v>
      </c>
      <c r="D50" s="106">
        <v>2.7353126065766284</v>
      </c>
      <c r="E50" s="106">
        <v>771.35815505460926</v>
      </c>
      <c r="F50" s="106">
        <v>5.7092194592097849</v>
      </c>
      <c r="G50" s="106">
        <v>1609.9998874971593</v>
      </c>
      <c r="H50" s="106">
        <v>5.2760729193747329</v>
      </c>
      <c r="I50" s="106">
        <v>1487.8525632636747</v>
      </c>
      <c r="J50" s="106">
        <v>3.6837375807162633</v>
      </c>
      <c r="K50" s="106">
        <v>1038.8139977619862</v>
      </c>
      <c r="L50" s="106">
        <v>5.7822217119102293</v>
      </c>
      <c r="M50" s="106">
        <v>1630.5865227586846</v>
      </c>
      <c r="N50" s="106">
        <v>3.9641577697999941</v>
      </c>
      <c r="O50" s="106">
        <v>1117.8924910835983</v>
      </c>
      <c r="P50" s="106">
        <v>3.0353825855143932</v>
      </c>
      <c r="Q50" s="106">
        <v>855.97788911505893</v>
      </c>
      <c r="R50" s="106">
        <v>5.0371628804225486</v>
      </c>
      <c r="S50" s="106">
        <v>1420.4799322791587</v>
      </c>
      <c r="T50" s="106">
        <v>4.6198078082955547</v>
      </c>
      <c r="U50" s="106">
        <v>1302.7858019393464</v>
      </c>
      <c r="V50" s="106">
        <v>3.4242973428545236</v>
      </c>
      <c r="W50" s="106">
        <v>965.65185068497567</v>
      </c>
      <c r="X50" s="106">
        <v>4.1249233603421676</v>
      </c>
      <c r="Y50" s="106">
        <v>1163.2283876164913</v>
      </c>
      <c r="Z50" s="106">
        <v>4.0537510281422353</v>
      </c>
      <c r="AA50" s="106">
        <v>1143.1577899361102</v>
      </c>
      <c r="AB50" s="106">
        <v>23.70725161340637</v>
      </c>
      <c r="AC50" s="106">
        <v>6685.4449549805968</v>
      </c>
      <c r="AD50" s="106">
        <v>23</v>
      </c>
      <c r="AE50" s="106">
        <v>6486</v>
      </c>
      <c r="AF50" s="106">
        <v>32</v>
      </c>
      <c r="AG50" s="106">
        <v>9024</v>
      </c>
      <c r="AH50" s="106">
        <v>24</v>
      </c>
      <c r="AI50" s="106">
        <v>6768</v>
      </c>
      <c r="AJ50" s="106">
        <v>37</v>
      </c>
      <c r="AK50" s="106">
        <v>10434</v>
      </c>
      <c r="AL50" s="106">
        <v>25</v>
      </c>
      <c r="AM50" s="106">
        <v>7050</v>
      </c>
      <c r="AN50" s="106">
        <v>25</v>
      </c>
      <c r="AO50" s="106">
        <v>7050</v>
      </c>
      <c r="AP50" s="106">
        <v>23</v>
      </c>
      <c r="AQ50" s="106">
        <v>6486</v>
      </c>
      <c r="AR50" s="106">
        <v>10</v>
      </c>
      <c r="AS50" s="106">
        <v>2820</v>
      </c>
      <c r="AT50" s="106">
        <v>14</v>
      </c>
      <c r="AU50" s="106">
        <v>3948</v>
      </c>
      <c r="AV50" s="106">
        <v>9</v>
      </c>
      <c r="AW50" s="106">
        <v>2538</v>
      </c>
      <c r="AX50" s="106">
        <v>13</v>
      </c>
      <c r="AY50" s="106">
        <v>3666</v>
      </c>
      <c r="AZ50" s="106">
        <v>2.7688875352451841</v>
      </c>
      <c r="BA50" s="106">
        <v>780.82628493914194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11</v>
      </c>
      <c r="BI50" s="106">
        <v>3102</v>
      </c>
      <c r="BJ50" s="106">
        <v>14</v>
      </c>
      <c r="BK50" s="106">
        <v>3948</v>
      </c>
      <c r="BL50" s="106">
        <v>18</v>
      </c>
      <c r="BM50" s="106">
        <v>5076</v>
      </c>
      <c r="BN50" s="106">
        <v>16</v>
      </c>
      <c r="BO50" s="106">
        <v>4512</v>
      </c>
      <c r="BP50" s="106">
        <v>27</v>
      </c>
      <c r="BQ50" s="106">
        <v>7614</v>
      </c>
      <c r="BR50" s="106">
        <v>28</v>
      </c>
      <c r="BS50" s="106">
        <v>7896</v>
      </c>
      <c r="BT50" s="106">
        <v>22</v>
      </c>
      <c r="BU50" s="106">
        <v>6204</v>
      </c>
      <c r="BV50" s="106">
        <v>18</v>
      </c>
      <c r="BW50" s="106">
        <v>5076</v>
      </c>
      <c r="BX50" s="106">
        <v>11</v>
      </c>
      <c r="BY50" s="106">
        <v>3102</v>
      </c>
      <c r="BZ50" s="106">
        <v>9</v>
      </c>
      <c r="CA50" s="106">
        <v>2538</v>
      </c>
      <c r="CB50" s="106">
        <v>7.9161385015538439</v>
      </c>
      <c r="CC50" s="106">
        <v>2232.3510574381839</v>
      </c>
      <c r="CD50" s="106">
        <v>9.8526573141748663</v>
      </c>
      <c r="CE50" s="106">
        <v>2778.4493625973123</v>
      </c>
      <c r="CF50" s="106">
        <v>25.458319105915884</v>
      </c>
      <c r="CG50" s="106">
        <v>7179.2459878682794</v>
      </c>
      <c r="CH50" s="106">
        <v>21.899709538483933</v>
      </c>
      <c r="CI50" s="106">
        <v>6175.7180898524693</v>
      </c>
      <c r="CJ50" s="106">
        <v>19.854706572657459</v>
      </c>
      <c r="CK50" s="106">
        <v>5599.0272534894038</v>
      </c>
      <c r="CL50" s="106">
        <v>18.105117952564903</v>
      </c>
      <c r="CM50" s="106">
        <v>5105.6432626233027</v>
      </c>
      <c r="CN50" s="106">
        <v>10.022952514577709</v>
      </c>
      <c r="CO50" s="106">
        <v>2826.4726091109137</v>
      </c>
      <c r="CP50" s="106">
        <v>11.411616585378866</v>
      </c>
      <c r="CQ50" s="106">
        <v>3218.0758770768402</v>
      </c>
      <c r="CR50" s="106">
        <v>12.661443309127185</v>
      </c>
      <c r="CS50" s="106">
        <v>3570.5270131738662</v>
      </c>
      <c r="CT50" s="106">
        <v>11.153805149690839</v>
      </c>
      <c r="CU50" s="106">
        <v>3145.3730522128167</v>
      </c>
    </row>
    <row r="51" spans="2:99" x14ac:dyDescent="0.2">
      <c r="C51" s="105" t="s">
        <v>216</v>
      </c>
      <c r="D51" s="106">
        <v>2.4313889836236697</v>
      </c>
      <c r="E51" s="106">
        <v>2077.3787476080633</v>
      </c>
      <c r="F51" s="106">
        <v>4.9479901979818131</v>
      </c>
      <c r="G51" s="106">
        <v>4227.5628251556609</v>
      </c>
      <c r="H51" s="106">
        <v>4.6553584582718228</v>
      </c>
      <c r="I51" s="106">
        <v>3977.5382667474455</v>
      </c>
      <c r="J51" s="106">
        <v>4.0521113387878902</v>
      </c>
      <c r="K51" s="106">
        <v>3462.1239278603734</v>
      </c>
      <c r="L51" s="106">
        <v>5.4208328549158402</v>
      </c>
      <c r="M51" s="106">
        <v>4631.5595912400941</v>
      </c>
      <c r="N51" s="106">
        <v>4.2690929828615323</v>
      </c>
      <c r="O51" s="106">
        <v>3647.513044556893</v>
      </c>
      <c r="P51" s="106">
        <v>3.3726473172382145</v>
      </c>
      <c r="Q51" s="106">
        <v>2881.5898678483304</v>
      </c>
      <c r="R51" s="106">
        <v>4.6496888126977378</v>
      </c>
      <c r="S51" s="106">
        <v>3972.6941215689471</v>
      </c>
      <c r="T51" s="106">
        <v>4.6198078082955547</v>
      </c>
      <c r="U51" s="106">
        <v>3947.1637914077219</v>
      </c>
      <c r="V51" s="106">
        <v>3.1129975844132027</v>
      </c>
      <c r="W51" s="106">
        <v>2659.7451361226404</v>
      </c>
      <c r="X51" s="106">
        <v>4.0713529270909712</v>
      </c>
      <c r="Y51" s="106">
        <v>3478.5639409065257</v>
      </c>
      <c r="Z51" s="106">
        <v>4.2789594185945807</v>
      </c>
      <c r="AA51" s="106">
        <v>3655.9429272472098</v>
      </c>
      <c r="AB51" s="106">
        <v>21.167188940541404</v>
      </c>
      <c r="AC51" s="106">
        <v>18085.246230798577</v>
      </c>
      <c r="AD51" s="106">
        <v>24</v>
      </c>
      <c r="AE51" s="106">
        <v>20505.599999999999</v>
      </c>
      <c r="AF51" s="106">
        <v>30</v>
      </c>
      <c r="AG51" s="106">
        <v>25632</v>
      </c>
      <c r="AH51" s="106">
        <v>27</v>
      </c>
      <c r="AI51" s="106">
        <v>23068.799999999999</v>
      </c>
      <c r="AJ51" s="106">
        <v>32</v>
      </c>
      <c r="AK51" s="106">
        <v>27340.799999999999</v>
      </c>
      <c r="AL51" s="106">
        <v>20</v>
      </c>
      <c r="AM51" s="106">
        <v>17088</v>
      </c>
      <c r="AN51" s="106">
        <v>22</v>
      </c>
      <c r="AO51" s="106">
        <v>18796.8</v>
      </c>
      <c r="AP51" s="106">
        <v>24</v>
      </c>
      <c r="AQ51" s="106">
        <v>20505.599999999999</v>
      </c>
      <c r="AR51" s="106">
        <v>9</v>
      </c>
      <c r="AS51" s="106">
        <v>7689.5999999999995</v>
      </c>
      <c r="AT51" s="106">
        <v>14</v>
      </c>
      <c r="AU51" s="106">
        <v>11961.6</v>
      </c>
      <c r="AV51" s="106">
        <v>10</v>
      </c>
      <c r="AW51" s="106">
        <v>8544</v>
      </c>
      <c r="AX51" s="106">
        <v>14</v>
      </c>
      <c r="AY51" s="106">
        <v>11961.6</v>
      </c>
      <c r="AZ51" s="106">
        <v>2.9666652163341261</v>
      </c>
      <c r="BA51" s="106">
        <v>2534.7187608358772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9</v>
      </c>
      <c r="BI51" s="106">
        <v>7689.5999999999995</v>
      </c>
      <c r="BJ51" s="106">
        <v>13</v>
      </c>
      <c r="BK51" s="106">
        <v>11107.199999999999</v>
      </c>
      <c r="BL51" s="106">
        <v>16</v>
      </c>
      <c r="BM51" s="106">
        <v>13670.4</v>
      </c>
      <c r="BN51" s="106">
        <v>16</v>
      </c>
      <c r="BO51" s="106">
        <v>13670.4</v>
      </c>
      <c r="BP51" s="106">
        <v>28</v>
      </c>
      <c r="BQ51" s="106">
        <v>23923.200000000001</v>
      </c>
      <c r="BR51" s="106">
        <v>25</v>
      </c>
      <c r="BS51" s="106">
        <v>21360</v>
      </c>
      <c r="BT51" s="106">
        <v>22</v>
      </c>
      <c r="BU51" s="106">
        <v>18796.8</v>
      </c>
      <c r="BV51" s="106">
        <v>14</v>
      </c>
      <c r="BW51" s="106">
        <v>11961.6</v>
      </c>
      <c r="BX51" s="106">
        <v>10</v>
      </c>
      <c r="BY51" s="106">
        <v>8544</v>
      </c>
      <c r="BZ51" s="106">
        <v>8</v>
      </c>
      <c r="CA51" s="106">
        <v>6835.2</v>
      </c>
      <c r="CB51" s="106">
        <v>7.3507000371571412</v>
      </c>
      <c r="CC51" s="106">
        <v>6280.4381117470612</v>
      </c>
      <c r="CD51" s="106">
        <v>9.1488960774480894</v>
      </c>
      <c r="CE51" s="106">
        <v>7816.816808571647</v>
      </c>
      <c r="CF51" s="106">
        <v>21.724432303714885</v>
      </c>
      <c r="CG51" s="106">
        <v>18561.354960293997</v>
      </c>
      <c r="CH51" s="106">
        <v>18.850382893884902</v>
      </c>
      <c r="CI51" s="106">
        <v>16105.767144535259</v>
      </c>
      <c r="CJ51" s="106">
        <v>19.854706572657459</v>
      </c>
      <c r="CK51" s="106">
        <v>16963.861295678533</v>
      </c>
      <c r="CL51" s="106">
        <v>17.469850655983681</v>
      </c>
      <c r="CM51" s="106">
        <v>14926.240400472456</v>
      </c>
      <c r="CN51" s="106">
        <v>9.4333670725437244</v>
      </c>
      <c r="CO51" s="106">
        <v>8059.8688267813577</v>
      </c>
      <c r="CP51" s="106">
        <v>10.419302099693747</v>
      </c>
      <c r="CQ51" s="106">
        <v>8902.2517139783376</v>
      </c>
      <c r="CR51" s="106">
        <v>11.687486131502016</v>
      </c>
      <c r="CS51" s="106">
        <v>9985.7881507553229</v>
      </c>
      <c r="CT51" s="106">
        <v>9.9144934663918587</v>
      </c>
      <c r="CU51" s="106">
        <v>8470.9432176852042</v>
      </c>
    </row>
    <row r="52" spans="2:99" x14ac:dyDescent="0.2">
      <c r="C52" s="105" t="s">
        <v>217</v>
      </c>
      <c r="D52" s="106">
        <v>2.7353126065766284</v>
      </c>
      <c r="E52" s="106">
        <v>1477.0688075513795</v>
      </c>
      <c r="F52" s="106">
        <v>4.9479901979818131</v>
      </c>
      <c r="G52" s="106">
        <v>2671.9147069101791</v>
      </c>
      <c r="H52" s="106">
        <v>5.2760729193747329</v>
      </c>
      <c r="I52" s="106">
        <v>2849.0793764623559</v>
      </c>
      <c r="J52" s="106">
        <v>3.6837375807162633</v>
      </c>
      <c r="K52" s="106">
        <v>1989.2182935867822</v>
      </c>
      <c r="L52" s="106">
        <v>5.4208328549158402</v>
      </c>
      <c r="M52" s="106">
        <v>2927.2497416545539</v>
      </c>
      <c r="N52" s="106">
        <v>3.9641577697999941</v>
      </c>
      <c r="O52" s="106">
        <v>2140.6451956919968</v>
      </c>
      <c r="P52" s="106">
        <v>3.3726473172382145</v>
      </c>
      <c r="Q52" s="106">
        <v>1821.2295513086358</v>
      </c>
      <c r="R52" s="106">
        <v>5.4246369481473602</v>
      </c>
      <c r="S52" s="106">
        <v>2929.3039519995746</v>
      </c>
      <c r="T52" s="106">
        <v>4.1998252802686862</v>
      </c>
      <c r="U52" s="106">
        <v>2267.9056513450905</v>
      </c>
      <c r="V52" s="106">
        <v>3.3205307567074165</v>
      </c>
      <c r="W52" s="106">
        <v>1793.0866086220049</v>
      </c>
      <c r="X52" s="106">
        <v>4.6606276928541384</v>
      </c>
      <c r="Y52" s="106">
        <v>2516.7389541412349</v>
      </c>
      <c r="Z52" s="106">
        <v>3.9636676719612964</v>
      </c>
      <c r="AA52" s="106">
        <v>2140.3805428590999</v>
      </c>
      <c r="AB52" s="106">
        <v>25.400626728649687</v>
      </c>
      <c r="AC52" s="106">
        <v>13716.338433470832</v>
      </c>
      <c r="AD52" s="106">
        <v>25</v>
      </c>
      <c r="AE52" s="106">
        <v>13500</v>
      </c>
      <c r="AF52" s="106">
        <v>33</v>
      </c>
      <c r="AG52" s="106">
        <v>17820</v>
      </c>
      <c r="AH52" s="106">
        <v>26</v>
      </c>
      <c r="AI52" s="106">
        <v>14040</v>
      </c>
      <c r="AJ52" s="106">
        <v>38</v>
      </c>
      <c r="AK52" s="106">
        <v>20520</v>
      </c>
      <c r="AL52" s="106">
        <v>22</v>
      </c>
      <c r="AM52" s="106">
        <v>11880</v>
      </c>
      <c r="AN52" s="106">
        <v>25</v>
      </c>
      <c r="AO52" s="106">
        <v>13500</v>
      </c>
      <c r="AP52" s="106">
        <v>22</v>
      </c>
      <c r="AQ52" s="106">
        <v>11880</v>
      </c>
      <c r="AR52" s="106">
        <v>9</v>
      </c>
      <c r="AS52" s="106">
        <v>4860</v>
      </c>
      <c r="AT52" s="106">
        <v>13</v>
      </c>
      <c r="AU52" s="106">
        <v>7020</v>
      </c>
      <c r="AV52" s="106">
        <v>9</v>
      </c>
      <c r="AW52" s="106">
        <v>4860</v>
      </c>
      <c r="AX52" s="106">
        <v>14</v>
      </c>
      <c r="AY52" s="106">
        <v>7560</v>
      </c>
      <c r="AZ52" s="106">
        <v>2.9666652163341261</v>
      </c>
      <c r="BA52" s="106">
        <v>1601.999216820428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11</v>
      </c>
      <c r="BI52" s="106">
        <v>5940</v>
      </c>
      <c r="BJ52" s="106">
        <v>13</v>
      </c>
      <c r="BK52" s="106">
        <v>7020</v>
      </c>
      <c r="BL52" s="106">
        <v>15</v>
      </c>
      <c r="BM52" s="106">
        <v>8100</v>
      </c>
      <c r="BN52" s="106">
        <v>16</v>
      </c>
      <c r="BO52" s="106">
        <v>8640</v>
      </c>
      <c r="BP52" s="106">
        <v>29</v>
      </c>
      <c r="BQ52" s="106">
        <v>15660</v>
      </c>
      <c r="BR52" s="106">
        <v>25</v>
      </c>
      <c r="BS52" s="106">
        <v>13500</v>
      </c>
      <c r="BT52" s="106">
        <v>20</v>
      </c>
      <c r="BU52" s="106">
        <v>10800</v>
      </c>
      <c r="BV52" s="106">
        <v>15</v>
      </c>
      <c r="BW52" s="106">
        <v>8100</v>
      </c>
      <c r="BX52" s="106">
        <v>10</v>
      </c>
      <c r="BY52" s="106">
        <v>5400</v>
      </c>
      <c r="BZ52" s="106">
        <v>10</v>
      </c>
      <c r="CA52" s="106">
        <v>5400</v>
      </c>
      <c r="CB52" s="106">
        <v>6.7852615727604375</v>
      </c>
      <c r="CC52" s="106">
        <v>3664.0412492906362</v>
      </c>
      <c r="CD52" s="106">
        <v>9.8526573141748663</v>
      </c>
      <c r="CE52" s="106">
        <v>5320.4349496544282</v>
      </c>
      <c r="CF52" s="106">
        <v>23.761097832188156</v>
      </c>
      <c r="CG52" s="106">
        <v>12830.992829381605</v>
      </c>
      <c r="CH52" s="106">
        <v>20.236440459611732</v>
      </c>
      <c r="CI52" s="106">
        <v>10927.677848190335</v>
      </c>
      <c r="CJ52" s="106">
        <v>21.873829274961608</v>
      </c>
      <c r="CK52" s="106">
        <v>11811.867808479268</v>
      </c>
      <c r="CL52" s="106">
        <v>18.422751600855516</v>
      </c>
      <c r="CM52" s="106">
        <v>9948.2858644619791</v>
      </c>
      <c r="CN52" s="106">
        <v>9.4333670725437244</v>
      </c>
      <c r="CO52" s="106">
        <v>5094.0182191736112</v>
      </c>
      <c r="CP52" s="106">
        <v>11.411616585378866</v>
      </c>
      <c r="CQ52" s="106">
        <v>6162.2729561045871</v>
      </c>
      <c r="CR52" s="106">
        <v>12.661443309127185</v>
      </c>
      <c r="CS52" s="106">
        <v>6837.1793869286794</v>
      </c>
      <c r="CT52" s="106">
        <v>9.9144934663918587</v>
      </c>
      <c r="CU52" s="106">
        <v>5353.8264718516039</v>
      </c>
    </row>
    <row r="53" spans="2:99" x14ac:dyDescent="0.2">
      <c r="C53" s="105" t="s">
        <v>218</v>
      </c>
      <c r="D53" s="106">
        <v>2.7353126065766284</v>
      </c>
      <c r="E53" s="106">
        <v>1112.7251683553725</v>
      </c>
      <c r="F53" s="106">
        <v>4.9479901979818131</v>
      </c>
      <c r="G53" s="106">
        <v>2012.8424125390015</v>
      </c>
      <c r="H53" s="106">
        <v>4.9657156888232779</v>
      </c>
      <c r="I53" s="106">
        <v>2020.0531422133095</v>
      </c>
      <c r="J53" s="106">
        <v>3.6837375807162633</v>
      </c>
      <c r="K53" s="106">
        <v>1498.5444478353759</v>
      </c>
      <c r="L53" s="106">
        <v>5.7822217119102293</v>
      </c>
      <c r="M53" s="106">
        <v>2352.2077924050814</v>
      </c>
      <c r="N53" s="106">
        <v>3.9641577697999941</v>
      </c>
      <c r="O53" s="106">
        <v>1612.6193807546376</v>
      </c>
      <c r="P53" s="106">
        <v>3.3726473172382145</v>
      </c>
      <c r="Q53" s="106">
        <v>1371.9929286525057</v>
      </c>
      <c r="R53" s="106">
        <v>4.6496888126977378</v>
      </c>
      <c r="S53" s="106">
        <v>1891.4934090054398</v>
      </c>
      <c r="T53" s="106">
        <v>5.0922881523257821</v>
      </c>
      <c r="U53" s="106">
        <v>2071.5428203661281</v>
      </c>
      <c r="V53" s="106">
        <v>3.4242973428545236</v>
      </c>
      <c r="W53" s="106">
        <v>1393.0041590732203</v>
      </c>
      <c r="X53" s="106">
        <v>4.0713529270909712</v>
      </c>
      <c r="Y53" s="106">
        <v>1656.2263707406071</v>
      </c>
      <c r="Z53" s="106">
        <v>4.6843345214088048</v>
      </c>
      <c r="AA53" s="106">
        <v>1905.5872833091018</v>
      </c>
      <c r="AB53" s="106">
        <v>22.860564055784717</v>
      </c>
      <c r="AC53" s="106">
        <v>9299.6774578932236</v>
      </c>
      <c r="AD53" s="106">
        <v>25</v>
      </c>
      <c r="AE53" s="106">
        <v>10170</v>
      </c>
      <c r="AF53" s="106">
        <v>30</v>
      </c>
      <c r="AG53" s="106">
        <v>12204</v>
      </c>
      <c r="AH53" s="106">
        <v>25</v>
      </c>
      <c r="AI53" s="106">
        <v>10170</v>
      </c>
      <c r="AJ53" s="106">
        <v>35</v>
      </c>
      <c r="AK53" s="106">
        <v>14238</v>
      </c>
      <c r="AL53" s="106">
        <v>21</v>
      </c>
      <c r="AM53" s="106">
        <v>8542.8000000000011</v>
      </c>
      <c r="AN53" s="106">
        <v>23</v>
      </c>
      <c r="AO53" s="106">
        <v>9356.4</v>
      </c>
      <c r="AP53" s="106">
        <v>22</v>
      </c>
      <c r="AQ53" s="106">
        <v>8949.6</v>
      </c>
      <c r="AR53" s="106">
        <v>10</v>
      </c>
      <c r="AS53" s="106">
        <v>4068</v>
      </c>
      <c r="AT53" s="106">
        <v>15</v>
      </c>
      <c r="AU53" s="106">
        <v>6102</v>
      </c>
      <c r="AV53" s="106">
        <v>10</v>
      </c>
      <c r="AW53" s="106">
        <v>4068</v>
      </c>
      <c r="AX53" s="106">
        <v>13</v>
      </c>
      <c r="AY53" s="106">
        <v>5288.4000000000005</v>
      </c>
      <c r="AZ53" s="106">
        <v>3.1644428974230676</v>
      </c>
      <c r="BA53" s="106">
        <v>1287.2953706717039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10</v>
      </c>
      <c r="BI53" s="106">
        <v>4068</v>
      </c>
      <c r="BJ53" s="106">
        <v>13</v>
      </c>
      <c r="BK53" s="106">
        <v>5288.4000000000005</v>
      </c>
      <c r="BL53" s="106">
        <v>16</v>
      </c>
      <c r="BM53" s="106">
        <v>6508.8</v>
      </c>
      <c r="BN53" s="106">
        <v>17</v>
      </c>
      <c r="BO53" s="106">
        <v>6915.6</v>
      </c>
      <c r="BP53" s="106">
        <v>28</v>
      </c>
      <c r="BQ53" s="106">
        <v>11390.4</v>
      </c>
      <c r="BR53" s="106">
        <v>26</v>
      </c>
      <c r="BS53" s="106">
        <v>10576.800000000001</v>
      </c>
      <c r="BT53" s="106">
        <v>24</v>
      </c>
      <c r="BU53" s="106">
        <v>9763.2000000000007</v>
      </c>
      <c r="BV53" s="106">
        <v>18</v>
      </c>
      <c r="BW53" s="106">
        <v>7322.4000000000005</v>
      </c>
      <c r="BX53" s="106">
        <v>10</v>
      </c>
      <c r="BY53" s="106">
        <v>4068</v>
      </c>
      <c r="BZ53" s="106">
        <v>10</v>
      </c>
      <c r="CA53" s="106">
        <v>4068</v>
      </c>
      <c r="CB53" s="106">
        <v>7.3507000371571412</v>
      </c>
      <c r="CC53" s="106">
        <v>2990.264775115525</v>
      </c>
      <c r="CD53" s="106">
        <v>10.556418550901641</v>
      </c>
      <c r="CE53" s="106">
        <v>4294.3510665067879</v>
      </c>
      <c r="CF53" s="106">
        <v>24.1005420869337</v>
      </c>
      <c r="CG53" s="106">
        <v>9804.1005209646301</v>
      </c>
      <c r="CH53" s="106">
        <v>18.850382893884902</v>
      </c>
      <c r="CI53" s="106">
        <v>7668.335761232378</v>
      </c>
      <c r="CJ53" s="106">
        <v>21.537308824577579</v>
      </c>
      <c r="CK53" s="106">
        <v>8761.3772298381591</v>
      </c>
      <c r="CL53" s="106">
        <v>18.740385249146129</v>
      </c>
      <c r="CM53" s="106">
        <v>7623.588719352646</v>
      </c>
      <c r="CN53" s="106">
        <v>10.612537956611691</v>
      </c>
      <c r="CO53" s="106">
        <v>4317.1804407496356</v>
      </c>
      <c r="CP53" s="106">
        <v>10.915459342536307</v>
      </c>
      <c r="CQ53" s="106">
        <v>4440.4088605437701</v>
      </c>
      <c r="CR53" s="106">
        <v>12.661443309127185</v>
      </c>
      <c r="CS53" s="106">
        <v>5150.6751381529384</v>
      </c>
      <c r="CT53" s="106">
        <v>9.9144934663918587</v>
      </c>
      <c r="CU53" s="106">
        <v>4033.2159421282081</v>
      </c>
    </row>
    <row r="54" spans="2:99" x14ac:dyDescent="0.2">
      <c r="C54" s="105" t="s">
        <v>219</v>
      </c>
      <c r="D54" s="106">
        <v>2.7353126065766284</v>
      </c>
      <c r="E54" s="106">
        <v>915.78266068185519</v>
      </c>
      <c r="F54" s="106">
        <v>5.3286048285957994</v>
      </c>
      <c r="G54" s="106">
        <v>1784.0168966138738</v>
      </c>
      <c r="H54" s="106">
        <v>4.9657156888232779</v>
      </c>
      <c r="I54" s="106">
        <v>1662.5216126180335</v>
      </c>
      <c r="J54" s="106">
        <v>4.0521113387878902</v>
      </c>
      <c r="K54" s="106">
        <v>1356.6468762261857</v>
      </c>
      <c r="L54" s="106">
        <v>5.7822217119102293</v>
      </c>
      <c r="M54" s="106">
        <v>1935.8878291475448</v>
      </c>
      <c r="N54" s="106">
        <v>4.57402819592307</v>
      </c>
      <c r="O54" s="106">
        <v>1531.3846399950439</v>
      </c>
      <c r="P54" s="106">
        <v>3.3726473172382145</v>
      </c>
      <c r="Q54" s="106">
        <v>1129.1623218113543</v>
      </c>
      <c r="R54" s="106">
        <v>4.6496888126977378</v>
      </c>
      <c r="S54" s="106">
        <v>1556.7158144912028</v>
      </c>
      <c r="T54" s="106">
        <v>5.0922881523257821</v>
      </c>
      <c r="U54" s="106">
        <v>1704.8980733986718</v>
      </c>
      <c r="V54" s="106">
        <v>3.5799472220751833</v>
      </c>
      <c r="W54" s="106">
        <v>1198.5663299507714</v>
      </c>
      <c r="X54" s="106">
        <v>4.767768559356532</v>
      </c>
      <c r="Y54" s="106">
        <v>1596.2489136725669</v>
      </c>
      <c r="Z54" s="106">
        <v>4.4140844528659899</v>
      </c>
      <c r="AA54" s="106">
        <v>1477.8354748195334</v>
      </c>
      <c r="AB54" s="106">
        <v>22.860564055784717</v>
      </c>
      <c r="AC54" s="106">
        <v>7653.7168458767237</v>
      </c>
      <c r="AD54" s="106">
        <v>26</v>
      </c>
      <c r="AE54" s="106">
        <v>8704.8000000000011</v>
      </c>
      <c r="AF54" s="106">
        <v>31</v>
      </c>
      <c r="AG54" s="106">
        <v>10378.800000000001</v>
      </c>
      <c r="AH54" s="106">
        <v>26</v>
      </c>
      <c r="AI54" s="106">
        <v>8704.8000000000011</v>
      </c>
      <c r="AJ54" s="106">
        <v>35</v>
      </c>
      <c r="AK54" s="106">
        <v>11718</v>
      </c>
      <c r="AL54" s="106">
        <v>25</v>
      </c>
      <c r="AM54" s="106">
        <v>8370</v>
      </c>
      <c r="AN54" s="106">
        <v>27</v>
      </c>
      <c r="AO54" s="106">
        <v>9039.6</v>
      </c>
      <c r="AP54" s="106">
        <v>24</v>
      </c>
      <c r="AQ54" s="106">
        <v>8035.2000000000007</v>
      </c>
      <c r="AR54" s="106">
        <v>10</v>
      </c>
      <c r="AS54" s="106">
        <v>3348</v>
      </c>
      <c r="AT54" s="106">
        <v>14</v>
      </c>
      <c r="AU54" s="106">
        <v>4687.2</v>
      </c>
      <c r="AV54" s="106">
        <v>10</v>
      </c>
      <c r="AW54" s="106">
        <v>3348</v>
      </c>
      <c r="AX54" s="106">
        <v>16</v>
      </c>
      <c r="AY54" s="106">
        <v>5356.8</v>
      </c>
      <c r="AZ54" s="106">
        <v>2.5711098541562425</v>
      </c>
      <c r="BA54" s="106">
        <v>860.80757917151004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11</v>
      </c>
      <c r="BI54" s="106">
        <v>3682.8</v>
      </c>
      <c r="BJ54" s="106">
        <v>14</v>
      </c>
      <c r="BK54" s="106">
        <v>4687.2</v>
      </c>
      <c r="BL54" s="106">
        <v>16</v>
      </c>
      <c r="BM54" s="106">
        <v>5356.8</v>
      </c>
      <c r="BN54" s="106">
        <v>17</v>
      </c>
      <c r="BO54" s="106">
        <v>5691.6</v>
      </c>
      <c r="BP54" s="106">
        <v>26</v>
      </c>
      <c r="BQ54" s="106">
        <v>8704.8000000000011</v>
      </c>
      <c r="BR54" s="106">
        <v>25</v>
      </c>
      <c r="BS54" s="106">
        <v>8370</v>
      </c>
      <c r="BT54" s="106">
        <v>22</v>
      </c>
      <c r="BU54" s="106">
        <v>7365.6</v>
      </c>
      <c r="BV54" s="106">
        <v>16</v>
      </c>
      <c r="BW54" s="106">
        <v>5356.8</v>
      </c>
      <c r="BX54" s="106">
        <v>11</v>
      </c>
      <c r="BY54" s="106">
        <v>3682.8</v>
      </c>
      <c r="BZ54" s="106">
        <v>10</v>
      </c>
      <c r="CA54" s="106">
        <v>3348</v>
      </c>
      <c r="CB54" s="106">
        <v>7.9161385015538439</v>
      </c>
      <c r="CC54" s="106">
        <v>2650.3231703202268</v>
      </c>
      <c r="CD54" s="106">
        <v>9.8526573141748663</v>
      </c>
      <c r="CE54" s="106">
        <v>3298.6696687857452</v>
      </c>
      <c r="CF54" s="106">
        <v>23.761097832188156</v>
      </c>
      <c r="CG54" s="106">
        <v>7955.2155542165947</v>
      </c>
      <c r="CH54" s="106">
        <v>19.682017433321001</v>
      </c>
      <c r="CI54" s="106">
        <v>6589.539436675871</v>
      </c>
      <c r="CJ54" s="106">
        <v>23.219911076497702</v>
      </c>
      <c r="CK54" s="106">
        <v>7774.0262284114306</v>
      </c>
      <c r="CL54" s="106">
        <v>16.516949711111842</v>
      </c>
      <c r="CM54" s="106">
        <v>5529.8747632802451</v>
      </c>
      <c r="CN54" s="106">
        <v>10.022952514577709</v>
      </c>
      <c r="CO54" s="106">
        <v>3355.6845018806171</v>
      </c>
      <c r="CP54" s="106">
        <v>12.403931071063985</v>
      </c>
      <c r="CQ54" s="106">
        <v>4152.8361225922226</v>
      </c>
      <c r="CR54" s="106">
        <v>11.687486131502016</v>
      </c>
      <c r="CS54" s="106">
        <v>3912.9703568268751</v>
      </c>
      <c r="CT54" s="106">
        <v>10.53414930804135</v>
      </c>
      <c r="CU54" s="106">
        <v>3526.8331883322439</v>
      </c>
    </row>
    <row r="55" spans="2:99" x14ac:dyDescent="0.2">
      <c r="C55" s="105" t="s">
        <v>220</v>
      </c>
      <c r="D55" s="106">
        <v>3.0392362295295872</v>
      </c>
      <c r="E55" s="106">
        <v>2016.837161915834</v>
      </c>
      <c r="F55" s="106">
        <v>5.7092194592097849</v>
      </c>
      <c r="G55" s="106">
        <v>3788.6380331316136</v>
      </c>
      <c r="H55" s="106">
        <v>4.9657156888232779</v>
      </c>
      <c r="I55" s="106">
        <v>3295.2489311031272</v>
      </c>
      <c r="J55" s="106">
        <v>3.6837375807162633</v>
      </c>
      <c r="K55" s="106">
        <v>2444.5282585633126</v>
      </c>
      <c r="L55" s="106">
        <v>5.4208328549158402</v>
      </c>
      <c r="M55" s="106">
        <v>3597.2646825221518</v>
      </c>
      <c r="N55" s="106">
        <v>4.2690929828615323</v>
      </c>
      <c r="O55" s="106">
        <v>2832.9701034269128</v>
      </c>
      <c r="P55" s="106">
        <v>3.0353825855143932</v>
      </c>
      <c r="Q55" s="106">
        <v>2014.2798837473515</v>
      </c>
      <c r="R55" s="106">
        <v>4.6496888126977378</v>
      </c>
      <c r="S55" s="106">
        <v>3085.533496106219</v>
      </c>
      <c r="T55" s="106">
        <v>4.2523230962720451</v>
      </c>
      <c r="U55" s="106">
        <v>2821.8416066861291</v>
      </c>
      <c r="V55" s="106">
        <v>2.7498145328983292</v>
      </c>
      <c r="W55" s="106">
        <v>1824.7769240313314</v>
      </c>
      <c r="X55" s="106">
        <v>3.7499303275837885</v>
      </c>
      <c r="Y55" s="106">
        <v>2488.4537653846023</v>
      </c>
      <c r="Z55" s="106">
        <v>3.8285426376898886</v>
      </c>
      <c r="AA55" s="106">
        <v>2540.6208943710103</v>
      </c>
      <c r="AB55" s="106">
        <v>22.013876498163061</v>
      </c>
      <c r="AC55" s="106">
        <v>14608.408444181008</v>
      </c>
      <c r="AD55" s="106">
        <v>21</v>
      </c>
      <c r="AE55" s="106">
        <v>13935.6</v>
      </c>
      <c r="AF55" s="106">
        <v>34</v>
      </c>
      <c r="AG55" s="106">
        <v>22562.400000000001</v>
      </c>
      <c r="AH55" s="106">
        <v>24</v>
      </c>
      <c r="AI55" s="106">
        <v>15926.400000000001</v>
      </c>
      <c r="AJ55" s="106">
        <v>36</v>
      </c>
      <c r="AK55" s="106">
        <v>23889.600000000002</v>
      </c>
      <c r="AL55" s="106">
        <v>22</v>
      </c>
      <c r="AM55" s="106">
        <v>14599.2</v>
      </c>
      <c r="AN55" s="106">
        <v>24</v>
      </c>
      <c r="AO55" s="106">
        <v>15926.400000000001</v>
      </c>
      <c r="AP55" s="106">
        <v>22</v>
      </c>
      <c r="AQ55" s="106">
        <v>14599.2</v>
      </c>
      <c r="AR55" s="106">
        <v>10</v>
      </c>
      <c r="AS55" s="106">
        <v>6636</v>
      </c>
      <c r="AT55" s="106">
        <v>13</v>
      </c>
      <c r="AU55" s="106">
        <v>8626.8000000000011</v>
      </c>
      <c r="AV55" s="106">
        <v>10</v>
      </c>
      <c r="AW55" s="106">
        <v>6636</v>
      </c>
      <c r="AX55" s="106">
        <v>15</v>
      </c>
      <c r="AY55" s="106">
        <v>9954</v>
      </c>
      <c r="AZ55" s="106">
        <v>2.7688875352451841</v>
      </c>
      <c r="BA55" s="106">
        <v>1837.4337683887043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11</v>
      </c>
      <c r="BI55" s="106">
        <v>7299.6</v>
      </c>
      <c r="BJ55" s="106">
        <v>14</v>
      </c>
      <c r="BK55" s="106">
        <v>9290.4</v>
      </c>
      <c r="BL55" s="106">
        <v>17</v>
      </c>
      <c r="BM55" s="106">
        <v>11281.2</v>
      </c>
      <c r="BN55" s="106">
        <v>15</v>
      </c>
      <c r="BO55" s="106">
        <v>9954</v>
      </c>
      <c r="BP55" s="106">
        <v>27</v>
      </c>
      <c r="BQ55" s="106">
        <v>17917.2</v>
      </c>
      <c r="BR55" s="106">
        <v>23</v>
      </c>
      <c r="BS55" s="106">
        <v>15262.800000000001</v>
      </c>
      <c r="BT55" s="106">
        <v>20</v>
      </c>
      <c r="BU55" s="106">
        <v>13272</v>
      </c>
      <c r="BV55" s="106">
        <v>14</v>
      </c>
      <c r="BW55" s="106">
        <v>9290.4</v>
      </c>
      <c r="BX55" s="106">
        <v>10</v>
      </c>
      <c r="BY55" s="106">
        <v>6636</v>
      </c>
      <c r="BZ55" s="106">
        <v>10</v>
      </c>
      <c r="CA55" s="106">
        <v>6636</v>
      </c>
      <c r="CB55" s="106">
        <v>6.2198231083637356</v>
      </c>
      <c r="CC55" s="106">
        <v>4127.474614710175</v>
      </c>
      <c r="CD55" s="106">
        <v>9.1488960774480894</v>
      </c>
      <c r="CE55" s="106">
        <v>6071.2074369945522</v>
      </c>
      <c r="CF55" s="106">
        <v>23.082209322697064</v>
      </c>
      <c r="CG55" s="106">
        <v>15317.354106541772</v>
      </c>
      <c r="CH55" s="106">
        <v>17.187113815012705</v>
      </c>
      <c r="CI55" s="106">
        <v>11405.368727642432</v>
      </c>
      <c r="CJ55" s="106">
        <v>19.181665671889405</v>
      </c>
      <c r="CK55" s="106">
        <v>12728.95333986581</v>
      </c>
      <c r="CL55" s="106">
        <v>15.564048766240006</v>
      </c>
      <c r="CM55" s="106">
        <v>10328.302761276869</v>
      </c>
      <c r="CN55" s="106">
        <v>9.4333670725437244</v>
      </c>
      <c r="CO55" s="106">
        <v>6259.9823893400153</v>
      </c>
      <c r="CP55" s="106">
        <v>11.411616585378866</v>
      </c>
      <c r="CQ55" s="106">
        <v>7572.7487660574152</v>
      </c>
      <c r="CR55" s="106">
        <v>12.174464720314599</v>
      </c>
      <c r="CS55" s="106">
        <v>8078.9747884007684</v>
      </c>
      <c r="CT55" s="106">
        <v>9.9144934663918587</v>
      </c>
      <c r="CU55" s="106">
        <v>6579.2578642976378</v>
      </c>
    </row>
    <row r="56" spans="2:99" x14ac:dyDescent="0.2">
      <c r="C56" s="105" t="s">
        <v>221</v>
      </c>
      <c r="D56" s="106">
        <v>4.7505154448265872</v>
      </c>
      <c r="E56" s="106">
        <v>5466.8931739064365</v>
      </c>
      <c r="F56" s="106">
        <v>5.8642407261042342</v>
      </c>
      <c r="G56" s="106">
        <v>6748.5682276007528</v>
      </c>
      <c r="H56" s="106">
        <v>7.984704747668121</v>
      </c>
      <c r="I56" s="106">
        <v>9188.7982236164735</v>
      </c>
      <c r="J56" s="106">
        <v>3.940304835218126</v>
      </c>
      <c r="K56" s="106">
        <v>4534.502804369019</v>
      </c>
      <c r="L56" s="106">
        <v>3.1711058146831106</v>
      </c>
      <c r="M56" s="106">
        <v>3649.3085715373236</v>
      </c>
      <c r="N56" s="106">
        <v>3.1974190945986241</v>
      </c>
      <c r="O56" s="106">
        <v>3679.5898940640964</v>
      </c>
      <c r="P56" s="106">
        <v>3.0845102328206102</v>
      </c>
      <c r="Q56" s="106">
        <v>3549.654375929958</v>
      </c>
      <c r="R56" s="106">
        <v>3.1481895208561088</v>
      </c>
      <c r="S56" s="106">
        <v>3622.9365006012099</v>
      </c>
      <c r="T56" s="106">
        <v>1.9512060535064708</v>
      </c>
      <c r="U56" s="106">
        <v>2245.4479263752464</v>
      </c>
      <c r="V56" s="106">
        <v>1.9062320070887713</v>
      </c>
      <c r="W56" s="106">
        <v>2193.6917937577578</v>
      </c>
      <c r="X56" s="106">
        <v>2.2696324855115124</v>
      </c>
      <c r="Y56" s="106">
        <v>2611.8930643266485</v>
      </c>
      <c r="Z56" s="106">
        <v>2.3846474175538406</v>
      </c>
      <c r="AA56" s="106">
        <v>2744.2522481209598</v>
      </c>
      <c r="AB56" s="106">
        <v>12.622515764961138</v>
      </c>
      <c r="AC56" s="106">
        <v>14525.991142317276</v>
      </c>
      <c r="AD56" s="106">
        <v>11.936475845627772</v>
      </c>
      <c r="AE56" s="106">
        <v>13736.49640314844</v>
      </c>
      <c r="AF56" s="106">
        <v>14.617346288960174</v>
      </c>
      <c r="AG56" s="106">
        <v>16821.642109335367</v>
      </c>
      <c r="AH56" s="106">
        <v>10.367347334372457</v>
      </c>
      <c r="AI56" s="106">
        <v>11930.743312395824</v>
      </c>
      <c r="AJ56" s="106">
        <v>12.39656243056892</v>
      </c>
      <c r="AK56" s="106">
        <v>14265.964045098714</v>
      </c>
      <c r="AL56" s="106">
        <v>9.2408483634723577</v>
      </c>
      <c r="AM56" s="106">
        <v>10634.36829668399</v>
      </c>
      <c r="AN56" s="106">
        <v>8.1024260926962377</v>
      </c>
      <c r="AO56" s="106">
        <v>9324.2719474748301</v>
      </c>
      <c r="AP56" s="106">
        <v>8.4007712395203242</v>
      </c>
      <c r="AQ56" s="106">
        <v>9667.6075424399896</v>
      </c>
      <c r="AR56" s="106">
        <v>2.7297538654353244</v>
      </c>
      <c r="AS56" s="106">
        <v>3141.4007483429714</v>
      </c>
      <c r="AT56" s="106">
        <v>4.4075601714387016</v>
      </c>
      <c r="AU56" s="106">
        <v>5072.2202452916572</v>
      </c>
      <c r="AV56" s="106">
        <v>2.938928800762755</v>
      </c>
      <c r="AW56" s="106">
        <v>3382.1192639177784</v>
      </c>
      <c r="AX56" s="106">
        <v>3.8364298526337182</v>
      </c>
      <c r="AY56" s="106">
        <v>4414.9634744108826</v>
      </c>
      <c r="AZ56" s="106">
        <v>11.375450456824513</v>
      </c>
      <c r="BA56" s="106">
        <v>13090.868385713649</v>
      </c>
      <c r="BB56" s="106">
        <v>11.850273946875001</v>
      </c>
      <c r="BC56" s="106">
        <v>13637.29525806375</v>
      </c>
      <c r="BD56" s="106">
        <v>11.596598357798165</v>
      </c>
      <c r="BE56" s="106">
        <v>13345.365390154127</v>
      </c>
      <c r="BF56" s="106">
        <v>8.5215453101123604</v>
      </c>
      <c r="BG56" s="106">
        <v>9806.5943428773044</v>
      </c>
      <c r="BH56" s="106">
        <v>8.0344028912205747</v>
      </c>
      <c r="BI56" s="106">
        <v>9245.9908472166371</v>
      </c>
      <c r="BJ56" s="106">
        <v>8.9089727029208436</v>
      </c>
      <c r="BK56" s="106">
        <v>10252.445786521306</v>
      </c>
      <c r="BL56" s="106">
        <v>14.762478661985973</v>
      </c>
      <c r="BM56" s="106">
        <v>16988.660444213456</v>
      </c>
      <c r="BN56" s="106">
        <v>12.347349228532234</v>
      </c>
      <c r="BO56" s="106">
        <v>14209.329492194895</v>
      </c>
      <c r="BP56" s="106">
        <v>20.855091130158701</v>
      </c>
      <c r="BQ56" s="106">
        <v>24000.038872586632</v>
      </c>
      <c r="BR56" s="106">
        <v>19.503372260611375</v>
      </c>
      <c r="BS56" s="106">
        <v>22444.480797511569</v>
      </c>
      <c r="BT56" s="106">
        <v>16.328404683302548</v>
      </c>
      <c r="BU56" s="106">
        <v>18790.728109544572</v>
      </c>
      <c r="BV56" s="106">
        <v>11.447631544271895</v>
      </c>
      <c r="BW56" s="106">
        <v>13173.934381148096</v>
      </c>
      <c r="BX56" s="106">
        <v>2.341824794963316</v>
      </c>
      <c r="BY56" s="106">
        <v>2694.971974043784</v>
      </c>
      <c r="BZ56" s="106">
        <v>2.1138050122958352</v>
      </c>
      <c r="CA56" s="106">
        <v>2432.5668081500471</v>
      </c>
      <c r="CB56" s="106">
        <v>2.4462084583047043</v>
      </c>
      <c r="CC56" s="106">
        <v>2815.0966938170536</v>
      </c>
      <c r="CD56" s="106">
        <v>2.8909736325419231</v>
      </c>
      <c r="CE56" s="106">
        <v>3326.9324563292448</v>
      </c>
      <c r="CF56" s="106">
        <v>20.889502122547935</v>
      </c>
      <c r="CG56" s="106">
        <v>24039.639042628161</v>
      </c>
      <c r="CH56" s="106">
        <v>21.230578191152649</v>
      </c>
      <c r="CI56" s="106">
        <v>24432.149382378466</v>
      </c>
      <c r="CJ56" s="106">
        <v>19.84450866649194</v>
      </c>
      <c r="CK56" s="106">
        <v>22837.060573398925</v>
      </c>
      <c r="CL56" s="106">
        <v>18.393830036857</v>
      </c>
      <c r="CM56" s="106">
        <v>21167.619606415035</v>
      </c>
      <c r="CN56" s="106">
        <v>7.1381687553971602</v>
      </c>
      <c r="CO56" s="106">
        <v>8214.6046037110518</v>
      </c>
      <c r="CP56" s="106">
        <v>9.8078152025712981</v>
      </c>
      <c r="CQ56" s="106">
        <v>11286.833735119049</v>
      </c>
      <c r="CR56" s="106">
        <v>12.887313907336431</v>
      </c>
      <c r="CS56" s="106">
        <v>14830.720844562764</v>
      </c>
      <c r="CT56" s="106">
        <v>6.2855122338750888</v>
      </c>
      <c r="CU56" s="106">
        <v>7233.367478743452</v>
      </c>
    </row>
    <row r="57" spans="2:99" x14ac:dyDescent="0.2">
      <c r="C57" s="105" t="s">
        <v>222</v>
      </c>
      <c r="D57" s="106">
        <v>2.4313889836236697</v>
      </c>
      <c r="E57" s="106">
        <v>3431.176133689723</v>
      </c>
      <c r="F57" s="106">
        <v>4.5673755673678276</v>
      </c>
      <c r="G57" s="106">
        <v>6445.4804006694785</v>
      </c>
      <c r="H57" s="106">
        <v>4.0346439971689136</v>
      </c>
      <c r="I57" s="106">
        <v>5693.6896088047715</v>
      </c>
      <c r="J57" s="106">
        <v>3.6837375807162633</v>
      </c>
      <c r="K57" s="106">
        <v>5198.4904739067906</v>
      </c>
      <c r="L57" s="106">
        <v>5.0594439979214512</v>
      </c>
      <c r="M57" s="106">
        <v>7139.8873698667521</v>
      </c>
      <c r="N57" s="106">
        <v>3.659222556738456</v>
      </c>
      <c r="O57" s="106">
        <v>5163.8948720693088</v>
      </c>
      <c r="P57" s="106">
        <v>2.6981178537905719</v>
      </c>
      <c r="Q57" s="106">
        <v>3807.5839152692552</v>
      </c>
      <c r="R57" s="106">
        <v>4.2622147449729253</v>
      </c>
      <c r="S57" s="106">
        <v>6014.8374481057926</v>
      </c>
      <c r="T57" s="106">
        <v>3.7273449362384596</v>
      </c>
      <c r="U57" s="106">
        <v>5260.0291740197144</v>
      </c>
      <c r="V57" s="106">
        <v>2.3866314813834553</v>
      </c>
      <c r="W57" s="106">
        <v>3368.0143465283322</v>
      </c>
      <c r="X57" s="106">
        <v>3.8035007608349862</v>
      </c>
      <c r="Y57" s="106">
        <v>5367.5002736903325</v>
      </c>
      <c r="Z57" s="106">
        <v>3.6033342472375427</v>
      </c>
      <c r="AA57" s="106">
        <v>5085.0252897016207</v>
      </c>
      <c r="AB57" s="106">
        <v>19.473813825298091</v>
      </c>
      <c r="AC57" s="106">
        <v>27481.446070260667</v>
      </c>
      <c r="AD57" s="106">
        <v>19</v>
      </c>
      <c r="AE57" s="106">
        <v>26812.799999999999</v>
      </c>
      <c r="AF57" s="106">
        <v>30</v>
      </c>
      <c r="AG57" s="106">
        <v>42336</v>
      </c>
      <c r="AH57" s="106">
        <v>23</v>
      </c>
      <c r="AI57" s="106">
        <v>32457.600000000002</v>
      </c>
      <c r="AJ57" s="106">
        <v>33</v>
      </c>
      <c r="AK57" s="106">
        <v>46569.599999999999</v>
      </c>
      <c r="AL57" s="106">
        <v>20</v>
      </c>
      <c r="AM57" s="106">
        <v>28224</v>
      </c>
      <c r="AN57" s="106">
        <v>23</v>
      </c>
      <c r="AO57" s="106">
        <v>32457.600000000002</v>
      </c>
      <c r="AP57" s="106">
        <v>21</v>
      </c>
      <c r="AQ57" s="106">
        <v>29635.200000000001</v>
      </c>
      <c r="AR57" s="106">
        <v>8</v>
      </c>
      <c r="AS57" s="106">
        <v>11289.6</v>
      </c>
      <c r="AT57" s="106">
        <v>12</v>
      </c>
      <c r="AU57" s="106">
        <v>16934.400000000001</v>
      </c>
      <c r="AV57" s="106">
        <v>9</v>
      </c>
      <c r="AW57" s="106">
        <v>12700.800000000001</v>
      </c>
      <c r="AX57" s="106">
        <v>13</v>
      </c>
      <c r="AY57" s="106">
        <v>18345.600000000002</v>
      </c>
      <c r="AZ57" s="106">
        <v>2.7688875352451841</v>
      </c>
      <c r="BA57" s="106">
        <v>3907.4540897380039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10</v>
      </c>
      <c r="BI57" s="106">
        <v>14112</v>
      </c>
      <c r="BJ57" s="106">
        <v>12</v>
      </c>
      <c r="BK57" s="106">
        <v>16934.400000000001</v>
      </c>
      <c r="BL57" s="106">
        <v>15</v>
      </c>
      <c r="BM57" s="106">
        <v>21168</v>
      </c>
      <c r="BN57" s="106">
        <v>14</v>
      </c>
      <c r="BO57" s="106">
        <v>19756.8</v>
      </c>
      <c r="BP57" s="106">
        <v>26</v>
      </c>
      <c r="BQ57" s="106">
        <v>36691.200000000004</v>
      </c>
      <c r="BR57" s="106">
        <v>23</v>
      </c>
      <c r="BS57" s="106">
        <v>32457.600000000002</v>
      </c>
      <c r="BT57" s="106">
        <v>20</v>
      </c>
      <c r="BU57" s="106">
        <v>28224</v>
      </c>
      <c r="BV57" s="106">
        <v>13</v>
      </c>
      <c r="BW57" s="106">
        <v>18345.600000000002</v>
      </c>
      <c r="BX57" s="106">
        <v>10</v>
      </c>
      <c r="BY57" s="106">
        <v>14112</v>
      </c>
      <c r="BZ57" s="106">
        <v>8</v>
      </c>
      <c r="CA57" s="106">
        <v>11289.6</v>
      </c>
      <c r="CB57" s="106">
        <v>6.7852615727604375</v>
      </c>
      <c r="CC57" s="106">
        <v>9575.3611314795289</v>
      </c>
      <c r="CD57" s="106">
        <v>8.4451348407213143</v>
      </c>
      <c r="CE57" s="106">
        <v>11917.774287225919</v>
      </c>
      <c r="CF57" s="106">
        <v>21.38498804896934</v>
      </c>
      <c r="CG57" s="106">
        <v>30178.495134705536</v>
      </c>
      <c r="CH57" s="106">
        <v>15.523844736140505</v>
      </c>
      <c r="CI57" s="106">
        <v>21907.249691641482</v>
      </c>
      <c r="CJ57" s="106">
        <v>16.48950206881721</v>
      </c>
      <c r="CK57" s="106">
        <v>23269.985319514846</v>
      </c>
      <c r="CL57" s="106">
        <v>13.975880524786943</v>
      </c>
      <c r="CM57" s="106">
        <v>19722.762596579334</v>
      </c>
      <c r="CN57" s="106">
        <v>8.2541961884757598</v>
      </c>
      <c r="CO57" s="106">
        <v>11648.321661176993</v>
      </c>
      <c r="CP57" s="106">
        <v>10.419302099693747</v>
      </c>
      <c r="CQ57" s="106">
        <v>14703.719123087816</v>
      </c>
      <c r="CR57" s="106">
        <v>11.687486131502016</v>
      </c>
      <c r="CS57" s="106">
        <v>16493.380428775647</v>
      </c>
      <c r="CT57" s="106">
        <v>8.6751817830928761</v>
      </c>
      <c r="CU57" s="106">
        <v>12242.416532300667</v>
      </c>
    </row>
    <row r="58" spans="2:99" x14ac:dyDescent="0.2">
      <c r="C58" s="105" t="s">
        <v>223</v>
      </c>
      <c r="D58" s="106">
        <v>4.2226803954014098</v>
      </c>
      <c r="E58" s="106">
        <v>4970.9393614665396</v>
      </c>
      <c r="F58" s="106">
        <v>5.8642407261042342</v>
      </c>
      <c r="G58" s="106">
        <v>6903.3841827699043</v>
      </c>
      <c r="H58" s="106">
        <v>7.4856607009388645</v>
      </c>
      <c r="I58" s="106">
        <v>8812.1197771452316</v>
      </c>
      <c r="J58" s="106">
        <v>3.940304835218126</v>
      </c>
      <c r="K58" s="106">
        <v>4638.5268520187783</v>
      </c>
      <c r="L58" s="106">
        <v>3.6589682477112815</v>
      </c>
      <c r="M58" s="106">
        <v>4307.3374212057206</v>
      </c>
      <c r="N58" s="106">
        <v>3.1974190945986241</v>
      </c>
      <c r="O58" s="106">
        <v>3764.0017581615002</v>
      </c>
      <c r="P58" s="106">
        <v>2.7417868736183202</v>
      </c>
      <c r="Q58" s="106">
        <v>3227.6315076234869</v>
      </c>
      <c r="R58" s="106">
        <v>3.4343885682066646</v>
      </c>
      <c r="S58" s="106">
        <v>4042.9622224928858</v>
      </c>
      <c r="T58" s="106">
        <v>1.8571720268314602</v>
      </c>
      <c r="U58" s="106">
        <v>2186.2629099859951</v>
      </c>
      <c r="V58" s="106">
        <v>1.7019928634721173</v>
      </c>
      <c r="W58" s="106">
        <v>2003.5859988793766</v>
      </c>
      <c r="X58" s="106">
        <v>2.1485854196175653</v>
      </c>
      <c r="Y58" s="106">
        <v>2529.3147559737981</v>
      </c>
      <c r="Z58" s="106">
        <v>2.6633724403848089</v>
      </c>
      <c r="AA58" s="106">
        <v>3135.3220368209973</v>
      </c>
      <c r="AB58" s="106">
        <v>13.674392078707898</v>
      </c>
      <c r="AC58" s="106">
        <v>16097.494355054938</v>
      </c>
      <c r="AD58" s="106">
        <v>11.417498634948304</v>
      </c>
      <c r="AE58" s="106">
        <v>13440.679393061144</v>
      </c>
      <c r="AF58" s="106">
        <v>15.661442452457328</v>
      </c>
      <c r="AG58" s="106">
        <v>18436.650055032766</v>
      </c>
      <c r="AH58" s="106">
        <v>10.367347334372457</v>
      </c>
      <c r="AI58" s="106">
        <v>12204.441282023257</v>
      </c>
      <c r="AJ58" s="106">
        <v>12.796451541232436</v>
      </c>
      <c r="AK58" s="106">
        <v>15063.982754338824</v>
      </c>
      <c r="AL58" s="106">
        <v>8.4007712395203242</v>
      </c>
      <c r="AM58" s="106">
        <v>9889.387903163326</v>
      </c>
      <c r="AN58" s="106">
        <v>7.7648250055005619</v>
      </c>
      <c r="AO58" s="106">
        <v>9140.751996475261</v>
      </c>
      <c r="AP58" s="106">
        <v>9.6608869254483718</v>
      </c>
      <c r="AQ58" s="106">
        <v>11372.796088637824</v>
      </c>
      <c r="AR58" s="106">
        <v>3.0709730986147403</v>
      </c>
      <c r="AS58" s="106">
        <v>3615.1495316892724</v>
      </c>
      <c r="AT58" s="106">
        <v>4.0685170813280314</v>
      </c>
      <c r="AU58" s="106">
        <v>4789.4583081393585</v>
      </c>
      <c r="AV58" s="106">
        <v>2.938928800762755</v>
      </c>
      <c r="AW58" s="106">
        <v>3459.7069842579153</v>
      </c>
      <c r="AX58" s="106">
        <v>3.5623991488741664</v>
      </c>
      <c r="AY58" s="106">
        <v>4193.6562780546692</v>
      </c>
      <c r="AZ58" s="106">
        <v>10.562918281337048</v>
      </c>
      <c r="BA58" s="106">
        <v>12434.667400789973</v>
      </c>
      <c r="BB58" s="106">
        <v>10.9387144125</v>
      </c>
      <c r="BC58" s="106">
        <v>12877.054606395001</v>
      </c>
      <c r="BD58" s="106">
        <v>10.704552330275229</v>
      </c>
      <c r="BE58" s="106">
        <v>12601.3990032</v>
      </c>
      <c r="BF58" s="106">
        <v>9.8325522808988755</v>
      </c>
      <c r="BG58" s="106">
        <v>11574.880545074157</v>
      </c>
      <c r="BH58" s="106">
        <v>7.2309626020985176</v>
      </c>
      <c r="BI58" s="106">
        <v>8512.2891751903753</v>
      </c>
      <c r="BJ58" s="106">
        <v>9.7188793122772825</v>
      </c>
      <c r="BK58" s="106">
        <v>11441.064726412817</v>
      </c>
      <c r="BL58" s="106">
        <v>13.778313417853573</v>
      </c>
      <c r="BM58" s="106">
        <v>16219.830555497227</v>
      </c>
      <c r="BN58" s="106">
        <v>12.347349228532234</v>
      </c>
      <c r="BO58" s="106">
        <v>14535.299511828147</v>
      </c>
      <c r="BP58" s="106">
        <v>22.59301539100526</v>
      </c>
      <c r="BQ58" s="106">
        <v>26596.497718291394</v>
      </c>
      <c r="BR58" s="106">
        <v>19.503372260611375</v>
      </c>
      <c r="BS58" s="106">
        <v>22959.369825191712</v>
      </c>
      <c r="BT58" s="106">
        <v>17.144824917467677</v>
      </c>
      <c r="BU58" s="106">
        <v>20182.887892842951</v>
      </c>
      <c r="BV58" s="106">
        <v>11.447631544271895</v>
      </c>
      <c r="BW58" s="106">
        <v>13476.151853916876</v>
      </c>
      <c r="BX58" s="106">
        <v>2.9272809937041449</v>
      </c>
      <c r="BY58" s="106">
        <v>3445.9951857885194</v>
      </c>
      <c r="BZ58" s="106">
        <v>2.3780306388328145</v>
      </c>
      <c r="CA58" s="106">
        <v>2799.4176680339892</v>
      </c>
      <c r="CB58" s="106">
        <v>2.6685910454233137</v>
      </c>
      <c r="CC58" s="106">
        <v>3141.4653786723252</v>
      </c>
      <c r="CD58" s="106">
        <v>2.8909736325419231</v>
      </c>
      <c r="CE58" s="106">
        <v>3403.2541602283518</v>
      </c>
      <c r="CF58" s="106">
        <v>19.925371255353415</v>
      </c>
      <c r="CG58" s="106">
        <v>23456.14704180204</v>
      </c>
      <c r="CH58" s="106">
        <v>18.378709478908267</v>
      </c>
      <c r="CI58" s="106">
        <v>21635.416798570812</v>
      </c>
      <c r="CJ58" s="106">
        <v>19.455400653423471</v>
      </c>
      <c r="CK58" s="106">
        <v>22902.89764921011</v>
      </c>
      <c r="CL58" s="106">
        <v>16.892292890991126</v>
      </c>
      <c r="CM58" s="106">
        <v>19885.607191274754</v>
      </c>
      <c r="CN58" s="106">
        <v>6.2458976609725152</v>
      </c>
      <c r="CO58" s="106">
        <v>7352.6707264968454</v>
      </c>
      <c r="CP58" s="106">
        <v>9.3813884546334165</v>
      </c>
      <c r="CQ58" s="106">
        <v>11043.770488794458</v>
      </c>
      <c r="CR58" s="106">
        <v>12.32699591136528</v>
      </c>
      <c r="CS58" s="106">
        <v>14511.339586859209</v>
      </c>
      <c r="CT58" s="106">
        <v>7.183442553000102</v>
      </c>
      <c r="CU58" s="106">
        <v>8456.3485733917205</v>
      </c>
    </row>
    <row r="59" spans="2:99" x14ac:dyDescent="0.2">
      <c r="C59" s="105" t="s">
        <v>224</v>
      </c>
      <c r="D59" s="106">
        <v>2.7353126065766284</v>
      </c>
      <c r="E59" s="106">
        <v>830.4409073566643</v>
      </c>
      <c r="F59" s="106">
        <v>5.3286048285957994</v>
      </c>
      <c r="G59" s="106">
        <v>1617.7644259616845</v>
      </c>
      <c r="H59" s="106">
        <v>4.9657156888232779</v>
      </c>
      <c r="I59" s="106">
        <v>1507.5912831267469</v>
      </c>
      <c r="J59" s="106">
        <v>3.6837375807162633</v>
      </c>
      <c r="K59" s="106">
        <v>1118.3827295054575</v>
      </c>
      <c r="L59" s="106">
        <v>5.4208328549158402</v>
      </c>
      <c r="M59" s="106">
        <v>1645.7648547524489</v>
      </c>
      <c r="N59" s="106">
        <v>4.57402819592307</v>
      </c>
      <c r="O59" s="106">
        <v>1388.674960282244</v>
      </c>
      <c r="P59" s="106">
        <v>3.7099120489620363</v>
      </c>
      <c r="Q59" s="106">
        <v>1126.3292980648741</v>
      </c>
      <c r="R59" s="106">
        <v>5.0371628804225486</v>
      </c>
      <c r="S59" s="106">
        <v>1529.2826504962857</v>
      </c>
      <c r="T59" s="106">
        <v>4.8297990723089894</v>
      </c>
      <c r="U59" s="106">
        <v>1466.326998353009</v>
      </c>
      <c r="V59" s="106">
        <v>3.0092309982660961</v>
      </c>
      <c r="W59" s="106">
        <v>913.60253107358665</v>
      </c>
      <c r="X59" s="106">
        <v>4.7141981261053347</v>
      </c>
      <c r="Y59" s="106">
        <v>1431.2305510855795</v>
      </c>
      <c r="Z59" s="106">
        <v>4.2789594185945807</v>
      </c>
      <c r="AA59" s="106">
        <v>1299.0920794853146</v>
      </c>
      <c r="AB59" s="106">
        <v>27.094001843892997</v>
      </c>
      <c r="AC59" s="106">
        <v>8225.7389598059126</v>
      </c>
      <c r="AD59" s="106">
        <v>25</v>
      </c>
      <c r="AE59" s="106">
        <v>7589.9999999999991</v>
      </c>
      <c r="AF59" s="106">
        <v>31</v>
      </c>
      <c r="AG59" s="106">
        <v>9411.5999999999985</v>
      </c>
      <c r="AH59" s="106">
        <v>25</v>
      </c>
      <c r="AI59" s="106">
        <v>7589.9999999999991</v>
      </c>
      <c r="AJ59" s="106">
        <v>35</v>
      </c>
      <c r="AK59" s="106">
        <v>10625.999999999998</v>
      </c>
      <c r="AL59" s="106">
        <v>25</v>
      </c>
      <c r="AM59" s="106">
        <v>7589.9999999999991</v>
      </c>
      <c r="AN59" s="106">
        <v>28</v>
      </c>
      <c r="AO59" s="106">
        <v>8500.7999999999993</v>
      </c>
      <c r="AP59" s="106">
        <v>27</v>
      </c>
      <c r="AQ59" s="106">
        <v>8197.1999999999989</v>
      </c>
      <c r="AR59" s="106">
        <v>10</v>
      </c>
      <c r="AS59" s="106">
        <v>3035.9999999999995</v>
      </c>
      <c r="AT59" s="106">
        <v>13</v>
      </c>
      <c r="AU59" s="106">
        <v>3946.7999999999997</v>
      </c>
      <c r="AV59" s="106">
        <v>11</v>
      </c>
      <c r="AW59" s="106">
        <v>3339.5999999999995</v>
      </c>
      <c r="AX59" s="106">
        <v>14</v>
      </c>
      <c r="AY59" s="106">
        <v>4250.3999999999996</v>
      </c>
      <c r="AZ59" s="106">
        <v>2.7688875352451841</v>
      </c>
      <c r="BA59" s="106">
        <v>840.63425570043773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12</v>
      </c>
      <c r="BI59" s="106">
        <v>3643.2</v>
      </c>
      <c r="BJ59" s="106">
        <v>14</v>
      </c>
      <c r="BK59" s="106">
        <v>4250.3999999999996</v>
      </c>
      <c r="BL59" s="106">
        <v>18</v>
      </c>
      <c r="BM59" s="106">
        <v>5464.7999999999993</v>
      </c>
      <c r="BN59" s="106">
        <v>16</v>
      </c>
      <c r="BO59" s="106">
        <v>4857.5999999999995</v>
      </c>
      <c r="BP59" s="106">
        <v>27</v>
      </c>
      <c r="BQ59" s="106">
        <v>8197.1999999999989</v>
      </c>
      <c r="BR59" s="106">
        <v>28</v>
      </c>
      <c r="BS59" s="106">
        <v>8500.7999999999993</v>
      </c>
      <c r="BT59" s="106">
        <v>25</v>
      </c>
      <c r="BU59" s="106">
        <v>7589.9999999999991</v>
      </c>
      <c r="BV59" s="106">
        <v>18</v>
      </c>
      <c r="BW59" s="106">
        <v>5464.7999999999993</v>
      </c>
      <c r="BX59" s="106">
        <v>11</v>
      </c>
      <c r="BY59" s="106">
        <v>3339.5999999999995</v>
      </c>
      <c r="BZ59" s="106">
        <v>10</v>
      </c>
      <c r="CA59" s="106">
        <v>3035.9999999999995</v>
      </c>
      <c r="CB59" s="106">
        <v>6.7852615727604375</v>
      </c>
      <c r="CC59" s="106">
        <v>2060.0054134900688</v>
      </c>
      <c r="CD59" s="106">
        <v>9.1488960774480894</v>
      </c>
      <c r="CE59" s="106">
        <v>2777.6048491132397</v>
      </c>
      <c r="CF59" s="106">
        <v>25.118874851170339</v>
      </c>
      <c r="CG59" s="106">
        <v>7626.0904048153143</v>
      </c>
      <c r="CH59" s="106">
        <v>19.682017433321001</v>
      </c>
      <c r="CI59" s="106">
        <v>5975.460492756255</v>
      </c>
      <c r="CJ59" s="106">
        <v>23.219911076497702</v>
      </c>
      <c r="CK59" s="106">
        <v>7049.5650028247019</v>
      </c>
      <c r="CL59" s="106">
        <v>17.469850655983681</v>
      </c>
      <c r="CM59" s="106">
        <v>5303.8466591566448</v>
      </c>
      <c r="CN59" s="106">
        <v>11.202123398645673</v>
      </c>
      <c r="CO59" s="106">
        <v>3400.9646638288259</v>
      </c>
      <c r="CP59" s="106">
        <v>11.411616585378866</v>
      </c>
      <c r="CQ59" s="106">
        <v>3464.5667953210232</v>
      </c>
      <c r="CR59" s="106">
        <v>11.687486131502016</v>
      </c>
      <c r="CS59" s="106">
        <v>3548.3207895240116</v>
      </c>
      <c r="CT59" s="106">
        <v>9.2948376247423656</v>
      </c>
      <c r="CU59" s="106">
        <v>2821.9127028717817</v>
      </c>
    </row>
    <row r="60" spans="2:99" x14ac:dyDescent="0.2">
      <c r="C60" s="105" t="s">
        <v>225</v>
      </c>
      <c r="D60" s="106">
        <v>2.4313889836236697</v>
      </c>
      <c r="E60" s="106">
        <v>1584.2930617291834</v>
      </c>
      <c r="F60" s="106">
        <v>5.3286048285957994</v>
      </c>
      <c r="G60" s="106">
        <v>3472.1189063130232</v>
      </c>
      <c r="H60" s="106">
        <v>4.6553584582718228</v>
      </c>
      <c r="I60" s="106">
        <v>3033.4315714099198</v>
      </c>
      <c r="J60" s="106">
        <v>3.6837375807162633</v>
      </c>
      <c r="K60" s="106">
        <v>2400.3234075947171</v>
      </c>
      <c r="L60" s="106">
        <v>5.7822217119102293</v>
      </c>
      <c r="M60" s="106">
        <v>3767.6956674807057</v>
      </c>
      <c r="N60" s="106">
        <v>3.9641577697999941</v>
      </c>
      <c r="O60" s="106">
        <v>2583.0452028016762</v>
      </c>
      <c r="P60" s="106">
        <v>3.0353825855143932</v>
      </c>
      <c r="Q60" s="106">
        <v>1977.8552927211788</v>
      </c>
      <c r="R60" s="106">
        <v>4.6496888126977378</v>
      </c>
      <c r="S60" s="106">
        <v>3029.7372303538459</v>
      </c>
      <c r="T60" s="106">
        <v>4.304820912275404</v>
      </c>
      <c r="U60" s="106">
        <v>2805.0213064386535</v>
      </c>
      <c r="V60" s="106">
        <v>3.3205307567074165</v>
      </c>
      <c r="W60" s="106">
        <v>2163.6578410705529</v>
      </c>
      <c r="X60" s="106">
        <v>3.9106416273373799</v>
      </c>
      <c r="Y60" s="106">
        <v>2548.1740843730367</v>
      </c>
      <c r="Z60" s="106">
        <v>3.9636676719612964</v>
      </c>
      <c r="AA60" s="106">
        <v>2582.725855049981</v>
      </c>
      <c r="AB60" s="106">
        <v>22.860564055784717</v>
      </c>
      <c r="AC60" s="106">
        <v>14895.943538749323</v>
      </c>
      <c r="AD60" s="106">
        <v>25</v>
      </c>
      <c r="AE60" s="106">
        <v>16290</v>
      </c>
      <c r="AF60" s="106">
        <v>34</v>
      </c>
      <c r="AG60" s="106">
        <v>22154.400000000001</v>
      </c>
      <c r="AH60" s="106">
        <v>23</v>
      </c>
      <c r="AI60" s="106">
        <v>14986.800000000001</v>
      </c>
      <c r="AJ60" s="106">
        <v>37</v>
      </c>
      <c r="AK60" s="106">
        <v>24109.200000000001</v>
      </c>
      <c r="AL60" s="106">
        <v>24</v>
      </c>
      <c r="AM60" s="106">
        <v>15638.400000000001</v>
      </c>
      <c r="AN60" s="106">
        <v>23</v>
      </c>
      <c r="AO60" s="106">
        <v>14986.800000000001</v>
      </c>
      <c r="AP60" s="106">
        <v>24</v>
      </c>
      <c r="AQ60" s="106">
        <v>15638.400000000001</v>
      </c>
      <c r="AR60" s="106">
        <v>9</v>
      </c>
      <c r="AS60" s="106">
        <v>5864.4000000000005</v>
      </c>
      <c r="AT60" s="106">
        <v>15</v>
      </c>
      <c r="AU60" s="106">
        <v>9774</v>
      </c>
      <c r="AV60" s="106">
        <v>9</v>
      </c>
      <c r="AW60" s="106">
        <v>5864.4000000000005</v>
      </c>
      <c r="AX60" s="106">
        <v>14</v>
      </c>
      <c r="AY60" s="106">
        <v>9122.4</v>
      </c>
      <c r="AZ60" s="106">
        <v>3.1644428974230676</v>
      </c>
      <c r="BA60" s="106">
        <v>2061.9509919608709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11</v>
      </c>
      <c r="BI60" s="106">
        <v>7167.6</v>
      </c>
      <c r="BJ60" s="106">
        <v>14</v>
      </c>
      <c r="BK60" s="106">
        <v>9122.4</v>
      </c>
      <c r="BL60" s="106">
        <v>17</v>
      </c>
      <c r="BM60" s="106">
        <v>11077.2</v>
      </c>
      <c r="BN60" s="106">
        <v>15</v>
      </c>
      <c r="BO60" s="106">
        <v>9774</v>
      </c>
      <c r="BP60" s="106">
        <v>25</v>
      </c>
      <c r="BQ60" s="106">
        <v>16290</v>
      </c>
      <c r="BR60" s="106">
        <v>24</v>
      </c>
      <c r="BS60" s="106">
        <v>15638.400000000001</v>
      </c>
      <c r="BT60" s="106">
        <v>24</v>
      </c>
      <c r="BU60" s="106">
        <v>15638.400000000001</v>
      </c>
      <c r="BV60" s="106">
        <v>16</v>
      </c>
      <c r="BW60" s="106">
        <v>10425.6</v>
      </c>
      <c r="BX60" s="106">
        <v>9</v>
      </c>
      <c r="BY60" s="106">
        <v>5864.4000000000005</v>
      </c>
      <c r="BZ60" s="106">
        <v>9</v>
      </c>
      <c r="CA60" s="106">
        <v>5864.4000000000005</v>
      </c>
      <c r="CB60" s="106">
        <v>7.3507000371571412</v>
      </c>
      <c r="CC60" s="106">
        <v>4789.716144211593</v>
      </c>
      <c r="CD60" s="106">
        <v>9.1488960774480894</v>
      </c>
      <c r="CE60" s="106">
        <v>5961.420684065175</v>
      </c>
      <c r="CF60" s="106">
        <v>23.421653577442612</v>
      </c>
      <c r="CG60" s="106">
        <v>15261.549471061606</v>
      </c>
      <c r="CH60" s="106">
        <v>17.741536841303436</v>
      </c>
      <c r="CI60" s="106">
        <v>11560.385405793319</v>
      </c>
      <c r="CJ60" s="106">
        <v>18.172104320737333</v>
      </c>
      <c r="CK60" s="106">
        <v>11840.943175392447</v>
      </c>
      <c r="CL60" s="106">
        <v>17.78748430427429</v>
      </c>
      <c r="CM60" s="106">
        <v>11590.324772665128</v>
      </c>
      <c r="CN60" s="106">
        <v>9.4333670725437244</v>
      </c>
      <c r="CO60" s="106">
        <v>6146.7819844694914</v>
      </c>
      <c r="CP60" s="106">
        <v>12.403931071063985</v>
      </c>
      <c r="CQ60" s="106">
        <v>8082.4014859052932</v>
      </c>
      <c r="CR60" s="106">
        <v>13.148421897939768</v>
      </c>
      <c r="CS60" s="106">
        <v>8567.5117086975533</v>
      </c>
      <c r="CT60" s="106">
        <v>8.6751817830928761</v>
      </c>
      <c r="CU60" s="106">
        <v>5652.7484498633185</v>
      </c>
    </row>
    <row r="61" spans="2:99" x14ac:dyDescent="0.2">
      <c r="C61" s="105" t="s">
        <v>226</v>
      </c>
      <c r="D61" s="106">
        <v>2.7353126065766284</v>
      </c>
      <c r="E61" s="106">
        <v>2602.9234764183193</v>
      </c>
      <c r="F61" s="106">
        <v>4.5673755673678276</v>
      </c>
      <c r="G61" s="106">
        <v>4346.3145899072242</v>
      </c>
      <c r="H61" s="106">
        <v>4.3450012277203687</v>
      </c>
      <c r="I61" s="106">
        <v>4134.7031682987026</v>
      </c>
      <c r="J61" s="106">
        <v>3.3153638226446369</v>
      </c>
      <c r="K61" s="106">
        <v>3154.9002136286363</v>
      </c>
      <c r="L61" s="106">
        <v>5.0594439979214512</v>
      </c>
      <c r="M61" s="106">
        <v>4814.5669084220526</v>
      </c>
      <c r="N61" s="106">
        <v>3.659222556738456</v>
      </c>
      <c r="O61" s="106">
        <v>3482.1161849923142</v>
      </c>
      <c r="P61" s="106">
        <v>3.0353825855143932</v>
      </c>
      <c r="Q61" s="106">
        <v>2888.4700683754963</v>
      </c>
      <c r="R61" s="106">
        <v>4.6496888126977378</v>
      </c>
      <c r="S61" s="106">
        <v>4424.6438741631673</v>
      </c>
      <c r="T61" s="106">
        <v>4.304820912275404</v>
      </c>
      <c r="U61" s="106">
        <v>4096.4675801212743</v>
      </c>
      <c r="V61" s="106">
        <v>3.1129975844132027</v>
      </c>
      <c r="W61" s="106">
        <v>2962.3285013276036</v>
      </c>
      <c r="X61" s="106">
        <v>3.5892190278301981</v>
      </c>
      <c r="Y61" s="106">
        <v>3415.5008268832162</v>
      </c>
      <c r="Z61" s="106">
        <v>4.0987927062327048</v>
      </c>
      <c r="AA61" s="106">
        <v>3900.4111392510413</v>
      </c>
      <c r="AB61" s="106">
        <v>21.167188940541404</v>
      </c>
      <c r="AC61" s="106">
        <v>20142.696995819198</v>
      </c>
      <c r="AD61" s="106">
        <v>21</v>
      </c>
      <c r="AE61" s="106">
        <v>19983.599999999999</v>
      </c>
      <c r="AF61" s="106">
        <v>28</v>
      </c>
      <c r="AG61" s="106">
        <v>26644.799999999996</v>
      </c>
      <c r="AH61" s="106">
        <v>24</v>
      </c>
      <c r="AI61" s="106">
        <v>22838.399999999998</v>
      </c>
      <c r="AJ61" s="106">
        <v>36</v>
      </c>
      <c r="AK61" s="106">
        <v>34257.599999999999</v>
      </c>
      <c r="AL61" s="106">
        <v>22</v>
      </c>
      <c r="AM61" s="106">
        <v>20935.199999999997</v>
      </c>
      <c r="AN61" s="106">
        <v>22</v>
      </c>
      <c r="AO61" s="106">
        <v>20935.199999999997</v>
      </c>
      <c r="AP61" s="106">
        <v>23</v>
      </c>
      <c r="AQ61" s="106">
        <v>21886.799999999999</v>
      </c>
      <c r="AR61" s="106">
        <v>10</v>
      </c>
      <c r="AS61" s="106">
        <v>9516</v>
      </c>
      <c r="AT61" s="106">
        <v>12</v>
      </c>
      <c r="AU61" s="106">
        <v>11419.199999999999</v>
      </c>
      <c r="AV61" s="106">
        <v>9</v>
      </c>
      <c r="AW61" s="106">
        <v>8564.4</v>
      </c>
      <c r="AX61" s="106">
        <v>14</v>
      </c>
      <c r="AY61" s="106">
        <v>13322.399999999998</v>
      </c>
      <c r="AZ61" s="106">
        <v>2.9666652163341261</v>
      </c>
      <c r="BA61" s="106">
        <v>2823.0786198635542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11</v>
      </c>
      <c r="BI61" s="106">
        <v>10467.599999999999</v>
      </c>
      <c r="BJ61" s="106">
        <v>12</v>
      </c>
      <c r="BK61" s="106">
        <v>11419.199999999999</v>
      </c>
      <c r="BL61" s="106">
        <v>15</v>
      </c>
      <c r="BM61" s="106">
        <v>14273.999999999998</v>
      </c>
      <c r="BN61" s="106">
        <v>15</v>
      </c>
      <c r="BO61" s="106">
        <v>14273.999999999998</v>
      </c>
      <c r="BP61" s="106">
        <v>26</v>
      </c>
      <c r="BQ61" s="106">
        <v>24741.599999999999</v>
      </c>
      <c r="BR61" s="106">
        <v>25</v>
      </c>
      <c r="BS61" s="106">
        <v>23789.999999999996</v>
      </c>
      <c r="BT61" s="106">
        <v>23</v>
      </c>
      <c r="BU61" s="106">
        <v>21886.799999999999</v>
      </c>
      <c r="BV61" s="106">
        <v>16</v>
      </c>
      <c r="BW61" s="106">
        <v>15225.599999999999</v>
      </c>
      <c r="BX61" s="106">
        <v>9</v>
      </c>
      <c r="BY61" s="106">
        <v>8564.4</v>
      </c>
      <c r="BZ61" s="106">
        <v>9</v>
      </c>
      <c r="CA61" s="106">
        <v>8564.4</v>
      </c>
      <c r="CB61" s="106">
        <v>6.7852615727604375</v>
      </c>
      <c r="CC61" s="106">
        <v>6456.8549126388316</v>
      </c>
      <c r="CD61" s="106">
        <v>9.1488960774480894</v>
      </c>
      <c r="CE61" s="106">
        <v>8706.0895072996009</v>
      </c>
      <c r="CF61" s="106">
        <v>23.421653577442612</v>
      </c>
      <c r="CG61" s="106">
        <v>22288.045544294386</v>
      </c>
      <c r="CH61" s="106">
        <v>17.464325328158072</v>
      </c>
      <c r="CI61" s="106">
        <v>16619.051982275221</v>
      </c>
      <c r="CJ61" s="106">
        <v>18.508624771121358</v>
      </c>
      <c r="CK61" s="106">
        <v>17612.807332199081</v>
      </c>
      <c r="CL61" s="106">
        <v>17.469850655983681</v>
      </c>
      <c r="CM61" s="106">
        <v>16624.30988423407</v>
      </c>
      <c r="CN61" s="106">
        <v>9.4333670725437244</v>
      </c>
      <c r="CO61" s="106">
        <v>8976.7921062326077</v>
      </c>
      <c r="CP61" s="106">
        <v>10.915459342536307</v>
      </c>
      <c r="CQ61" s="106">
        <v>10387.151110357549</v>
      </c>
      <c r="CR61" s="106">
        <v>12.174464720314599</v>
      </c>
      <c r="CS61" s="106">
        <v>11585.220627851371</v>
      </c>
      <c r="CT61" s="106">
        <v>8.6751817830928761</v>
      </c>
      <c r="CU61" s="106">
        <v>8255.3029847911803</v>
      </c>
    </row>
    <row r="62" spans="2:99" x14ac:dyDescent="0.2">
      <c r="C62" s="105" t="s">
        <v>227</v>
      </c>
      <c r="D62" s="106">
        <v>2.4313889836236697</v>
      </c>
      <c r="E62" s="106">
        <v>4146.0044948750819</v>
      </c>
      <c r="F62" s="106">
        <v>4.5673755673678276</v>
      </c>
      <c r="G62" s="106">
        <v>7788.2888174756199</v>
      </c>
      <c r="H62" s="106">
        <v>4.0346439971689136</v>
      </c>
      <c r="I62" s="106">
        <v>6879.8749439724315</v>
      </c>
      <c r="J62" s="106">
        <v>3.3153638226446369</v>
      </c>
      <c r="K62" s="106">
        <v>5653.3583903736353</v>
      </c>
      <c r="L62" s="106">
        <v>5.0594439979214512</v>
      </c>
      <c r="M62" s="106">
        <v>8627.3639052556591</v>
      </c>
      <c r="N62" s="106">
        <v>3.9641577697999941</v>
      </c>
      <c r="O62" s="106">
        <v>6759.6818290629499</v>
      </c>
      <c r="P62" s="106">
        <v>3.0353825855143932</v>
      </c>
      <c r="Q62" s="106">
        <v>5175.9343848191438</v>
      </c>
      <c r="R62" s="106">
        <v>4.2622147449729253</v>
      </c>
      <c r="S62" s="106">
        <v>7267.9285831278321</v>
      </c>
      <c r="T62" s="106">
        <v>3.5698514882283834</v>
      </c>
      <c r="U62" s="106">
        <v>6087.3107577270393</v>
      </c>
      <c r="V62" s="106">
        <v>2.2828648952363486</v>
      </c>
      <c r="W62" s="106">
        <v>3892.7412193570217</v>
      </c>
      <c r="X62" s="106">
        <v>3.5356485945790013</v>
      </c>
      <c r="Y62" s="106">
        <v>6028.9879834761132</v>
      </c>
      <c r="Z62" s="106">
        <v>3.4231675348756654</v>
      </c>
      <c r="AA62" s="106">
        <v>5837.1852804699847</v>
      </c>
      <c r="AB62" s="106">
        <v>20.320501382919748</v>
      </c>
      <c r="AC62" s="106">
        <v>34650.518958154753</v>
      </c>
      <c r="AD62" s="106">
        <v>21</v>
      </c>
      <c r="AE62" s="106">
        <v>35809.200000000004</v>
      </c>
      <c r="AF62" s="106">
        <v>26</v>
      </c>
      <c r="AG62" s="106">
        <v>44335.200000000004</v>
      </c>
      <c r="AH62" s="106">
        <v>20</v>
      </c>
      <c r="AI62" s="106">
        <v>34104</v>
      </c>
      <c r="AJ62" s="106">
        <v>29</v>
      </c>
      <c r="AK62" s="106">
        <v>49450.8</v>
      </c>
      <c r="AL62" s="106">
        <v>19</v>
      </c>
      <c r="AM62" s="106">
        <v>32398.799999999999</v>
      </c>
      <c r="AN62" s="106">
        <v>22</v>
      </c>
      <c r="AO62" s="106">
        <v>37514.400000000001</v>
      </c>
      <c r="AP62" s="106">
        <v>19</v>
      </c>
      <c r="AQ62" s="106">
        <v>32398.799999999999</v>
      </c>
      <c r="AR62" s="106">
        <v>8</v>
      </c>
      <c r="AS62" s="106">
        <v>13641.6</v>
      </c>
      <c r="AT62" s="106">
        <v>14</v>
      </c>
      <c r="AU62" s="106">
        <v>23872.799999999999</v>
      </c>
      <c r="AV62" s="106">
        <v>9</v>
      </c>
      <c r="AW62" s="106">
        <v>15346.800000000001</v>
      </c>
      <c r="AX62" s="106">
        <v>13</v>
      </c>
      <c r="AY62" s="106">
        <v>22167.600000000002</v>
      </c>
      <c r="AZ62" s="106">
        <v>2.7688875352451841</v>
      </c>
      <c r="BA62" s="106">
        <v>4721.507025100088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10</v>
      </c>
      <c r="BI62" s="106">
        <v>17052</v>
      </c>
      <c r="BJ62" s="106">
        <v>12</v>
      </c>
      <c r="BK62" s="106">
        <v>20462.400000000001</v>
      </c>
      <c r="BL62" s="106">
        <v>14</v>
      </c>
      <c r="BM62" s="106">
        <v>23872.799999999999</v>
      </c>
      <c r="BN62" s="106">
        <v>14</v>
      </c>
      <c r="BO62" s="106">
        <v>23872.799999999999</v>
      </c>
      <c r="BP62" s="106">
        <v>22</v>
      </c>
      <c r="BQ62" s="106">
        <v>37514.400000000001</v>
      </c>
      <c r="BR62" s="106">
        <v>20</v>
      </c>
      <c r="BS62" s="106">
        <v>34104</v>
      </c>
      <c r="BT62" s="106">
        <v>18</v>
      </c>
      <c r="BU62" s="106">
        <v>30693.600000000002</v>
      </c>
      <c r="BV62" s="106">
        <v>13</v>
      </c>
      <c r="BW62" s="106">
        <v>22167.600000000002</v>
      </c>
      <c r="BX62" s="106">
        <v>9</v>
      </c>
      <c r="BY62" s="106">
        <v>15346.800000000001</v>
      </c>
      <c r="BZ62" s="106">
        <v>7</v>
      </c>
      <c r="CA62" s="106">
        <v>11936.4</v>
      </c>
      <c r="CB62" s="106">
        <v>6.2198231083637356</v>
      </c>
      <c r="CC62" s="106">
        <v>10606.042364381843</v>
      </c>
      <c r="CD62" s="106">
        <v>8.4451348407213143</v>
      </c>
      <c r="CE62" s="106">
        <v>14400.643930397986</v>
      </c>
      <c r="CF62" s="106">
        <v>19.348322520496072</v>
      </c>
      <c r="CG62" s="106">
        <v>32992.759561949904</v>
      </c>
      <c r="CH62" s="106">
        <v>13.860575657268308</v>
      </c>
      <c r="CI62" s="106">
        <v>23635.053610773921</v>
      </c>
      <c r="CJ62" s="106">
        <v>17.835583870353307</v>
      </c>
      <c r="CK62" s="106">
        <v>30413.237615726459</v>
      </c>
      <c r="CL62" s="106">
        <v>13.975880524786943</v>
      </c>
      <c r="CM62" s="106">
        <v>23831.671470866695</v>
      </c>
      <c r="CN62" s="106">
        <v>8.2541961884757598</v>
      </c>
      <c r="CO62" s="106">
        <v>14075.055340588866</v>
      </c>
      <c r="CP62" s="106">
        <v>10.915459342536307</v>
      </c>
      <c r="CQ62" s="106">
        <v>18613.041270892911</v>
      </c>
      <c r="CR62" s="106">
        <v>9.7395717762516796</v>
      </c>
      <c r="CS62" s="106">
        <v>16607.917792864366</v>
      </c>
      <c r="CT62" s="106">
        <v>7.4358700997938936</v>
      </c>
      <c r="CU62" s="106">
        <v>12679.645694168548</v>
      </c>
    </row>
    <row r="63" spans="2:99" x14ac:dyDescent="0.2">
      <c r="C63" s="105" t="s">
        <v>228</v>
      </c>
      <c r="D63" s="106">
        <v>2.7353126065766284</v>
      </c>
      <c r="E63" s="106">
        <v>2176.2147097923657</v>
      </c>
      <c r="F63" s="106">
        <v>4.9479901979818131</v>
      </c>
      <c r="G63" s="106">
        <v>3936.6210015143306</v>
      </c>
      <c r="H63" s="106">
        <v>4.6553584582718228</v>
      </c>
      <c r="I63" s="106">
        <v>3703.8031894010624</v>
      </c>
      <c r="J63" s="106">
        <v>3.6837375807162633</v>
      </c>
      <c r="K63" s="106">
        <v>2930.7816192178593</v>
      </c>
      <c r="L63" s="106">
        <v>5.7822217119102293</v>
      </c>
      <c r="M63" s="106">
        <v>4600.3355939957783</v>
      </c>
      <c r="N63" s="106">
        <v>4.2690929828615323</v>
      </c>
      <c r="O63" s="106">
        <v>3396.490377164635</v>
      </c>
      <c r="P63" s="106">
        <v>3.3726473172382145</v>
      </c>
      <c r="Q63" s="106">
        <v>2683.2782055947237</v>
      </c>
      <c r="R63" s="106">
        <v>5.0371628804225486</v>
      </c>
      <c r="S63" s="106">
        <v>4007.5667876641796</v>
      </c>
      <c r="T63" s="106">
        <v>4.357318728278762</v>
      </c>
      <c r="U63" s="106">
        <v>3466.682780218583</v>
      </c>
      <c r="V63" s="106">
        <v>2.9573477051925425</v>
      </c>
      <c r="W63" s="106">
        <v>2352.8658342511867</v>
      </c>
      <c r="X63" s="106">
        <v>4.1784937935933648</v>
      </c>
      <c r="Y63" s="106">
        <v>3324.4096621828812</v>
      </c>
      <c r="Z63" s="106">
        <v>3.873584315780358</v>
      </c>
      <c r="AA63" s="106">
        <v>3081.8236816348531</v>
      </c>
      <c r="AB63" s="106">
        <v>21.167188940541404</v>
      </c>
      <c r="AC63" s="106">
        <v>16840.61552109474</v>
      </c>
      <c r="AD63" s="106">
        <v>21</v>
      </c>
      <c r="AE63" s="106">
        <v>16707.600000000002</v>
      </c>
      <c r="AF63" s="106">
        <v>28</v>
      </c>
      <c r="AG63" s="106">
        <v>22276.799999999999</v>
      </c>
      <c r="AH63" s="106">
        <v>23</v>
      </c>
      <c r="AI63" s="106">
        <v>18298.8</v>
      </c>
      <c r="AJ63" s="106">
        <v>32</v>
      </c>
      <c r="AK63" s="106">
        <v>25459.200000000001</v>
      </c>
      <c r="AL63" s="106">
        <v>20</v>
      </c>
      <c r="AM63" s="106">
        <v>15912</v>
      </c>
      <c r="AN63" s="106">
        <v>26</v>
      </c>
      <c r="AO63" s="106">
        <v>20685.600000000002</v>
      </c>
      <c r="AP63" s="106">
        <v>22</v>
      </c>
      <c r="AQ63" s="106">
        <v>17503.2</v>
      </c>
      <c r="AR63" s="106">
        <v>10</v>
      </c>
      <c r="AS63" s="106">
        <v>7956</v>
      </c>
      <c r="AT63" s="106">
        <v>12</v>
      </c>
      <c r="AU63" s="106">
        <v>9547.2000000000007</v>
      </c>
      <c r="AV63" s="106">
        <v>10</v>
      </c>
      <c r="AW63" s="106">
        <v>7956</v>
      </c>
      <c r="AX63" s="106">
        <v>14</v>
      </c>
      <c r="AY63" s="106">
        <v>11138.4</v>
      </c>
      <c r="AZ63" s="106">
        <v>2.9666652163341261</v>
      </c>
      <c r="BA63" s="106">
        <v>2360.278846115431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9</v>
      </c>
      <c r="BI63" s="106">
        <v>7160.4000000000005</v>
      </c>
      <c r="BJ63" s="106">
        <v>12</v>
      </c>
      <c r="BK63" s="106">
        <v>9547.2000000000007</v>
      </c>
      <c r="BL63" s="106">
        <v>15</v>
      </c>
      <c r="BM63" s="106">
        <v>11934</v>
      </c>
      <c r="BN63" s="106">
        <v>15</v>
      </c>
      <c r="BO63" s="106">
        <v>11934</v>
      </c>
      <c r="BP63" s="106">
        <v>28</v>
      </c>
      <c r="BQ63" s="106">
        <v>22276.799999999999</v>
      </c>
      <c r="BR63" s="106">
        <v>24</v>
      </c>
      <c r="BS63" s="106">
        <v>19094.400000000001</v>
      </c>
      <c r="BT63" s="106">
        <v>21</v>
      </c>
      <c r="BU63" s="106">
        <v>16707.600000000002</v>
      </c>
      <c r="BV63" s="106">
        <v>16</v>
      </c>
      <c r="BW63" s="106">
        <v>12729.6</v>
      </c>
      <c r="BX63" s="106">
        <v>9</v>
      </c>
      <c r="BY63" s="106">
        <v>7160.4000000000005</v>
      </c>
      <c r="BZ63" s="106">
        <v>9</v>
      </c>
      <c r="CA63" s="106">
        <v>7160.4000000000005</v>
      </c>
      <c r="CB63" s="106">
        <v>6.7852615727604375</v>
      </c>
      <c r="CC63" s="106">
        <v>5398.3541072882044</v>
      </c>
      <c r="CD63" s="106">
        <v>8.4451348407213143</v>
      </c>
      <c r="CE63" s="106">
        <v>6718.9492792778774</v>
      </c>
      <c r="CF63" s="106">
        <v>23.761097832188156</v>
      </c>
      <c r="CG63" s="106">
        <v>18904.329435288899</v>
      </c>
      <c r="CH63" s="106">
        <v>19.959228946466368</v>
      </c>
      <c r="CI63" s="106">
        <v>15879.562549808643</v>
      </c>
      <c r="CJ63" s="106">
        <v>19.854706572657459</v>
      </c>
      <c r="CK63" s="106">
        <v>15796.404549206276</v>
      </c>
      <c r="CL63" s="106">
        <v>15.246415117949393</v>
      </c>
      <c r="CM63" s="106">
        <v>12130.047867840538</v>
      </c>
      <c r="CN63" s="106">
        <v>10.612537956611691</v>
      </c>
      <c r="CO63" s="106">
        <v>8443.3351982802615</v>
      </c>
      <c r="CP63" s="106">
        <v>10.419302099693747</v>
      </c>
      <c r="CQ63" s="106">
        <v>8289.5967505163444</v>
      </c>
      <c r="CR63" s="106">
        <v>11.200507542689433</v>
      </c>
      <c r="CS63" s="106">
        <v>8911.1238009637127</v>
      </c>
      <c r="CT63" s="106">
        <v>9.9144934663918587</v>
      </c>
      <c r="CU63" s="106">
        <v>7887.9710018613632</v>
      </c>
    </row>
    <row r="64" spans="2:99" x14ac:dyDescent="0.2">
      <c r="C64" s="105" t="s">
        <v>229</v>
      </c>
      <c r="D64" s="106">
        <v>2.7353126065766284</v>
      </c>
      <c r="E64" s="106">
        <v>2760.477482557133</v>
      </c>
      <c r="F64" s="106">
        <v>5.3286048285957994</v>
      </c>
      <c r="G64" s="106">
        <v>5377.6279930188803</v>
      </c>
      <c r="H64" s="106">
        <v>5.2760729193747329</v>
      </c>
      <c r="I64" s="106">
        <v>5324.612790232979</v>
      </c>
      <c r="J64" s="106">
        <v>3.6837375807162633</v>
      </c>
      <c r="K64" s="106">
        <v>3717.6279664588524</v>
      </c>
      <c r="L64" s="106">
        <v>5.0594439979214512</v>
      </c>
      <c r="M64" s="106">
        <v>5105.9908827023273</v>
      </c>
      <c r="N64" s="106">
        <v>4.2690929828615323</v>
      </c>
      <c r="O64" s="106">
        <v>4308.3686383038576</v>
      </c>
      <c r="P64" s="106">
        <v>3.3726473172382145</v>
      </c>
      <c r="Q64" s="106">
        <v>3403.6756725568057</v>
      </c>
      <c r="R64" s="106">
        <v>5.0371628804225486</v>
      </c>
      <c r="S64" s="106">
        <v>5083.5047789224354</v>
      </c>
      <c r="T64" s="106">
        <v>4.2523230962720451</v>
      </c>
      <c r="U64" s="106">
        <v>4291.444468757747</v>
      </c>
      <c r="V64" s="106">
        <v>2.6979312398247757</v>
      </c>
      <c r="W64" s="106">
        <v>2722.7522072311631</v>
      </c>
      <c r="X64" s="106">
        <v>4.1249233603421676</v>
      </c>
      <c r="Y64" s="106">
        <v>4162.8726552573144</v>
      </c>
      <c r="Z64" s="106">
        <v>3.8285426376898886</v>
      </c>
      <c r="AA64" s="106">
        <v>3863.7652299566348</v>
      </c>
      <c r="AB64" s="106">
        <v>22.860564055784717</v>
      </c>
      <c r="AC64" s="106">
        <v>23070.881245097931</v>
      </c>
      <c r="AD64" s="106">
        <v>21</v>
      </c>
      <c r="AE64" s="106">
        <v>21193.199999999997</v>
      </c>
      <c r="AF64" s="106">
        <v>30</v>
      </c>
      <c r="AG64" s="106">
        <v>30275.999999999993</v>
      </c>
      <c r="AH64" s="106">
        <v>24</v>
      </c>
      <c r="AI64" s="106">
        <v>24220.799999999996</v>
      </c>
      <c r="AJ64" s="106">
        <v>35</v>
      </c>
      <c r="AK64" s="106">
        <v>35321.999999999993</v>
      </c>
      <c r="AL64" s="106">
        <v>22</v>
      </c>
      <c r="AM64" s="106">
        <v>22202.399999999994</v>
      </c>
      <c r="AN64" s="106">
        <v>24</v>
      </c>
      <c r="AO64" s="106">
        <v>24220.799999999996</v>
      </c>
      <c r="AP64" s="106">
        <v>23</v>
      </c>
      <c r="AQ64" s="106">
        <v>23211.599999999995</v>
      </c>
      <c r="AR64" s="106">
        <v>10</v>
      </c>
      <c r="AS64" s="106">
        <v>10091.999999999998</v>
      </c>
      <c r="AT64" s="106">
        <v>13</v>
      </c>
      <c r="AU64" s="106">
        <v>13119.599999999999</v>
      </c>
      <c r="AV64" s="106">
        <v>9</v>
      </c>
      <c r="AW64" s="106">
        <v>9082.7999999999993</v>
      </c>
      <c r="AX64" s="106">
        <v>13</v>
      </c>
      <c r="AY64" s="106">
        <v>13119.599999999999</v>
      </c>
      <c r="AZ64" s="106">
        <v>2.7688875352451841</v>
      </c>
      <c r="BA64" s="106">
        <v>2794.3613005694392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11</v>
      </c>
      <c r="BI64" s="106">
        <v>11101.199999999997</v>
      </c>
      <c r="BJ64" s="106">
        <v>12</v>
      </c>
      <c r="BK64" s="106">
        <v>12110.399999999998</v>
      </c>
      <c r="BL64" s="106">
        <v>17</v>
      </c>
      <c r="BM64" s="106">
        <v>17156.399999999998</v>
      </c>
      <c r="BN64" s="106">
        <v>15</v>
      </c>
      <c r="BO64" s="106">
        <v>15137.999999999996</v>
      </c>
      <c r="BP64" s="106">
        <v>25</v>
      </c>
      <c r="BQ64" s="106">
        <v>25229.999999999996</v>
      </c>
      <c r="BR64" s="106">
        <v>24</v>
      </c>
      <c r="BS64" s="106">
        <v>24220.799999999996</v>
      </c>
      <c r="BT64" s="106">
        <v>21</v>
      </c>
      <c r="BU64" s="106">
        <v>21193.199999999997</v>
      </c>
      <c r="BV64" s="106">
        <v>15</v>
      </c>
      <c r="BW64" s="106">
        <v>15137.999999999996</v>
      </c>
      <c r="BX64" s="106">
        <v>9</v>
      </c>
      <c r="BY64" s="106">
        <v>9082.7999999999993</v>
      </c>
      <c r="BZ64" s="106">
        <v>9</v>
      </c>
      <c r="CA64" s="106">
        <v>9082.7999999999993</v>
      </c>
      <c r="CB64" s="106">
        <v>7.3507000371571412</v>
      </c>
      <c r="CC64" s="106">
        <v>7418.3264774989857</v>
      </c>
      <c r="CD64" s="106">
        <v>8.4451348407213143</v>
      </c>
      <c r="CE64" s="106">
        <v>8522.8300812559482</v>
      </c>
      <c r="CF64" s="106">
        <v>20.366655284732705</v>
      </c>
      <c r="CG64" s="106">
        <v>20554.028513352241</v>
      </c>
      <c r="CH64" s="106">
        <v>18.850382893884902</v>
      </c>
      <c r="CI64" s="106">
        <v>19023.80641650864</v>
      </c>
      <c r="CJ64" s="106">
        <v>19.181665671889405</v>
      </c>
      <c r="CK64" s="106">
        <v>19358.136996070785</v>
      </c>
      <c r="CL64" s="106">
        <v>16.199316062821232</v>
      </c>
      <c r="CM64" s="106">
        <v>16348.349770599185</v>
      </c>
      <c r="CN64" s="106">
        <v>10.022952514577709</v>
      </c>
      <c r="CO64" s="106">
        <v>10115.163677711822</v>
      </c>
      <c r="CP64" s="106">
        <v>9.923144856851188</v>
      </c>
      <c r="CQ64" s="106">
        <v>10014.437789534217</v>
      </c>
      <c r="CR64" s="106">
        <v>12.661443309127185</v>
      </c>
      <c r="CS64" s="106">
        <v>12777.928587571152</v>
      </c>
      <c r="CT64" s="106">
        <v>8.6751817830928761</v>
      </c>
      <c r="CU64" s="106">
        <v>8754.9934554973297</v>
      </c>
    </row>
    <row r="65" spans="2:99" x14ac:dyDescent="0.2">
      <c r="C65" s="105" t="s">
        <v>230</v>
      </c>
      <c r="D65" s="106">
        <v>2.4313889836236697</v>
      </c>
      <c r="E65" s="106">
        <v>2494.6050971978852</v>
      </c>
      <c r="F65" s="106">
        <v>5.3286048285957994</v>
      </c>
      <c r="G65" s="106">
        <v>5467.1485541392904</v>
      </c>
      <c r="H65" s="106">
        <v>4.6553584582718228</v>
      </c>
      <c r="I65" s="106">
        <v>4776.3977781868898</v>
      </c>
      <c r="J65" s="106">
        <v>3.3153638226446369</v>
      </c>
      <c r="K65" s="106">
        <v>3401.5632820333976</v>
      </c>
      <c r="L65" s="106">
        <v>5.0594439979214512</v>
      </c>
      <c r="M65" s="106">
        <v>5190.9895418674087</v>
      </c>
      <c r="N65" s="106">
        <v>4.2690929828615323</v>
      </c>
      <c r="O65" s="106">
        <v>4380.0894004159318</v>
      </c>
      <c r="P65" s="106">
        <v>3.0353825855143932</v>
      </c>
      <c r="Q65" s="106">
        <v>3114.3025327377673</v>
      </c>
      <c r="R65" s="106">
        <v>4.2622147449729253</v>
      </c>
      <c r="S65" s="106">
        <v>4373.0323283422213</v>
      </c>
      <c r="T65" s="106">
        <v>4.357318728278762</v>
      </c>
      <c r="U65" s="106">
        <v>4470.6090152140096</v>
      </c>
      <c r="V65" s="106">
        <v>2.6460479467512221</v>
      </c>
      <c r="W65" s="106">
        <v>2714.8451933667538</v>
      </c>
      <c r="X65" s="106">
        <v>3.5356485945790013</v>
      </c>
      <c r="Y65" s="106">
        <v>3627.5754580380553</v>
      </c>
      <c r="Z65" s="106">
        <v>3.5132508910566034</v>
      </c>
      <c r="AA65" s="106">
        <v>3604.5954142240753</v>
      </c>
      <c r="AB65" s="106">
        <v>21.167188940541404</v>
      </c>
      <c r="AC65" s="106">
        <v>21717.535852995479</v>
      </c>
      <c r="AD65" s="106">
        <v>21</v>
      </c>
      <c r="AE65" s="106">
        <v>21546</v>
      </c>
      <c r="AF65" s="106">
        <v>29</v>
      </c>
      <c r="AG65" s="106">
        <v>29754</v>
      </c>
      <c r="AH65" s="106">
        <v>25</v>
      </c>
      <c r="AI65" s="106">
        <v>25650</v>
      </c>
      <c r="AJ65" s="106">
        <v>34</v>
      </c>
      <c r="AK65" s="106">
        <v>34884</v>
      </c>
      <c r="AL65" s="106">
        <v>21</v>
      </c>
      <c r="AM65" s="106">
        <v>21546</v>
      </c>
      <c r="AN65" s="106">
        <v>21</v>
      </c>
      <c r="AO65" s="106">
        <v>21546</v>
      </c>
      <c r="AP65" s="106">
        <v>23</v>
      </c>
      <c r="AQ65" s="106">
        <v>23598</v>
      </c>
      <c r="AR65" s="106">
        <v>8</v>
      </c>
      <c r="AS65" s="106">
        <v>8208</v>
      </c>
      <c r="AT65" s="106">
        <v>13</v>
      </c>
      <c r="AU65" s="106">
        <v>13338</v>
      </c>
      <c r="AV65" s="106">
        <v>8</v>
      </c>
      <c r="AW65" s="106">
        <v>8208</v>
      </c>
      <c r="AX65" s="106">
        <v>13</v>
      </c>
      <c r="AY65" s="106">
        <v>13338</v>
      </c>
      <c r="AZ65" s="106">
        <v>2.3733321730673009</v>
      </c>
      <c r="BA65" s="106">
        <v>2435.038809567051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11</v>
      </c>
      <c r="BI65" s="106">
        <v>11286</v>
      </c>
      <c r="BJ65" s="106">
        <v>12</v>
      </c>
      <c r="BK65" s="106">
        <v>12312</v>
      </c>
      <c r="BL65" s="106">
        <v>17</v>
      </c>
      <c r="BM65" s="106">
        <v>17442</v>
      </c>
      <c r="BN65" s="106">
        <v>14</v>
      </c>
      <c r="BO65" s="106">
        <v>14364</v>
      </c>
      <c r="BP65" s="106">
        <v>23</v>
      </c>
      <c r="BQ65" s="106">
        <v>23598</v>
      </c>
      <c r="BR65" s="106">
        <v>23</v>
      </c>
      <c r="BS65" s="106">
        <v>23598</v>
      </c>
      <c r="BT65" s="106">
        <v>19</v>
      </c>
      <c r="BU65" s="106">
        <v>19494</v>
      </c>
      <c r="BV65" s="106">
        <v>16</v>
      </c>
      <c r="BW65" s="106">
        <v>16416</v>
      </c>
      <c r="BX65" s="106">
        <v>9</v>
      </c>
      <c r="BY65" s="106">
        <v>9234</v>
      </c>
      <c r="BZ65" s="106">
        <v>9</v>
      </c>
      <c r="CA65" s="106">
        <v>9234</v>
      </c>
      <c r="CB65" s="106">
        <v>6.2198231083637356</v>
      </c>
      <c r="CC65" s="106">
        <v>6381.5385091811931</v>
      </c>
      <c r="CD65" s="106">
        <v>9.1488960774480894</v>
      </c>
      <c r="CE65" s="106">
        <v>9386.767375461739</v>
      </c>
      <c r="CF65" s="106">
        <v>19.687766775241613</v>
      </c>
      <c r="CG65" s="106">
        <v>20199.648711397895</v>
      </c>
      <c r="CH65" s="106">
        <v>15.801056249285873</v>
      </c>
      <c r="CI65" s="106">
        <v>16211.883711767305</v>
      </c>
      <c r="CJ65" s="106">
        <v>19.181665671889405</v>
      </c>
      <c r="CK65" s="106">
        <v>19680.388979358529</v>
      </c>
      <c r="CL65" s="106">
        <v>16.199316062821232</v>
      </c>
      <c r="CM65" s="106">
        <v>16620.498280454583</v>
      </c>
      <c r="CN65" s="106">
        <v>9.4333670725437244</v>
      </c>
      <c r="CO65" s="106">
        <v>9678.6346164298611</v>
      </c>
      <c r="CP65" s="106">
        <v>11.411616585378866</v>
      </c>
      <c r="CQ65" s="106">
        <v>11708.318616598717</v>
      </c>
      <c r="CR65" s="106">
        <v>12.174464720314599</v>
      </c>
      <c r="CS65" s="106">
        <v>12491.00080304278</v>
      </c>
      <c r="CT65" s="106">
        <v>8.6751817830928761</v>
      </c>
      <c r="CU65" s="106">
        <v>8900.7365094532906</v>
      </c>
    </row>
    <row r="66" spans="2:99" x14ac:dyDescent="0.2">
      <c r="C66" s="105" t="s">
        <v>231</v>
      </c>
      <c r="D66" s="106">
        <v>2.7353126065766284</v>
      </c>
      <c r="E66" s="106">
        <v>3256.1161268688184</v>
      </c>
      <c r="F66" s="106">
        <v>5.3286048285957994</v>
      </c>
      <c r="G66" s="106">
        <v>6343.1711879604391</v>
      </c>
      <c r="H66" s="106">
        <v>4.6553584582718228</v>
      </c>
      <c r="I66" s="106">
        <v>5541.7387087267771</v>
      </c>
      <c r="J66" s="106">
        <v>3.6837375807162633</v>
      </c>
      <c r="K66" s="106">
        <v>4385.1212160846389</v>
      </c>
      <c r="L66" s="106">
        <v>4.6980551409270612</v>
      </c>
      <c r="M66" s="106">
        <v>5592.5648397595733</v>
      </c>
      <c r="N66" s="106">
        <v>3.659222556738456</v>
      </c>
      <c r="O66" s="106">
        <v>4355.9385315414575</v>
      </c>
      <c r="P66" s="106">
        <v>3.0353825855143932</v>
      </c>
      <c r="Q66" s="106">
        <v>3613.3194297963332</v>
      </c>
      <c r="R66" s="106">
        <v>4.6496888126977378</v>
      </c>
      <c r="S66" s="106">
        <v>5534.9895626353864</v>
      </c>
      <c r="T66" s="106">
        <v>3.6223493042317423</v>
      </c>
      <c r="U66" s="106">
        <v>4312.0446117574656</v>
      </c>
      <c r="V66" s="106">
        <v>2.5422813606041159</v>
      </c>
      <c r="W66" s="106">
        <v>3026.3317316631392</v>
      </c>
      <c r="X66" s="106">
        <v>3.3749372948254104</v>
      </c>
      <c r="Y66" s="106">
        <v>4017.5253557601682</v>
      </c>
      <c r="Z66" s="106">
        <v>3.9186259938708274</v>
      </c>
      <c r="AA66" s="106">
        <v>4664.732383103832</v>
      </c>
      <c r="AB66" s="106">
        <v>19.473813825298091</v>
      </c>
      <c r="AC66" s="106">
        <v>23181.627977634846</v>
      </c>
      <c r="AD66" s="106">
        <v>21</v>
      </c>
      <c r="AE66" s="106">
        <v>24998.399999999998</v>
      </c>
      <c r="AF66" s="106">
        <v>30</v>
      </c>
      <c r="AG66" s="106">
        <v>35711.999999999993</v>
      </c>
      <c r="AH66" s="106">
        <v>24</v>
      </c>
      <c r="AI66" s="106">
        <v>28569.599999999999</v>
      </c>
      <c r="AJ66" s="106">
        <v>35</v>
      </c>
      <c r="AK66" s="106">
        <v>41663.999999999993</v>
      </c>
      <c r="AL66" s="106">
        <v>20</v>
      </c>
      <c r="AM66" s="106">
        <v>23807.999999999996</v>
      </c>
      <c r="AN66" s="106">
        <v>21</v>
      </c>
      <c r="AO66" s="106">
        <v>24998.399999999998</v>
      </c>
      <c r="AP66" s="106">
        <v>23</v>
      </c>
      <c r="AQ66" s="106">
        <v>27379.199999999997</v>
      </c>
      <c r="AR66" s="106">
        <v>9</v>
      </c>
      <c r="AS66" s="106">
        <v>10713.599999999999</v>
      </c>
      <c r="AT66" s="106">
        <v>13</v>
      </c>
      <c r="AU66" s="106">
        <v>15475.199999999999</v>
      </c>
      <c r="AV66" s="106">
        <v>9</v>
      </c>
      <c r="AW66" s="106">
        <v>10713.599999999999</v>
      </c>
      <c r="AX66" s="106">
        <v>13</v>
      </c>
      <c r="AY66" s="106">
        <v>15475.199999999999</v>
      </c>
      <c r="AZ66" s="106">
        <v>2.5711098541562425</v>
      </c>
      <c r="BA66" s="106">
        <v>3060.6491703875909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10</v>
      </c>
      <c r="BI66" s="106">
        <v>11903.999999999998</v>
      </c>
      <c r="BJ66" s="106">
        <v>13</v>
      </c>
      <c r="BK66" s="106">
        <v>15475.199999999999</v>
      </c>
      <c r="BL66" s="106">
        <v>15</v>
      </c>
      <c r="BM66" s="106">
        <v>17855.999999999996</v>
      </c>
      <c r="BN66" s="106">
        <v>15</v>
      </c>
      <c r="BO66" s="106">
        <v>17855.999999999996</v>
      </c>
      <c r="BP66" s="106">
        <v>26</v>
      </c>
      <c r="BQ66" s="106">
        <v>30950.399999999998</v>
      </c>
      <c r="BR66" s="106">
        <v>23</v>
      </c>
      <c r="BS66" s="106">
        <v>27379.199999999997</v>
      </c>
      <c r="BT66" s="106">
        <v>19</v>
      </c>
      <c r="BU66" s="106">
        <v>22617.599999999999</v>
      </c>
      <c r="BV66" s="106">
        <v>14</v>
      </c>
      <c r="BW66" s="106">
        <v>16665.599999999999</v>
      </c>
      <c r="BX66" s="106">
        <v>9</v>
      </c>
      <c r="BY66" s="106">
        <v>10713.599999999999</v>
      </c>
      <c r="BZ66" s="106">
        <v>8</v>
      </c>
      <c r="CA66" s="106">
        <v>9523.1999999999989</v>
      </c>
      <c r="CB66" s="106">
        <v>6.7852615727604375</v>
      </c>
      <c r="CC66" s="106">
        <v>8077.1753762140243</v>
      </c>
      <c r="CD66" s="106">
        <v>9.1488960774480894</v>
      </c>
      <c r="CE66" s="106">
        <v>10890.845890594204</v>
      </c>
      <c r="CF66" s="106">
        <v>20.366655284732705</v>
      </c>
      <c r="CG66" s="106">
        <v>24244.466450945809</v>
      </c>
      <c r="CH66" s="106">
        <v>15.801056249285873</v>
      </c>
      <c r="CI66" s="106">
        <v>18809.577359149902</v>
      </c>
      <c r="CJ66" s="106">
        <v>19.181665671889405</v>
      </c>
      <c r="CK66" s="106">
        <v>22833.854815817147</v>
      </c>
      <c r="CL66" s="106">
        <v>13.975880524786943</v>
      </c>
      <c r="CM66" s="106">
        <v>16636.888176706376</v>
      </c>
      <c r="CN66" s="106">
        <v>9.4333670725437244</v>
      </c>
      <c r="CO66" s="106">
        <v>11229.480163156048</v>
      </c>
      <c r="CP66" s="106">
        <v>9.923144856851188</v>
      </c>
      <c r="CQ66" s="106">
        <v>11812.511637595653</v>
      </c>
      <c r="CR66" s="106">
        <v>11.687486131502016</v>
      </c>
      <c r="CS66" s="106">
        <v>13912.783490939999</v>
      </c>
      <c r="CT66" s="106">
        <v>8.0555259414433849</v>
      </c>
      <c r="CU66" s="106">
        <v>9589.2980806942051</v>
      </c>
    </row>
    <row r="67" spans="2:99" x14ac:dyDescent="0.2">
      <c r="C67" s="105" t="s">
        <v>232</v>
      </c>
      <c r="D67" s="106">
        <v>2.4313889836236697</v>
      </c>
      <c r="E67" s="106">
        <v>2730.9361064061059</v>
      </c>
      <c r="F67" s="106">
        <v>5.3286048285957994</v>
      </c>
      <c r="G67" s="106">
        <v>5985.0889434788023</v>
      </c>
      <c r="H67" s="106">
        <v>4.9657156888232779</v>
      </c>
      <c r="I67" s="106">
        <v>5577.491861686306</v>
      </c>
      <c r="J67" s="106">
        <v>3.3153638226446369</v>
      </c>
      <c r="K67" s="106">
        <v>3723.8166455944565</v>
      </c>
      <c r="L67" s="106">
        <v>4.6980551409270612</v>
      </c>
      <c r="M67" s="106">
        <v>5276.8555342892751</v>
      </c>
      <c r="N67" s="106">
        <v>4.2690929828615323</v>
      </c>
      <c r="O67" s="106">
        <v>4795.0452383500733</v>
      </c>
      <c r="P67" s="106">
        <v>3.3726473172382145</v>
      </c>
      <c r="Q67" s="106">
        <v>3788.1574667219629</v>
      </c>
      <c r="R67" s="106">
        <v>4.6496888126977378</v>
      </c>
      <c r="S67" s="106">
        <v>5222.5304744220994</v>
      </c>
      <c r="T67" s="106">
        <v>3.7798427522418176</v>
      </c>
      <c r="U67" s="106">
        <v>4245.5193793180097</v>
      </c>
      <c r="V67" s="106">
        <v>2.5422813606041159</v>
      </c>
      <c r="W67" s="106">
        <v>2855.4904242305429</v>
      </c>
      <c r="X67" s="106">
        <v>3.5356485945790013</v>
      </c>
      <c r="Y67" s="106">
        <v>3971.2405014311344</v>
      </c>
      <c r="Z67" s="106">
        <v>3.4682092129661348</v>
      </c>
      <c r="AA67" s="106">
        <v>3895.492588003563</v>
      </c>
      <c r="AB67" s="106">
        <v>23.70725161340637</v>
      </c>
      <c r="AC67" s="106">
        <v>26627.985012178036</v>
      </c>
      <c r="AD67" s="106">
        <v>19</v>
      </c>
      <c r="AE67" s="106">
        <v>21340.799999999999</v>
      </c>
      <c r="AF67" s="106">
        <v>29</v>
      </c>
      <c r="AG67" s="106">
        <v>32572.800000000003</v>
      </c>
      <c r="AH67" s="106">
        <v>25</v>
      </c>
      <c r="AI67" s="106">
        <v>28080</v>
      </c>
      <c r="AJ67" s="106">
        <v>35</v>
      </c>
      <c r="AK67" s="106">
        <v>39312</v>
      </c>
      <c r="AL67" s="106">
        <v>21</v>
      </c>
      <c r="AM67" s="106">
        <v>23587.200000000001</v>
      </c>
      <c r="AN67" s="106">
        <v>21</v>
      </c>
      <c r="AO67" s="106">
        <v>23587.200000000001</v>
      </c>
      <c r="AP67" s="106">
        <v>22</v>
      </c>
      <c r="AQ67" s="106">
        <v>24710.400000000001</v>
      </c>
      <c r="AR67" s="106">
        <v>9</v>
      </c>
      <c r="AS67" s="106">
        <v>10108.800000000001</v>
      </c>
      <c r="AT67" s="106">
        <v>14</v>
      </c>
      <c r="AU67" s="106">
        <v>15724.800000000001</v>
      </c>
      <c r="AV67" s="106">
        <v>9</v>
      </c>
      <c r="AW67" s="106">
        <v>10108.800000000001</v>
      </c>
      <c r="AX67" s="106">
        <v>14</v>
      </c>
      <c r="AY67" s="106">
        <v>15724.800000000001</v>
      </c>
      <c r="AZ67" s="106">
        <v>2.9666652163341261</v>
      </c>
      <c r="BA67" s="106">
        <v>3332.1583709864904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10</v>
      </c>
      <c r="BI67" s="106">
        <v>11232</v>
      </c>
      <c r="BJ67" s="106">
        <v>12</v>
      </c>
      <c r="BK67" s="106">
        <v>13478.400000000001</v>
      </c>
      <c r="BL67" s="106">
        <v>14</v>
      </c>
      <c r="BM67" s="106">
        <v>15724.800000000001</v>
      </c>
      <c r="BN67" s="106">
        <v>15</v>
      </c>
      <c r="BO67" s="106">
        <v>16848</v>
      </c>
      <c r="BP67" s="106">
        <v>27</v>
      </c>
      <c r="BQ67" s="106">
        <v>30326.400000000001</v>
      </c>
      <c r="BR67" s="106">
        <v>23</v>
      </c>
      <c r="BS67" s="106">
        <v>25833.600000000002</v>
      </c>
      <c r="BT67" s="106">
        <v>22</v>
      </c>
      <c r="BU67" s="106">
        <v>24710.400000000001</v>
      </c>
      <c r="BV67" s="106">
        <v>16</v>
      </c>
      <c r="BW67" s="106">
        <v>17971.2</v>
      </c>
      <c r="BX67" s="106">
        <v>10</v>
      </c>
      <c r="BY67" s="106">
        <v>11232</v>
      </c>
      <c r="BZ67" s="106">
        <v>9</v>
      </c>
      <c r="CA67" s="106">
        <v>10108.800000000001</v>
      </c>
      <c r="CB67" s="106">
        <v>6.2198231083637356</v>
      </c>
      <c r="CC67" s="106">
        <v>6986.1053153141484</v>
      </c>
      <c r="CD67" s="106">
        <v>9.8526573141748663</v>
      </c>
      <c r="CE67" s="106">
        <v>11066.50469528121</v>
      </c>
      <c r="CF67" s="106">
        <v>20.366655284732705</v>
      </c>
      <c r="CG67" s="106">
        <v>22875.827215811776</v>
      </c>
      <c r="CH67" s="106">
        <v>18.573171380739534</v>
      </c>
      <c r="CI67" s="106">
        <v>20861.386094846646</v>
      </c>
      <c r="CJ67" s="106">
        <v>19.518186122273434</v>
      </c>
      <c r="CK67" s="106">
        <v>21922.826652537522</v>
      </c>
      <c r="CL67" s="106">
        <v>16.516949711111842</v>
      </c>
      <c r="CM67" s="106">
        <v>18551.83791552082</v>
      </c>
      <c r="CN67" s="106">
        <v>8.8437816305097421</v>
      </c>
      <c r="CO67" s="106">
        <v>9933.3355273885427</v>
      </c>
      <c r="CP67" s="106">
        <v>11.411616585378866</v>
      </c>
      <c r="CQ67" s="106">
        <v>12817.527748697543</v>
      </c>
      <c r="CR67" s="106">
        <v>10.713528953876848</v>
      </c>
      <c r="CS67" s="106">
        <v>12033.435720994476</v>
      </c>
      <c r="CT67" s="106">
        <v>9.2948376247423656</v>
      </c>
      <c r="CU67" s="106">
        <v>10439.961620110626</v>
      </c>
    </row>
    <row r="68" spans="2:99" x14ac:dyDescent="0.2">
      <c r="C68" s="105" t="s">
        <v>233</v>
      </c>
      <c r="D68" s="106">
        <v>2.4313889836236697</v>
      </c>
      <c r="E68" s="106">
        <v>2512.1110978799757</v>
      </c>
      <c r="F68" s="106">
        <v>4.9479901979818131</v>
      </c>
      <c r="G68" s="106">
        <v>5112.2634725548096</v>
      </c>
      <c r="H68" s="106">
        <v>4.3450012277203687</v>
      </c>
      <c r="I68" s="106">
        <v>4489.2552684806851</v>
      </c>
      <c r="J68" s="106">
        <v>3.3153638226446369</v>
      </c>
      <c r="K68" s="106">
        <v>3425.4339015564392</v>
      </c>
      <c r="L68" s="106">
        <v>5.4208328549158402</v>
      </c>
      <c r="M68" s="106">
        <v>5600.8045056990468</v>
      </c>
      <c r="N68" s="106">
        <v>4.2690929828615323</v>
      </c>
      <c r="O68" s="106">
        <v>4410.8268698925349</v>
      </c>
      <c r="P68" s="106">
        <v>3.3726473172382145</v>
      </c>
      <c r="Q68" s="106">
        <v>3484.6192081705235</v>
      </c>
      <c r="R68" s="106">
        <v>4.6496888126977378</v>
      </c>
      <c r="S68" s="106">
        <v>4804.0584812793031</v>
      </c>
      <c r="T68" s="106">
        <v>3.7798427522418176</v>
      </c>
      <c r="U68" s="106">
        <v>3905.3335316162461</v>
      </c>
      <c r="V68" s="106">
        <v>2.8535811190454359</v>
      </c>
      <c r="W68" s="106">
        <v>2948.3200121977443</v>
      </c>
      <c r="X68" s="106">
        <v>3.4285077280766072</v>
      </c>
      <c r="Y68" s="106">
        <v>3542.3341846487506</v>
      </c>
      <c r="Z68" s="106">
        <v>3.3781258567851959</v>
      </c>
      <c r="AA68" s="106">
        <v>3490.2796352304645</v>
      </c>
      <c r="AB68" s="106">
        <v>21.167188940541404</v>
      </c>
      <c r="AC68" s="106">
        <v>21869.93961336738</v>
      </c>
      <c r="AD68" s="106">
        <v>21</v>
      </c>
      <c r="AE68" s="106">
        <v>21697.200000000001</v>
      </c>
      <c r="AF68" s="106">
        <v>32</v>
      </c>
      <c r="AG68" s="106">
        <v>33062.400000000001</v>
      </c>
      <c r="AH68" s="106">
        <v>22</v>
      </c>
      <c r="AI68" s="106">
        <v>22730.400000000001</v>
      </c>
      <c r="AJ68" s="106">
        <v>32</v>
      </c>
      <c r="AK68" s="106">
        <v>33062.400000000001</v>
      </c>
      <c r="AL68" s="106">
        <v>22</v>
      </c>
      <c r="AM68" s="106">
        <v>22730.400000000001</v>
      </c>
      <c r="AN68" s="106">
        <v>20</v>
      </c>
      <c r="AO68" s="106">
        <v>20664</v>
      </c>
      <c r="AP68" s="106">
        <v>24</v>
      </c>
      <c r="AQ68" s="106">
        <v>24796.800000000003</v>
      </c>
      <c r="AR68" s="106">
        <v>8</v>
      </c>
      <c r="AS68" s="106">
        <v>8265.6</v>
      </c>
      <c r="AT68" s="106">
        <v>12</v>
      </c>
      <c r="AU68" s="106">
        <v>12398.400000000001</v>
      </c>
      <c r="AV68" s="106">
        <v>9</v>
      </c>
      <c r="AW68" s="106">
        <v>9298.8000000000011</v>
      </c>
      <c r="AX68" s="106">
        <v>13</v>
      </c>
      <c r="AY68" s="106">
        <v>13431.6</v>
      </c>
      <c r="AZ68" s="106">
        <v>2.7688875352451841</v>
      </c>
      <c r="BA68" s="106">
        <v>2860.8146014153244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9</v>
      </c>
      <c r="BI68" s="106">
        <v>9298.8000000000011</v>
      </c>
      <c r="BJ68" s="106">
        <v>11</v>
      </c>
      <c r="BK68" s="106">
        <v>11365.2</v>
      </c>
      <c r="BL68" s="106">
        <v>16</v>
      </c>
      <c r="BM68" s="106">
        <v>16531.2</v>
      </c>
      <c r="BN68" s="106">
        <v>15</v>
      </c>
      <c r="BO68" s="106">
        <v>15498</v>
      </c>
      <c r="BP68" s="106">
        <v>28</v>
      </c>
      <c r="BQ68" s="106">
        <v>28929.600000000002</v>
      </c>
      <c r="BR68" s="106">
        <v>22</v>
      </c>
      <c r="BS68" s="106">
        <v>22730.400000000001</v>
      </c>
      <c r="BT68" s="106">
        <v>22</v>
      </c>
      <c r="BU68" s="106">
        <v>22730.400000000001</v>
      </c>
      <c r="BV68" s="106">
        <v>16</v>
      </c>
      <c r="BW68" s="106">
        <v>16531.2</v>
      </c>
      <c r="BX68" s="106">
        <v>9</v>
      </c>
      <c r="BY68" s="106">
        <v>9298.8000000000011</v>
      </c>
      <c r="BZ68" s="106">
        <v>8</v>
      </c>
      <c r="CA68" s="106">
        <v>8265.6</v>
      </c>
      <c r="CB68" s="106">
        <v>6.7852615727604375</v>
      </c>
      <c r="CC68" s="106">
        <v>7010.5322569760847</v>
      </c>
      <c r="CD68" s="106">
        <v>9.1488960774480894</v>
      </c>
      <c r="CE68" s="106">
        <v>9452.6394272193666</v>
      </c>
      <c r="CF68" s="106">
        <v>20.027211029987161</v>
      </c>
      <c r="CG68" s="106">
        <v>20692.114436182736</v>
      </c>
      <c r="CH68" s="106">
        <v>16.355479275576606</v>
      </c>
      <c r="CI68" s="106">
        <v>16898.481187525751</v>
      </c>
      <c r="CJ68" s="106">
        <v>17.16254296958526</v>
      </c>
      <c r="CK68" s="106">
        <v>17732.339396175492</v>
      </c>
      <c r="CL68" s="106">
        <v>16.516949711111842</v>
      </c>
      <c r="CM68" s="106">
        <v>17065.312441520757</v>
      </c>
      <c r="CN68" s="106">
        <v>8.8437816305097421</v>
      </c>
      <c r="CO68" s="106">
        <v>9137.3951806426667</v>
      </c>
      <c r="CP68" s="106">
        <v>10.419302099693747</v>
      </c>
      <c r="CQ68" s="106">
        <v>10765.222929403579</v>
      </c>
      <c r="CR68" s="106">
        <v>11.200507542689433</v>
      </c>
      <c r="CS68" s="106">
        <v>11572.364393106722</v>
      </c>
      <c r="CT68" s="106">
        <v>8.6751817830928761</v>
      </c>
      <c r="CU68" s="106">
        <v>8963.1978182915609</v>
      </c>
    </row>
    <row r="69" spans="2:99" x14ac:dyDescent="0.2">
      <c r="C69" s="105" t="s">
        <v>234</v>
      </c>
      <c r="D69" s="106">
        <v>2.7353126065766284</v>
      </c>
      <c r="E69" s="106">
        <v>2074.4610808277148</v>
      </c>
      <c r="F69" s="106">
        <v>5.3286048285957994</v>
      </c>
      <c r="G69" s="106">
        <v>4041.213902007054</v>
      </c>
      <c r="H69" s="106">
        <v>4.6553584582718228</v>
      </c>
      <c r="I69" s="106">
        <v>3530.6238547533503</v>
      </c>
      <c r="J69" s="106">
        <v>4.0521113387878902</v>
      </c>
      <c r="K69" s="106">
        <v>3073.1212393367359</v>
      </c>
      <c r="L69" s="106">
        <v>5.4208328549158402</v>
      </c>
      <c r="M69" s="106">
        <v>4111.1596371681735</v>
      </c>
      <c r="N69" s="106">
        <v>4.2690929828615323</v>
      </c>
      <c r="O69" s="106">
        <v>3237.6801182021859</v>
      </c>
      <c r="P69" s="106">
        <v>3.0353825855143932</v>
      </c>
      <c r="Q69" s="106">
        <v>2302.0341528541157</v>
      </c>
      <c r="R69" s="106">
        <v>4.6496888126977378</v>
      </c>
      <c r="S69" s="106">
        <v>3526.3239955499644</v>
      </c>
      <c r="T69" s="106">
        <v>3.9898340162552524</v>
      </c>
      <c r="U69" s="106">
        <v>3025.8901179279833</v>
      </c>
      <c r="V69" s="106">
        <v>3.0092309982660961</v>
      </c>
      <c r="W69" s="106">
        <v>2282.2007890850073</v>
      </c>
      <c r="X69" s="106">
        <v>3.9106416273373799</v>
      </c>
      <c r="Y69" s="106">
        <v>2965.8306101726689</v>
      </c>
      <c r="Z69" s="106">
        <v>3.873584315780358</v>
      </c>
      <c r="AA69" s="106">
        <v>2937.7263450878236</v>
      </c>
      <c r="AB69" s="106">
        <v>23.70725161340637</v>
      </c>
      <c r="AC69" s="106">
        <v>17979.579623607391</v>
      </c>
      <c r="AD69" s="106">
        <v>23</v>
      </c>
      <c r="AE69" s="106">
        <v>17443.2</v>
      </c>
      <c r="AF69" s="106">
        <v>32</v>
      </c>
      <c r="AG69" s="106">
        <v>24268.799999999999</v>
      </c>
      <c r="AH69" s="106">
        <v>23</v>
      </c>
      <c r="AI69" s="106">
        <v>17443.2</v>
      </c>
      <c r="AJ69" s="106">
        <v>38</v>
      </c>
      <c r="AK69" s="106">
        <v>28819.200000000001</v>
      </c>
      <c r="AL69" s="106">
        <v>22</v>
      </c>
      <c r="AM69" s="106">
        <v>16684.8</v>
      </c>
      <c r="AN69" s="106">
        <v>22</v>
      </c>
      <c r="AO69" s="106">
        <v>16684.8</v>
      </c>
      <c r="AP69" s="106">
        <v>24</v>
      </c>
      <c r="AQ69" s="106">
        <v>18201.599999999999</v>
      </c>
      <c r="AR69" s="106">
        <v>10</v>
      </c>
      <c r="AS69" s="106">
        <v>7584</v>
      </c>
      <c r="AT69" s="106">
        <v>15</v>
      </c>
      <c r="AU69" s="106">
        <v>11376</v>
      </c>
      <c r="AV69" s="106">
        <v>10</v>
      </c>
      <c r="AW69" s="106">
        <v>7584</v>
      </c>
      <c r="AX69" s="106">
        <v>14</v>
      </c>
      <c r="AY69" s="106">
        <v>10617.6</v>
      </c>
      <c r="AZ69" s="106">
        <v>2.5711098541562425</v>
      </c>
      <c r="BA69" s="106">
        <v>1949.9297133920943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10</v>
      </c>
      <c r="BI69" s="106">
        <v>7584</v>
      </c>
      <c r="BJ69" s="106">
        <v>14</v>
      </c>
      <c r="BK69" s="106">
        <v>10617.6</v>
      </c>
      <c r="BL69" s="106">
        <v>15</v>
      </c>
      <c r="BM69" s="106">
        <v>11376</v>
      </c>
      <c r="BN69" s="106">
        <v>17</v>
      </c>
      <c r="BO69" s="106">
        <v>12892.8</v>
      </c>
      <c r="BP69" s="106">
        <v>25</v>
      </c>
      <c r="BQ69" s="106">
        <v>18960</v>
      </c>
      <c r="BR69" s="106">
        <v>27</v>
      </c>
      <c r="BS69" s="106">
        <v>20476.8</v>
      </c>
      <c r="BT69" s="106">
        <v>22</v>
      </c>
      <c r="BU69" s="106">
        <v>16684.8</v>
      </c>
      <c r="BV69" s="106">
        <v>15</v>
      </c>
      <c r="BW69" s="106">
        <v>11376</v>
      </c>
      <c r="BX69" s="106">
        <v>10</v>
      </c>
      <c r="BY69" s="106">
        <v>7584</v>
      </c>
      <c r="BZ69" s="106">
        <v>8</v>
      </c>
      <c r="CA69" s="106">
        <v>6067.2</v>
      </c>
      <c r="CB69" s="106">
        <v>7.3507000371571412</v>
      </c>
      <c r="CC69" s="106">
        <v>5574.7709081799758</v>
      </c>
      <c r="CD69" s="106">
        <v>8.4451348407213143</v>
      </c>
      <c r="CE69" s="106">
        <v>6404.7902632030446</v>
      </c>
      <c r="CF69" s="106">
        <v>20.706099539478252</v>
      </c>
      <c r="CG69" s="106">
        <v>15703.505890740305</v>
      </c>
      <c r="CH69" s="106">
        <v>20.236440459611732</v>
      </c>
      <c r="CI69" s="106">
        <v>15347.316444569537</v>
      </c>
      <c r="CJ69" s="106">
        <v>19.181665671889405</v>
      </c>
      <c r="CK69" s="106">
        <v>14547.375245560925</v>
      </c>
      <c r="CL69" s="106">
        <v>17.152217007693068</v>
      </c>
      <c r="CM69" s="106">
        <v>13008.241378634422</v>
      </c>
      <c r="CN69" s="106">
        <v>8.8437816305097421</v>
      </c>
      <c r="CO69" s="106">
        <v>6707.1239885785881</v>
      </c>
      <c r="CP69" s="106">
        <v>10.915459342536307</v>
      </c>
      <c r="CQ69" s="106">
        <v>8278.2843653795353</v>
      </c>
      <c r="CR69" s="106">
        <v>12.174464720314599</v>
      </c>
      <c r="CS69" s="106">
        <v>9233.1140438865914</v>
      </c>
      <c r="CT69" s="106">
        <v>10.53414930804135</v>
      </c>
      <c r="CU69" s="106">
        <v>7989.0988352185595</v>
      </c>
    </row>
    <row r="70" spans="2:99" x14ac:dyDescent="0.2">
      <c r="C70" s="105" t="s">
        <v>235</v>
      </c>
      <c r="D70" s="106">
        <v>2.4313889836236697</v>
      </c>
      <c r="E70" s="106">
        <v>1301.2793840353879</v>
      </c>
      <c r="F70" s="106">
        <v>4.9479901979818131</v>
      </c>
      <c r="G70" s="106">
        <v>2648.1643539598658</v>
      </c>
      <c r="H70" s="106">
        <v>4.9657156888232779</v>
      </c>
      <c r="I70" s="106">
        <v>2657.6510366582179</v>
      </c>
      <c r="J70" s="106">
        <v>3.3153638226446369</v>
      </c>
      <c r="K70" s="106">
        <v>1774.3827178794095</v>
      </c>
      <c r="L70" s="106">
        <v>5.4208328549158402</v>
      </c>
      <c r="M70" s="106">
        <v>2901.2297439509575</v>
      </c>
      <c r="N70" s="106">
        <v>3.9641577697999941</v>
      </c>
      <c r="O70" s="106">
        <v>2121.6172383969565</v>
      </c>
      <c r="P70" s="106">
        <v>3.3726473172382145</v>
      </c>
      <c r="Q70" s="106">
        <v>1805.0408441858922</v>
      </c>
      <c r="R70" s="106">
        <v>4.6496888126977378</v>
      </c>
      <c r="S70" s="106">
        <v>2488.5134525558287</v>
      </c>
      <c r="T70" s="106">
        <v>4.6723056242989136</v>
      </c>
      <c r="U70" s="106">
        <v>2500.6179701247784</v>
      </c>
      <c r="V70" s="106">
        <v>3.37241404978097</v>
      </c>
      <c r="W70" s="106">
        <v>1804.915999442775</v>
      </c>
      <c r="X70" s="106">
        <v>4.6070572596029411</v>
      </c>
      <c r="Y70" s="106">
        <v>2465.6970453394938</v>
      </c>
      <c r="Z70" s="106">
        <v>4.3240010966850511</v>
      </c>
      <c r="AA70" s="106">
        <v>2314.2053869458391</v>
      </c>
      <c r="AB70" s="106">
        <v>26.24731428627134</v>
      </c>
      <c r="AC70" s="106">
        <v>14047.56260601242</v>
      </c>
      <c r="AD70" s="106">
        <v>21</v>
      </c>
      <c r="AE70" s="106">
        <v>11239.199999999999</v>
      </c>
      <c r="AF70" s="106">
        <v>29</v>
      </c>
      <c r="AG70" s="106">
        <v>15520.799999999997</v>
      </c>
      <c r="AH70" s="106">
        <v>26</v>
      </c>
      <c r="AI70" s="106">
        <v>13915.199999999999</v>
      </c>
      <c r="AJ70" s="106">
        <v>39</v>
      </c>
      <c r="AK70" s="106">
        <v>20872.799999999996</v>
      </c>
      <c r="AL70" s="106">
        <v>24</v>
      </c>
      <c r="AM70" s="106">
        <v>12844.8</v>
      </c>
      <c r="AN70" s="106">
        <v>26</v>
      </c>
      <c r="AO70" s="106">
        <v>13915.199999999999</v>
      </c>
      <c r="AP70" s="106">
        <v>23</v>
      </c>
      <c r="AQ70" s="106">
        <v>12309.599999999999</v>
      </c>
      <c r="AR70" s="106">
        <v>9</v>
      </c>
      <c r="AS70" s="106">
        <v>4816.7999999999993</v>
      </c>
      <c r="AT70" s="106">
        <v>14</v>
      </c>
      <c r="AU70" s="106">
        <v>7492.7999999999993</v>
      </c>
      <c r="AV70" s="106">
        <v>9</v>
      </c>
      <c r="AW70" s="106">
        <v>4816.7999999999993</v>
      </c>
      <c r="AX70" s="106">
        <v>14</v>
      </c>
      <c r="AY70" s="106">
        <v>7492.7999999999993</v>
      </c>
      <c r="AZ70" s="106">
        <v>2.7688875352451841</v>
      </c>
      <c r="BA70" s="106">
        <v>1481.9086088632223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10</v>
      </c>
      <c r="BI70" s="106">
        <v>5351.9999999999991</v>
      </c>
      <c r="BJ70" s="106">
        <v>12</v>
      </c>
      <c r="BK70" s="106">
        <v>6422.4</v>
      </c>
      <c r="BL70" s="106">
        <v>17</v>
      </c>
      <c r="BM70" s="106">
        <v>9098.4</v>
      </c>
      <c r="BN70" s="106">
        <v>15</v>
      </c>
      <c r="BO70" s="106">
        <v>8027.9999999999991</v>
      </c>
      <c r="BP70" s="106">
        <v>26</v>
      </c>
      <c r="BQ70" s="106">
        <v>13915.199999999999</v>
      </c>
      <c r="BR70" s="106">
        <v>28</v>
      </c>
      <c r="BS70" s="106">
        <v>14985.599999999999</v>
      </c>
      <c r="BT70" s="106">
        <v>24</v>
      </c>
      <c r="BU70" s="106">
        <v>12844.8</v>
      </c>
      <c r="BV70" s="106">
        <v>16</v>
      </c>
      <c r="BW70" s="106">
        <v>8563.1999999999989</v>
      </c>
      <c r="BX70" s="106">
        <v>9</v>
      </c>
      <c r="BY70" s="106">
        <v>4816.7999999999993</v>
      </c>
      <c r="BZ70" s="106">
        <v>10</v>
      </c>
      <c r="CA70" s="106">
        <v>5351.9999999999991</v>
      </c>
      <c r="CB70" s="106">
        <v>6.7852615727604375</v>
      </c>
      <c r="CC70" s="106">
        <v>3631.4719937413856</v>
      </c>
      <c r="CD70" s="106">
        <v>9.1488960774480894</v>
      </c>
      <c r="CE70" s="106">
        <v>4896.4891806502164</v>
      </c>
      <c r="CF70" s="106">
        <v>25.118874851170339</v>
      </c>
      <c r="CG70" s="106">
        <v>13443.621820346363</v>
      </c>
      <c r="CH70" s="106">
        <v>17.464325328158072</v>
      </c>
      <c r="CI70" s="106">
        <v>9346.9069156301994</v>
      </c>
      <c r="CJ70" s="106">
        <v>19.518186122273434</v>
      </c>
      <c r="CK70" s="106">
        <v>10446.133212640741</v>
      </c>
      <c r="CL70" s="106">
        <v>16.199316062821232</v>
      </c>
      <c r="CM70" s="106">
        <v>8669.8739568219225</v>
      </c>
      <c r="CN70" s="106">
        <v>9.4333670725437244</v>
      </c>
      <c r="CO70" s="106">
        <v>5048.7380572254006</v>
      </c>
      <c r="CP70" s="106">
        <v>11.411616585378866</v>
      </c>
      <c r="CQ70" s="106">
        <v>6107.4971964947681</v>
      </c>
      <c r="CR70" s="106">
        <v>13.148421897939768</v>
      </c>
      <c r="CS70" s="106">
        <v>7037.0353997773627</v>
      </c>
      <c r="CT70" s="106">
        <v>10.53414930804135</v>
      </c>
      <c r="CU70" s="106">
        <v>5637.8767096637293</v>
      </c>
    </row>
    <row r="71" spans="2:99" x14ac:dyDescent="0.2">
      <c r="B71" s="105" t="s">
        <v>130</v>
      </c>
      <c r="C71" s="105" t="s">
        <v>236</v>
      </c>
      <c r="D71" s="106">
        <v>17.418556631030818</v>
      </c>
      <c r="E71" s="106">
        <v>9824.0659399013803</v>
      </c>
      <c r="F71" s="106">
        <v>14.886149535495363</v>
      </c>
      <c r="G71" s="106">
        <v>8395.7883380193853</v>
      </c>
      <c r="H71" s="106">
        <v>13.474189261689956</v>
      </c>
      <c r="I71" s="106">
        <v>7599.4427435931348</v>
      </c>
      <c r="J71" s="106">
        <v>16.199030989230074</v>
      </c>
      <c r="K71" s="106">
        <v>9136.2534779257621</v>
      </c>
      <c r="L71" s="106">
        <v>7.5618677119366486</v>
      </c>
      <c r="M71" s="106">
        <v>4264.8933895322698</v>
      </c>
      <c r="N71" s="106">
        <v>7.4606445540634567</v>
      </c>
      <c r="O71" s="106">
        <v>4207.8035284917896</v>
      </c>
      <c r="P71" s="106">
        <v>8.9108073392595415</v>
      </c>
      <c r="Q71" s="106">
        <v>5025.695339342381</v>
      </c>
      <c r="R71" s="106">
        <v>8.0135733258155497</v>
      </c>
      <c r="S71" s="106">
        <v>4519.65535575997</v>
      </c>
      <c r="T71" s="106">
        <v>0.7757807200688378</v>
      </c>
      <c r="U71" s="106">
        <v>437.54032611882451</v>
      </c>
      <c r="V71" s="106">
        <v>0.61271743084996233</v>
      </c>
      <c r="W71" s="106">
        <v>345.57263099937876</v>
      </c>
      <c r="X71" s="106">
        <v>0.69602062889019711</v>
      </c>
      <c r="Y71" s="106">
        <v>392.55563469407116</v>
      </c>
      <c r="Z71" s="106">
        <v>0.77423617453046767</v>
      </c>
      <c r="AA71" s="106">
        <v>436.66920243518376</v>
      </c>
      <c r="AB71" s="106">
        <v>11.570639451214376</v>
      </c>
      <c r="AC71" s="106">
        <v>6525.8406504849081</v>
      </c>
      <c r="AD71" s="106">
        <v>9.3415897922304296</v>
      </c>
      <c r="AE71" s="106">
        <v>5268.6566428179622</v>
      </c>
      <c r="AF71" s="106">
        <v>10.96300971672013</v>
      </c>
      <c r="AG71" s="106">
        <v>6183.1374802301534</v>
      </c>
      <c r="AH71" s="106">
        <v>14.099592374746543</v>
      </c>
      <c r="AI71" s="106">
        <v>7952.1700993570503</v>
      </c>
      <c r="AJ71" s="106">
        <v>11.196895098578381</v>
      </c>
      <c r="AK71" s="106">
        <v>6315.048835598207</v>
      </c>
      <c r="AL71" s="106">
        <v>11.341041173352437</v>
      </c>
      <c r="AM71" s="106">
        <v>6396.3472217707749</v>
      </c>
      <c r="AN71" s="106">
        <v>16.204852185392475</v>
      </c>
      <c r="AO71" s="106">
        <v>9139.5366325613559</v>
      </c>
      <c r="AP71" s="106">
        <v>12.601156859280486</v>
      </c>
      <c r="AQ71" s="106">
        <v>7107.0524686341942</v>
      </c>
      <c r="AR71" s="106">
        <v>11.260234694920713</v>
      </c>
      <c r="AS71" s="106">
        <v>6350.7723679352821</v>
      </c>
      <c r="AT71" s="106">
        <v>9.8322496132094095</v>
      </c>
      <c r="AU71" s="106">
        <v>5545.3887818501071</v>
      </c>
      <c r="AV71" s="106">
        <v>12.40881049210941</v>
      </c>
      <c r="AW71" s="106">
        <v>6998.5691175497068</v>
      </c>
      <c r="AX71" s="106">
        <v>10.961228150382052</v>
      </c>
      <c r="AY71" s="106">
        <v>6182.1326768154777</v>
      </c>
      <c r="AZ71" s="106">
        <v>8.9378539303621167</v>
      </c>
      <c r="BA71" s="106">
        <v>5040.9496167242341</v>
      </c>
      <c r="BB71" s="106">
        <v>6.3809167406249996</v>
      </c>
      <c r="BC71" s="106">
        <v>3598.8370417124997</v>
      </c>
      <c r="BD71" s="106">
        <v>5.3522761651376145</v>
      </c>
      <c r="BE71" s="106">
        <v>3018.6837571376145</v>
      </c>
      <c r="BF71" s="106">
        <v>8.5215453101123604</v>
      </c>
      <c r="BG71" s="106">
        <v>4806.1515549033711</v>
      </c>
      <c r="BH71" s="106">
        <v>12.051604336830863</v>
      </c>
      <c r="BI71" s="106">
        <v>6797.1048459726071</v>
      </c>
      <c r="BJ71" s="106">
        <v>11.338692530990164</v>
      </c>
      <c r="BK71" s="106">
        <v>6395.0225874784528</v>
      </c>
      <c r="BL71" s="106">
        <v>9.8416524413239816</v>
      </c>
      <c r="BM71" s="106">
        <v>5550.6919769067254</v>
      </c>
      <c r="BN71" s="106">
        <v>11.524192613296751</v>
      </c>
      <c r="BO71" s="106">
        <v>6499.6446338993674</v>
      </c>
      <c r="BP71" s="106">
        <v>6.9516970433862335</v>
      </c>
      <c r="BQ71" s="106">
        <v>3920.7571324698356</v>
      </c>
      <c r="BR71" s="106">
        <v>6.7837816558648267</v>
      </c>
      <c r="BS71" s="106">
        <v>3826.0528539077623</v>
      </c>
      <c r="BT71" s="106">
        <v>10.613463044146657</v>
      </c>
      <c r="BU71" s="106">
        <v>5985.9931568987149</v>
      </c>
      <c r="BV71" s="106">
        <v>9.1581052354175156</v>
      </c>
      <c r="BW71" s="106">
        <v>5165.1713527754791</v>
      </c>
      <c r="BX71" s="106">
        <v>7.9036586830011926</v>
      </c>
      <c r="BY71" s="106">
        <v>4457.6634972126722</v>
      </c>
      <c r="BZ71" s="106">
        <v>7.6625431695724027</v>
      </c>
      <c r="CA71" s="106">
        <v>4321.6743476388347</v>
      </c>
      <c r="CB71" s="106">
        <v>8.0057731362699407</v>
      </c>
      <c r="CC71" s="106">
        <v>4515.2560488562467</v>
      </c>
      <c r="CD71" s="106">
        <v>8.4505383105071594</v>
      </c>
      <c r="CE71" s="106">
        <v>4766.1036071260378</v>
      </c>
      <c r="CF71" s="106">
        <v>3.8565234687780805</v>
      </c>
      <c r="CG71" s="106">
        <v>2175.0792363908372</v>
      </c>
      <c r="CH71" s="106">
        <v>4.4362402190468222</v>
      </c>
      <c r="CI71" s="106">
        <v>2502.0394835424077</v>
      </c>
      <c r="CJ71" s="106">
        <v>3.5019721176162246</v>
      </c>
      <c r="CK71" s="106">
        <v>1975.1122743355506</v>
      </c>
      <c r="CL71" s="106">
        <v>4.1292271511311638</v>
      </c>
      <c r="CM71" s="106">
        <v>2328.8841132379762</v>
      </c>
      <c r="CN71" s="106">
        <v>6.6920332081848377</v>
      </c>
      <c r="CO71" s="106">
        <v>3774.3067294162483</v>
      </c>
      <c r="CP71" s="106">
        <v>8.5285349587576516</v>
      </c>
      <c r="CQ71" s="106">
        <v>4810.0937167393158</v>
      </c>
      <c r="CR71" s="106">
        <v>5.6031799597114915</v>
      </c>
      <c r="CS71" s="106">
        <v>3160.193497277281</v>
      </c>
      <c r="CT71" s="106">
        <v>6.7344773934375954</v>
      </c>
      <c r="CU71" s="106">
        <v>3798.2452498988036</v>
      </c>
    </row>
    <row r="72" spans="2:99" x14ac:dyDescent="0.2">
      <c r="C72" s="105" t="s">
        <v>237</v>
      </c>
      <c r="D72" s="106">
        <v>16.890721581605639</v>
      </c>
      <c r="E72" s="106">
        <v>1256.6696856714593</v>
      </c>
      <c r="F72" s="106">
        <v>18.494913059251815</v>
      </c>
      <c r="G72" s="106">
        <v>1376.021531608335</v>
      </c>
      <c r="H72" s="106">
        <v>13.474189261689956</v>
      </c>
      <c r="I72" s="106">
        <v>1002.4796810697326</v>
      </c>
      <c r="J72" s="106">
        <v>15.761219340872504</v>
      </c>
      <c r="K72" s="106">
        <v>1172.6347189609141</v>
      </c>
      <c r="L72" s="106">
        <v>8.7815237945070752</v>
      </c>
      <c r="M72" s="106">
        <v>653.34537031132629</v>
      </c>
      <c r="N72" s="106">
        <v>7.9935477364965601</v>
      </c>
      <c r="O72" s="106">
        <v>594.71995159534401</v>
      </c>
      <c r="P72" s="106">
        <v>10.967147494473281</v>
      </c>
      <c r="Q72" s="106">
        <v>815.95577358881201</v>
      </c>
      <c r="R72" s="106">
        <v>10.589364751970548</v>
      </c>
      <c r="S72" s="106">
        <v>787.84873754660862</v>
      </c>
      <c r="T72" s="106">
        <v>0.86981474674384851</v>
      </c>
      <c r="U72" s="106">
        <v>64.714217157742326</v>
      </c>
      <c r="V72" s="106">
        <v>0.74887685992773168</v>
      </c>
      <c r="W72" s="106">
        <v>55.716438378623231</v>
      </c>
      <c r="X72" s="106">
        <v>0.78680592831065754</v>
      </c>
      <c r="Y72" s="106">
        <v>58.538361066312916</v>
      </c>
      <c r="Z72" s="106">
        <v>0.86714451547412374</v>
      </c>
      <c r="AA72" s="106">
        <v>64.515551951274801</v>
      </c>
      <c r="AB72" s="106">
        <v>12.622515764961138</v>
      </c>
      <c r="AC72" s="106">
        <v>939.11517291310861</v>
      </c>
      <c r="AD72" s="106">
        <v>11.936475845627772</v>
      </c>
      <c r="AE72" s="106">
        <v>888.07380291470611</v>
      </c>
      <c r="AF72" s="106">
        <v>12.529153961965863</v>
      </c>
      <c r="AG72" s="106">
        <v>932.16905477026012</v>
      </c>
      <c r="AH72" s="106">
        <v>13.684898481371645</v>
      </c>
      <c r="AI72" s="106">
        <v>1018.1564470140503</v>
      </c>
      <c r="AJ72" s="106">
        <v>12.39656243056892</v>
      </c>
      <c r="AK72" s="106">
        <v>922.30424483432762</v>
      </c>
      <c r="AL72" s="106">
        <v>13.44123398323252</v>
      </c>
      <c r="AM72" s="106">
        <v>1000.0278083524994</v>
      </c>
      <c r="AN72" s="106">
        <v>15.529650011001124</v>
      </c>
      <c r="AO72" s="106">
        <v>1155.4059608184834</v>
      </c>
      <c r="AP72" s="106">
        <v>13.44123398323252</v>
      </c>
      <c r="AQ72" s="106">
        <v>1000.0278083524994</v>
      </c>
      <c r="AR72" s="106">
        <v>12.625111627638377</v>
      </c>
      <c r="AS72" s="106">
        <v>939.30830509629516</v>
      </c>
      <c r="AT72" s="106">
        <v>12.883637424205434</v>
      </c>
      <c r="AU72" s="106">
        <v>958.54262436088413</v>
      </c>
      <c r="AV72" s="106">
        <v>12.082262847580216</v>
      </c>
      <c r="AW72" s="106">
        <v>898.92035585996791</v>
      </c>
      <c r="AX72" s="106">
        <v>12.879443076698911</v>
      </c>
      <c r="AY72" s="106">
        <v>958.23056490639885</v>
      </c>
      <c r="AZ72" s="106">
        <v>9.7503861058495822</v>
      </c>
      <c r="BA72" s="106">
        <v>725.42872627520887</v>
      </c>
      <c r="BB72" s="106">
        <v>7.2924762750000003</v>
      </c>
      <c r="BC72" s="106">
        <v>542.56023485999992</v>
      </c>
      <c r="BD72" s="106">
        <v>7.1363682201834866</v>
      </c>
      <c r="BE72" s="106">
        <v>530.9457955816514</v>
      </c>
      <c r="BF72" s="106">
        <v>8.5215453101123604</v>
      </c>
      <c r="BG72" s="106">
        <v>634.00297107235951</v>
      </c>
      <c r="BH72" s="106">
        <v>12.051604336830863</v>
      </c>
      <c r="BI72" s="106">
        <v>896.63936266021608</v>
      </c>
      <c r="BJ72" s="106">
        <v>11.338692530990164</v>
      </c>
      <c r="BK72" s="106">
        <v>843.59872430566804</v>
      </c>
      <c r="BL72" s="106">
        <v>10.825817685456379</v>
      </c>
      <c r="BM72" s="106">
        <v>805.44083579795449</v>
      </c>
      <c r="BN72" s="106">
        <v>11.524192613296751</v>
      </c>
      <c r="BO72" s="106">
        <v>857.39993042927824</v>
      </c>
      <c r="BP72" s="106">
        <v>7.8206591738095126</v>
      </c>
      <c r="BQ72" s="106">
        <v>581.85704253142762</v>
      </c>
      <c r="BR72" s="106">
        <v>7.6317543628479303</v>
      </c>
      <c r="BS72" s="106">
        <v>567.80252459588598</v>
      </c>
      <c r="BT72" s="106">
        <v>8.9806225758164011</v>
      </c>
      <c r="BU72" s="106">
        <v>668.15831964074016</v>
      </c>
      <c r="BV72" s="106">
        <v>9.1581052354175156</v>
      </c>
      <c r="BW72" s="106">
        <v>681.36302951506309</v>
      </c>
      <c r="BX72" s="106">
        <v>8.781842981112435</v>
      </c>
      <c r="BY72" s="106">
        <v>653.36911779476509</v>
      </c>
      <c r="BZ72" s="106">
        <v>8.4552200491833407</v>
      </c>
      <c r="CA72" s="106">
        <v>629.06837165924048</v>
      </c>
      <c r="CB72" s="106">
        <v>10.007216420337427</v>
      </c>
      <c r="CC72" s="106">
        <v>744.53690167310447</v>
      </c>
      <c r="CD72" s="106">
        <v>10.451981594574645</v>
      </c>
      <c r="CE72" s="106">
        <v>777.62743063635355</v>
      </c>
      <c r="CF72" s="106">
        <v>3.8565234687780805</v>
      </c>
      <c r="CG72" s="106">
        <v>286.92534607708916</v>
      </c>
      <c r="CH72" s="106">
        <v>4.7531145204073102</v>
      </c>
      <c r="CI72" s="106">
        <v>353.63172031830385</v>
      </c>
      <c r="CJ72" s="106">
        <v>3.8910801306846943</v>
      </c>
      <c r="CK72" s="106">
        <v>289.49636172294123</v>
      </c>
      <c r="CL72" s="106">
        <v>3.7538428646646942</v>
      </c>
      <c r="CM72" s="106">
        <v>279.28590913105319</v>
      </c>
      <c r="CN72" s="106">
        <v>7.1381687553971602</v>
      </c>
      <c r="CO72" s="106">
        <v>531.07975540154871</v>
      </c>
      <c r="CP72" s="106">
        <v>8.9549617066955332</v>
      </c>
      <c r="CQ72" s="106">
        <v>666.24915097814755</v>
      </c>
      <c r="CR72" s="106">
        <v>5.6031799597114915</v>
      </c>
      <c r="CS72" s="106">
        <v>416.8765890025349</v>
      </c>
      <c r="CT72" s="106">
        <v>6.7344773934375954</v>
      </c>
      <c r="CU72" s="106">
        <v>501.04511807175703</v>
      </c>
    </row>
    <row r="73" spans="2:99" x14ac:dyDescent="0.2">
      <c r="C73" s="105" t="s">
        <v>238</v>
      </c>
      <c r="D73" s="106">
        <v>16.890721581605639</v>
      </c>
      <c r="E73" s="106">
        <v>9445.2915084338729</v>
      </c>
      <c r="F73" s="106">
        <v>13.983958654556252</v>
      </c>
      <c r="G73" s="106">
        <v>7819.8296796278555</v>
      </c>
      <c r="H73" s="106">
        <v>13.474189261689956</v>
      </c>
      <c r="I73" s="106">
        <v>7534.7666351370226</v>
      </c>
      <c r="J73" s="106">
        <v>16.636842637587645</v>
      </c>
      <c r="K73" s="106">
        <v>9303.3224029390094</v>
      </c>
      <c r="L73" s="106">
        <v>8.5375925779929904</v>
      </c>
      <c r="M73" s="106">
        <v>4774.2217696136795</v>
      </c>
      <c r="N73" s="106">
        <v>6.9277413716303524</v>
      </c>
      <c r="O73" s="106">
        <v>3873.9929750156925</v>
      </c>
      <c r="P73" s="106">
        <v>9.5962540576641224</v>
      </c>
      <c r="Q73" s="106">
        <v>5366.2252690457763</v>
      </c>
      <c r="R73" s="106">
        <v>8.2997723731661051</v>
      </c>
      <c r="S73" s="106">
        <v>4641.2327110744855</v>
      </c>
      <c r="T73" s="106">
        <v>0.86981474674384851</v>
      </c>
      <c r="U73" s="106">
        <v>486.40040637916002</v>
      </c>
      <c r="V73" s="106">
        <v>0.64675728811940458</v>
      </c>
      <c r="W73" s="106">
        <v>361.66667551637101</v>
      </c>
      <c r="X73" s="106">
        <v>0.60523532946973668</v>
      </c>
      <c r="Y73" s="106">
        <v>338.4475962394767</v>
      </c>
      <c r="Z73" s="106">
        <v>0.77423617453046767</v>
      </c>
      <c r="AA73" s="106">
        <v>432.95286879743747</v>
      </c>
      <c r="AB73" s="106">
        <v>12.096577608087758</v>
      </c>
      <c r="AC73" s="106">
        <v>6764.4061984426735</v>
      </c>
      <c r="AD73" s="106">
        <v>9.8605670029098995</v>
      </c>
      <c r="AE73" s="106">
        <v>5514.0290680272155</v>
      </c>
      <c r="AF73" s="106">
        <v>10.96300971672013</v>
      </c>
      <c r="AG73" s="106">
        <v>6130.5150335898961</v>
      </c>
      <c r="AH73" s="106">
        <v>13.684898481371645</v>
      </c>
      <c r="AI73" s="106">
        <v>7652.595230783023</v>
      </c>
      <c r="AJ73" s="106">
        <v>11.596784209241894</v>
      </c>
      <c r="AK73" s="106">
        <v>6484.9217298080666</v>
      </c>
      <c r="AL73" s="106">
        <v>12.601156859280486</v>
      </c>
      <c r="AM73" s="106">
        <v>7046.5669157096472</v>
      </c>
      <c r="AN73" s="106">
        <v>16.204852185392475</v>
      </c>
      <c r="AO73" s="106">
        <v>9061.7533420714717</v>
      </c>
      <c r="AP73" s="106">
        <v>11.341041173352437</v>
      </c>
      <c r="AQ73" s="106">
        <v>6341.9102241386818</v>
      </c>
      <c r="AR73" s="106">
        <v>11.260234694920713</v>
      </c>
      <c r="AS73" s="106">
        <v>6296.7232413996626</v>
      </c>
      <c r="AT73" s="106">
        <v>10.171292703320081</v>
      </c>
      <c r="AU73" s="106">
        <v>5687.7868796965886</v>
      </c>
      <c r="AV73" s="106">
        <v>11.429167558521826</v>
      </c>
      <c r="AW73" s="106">
        <v>6391.1904987254038</v>
      </c>
      <c r="AX73" s="106">
        <v>10.961228150382052</v>
      </c>
      <c r="AY73" s="106">
        <v>6129.5187816936423</v>
      </c>
      <c r="AZ73" s="106">
        <v>8.1253217548746512</v>
      </c>
      <c r="BA73" s="106">
        <v>4543.6799253259042</v>
      </c>
      <c r="BB73" s="106">
        <v>6.3809167406249996</v>
      </c>
      <c r="BC73" s="106">
        <v>3568.2086413574993</v>
      </c>
      <c r="BD73" s="106">
        <v>5.3522761651376145</v>
      </c>
      <c r="BE73" s="106">
        <v>2992.9928315449538</v>
      </c>
      <c r="BF73" s="106">
        <v>8.5215453101123604</v>
      </c>
      <c r="BG73" s="106">
        <v>4765.248137414831</v>
      </c>
      <c r="BH73" s="106">
        <v>12.051604336830863</v>
      </c>
      <c r="BI73" s="106">
        <v>6739.2571451558179</v>
      </c>
      <c r="BJ73" s="106">
        <v>11.338692530990164</v>
      </c>
      <c r="BK73" s="106">
        <v>6340.5968633296989</v>
      </c>
      <c r="BL73" s="106">
        <v>9.8416524413239816</v>
      </c>
      <c r="BM73" s="106">
        <v>5503.45204518837</v>
      </c>
      <c r="BN73" s="106">
        <v>10.70103599806127</v>
      </c>
      <c r="BO73" s="106">
        <v>5984.0193301158615</v>
      </c>
      <c r="BP73" s="106">
        <v>7.8206591738095126</v>
      </c>
      <c r="BQ73" s="106">
        <v>4373.3126099942792</v>
      </c>
      <c r="BR73" s="106">
        <v>7.6317543628479303</v>
      </c>
      <c r="BS73" s="106">
        <v>4267.677039704562</v>
      </c>
      <c r="BT73" s="106">
        <v>10.613463044146657</v>
      </c>
      <c r="BU73" s="106">
        <v>5935.0485342868096</v>
      </c>
      <c r="BV73" s="106">
        <v>8.3949297991327239</v>
      </c>
      <c r="BW73" s="106">
        <v>4694.4447436750188</v>
      </c>
      <c r="BX73" s="106">
        <v>8.781842981112435</v>
      </c>
      <c r="BY73" s="106">
        <v>4910.8065950380733</v>
      </c>
      <c r="BZ73" s="106">
        <v>7.3983175430354224</v>
      </c>
      <c r="CA73" s="106">
        <v>4137.1391700654076</v>
      </c>
      <c r="CB73" s="106">
        <v>8.2281557233885501</v>
      </c>
      <c r="CC73" s="106">
        <v>4601.184680518877</v>
      </c>
      <c r="CD73" s="106">
        <v>8.8953034847443799</v>
      </c>
      <c r="CE73" s="106">
        <v>4974.2537086690563</v>
      </c>
      <c r="CF73" s="106">
        <v>3.5351465130465738</v>
      </c>
      <c r="CG73" s="106">
        <v>1976.8539300956438</v>
      </c>
      <c r="CH73" s="106">
        <v>4.4362402190468222</v>
      </c>
      <c r="CI73" s="106">
        <v>2480.7455304909827</v>
      </c>
      <c r="CJ73" s="106">
        <v>3.8910801306846943</v>
      </c>
      <c r="CK73" s="106">
        <v>2175.8920090788806</v>
      </c>
      <c r="CL73" s="106">
        <v>4.1292271511311638</v>
      </c>
      <c r="CM73" s="106">
        <v>2309.0638229125466</v>
      </c>
      <c r="CN73" s="106">
        <v>6.2458976609725152</v>
      </c>
      <c r="CO73" s="106">
        <v>3492.70597201583</v>
      </c>
      <c r="CP73" s="106">
        <v>7.2492547149440041</v>
      </c>
      <c r="CQ73" s="106">
        <v>4053.7832365966865</v>
      </c>
      <c r="CR73" s="106">
        <v>5.6031799597114915</v>
      </c>
      <c r="CS73" s="106">
        <v>3133.2982334706658</v>
      </c>
      <c r="CT73" s="106">
        <v>6.2855122338750888</v>
      </c>
      <c r="CU73" s="106">
        <v>3514.8584411829493</v>
      </c>
    </row>
    <row r="74" spans="2:99" x14ac:dyDescent="0.2">
      <c r="C74" s="105" t="s">
        <v>239</v>
      </c>
      <c r="D74" s="106">
        <v>15.835051482755288</v>
      </c>
      <c r="E74" s="106">
        <v>6384.6927578469322</v>
      </c>
      <c r="F74" s="106">
        <v>17.141626737843147</v>
      </c>
      <c r="G74" s="106">
        <v>6911.503900698357</v>
      </c>
      <c r="H74" s="106">
        <v>14.971321401877729</v>
      </c>
      <c r="I74" s="106">
        <v>6036.4367892371001</v>
      </c>
      <c r="J74" s="106">
        <v>16.636842637587645</v>
      </c>
      <c r="K74" s="106">
        <v>6707.9749514753385</v>
      </c>
      <c r="L74" s="106">
        <v>8.7815237945070752</v>
      </c>
      <c r="M74" s="106">
        <v>3540.7103939452527</v>
      </c>
      <c r="N74" s="106">
        <v>7.7270961452800089</v>
      </c>
      <c r="O74" s="106">
        <v>3115.5651657768994</v>
      </c>
      <c r="P74" s="106">
        <v>9.9389774168664111</v>
      </c>
      <c r="Q74" s="106">
        <v>4007.3956944805368</v>
      </c>
      <c r="R74" s="106">
        <v>9.1583695152177711</v>
      </c>
      <c r="S74" s="106">
        <v>3692.654588535805</v>
      </c>
      <c r="T74" s="106">
        <v>0.8227977334063431</v>
      </c>
      <c r="U74" s="106">
        <v>331.75204610943752</v>
      </c>
      <c r="V74" s="106">
        <v>0.64675728811940458</v>
      </c>
      <c r="W74" s="106">
        <v>260.77253856974392</v>
      </c>
      <c r="X74" s="106">
        <v>0.726282395363684</v>
      </c>
      <c r="Y74" s="106">
        <v>292.83706181063735</v>
      </c>
      <c r="Z74" s="106">
        <v>0.74326672754924894</v>
      </c>
      <c r="AA74" s="106">
        <v>299.68514454785719</v>
      </c>
      <c r="AB74" s="106">
        <v>11.570639451214376</v>
      </c>
      <c r="AC74" s="106">
        <v>4665.2818267296361</v>
      </c>
      <c r="AD74" s="106">
        <v>11.417498634948304</v>
      </c>
      <c r="AE74" s="106">
        <v>4603.5354496111559</v>
      </c>
      <c r="AF74" s="106">
        <v>12.529153961965863</v>
      </c>
      <c r="AG74" s="106">
        <v>5051.7548774646357</v>
      </c>
      <c r="AH74" s="106">
        <v>14.099592374746543</v>
      </c>
      <c r="AI74" s="106">
        <v>5684.9556454978056</v>
      </c>
      <c r="AJ74" s="106">
        <v>11.596784209241894</v>
      </c>
      <c r="AK74" s="106">
        <v>4675.8233931663317</v>
      </c>
      <c r="AL74" s="106">
        <v>13.021195421256502</v>
      </c>
      <c r="AM74" s="106">
        <v>5250.1459938506214</v>
      </c>
      <c r="AN74" s="106">
        <v>16.204852185392475</v>
      </c>
      <c r="AO74" s="106">
        <v>6533.7964011502463</v>
      </c>
      <c r="AP74" s="106">
        <v>11.761079735328453</v>
      </c>
      <c r="AQ74" s="106">
        <v>4742.0673492844317</v>
      </c>
      <c r="AR74" s="106">
        <v>11.260234694920713</v>
      </c>
      <c r="AS74" s="106">
        <v>4540.1266289920313</v>
      </c>
      <c r="AT74" s="106">
        <v>11.188421973652087</v>
      </c>
      <c r="AU74" s="106">
        <v>4511.1717397765215</v>
      </c>
      <c r="AV74" s="106">
        <v>12.40881049210941</v>
      </c>
      <c r="AW74" s="106">
        <v>5003.2323904185141</v>
      </c>
      <c r="AX74" s="106">
        <v>13.15347378045846</v>
      </c>
      <c r="AY74" s="106">
        <v>5303.4806282808513</v>
      </c>
      <c r="AZ74" s="106">
        <v>8.9378539303621167</v>
      </c>
      <c r="BA74" s="106">
        <v>3603.7427047220053</v>
      </c>
      <c r="BB74" s="106">
        <v>7.2924762750000003</v>
      </c>
      <c r="BC74" s="106">
        <v>2940.3264340800001</v>
      </c>
      <c r="BD74" s="106">
        <v>6.2443221926605501</v>
      </c>
      <c r="BE74" s="106">
        <v>2517.7107080807336</v>
      </c>
      <c r="BF74" s="106">
        <v>7.8660418247191011</v>
      </c>
      <c r="BG74" s="106">
        <v>3171.5880637267414</v>
      </c>
      <c r="BH74" s="106">
        <v>9.6412834694646907</v>
      </c>
      <c r="BI74" s="106">
        <v>3887.3654948881631</v>
      </c>
      <c r="BJ74" s="106">
        <v>11.338692530990164</v>
      </c>
      <c r="BK74" s="106">
        <v>4571.7608284952339</v>
      </c>
      <c r="BL74" s="106">
        <v>10.825817685456379</v>
      </c>
      <c r="BM74" s="106">
        <v>4364.9696907760117</v>
      </c>
      <c r="BN74" s="106">
        <v>11.524192613296751</v>
      </c>
      <c r="BO74" s="106">
        <v>4646.5544616812504</v>
      </c>
      <c r="BP74" s="106">
        <v>7.8206591738095126</v>
      </c>
      <c r="BQ74" s="106">
        <v>3153.2897788799955</v>
      </c>
      <c r="BR74" s="106">
        <v>7.6317543628479303</v>
      </c>
      <c r="BS74" s="106">
        <v>3077.1233591002856</v>
      </c>
      <c r="BT74" s="106">
        <v>10.613463044146657</v>
      </c>
      <c r="BU74" s="106">
        <v>4279.3482993999323</v>
      </c>
      <c r="BV74" s="106">
        <v>8.3949297991327239</v>
      </c>
      <c r="BW74" s="106">
        <v>3384.8356950103143</v>
      </c>
      <c r="BX74" s="106">
        <v>9.6600272792236783</v>
      </c>
      <c r="BY74" s="106">
        <v>3894.9229989829869</v>
      </c>
      <c r="BZ74" s="106">
        <v>7.6625431695724027</v>
      </c>
      <c r="CA74" s="106">
        <v>3089.5374059715928</v>
      </c>
      <c r="CB74" s="106">
        <v>8.4505383105071594</v>
      </c>
      <c r="CC74" s="106">
        <v>3407.2570467964865</v>
      </c>
      <c r="CD74" s="106">
        <v>9.1176860718629893</v>
      </c>
      <c r="CE74" s="106">
        <v>3676.251024175157</v>
      </c>
      <c r="CF74" s="106">
        <v>3.8565234687780805</v>
      </c>
      <c r="CG74" s="106">
        <v>1554.9502626113219</v>
      </c>
      <c r="CH74" s="106">
        <v>4.4362402190468222</v>
      </c>
      <c r="CI74" s="106">
        <v>1788.6920563196786</v>
      </c>
      <c r="CJ74" s="106">
        <v>3.8910801306846943</v>
      </c>
      <c r="CK74" s="106">
        <v>1568.8835086920687</v>
      </c>
      <c r="CL74" s="106">
        <v>4.1292271511311638</v>
      </c>
      <c r="CM74" s="106">
        <v>1664.9043873360852</v>
      </c>
      <c r="CN74" s="106">
        <v>7.1381687553971602</v>
      </c>
      <c r="CO74" s="106">
        <v>2878.1096421761349</v>
      </c>
      <c r="CP74" s="106">
        <v>8.10210821081977</v>
      </c>
      <c r="CQ74" s="106">
        <v>3266.7700306025313</v>
      </c>
      <c r="CR74" s="106">
        <v>6.1634979556826401</v>
      </c>
      <c r="CS74" s="106">
        <v>2485.1223757312405</v>
      </c>
      <c r="CT74" s="106">
        <v>6.2855122338750888</v>
      </c>
      <c r="CU74" s="106">
        <v>2534.3185326984358</v>
      </c>
    </row>
    <row r="75" spans="2:99" x14ac:dyDescent="0.2">
      <c r="C75" s="105" t="s">
        <v>240</v>
      </c>
      <c r="D75" s="106">
        <v>14.779381383904937</v>
      </c>
      <c r="E75" s="106">
        <v>9506.0981061276543</v>
      </c>
      <c r="F75" s="106">
        <v>15.33724497596492</v>
      </c>
      <c r="G75" s="106">
        <v>9864.9159685406357</v>
      </c>
      <c r="H75" s="106">
        <v>13.474189261689956</v>
      </c>
      <c r="I75" s="106">
        <v>8666.5985331189786</v>
      </c>
      <c r="J75" s="106">
        <v>14.885596044157365</v>
      </c>
      <c r="K75" s="106">
        <v>9574.4153756020169</v>
      </c>
      <c r="L75" s="106">
        <v>7.317936495422563</v>
      </c>
      <c r="M75" s="106">
        <v>4706.8967538557918</v>
      </c>
      <c r="N75" s="106">
        <v>7.4606445540634567</v>
      </c>
      <c r="O75" s="106">
        <v>4798.6865771736148</v>
      </c>
      <c r="P75" s="106">
        <v>9.5962540576641224</v>
      </c>
      <c r="Q75" s="106">
        <v>6172.3106098895632</v>
      </c>
      <c r="R75" s="106">
        <v>8.8721704678672157</v>
      </c>
      <c r="S75" s="106">
        <v>5706.5800449321923</v>
      </c>
      <c r="T75" s="106">
        <v>0.7522722134000851</v>
      </c>
      <c r="U75" s="106">
        <v>483.86148765893466</v>
      </c>
      <c r="V75" s="106">
        <v>0.68079714538884695</v>
      </c>
      <c r="W75" s="106">
        <v>437.88872391410632</v>
      </c>
      <c r="X75" s="106">
        <v>0.69602062889019711</v>
      </c>
      <c r="Y75" s="106">
        <v>447.68046850217473</v>
      </c>
      <c r="Z75" s="106">
        <v>0.68132783358681148</v>
      </c>
      <c r="AA75" s="106">
        <v>438.23006256303711</v>
      </c>
      <c r="AB75" s="106">
        <v>12.622515764961138</v>
      </c>
      <c r="AC75" s="106">
        <v>8118.8021400230027</v>
      </c>
      <c r="AD75" s="106">
        <v>11.417498634948304</v>
      </c>
      <c r="AE75" s="106">
        <v>7343.7351219987486</v>
      </c>
      <c r="AF75" s="106">
        <v>10.96300971672013</v>
      </c>
      <c r="AG75" s="106">
        <v>7051.4078497943865</v>
      </c>
      <c r="AH75" s="106">
        <v>14.514286268121442</v>
      </c>
      <c r="AI75" s="106">
        <v>9335.58892765571</v>
      </c>
      <c r="AJ75" s="106">
        <v>10.797005987914867</v>
      </c>
      <c r="AK75" s="106">
        <v>6944.6342514268417</v>
      </c>
      <c r="AL75" s="106">
        <v>12.18111829730447</v>
      </c>
      <c r="AM75" s="106">
        <v>7834.8952888262347</v>
      </c>
      <c r="AN75" s="106">
        <v>15.529650011001124</v>
      </c>
      <c r="AO75" s="106">
        <v>9988.6708870759212</v>
      </c>
      <c r="AP75" s="106">
        <v>11.341041173352437</v>
      </c>
      <c r="AQ75" s="106">
        <v>7294.5576827002869</v>
      </c>
      <c r="AR75" s="106">
        <v>10.919015461741298</v>
      </c>
      <c r="AS75" s="106">
        <v>7023.1107449920019</v>
      </c>
      <c r="AT75" s="106">
        <v>10.51033579343075</v>
      </c>
      <c r="AU75" s="106">
        <v>6760.2479823346575</v>
      </c>
      <c r="AV75" s="106">
        <v>12.082262847580216</v>
      </c>
      <c r="AW75" s="106">
        <v>7771.3114635635939</v>
      </c>
      <c r="AX75" s="106">
        <v>12.605412372939359</v>
      </c>
      <c r="AY75" s="106">
        <v>8107.8012382745947</v>
      </c>
      <c r="AZ75" s="106">
        <v>8.1253217548746512</v>
      </c>
      <c r="BA75" s="106">
        <v>5226.2069527353751</v>
      </c>
      <c r="BB75" s="106">
        <v>6.3809167406249996</v>
      </c>
      <c r="BC75" s="106">
        <v>4104.2056475699992</v>
      </c>
      <c r="BD75" s="106">
        <v>6.2443221926605501</v>
      </c>
      <c r="BE75" s="106">
        <v>4016.3480343192655</v>
      </c>
      <c r="BF75" s="106">
        <v>7.8660418247191011</v>
      </c>
      <c r="BG75" s="106">
        <v>5059.4381016593252</v>
      </c>
      <c r="BH75" s="106">
        <v>11.248164047708805</v>
      </c>
      <c r="BI75" s="106">
        <v>7234.8191154863025</v>
      </c>
      <c r="BJ75" s="106">
        <v>9.7188793122772825</v>
      </c>
      <c r="BK75" s="106">
        <v>6251.1831736567474</v>
      </c>
      <c r="BL75" s="106">
        <v>9.8416524413239816</v>
      </c>
      <c r="BM75" s="106">
        <v>6330.1508502595843</v>
      </c>
      <c r="BN75" s="106">
        <v>9.8778793828257871</v>
      </c>
      <c r="BO75" s="106">
        <v>6353.4520190335452</v>
      </c>
      <c r="BP75" s="106">
        <v>7.8206591738095126</v>
      </c>
      <c r="BQ75" s="106">
        <v>5030.2479805942776</v>
      </c>
      <c r="BR75" s="106">
        <v>7.6317543628479303</v>
      </c>
      <c r="BS75" s="106">
        <v>4908.7444061837887</v>
      </c>
      <c r="BT75" s="106">
        <v>8.9806225758164011</v>
      </c>
      <c r="BU75" s="106">
        <v>5776.3364407651088</v>
      </c>
      <c r="BV75" s="106">
        <v>8.3949297991327239</v>
      </c>
      <c r="BW75" s="106">
        <v>5399.6188468021674</v>
      </c>
      <c r="BX75" s="106">
        <v>7.9036586830011926</v>
      </c>
      <c r="BY75" s="106">
        <v>5083.6332649063661</v>
      </c>
      <c r="BZ75" s="106">
        <v>7.6625431695724027</v>
      </c>
      <c r="CA75" s="106">
        <v>4928.5477666689685</v>
      </c>
      <c r="CB75" s="106">
        <v>8.8953034847443799</v>
      </c>
      <c r="CC75" s="106">
        <v>5721.4592013875845</v>
      </c>
      <c r="CD75" s="106">
        <v>8.4505383105071594</v>
      </c>
      <c r="CE75" s="106">
        <v>5435.3862413182042</v>
      </c>
      <c r="CF75" s="106">
        <v>3.8565234687780805</v>
      </c>
      <c r="CG75" s="106">
        <v>2480.5158951180611</v>
      </c>
      <c r="CH75" s="106">
        <v>4.1193659176863351</v>
      </c>
      <c r="CI75" s="106">
        <v>2649.5761582558503</v>
      </c>
      <c r="CJ75" s="106">
        <v>3.5019721176162246</v>
      </c>
      <c r="CK75" s="106">
        <v>2252.4684660507555</v>
      </c>
      <c r="CL75" s="106">
        <v>4.1292271511311638</v>
      </c>
      <c r="CM75" s="106">
        <v>2655.9189036075641</v>
      </c>
      <c r="CN75" s="106">
        <v>6.6920332081848377</v>
      </c>
      <c r="CO75" s="106">
        <v>4304.3157595044868</v>
      </c>
      <c r="CP75" s="106">
        <v>7.2492547149440041</v>
      </c>
      <c r="CQ75" s="106">
        <v>4662.7206326519827</v>
      </c>
      <c r="CR75" s="106">
        <v>5.042861963740342</v>
      </c>
      <c r="CS75" s="106">
        <v>3243.5688150777878</v>
      </c>
      <c r="CT75" s="106">
        <v>5.8365470743125831</v>
      </c>
      <c r="CU75" s="106">
        <v>3754.0670781978529</v>
      </c>
    </row>
    <row r="76" spans="2:99" x14ac:dyDescent="0.2">
      <c r="C76" s="105" t="s">
        <v>241</v>
      </c>
      <c r="D76" s="106">
        <v>16.362886532180465</v>
      </c>
      <c r="E76" s="106">
        <v>12743.416031262144</v>
      </c>
      <c r="F76" s="106">
        <v>14.435054095025809</v>
      </c>
      <c r="G76" s="106">
        <v>11242.020129206099</v>
      </c>
      <c r="H76" s="106">
        <v>13.973233308419214</v>
      </c>
      <c r="I76" s="106">
        <v>10882.354100596884</v>
      </c>
      <c r="J76" s="106">
        <v>14.447784395799795</v>
      </c>
      <c r="K76" s="106">
        <v>11251.93448744888</v>
      </c>
      <c r="L76" s="106">
        <v>7.8057989284507334</v>
      </c>
      <c r="M76" s="106">
        <v>6079.1562054774313</v>
      </c>
      <c r="N76" s="106">
        <v>6.6612897804138012</v>
      </c>
      <c r="O76" s="106">
        <v>5187.8124809862684</v>
      </c>
      <c r="P76" s="106">
        <v>8.2253606208549606</v>
      </c>
      <c r="Q76" s="106">
        <v>6405.9108515218431</v>
      </c>
      <c r="R76" s="106">
        <v>7.7273742784649944</v>
      </c>
      <c r="S76" s="106">
        <v>6018.0790880685372</v>
      </c>
      <c r="T76" s="106">
        <v>0.84630624007509581</v>
      </c>
      <c r="U76" s="106">
        <v>659.10329977048457</v>
      </c>
      <c r="V76" s="106">
        <v>0.61271743084996233</v>
      </c>
      <c r="W76" s="106">
        <v>477.18433514595063</v>
      </c>
      <c r="X76" s="106">
        <v>0.60523532946973668</v>
      </c>
      <c r="Y76" s="106">
        <v>471.35727459103089</v>
      </c>
      <c r="Z76" s="106">
        <v>0.68132783358681148</v>
      </c>
      <c r="AA76" s="106">
        <v>530.61811679740879</v>
      </c>
      <c r="AB76" s="106">
        <v>12.096577608087758</v>
      </c>
      <c r="AC76" s="106">
        <v>9420.8146411787457</v>
      </c>
      <c r="AD76" s="106">
        <v>10.379544213589368</v>
      </c>
      <c r="AE76" s="106">
        <v>8083.5890335433987</v>
      </c>
      <c r="AF76" s="106">
        <v>10.440961634971552</v>
      </c>
      <c r="AG76" s="106">
        <v>8131.4209213158447</v>
      </c>
      <c r="AH76" s="106">
        <v>12.855510694621849</v>
      </c>
      <c r="AI76" s="106">
        <v>10011.871728971495</v>
      </c>
      <c r="AJ76" s="106">
        <v>11.596784209241894</v>
      </c>
      <c r="AK76" s="106">
        <v>9031.5755421575868</v>
      </c>
      <c r="AL76" s="106">
        <v>10.500964049400404</v>
      </c>
      <c r="AM76" s="106">
        <v>8178.150801673034</v>
      </c>
      <c r="AN76" s="106">
        <v>13.841644575022739</v>
      </c>
      <c r="AO76" s="106">
        <v>10779.872795027708</v>
      </c>
      <c r="AP76" s="106">
        <v>12.18111829730447</v>
      </c>
      <c r="AQ76" s="106">
        <v>9486.6549299407216</v>
      </c>
      <c r="AR76" s="106">
        <v>9.8953577622030533</v>
      </c>
      <c r="AS76" s="106">
        <v>7706.5046252037373</v>
      </c>
      <c r="AT76" s="106">
        <v>9.4932065230987401</v>
      </c>
      <c r="AU76" s="106">
        <v>7393.3092401892982</v>
      </c>
      <c r="AV76" s="106">
        <v>11.10261991399263</v>
      </c>
      <c r="AW76" s="106">
        <v>8646.7203890174587</v>
      </c>
      <c r="AX76" s="106">
        <v>12.331381669179809</v>
      </c>
      <c r="AY76" s="106">
        <v>9603.6800439572344</v>
      </c>
      <c r="AZ76" s="106">
        <v>8.1253217548746512</v>
      </c>
      <c r="BA76" s="106">
        <v>6328.0005826963779</v>
      </c>
      <c r="BB76" s="106">
        <v>6.3809167406249996</v>
      </c>
      <c r="BC76" s="106">
        <v>4969.4579575987491</v>
      </c>
      <c r="BD76" s="106">
        <v>6.2443221926605501</v>
      </c>
      <c r="BE76" s="106">
        <v>4863.0781236440362</v>
      </c>
      <c r="BF76" s="106">
        <v>8.5215453101123604</v>
      </c>
      <c r="BG76" s="106">
        <v>6636.5794875155061</v>
      </c>
      <c r="BH76" s="106">
        <v>10.444723758586747</v>
      </c>
      <c r="BI76" s="106">
        <v>8134.3508631873583</v>
      </c>
      <c r="BJ76" s="106">
        <v>10.528785921633725</v>
      </c>
      <c r="BK76" s="106">
        <v>8199.8184757683448</v>
      </c>
      <c r="BL76" s="106">
        <v>10.825817685456379</v>
      </c>
      <c r="BM76" s="106">
        <v>8431.1468134334264</v>
      </c>
      <c r="BN76" s="106">
        <v>10.70103599806127</v>
      </c>
      <c r="BO76" s="106">
        <v>8333.9668352901172</v>
      </c>
      <c r="BP76" s="106">
        <v>6.0827349129629553</v>
      </c>
      <c r="BQ76" s="106">
        <v>4737.2339502155492</v>
      </c>
      <c r="BR76" s="106">
        <v>6.7837816558648267</v>
      </c>
      <c r="BS76" s="106">
        <v>5283.209153587527</v>
      </c>
      <c r="BT76" s="106">
        <v>9.7970428099815283</v>
      </c>
      <c r="BU76" s="106">
        <v>7629.9369404136141</v>
      </c>
      <c r="BV76" s="106">
        <v>8.3949297991327239</v>
      </c>
      <c r="BW76" s="106">
        <v>6537.9713275645654</v>
      </c>
      <c r="BX76" s="106">
        <v>7.6109305836307772</v>
      </c>
      <c r="BY76" s="106">
        <v>5927.3927385316492</v>
      </c>
      <c r="BZ76" s="106">
        <v>7.134091916498444</v>
      </c>
      <c r="CA76" s="106">
        <v>5556.0307845689877</v>
      </c>
      <c r="CB76" s="106">
        <v>8.4505383105071594</v>
      </c>
      <c r="CC76" s="106">
        <v>6581.2792362229757</v>
      </c>
      <c r="CD76" s="106">
        <v>9.1176860718629893</v>
      </c>
      <c r="CE76" s="106">
        <v>7100.8539127668955</v>
      </c>
      <c r="CF76" s="106">
        <v>3.8565234687780805</v>
      </c>
      <c r="CG76" s="106">
        <v>3003.4604774843688</v>
      </c>
      <c r="CH76" s="106">
        <v>3.802491616325848</v>
      </c>
      <c r="CI76" s="106">
        <v>2961.3804707945701</v>
      </c>
      <c r="CJ76" s="106">
        <v>3.5019721176162246</v>
      </c>
      <c r="CK76" s="106">
        <v>2727.3358851995154</v>
      </c>
      <c r="CL76" s="106">
        <v>3.7538428646646942</v>
      </c>
      <c r="CM76" s="106">
        <v>2923.4928230008636</v>
      </c>
      <c r="CN76" s="106">
        <v>7.1381687553971602</v>
      </c>
      <c r="CO76" s="106">
        <v>5559.205826703308</v>
      </c>
      <c r="CP76" s="106">
        <v>7.6756814628818857</v>
      </c>
      <c r="CQ76" s="106">
        <v>5977.8207232924124</v>
      </c>
      <c r="CR76" s="106">
        <v>5.042861963740342</v>
      </c>
      <c r="CS76" s="106">
        <v>3927.380897360978</v>
      </c>
      <c r="CT76" s="106">
        <v>5.8365470743125831</v>
      </c>
      <c r="CU76" s="106">
        <v>4545.5028614746398</v>
      </c>
    </row>
    <row r="77" spans="2:99" x14ac:dyDescent="0.2">
      <c r="C77" s="105" t="s">
        <v>242</v>
      </c>
      <c r="D77" s="106">
        <v>17.418556631030818</v>
      </c>
      <c r="E77" s="106">
        <v>4849.3261660789794</v>
      </c>
      <c r="F77" s="106">
        <v>14.886149535495363</v>
      </c>
      <c r="G77" s="106">
        <v>4144.3040306819084</v>
      </c>
      <c r="H77" s="106">
        <v>14.472277355148469</v>
      </c>
      <c r="I77" s="106">
        <v>4029.0820156733334</v>
      </c>
      <c r="J77" s="106">
        <v>16.636842637587645</v>
      </c>
      <c r="K77" s="106">
        <v>4631.6969903044001</v>
      </c>
      <c r="L77" s="106">
        <v>8.2936613614789056</v>
      </c>
      <c r="M77" s="106">
        <v>2308.9553230357274</v>
      </c>
      <c r="N77" s="106">
        <v>7.1941929628469046</v>
      </c>
      <c r="O77" s="106">
        <v>2002.863320856578</v>
      </c>
      <c r="P77" s="106">
        <v>10.281700776068702</v>
      </c>
      <c r="Q77" s="106">
        <v>2862.4254960575263</v>
      </c>
      <c r="R77" s="106">
        <v>9.4445685625683282</v>
      </c>
      <c r="S77" s="106">
        <v>2629.3678878190221</v>
      </c>
      <c r="T77" s="106">
        <v>0.7757807200688378</v>
      </c>
      <c r="U77" s="106">
        <v>215.97735246716442</v>
      </c>
      <c r="V77" s="106">
        <v>0.74887685992773168</v>
      </c>
      <c r="W77" s="106">
        <v>208.48731780388047</v>
      </c>
      <c r="X77" s="106">
        <v>0.63549709594322346</v>
      </c>
      <c r="Y77" s="106">
        <v>176.9223915105934</v>
      </c>
      <c r="Z77" s="106">
        <v>0.74326672754924894</v>
      </c>
      <c r="AA77" s="106">
        <v>206.92545694971088</v>
      </c>
      <c r="AB77" s="106">
        <v>12.096577608087758</v>
      </c>
      <c r="AC77" s="106">
        <v>3367.6872060916317</v>
      </c>
      <c r="AD77" s="106">
        <v>10.898521424268836</v>
      </c>
      <c r="AE77" s="106">
        <v>3034.1483645164435</v>
      </c>
      <c r="AF77" s="106">
        <v>13.051202043714442</v>
      </c>
      <c r="AG77" s="106">
        <v>3633.4546489701002</v>
      </c>
      <c r="AH77" s="106">
        <v>14.099592374746543</v>
      </c>
      <c r="AI77" s="106">
        <v>3925.326517129437</v>
      </c>
      <c r="AJ77" s="106">
        <v>12.796451541232436</v>
      </c>
      <c r="AK77" s="106">
        <v>3562.5321090791099</v>
      </c>
      <c r="AL77" s="106">
        <v>13.021195421256502</v>
      </c>
      <c r="AM77" s="106">
        <v>3625.1008052778097</v>
      </c>
      <c r="AN77" s="106">
        <v>16.542453272588155</v>
      </c>
      <c r="AO77" s="106">
        <v>4605.4189910885416</v>
      </c>
      <c r="AP77" s="106">
        <v>13.861272545208534</v>
      </c>
      <c r="AQ77" s="106">
        <v>3858.9782765860555</v>
      </c>
      <c r="AR77" s="106">
        <v>12.283892394458961</v>
      </c>
      <c r="AS77" s="106">
        <v>3419.8356426173746</v>
      </c>
      <c r="AT77" s="106">
        <v>11.866508153873426</v>
      </c>
      <c r="AU77" s="106">
        <v>3303.6358700383616</v>
      </c>
      <c r="AV77" s="106">
        <v>12.082262847580216</v>
      </c>
      <c r="AW77" s="106">
        <v>3363.7019767663319</v>
      </c>
      <c r="AX77" s="106">
        <v>13.15347378045846</v>
      </c>
      <c r="AY77" s="106">
        <v>3661.9271004796351</v>
      </c>
      <c r="AZ77" s="106">
        <v>9.7503861058495822</v>
      </c>
      <c r="BA77" s="106">
        <v>2714.5074918685236</v>
      </c>
      <c r="BB77" s="106">
        <v>6.3809167406249996</v>
      </c>
      <c r="BC77" s="106">
        <v>1776.4472205899997</v>
      </c>
      <c r="BD77" s="106">
        <v>6.2443221926605501</v>
      </c>
      <c r="BE77" s="106">
        <v>1738.4192984366971</v>
      </c>
      <c r="BF77" s="106">
        <v>7.8660418247191011</v>
      </c>
      <c r="BG77" s="106">
        <v>2189.9060440017975</v>
      </c>
      <c r="BH77" s="106">
        <v>12.051604336830863</v>
      </c>
      <c r="BI77" s="106">
        <v>3355.1666473737118</v>
      </c>
      <c r="BJ77" s="106">
        <v>11.338692530990164</v>
      </c>
      <c r="BK77" s="106">
        <v>3156.6920006276614</v>
      </c>
      <c r="BL77" s="106">
        <v>9.8416524413239816</v>
      </c>
      <c r="BM77" s="106">
        <v>2739.9160396645962</v>
      </c>
      <c r="BN77" s="106">
        <v>11.524192613296751</v>
      </c>
      <c r="BO77" s="106">
        <v>3208.3352235418151</v>
      </c>
      <c r="BP77" s="106">
        <v>7.8206591738095126</v>
      </c>
      <c r="BQ77" s="106">
        <v>2177.2715139885681</v>
      </c>
      <c r="BR77" s="106">
        <v>6.7837816558648267</v>
      </c>
      <c r="BS77" s="106">
        <v>1888.6048129927676</v>
      </c>
      <c r="BT77" s="106">
        <v>10.613463044146657</v>
      </c>
      <c r="BU77" s="106">
        <v>2954.7881114904289</v>
      </c>
      <c r="BV77" s="106">
        <v>10.684456107987103</v>
      </c>
      <c r="BW77" s="106">
        <v>2974.552580463609</v>
      </c>
      <c r="BX77" s="106">
        <v>9.9527553785940928</v>
      </c>
      <c r="BY77" s="106">
        <v>2770.847097400595</v>
      </c>
      <c r="BZ77" s="106">
        <v>7.6625431695724027</v>
      </c>
      <c r="CA77" s="106">
        <v>2133.2520184089567</v>
      </c>
      <c r="CB77" s="106">
        <v>9.1176860718629893</v>
      </c>
      <c r="CC77" s="106">
        <v>2538.3638024066559</v>
      </c>
      <c r="CD77" s="106">
        <v>8.4505383105071594</v>
      </c>
      <c r="CE77" s="106">
        <v>2352.6298656451931</v>
      </c>
      <c r="CF77" s="106">
        <v>3.5351465130465738</v>
      </c>
      <c r="CG77" s="106">
        <v>984.18478923216605</v>
      </c>
      <c r="CH77" s="106">
        <v>4.4362402190468222</v>
      </c>
      <c r="CI77" s="106">
        <v>1235.0492769826351</v>
      </c>
      <c r="CJ77" s="106">
        <v>3.5019721176162246</v>
      </c>
      <c r="CK77" s="106">
        <v>974.94903754435688</v>
      </c>
      <c r="CL77" s="106">
        <v>4.5046114375976325</v>
      </c>
      <c r="CM77" s="106">
        <v>1254.0838242271807</v>
      </c>
      <c r="CN77" s="106">
        <v>7.5843043026094827</v>
      </c>
      <c r="CO77" s="106">
        <v>2111.4703178464797</v>
      </c>
      <c r="CP77" s="106">
        <v>8.5285349587576516</v>
      </c>
      <c r="CQ77" s="106">
        <v>2374.3441325181302</v>
      </c>
      <c r="CR77" s="106">
        <v>5.6031799597114915</v>
      </c>
      <c r="CS77" s="106">
        <v>1559.9253007836792</v>
      </c>
      <c r="CT77" s="106">
        <v>5.8365470743125831</v>
      </c>
      <c r="CU77" s="106">
        <v>1624.894705488623</v>
      </c>
    </row>
    <row r="78" spans="2:99" x14ac:dyDescent="0.2">
      <c r="C78" s="105" t="s">
        <v>243</v>
      </c>
      <c r="D78" s="106">
        <v>16.362886532180465</v>
      </c>
      <c r="E78" s="106">
        <v>9032.3133657636172</v>
      </c>
      <c r="F78" s="106">
        <v>15.33724497596492</v>
      </c>
      <c r="G78" s="106">
        <v>8466.1592267326359</v>
      </c>
      <c r="H78" s="106">
        <v>12.975145214960696</v>
      </c>
      <c r="I78" s="106">
        <v>7162.2801586583037</v>
      </c>
      <c r="J78" s="106">
        <v>16.199030989230074</v>
      </c>
      <c r="K78" s="106">
        <v>8941.8651060550019</v>
      </c>
      <c r="L78" s="106">
        <v>7.317936495422563</v>
      </c>
      <c r="M78" s="106">
        <v>4039.5009454732549</v>
      </c>
      <c r="N78" s="106">
        <v>7.4606445540634567</v>
      </c>
      <c r="O78" s="106">
        <v>4118.2757938430277</v>
      </c>
      <c r="P78" s="106">
        <v>8.9108073392595415</v>
      </c>
      <c r="Q78" s="106">
        <v>4918.7656512712665</v>
      </c>
      <c r="R78" s="106">
        <v>9.1583695152177711</v>
      </c>
      <c r="S78" s="106">
        <v>5055.4199724002101</v>
      </c>
      <c r="T78" s="106">
        <v>0.7522722134000851</v>
      </c>
      <c r="U78" s="106">
        <v>415.25426179684695</v>
      </c>
      <c r="V78" s="106">
        <v>0.64675728811940458</v>
      </c>
      <c r="W78" s="106">
        <v>357.01002304191132</v>
      </c>
      <c r="X78" s="106">
        <v>0.69602062889019711</v>
      </c>
      <c r="Y78" s="106">
        <v>384.20338714738881</v>
      </c>
      <c r="Z78" s="106">
        <v>0.83617506849290502</v>
      </c>
      <c r="AA78" s="106">
        <v>461.56863780808357</v>
      </c>
      <c r="AB78" s="106">
        <v>11.044701294340996</v>
      </c>
      <c r="AC78" s="106">
        <v>6096.6751144762293</v>
      </c>
      <c r="AD78" s="106">
        <v>10.898521424268836</v>
      </c>
      <c r="AE78" s="106">
        <v>6015.9838261963978</v>
      </c>
      <c r="AF78" s="106">
        <v>12.007105880217285</v>
      </c>
      <c r="AG78" s="106">
        <v>6627.9224458799417</v>
      </c>
      <c r="AH78" s="106">
        <v>13.270204587996746</v>
      </c>
      <c r="AI78" s="106">
        <v>7325.152932574204</v>
      </c>
      <c r="AJ78" s="106">
        <v>11.596784209241894</v>
      </c>
      <c r="AK78" s="106">
        <v>6401.424883501526</v>
      </c>
      <c r="AL78" s="106">
        <v>13.021195421256502</v>
      </c>
      <c r="AM78" s="106">
        <v>7187.6998725335889</v>
      </c>
      <c r="AN78" s="106">
        <v>15.529650011001124</v>
      </c>
      <c r="AO78" s="106">
        <v>8572.3668060726195</v>
      </c>
      <c r="AP78" s="106">
        <v>11.761079735328453</v>
      </c>
      <c r="AQ78" s="106">
        <v>6492.1160139013064</v>
      </c>
      <c r="AR78" s="106">
        <v>11.260234694920713</v>
      </c>
      <c r="AS78" s="106">
        <v>6215.6495515962342</v>
      </c>
      <c r="AT78" s="106">
        <v>11.866508153873426</v>
      </c>
      <c r="AU78" s="106">
        <v>6550.3125009381311</v>
      </c>
      <c r="AV78" s="106">
        <v>11.10261991399263</v>
      </c>
      <c r="AW78" s="106">
        <v>6128.6461925239319</v>
      </c>
      <c r="AX78" s="106">
        <v>10.961228150382052</v>
      </c>
      <c r="AY78" s="106">
        <v>6050.5979390108923</v>
      </c>
      <c r="AZ78" s="106">
        <v>8.9378539303621167</v>
      </c>
      <c r="BA78" s="106">
        <v>4933.6953695598886</v>
      </c>
      <c r="BB78" s="106">
        <v>7.2924762750000003</v>
      </c>
      <c r="BC78" s="106">
        <v>4025.4469038000002</v>
      </c>
      <c r="BD78" s="106">
        <v>6.2443221926605501</v>
      </c>
      <c r="BE78" s="106">
        <v>3446.8658503486236</v>
      </c>
      <c r="BF78" s="106">
        <v>7.2105383393258426</v>
      </c>
      <c r="BG78" s="106">
        <v>3980.2171633078651</v>
      </c>
      <c r="BH78" s="106">
        <v>11.248164047708805</v>
      </c>
      <c r="BI78" s="106">
        <v>6208.9865543352607</v>
      </c>
      <c r="BJ78" s="106">
        <v>10.528785921633725</v>
      </c>
      <c r="BK78" s="106">
        <v>5811.889828741816</v>
      </c>
      <c r="BL78" s="106">
        <v>10.825817685456379</v>
      </c>
      <c r="BM78" s="106">
        <v>5975.8513623719209</v>
      </c>
      <c r="BN78" s="106">
        <v>10.70103599806127</v>
      </c>
      <c r="BO78" s="106">
        <v>5906.9718709298213</v>
      </c>
      <c r="BP78" s="106">
        <v>6.9516970433862335</v>
      </c>
      <c r="BQ78" s="106">
        <v>3837.3367679492007</v>
      </c>
      <c r="BR78" s="106">
        <v>7.6317543628479303</v>
      </c>
      <c r="BS78" s="106">
        <v>4212.7284082920578</v>
      </c>
      <c r="BT78" s="106">
        <v>9.7970428099815283</v>
      </c>
      <c r="BU78" s="106">
        <v>5407.9676311098037</v>
      </c>
      <c r="BV78" s="106">
        <v>9.1581052354175156</v>
      </c>
      <c r="BW78" s="106">
        <v>5055.2740899504688</v>
      </c>
      <c r="BX78" s="106">
        <v>8.781842981112435</v>
      </c>
      <c r="BY78" s="106">
        <v>4847.5773255740642</v>
      </c>
      <c r="BZ78" s="106">
        <v>7.6625431695724027</v>
      </c>
      <c r="CA78" s="106">
        <v>4229.7238296039659</v>
      </c>
      <c r="CB78" s="106">
        <v>8.4505383105071594</v>
      </c>
      <c r="CC78" s="106">
        <v>4664.697147399952</v>
      </c>
      <c r="CD78" s="106">
        <v>9.1176860718629893</v>
      </c>
      <c r="CE78" s="106">
        <v>5032.9627116683705</v>
      </c>
      <c r="CF78" s="106">
        <v>4.1779004245095868</v>
      </c>
      <c r="CG78" s="106">
        <v>2306.2010343292918</v>
      </c>
      <c r="CH78" s="106">
        <v>4.1193659176863351</v>
      </c>
      <c r="CI78" s="106">
        <v>2273.8899865628568</v>
      </c>
      <c r="CJ78" s="106">
        <v>3.112864104547755</v>
      </c>
      <c r="CK78" s="106">
        <v>1718.3009857103607</v>
      </c>
      <c r="CL78" s="106">
        <v>4.1292271511311638</v>
      </c>
      <c r="CM78" s="106">
        <v>2279.3333874244022</v>
      </c>
      <c r="CN78" s="106">
        <v>6.2458976609725152</v>
      </c>
      <c r="CO78" s="106">
        <v>3447.7355088568283</v>
      </c>
      <c r="CP78" s="106">
        <v>7.6756814628818857</v>
      </c>
      <c r="CQ78" s="106">
        <v>4236.9761675108011</v>
      </c>
      <c r="CR78" s="106">
        <v>6.1634979556826401</v>
      </c>
      <c r="CS78" s="106">
        <v>3402.2508715368172</v>
      </c>
      <c r="CT78" s="106">
        <v>5.3875819147500765</v>
      </c>
      <c r="CU78" s="106">
        <v>2973.9452169420424</v>
      </c>
    </row>
    <row r="79" spans="2:99" x14ac:dyDescent="0.2">
      <c r="C79" s="105" t="s">
        <v>244</v>
      </c>
      <c r="D79" s="106">
        <v>15.307216433330112</v>
      </c>
      <c r="E79" s="106">
        <v>11590.62428331756</v>
      </c>
      <c r="F79" s="106">
        <v>13.983958654556252</v>
      </c>
      <c r="G79" s="106">
        <v>10588.653493229993</v>
      </c>
      <c r="H79" s="106">
        <v>13.474189261689956</v>
      </c>
      <c r="I79" s="106">
        <v>10202.656108951634</v>
      </c>
      <c r="J79" s="106">
        <v>14.009972747442227</v>
      </c>
      <c r="K79" s="106">
        <v>10608.351364363252</v>
      </c>
      <c r="L79" s="106">
        <v>7.5618677119366486</v>
      </c>
      <c r="M79" s="106">
        <v>5725.8462314784301</v>
      </c>
      <c r="N79" s="106">
        <v>7.7270961452800089</v>
      </c>
      <c r="O79" s="106">
        <v>5850.9572012060225</v>
      </c>
      <c r="P79" s="106">
        <v>8.2253606208549606</v>
      </c>
      <c r="Q79" s="106">
        <v>6228.2430621113754</v>
      </c>
      <c r="R79" s="106">
        <v>8.8721704678672157</v>
      </c>
      <c r="S79" s="106">
        <v>6718.0074782690554</v>
      </c>
      <c r="T79" s="106">
        <v>0.84630624007509581</v>
      </c>
      <c r="U79" s="106">
        <v>640.82308498486248</v>
      </c>
      <c r="V79" s="106">
        <v>0.68079714538884695</v>
      </c>
      <c r="W79" s="106">
        <v>515.49959848843491</v>
      </c>
      <c r="X79" s="106">
        <v>0.5749735629962498</v>
      </c>
      <c r="Y79" s="106">
        <v>435.36998190076031</v>
      </c>
      <c r="Z79" s="106">
        <v>0.68132783358681148</v>
      </c>
      <c r="AA79" s="106">
        <v>515.90143559193359</v>
      </c>
      <c r="AB79" s="106">
        <v>10.518763137467614</v>
      </c>
      <c r="AC79" s="106">
        <v>7964.8074476904767</v>
      </c>
      <c r="AD79" s="106">
        <v>9.8605670029098995</v>
      </c>
      <c r="AE79" s="106">
        <v>7466.4213346033748</v>
      </c>
      <c r="AF79" s="106">
        <v>12.007105880217285</v>
      </c>
      <c r="AG79" s="106">
        <v>9091.7805725005273</v>
      </c>
      <c r="AH79" s="106">
        <v>12.855510694621849</v>
      </c>
      <c r="AI79" s="106">
        <v>9734.1926979676628</v>
      </c>
      <c r="AJ79" s="106">
        <v>11.996673319905408</v>
      </c>
      <c r="AK79" s="106">
        <v>9083.8810378323742</v>
      </c>
      <c r="AL79" s="106">
        <v>12.601156859280486</v>
      </c>
      <c r="AM79" s="106">
        <v>9541.5959738471829</v>
      </c>
      <c r="AN79" s="106">
        <v>13.166442400631386</v>
      </c>
      <c r="AO79" s="106">
        <v>9969.6301857580838</v>
      </c>
      <c r="AP79" s="106">
        <v>10.921002611376423</v>
      </c>
      <c r="AQ79" s="106">
        <v>8269.3831773342263</v>
      </c>
      <c r="AR79" s="106">
        <v>10.236576995382469</v>
      </c>
      <c r="AS79" s="106">
        <v>7751.1361009036054</v>
      </c>
      <c r="AT79" s="106">
        <v>9.4932065230987401</v>
      </c>
      <c r="AU79" s="106">
        <v>7188.2559792903658</v>
      </c>
      <c r="AV79" s="106">
        <v>11.10261991399263</v>
      </c>
      <c r="AW79" s="106">
        <v>8406.9037988752189</v>
      </c>
      <c r="AX79" s="106">
        <v>11.783320261660705</v>
      </c>
      <c r="AY79" s="106">
        <v>8922.3301021294847</v>
      </c>
      <c r="AZ79" s="106">
        <v>8.9378539303621167</v>
      </c>
      <c r="BA79" s="106">
        <v>6767.7429960701938</v>
      </c>
      <c r="BB79" s="106">
        <v>6.3809167406249996</v>
      </c>
      <c r="BC79" s="106">
        <v>4831.6301560012489</v>
      </c>
      <c r="BD79" s="106">
        <v>6.2443221926605501</v>
      </c>
      <c r="BE79" s="106">
        <v>4728.2007642825683</v>
      </c>
      <c r="BF79" s="106">
        <v>7.2105383393258426</v>
      </c>
      <c r="BG79" s="106">
        <v>5459.8196305375277</v>
      </c>
      <c r="BH79" s="106">
        <v>9.6412834694646907</v>
      </c>
      <c r="BI79" s="106">
        <v>7300.3798430786628</v>
      </c>
      <c r="BJ79" s="106">
        <v>11.338692530990164</v>
      </c>
      <c r="BK79" s="106">
        <v>8585.6579844657517</v>
      </c>
      <c r="BL79" s="106">
        <v>10.825817685456379</v>
      </c>
      <c r="BM79" s="106">
        <v>8197.3091514275693</v>
      </c>
      <c r="BN79" s="106">
        <v>9.8778793828257871</v>
      </c>
      <c r="BO79" s="106">
        <v>7479.530268675685</v>
      </c>
      <c r="BP79" s="106">
        <v>6.9516970433862335</v>
      </c>
      <c r="BQ79" s="106">
        <v>5263.8250012520557</v>
      </c>
      <c r="BR79" s="106">
        <v>6.7837816558648267</v>
      </c>
      <c r="BS79" s="106">
        <v>5136.679469820846</v>
      </c>
      <c r="BT79" s="106">
        <v>9.7970428099815283</v>
      </c>
      <c r="BU79" s="106">
        <v>7418.3208157180125</v>
      </c>
      <c r="BV79" s="106">
        <v>9.1581052354175156</v>
      </c>
      <c r="BW79" s="106">
        <v>6934.5172842581424</v>
      </c>
      <c r="BX79" s="106">
        <v>7.9036586830011926</v>
      </c>
      <c r="BY79" s="106">
        <v>5984.6503547685024</v>
      </c>
      <c r="BZ79" s="106">
        <v>6.6056406634244844</v>
      </c>
      <c r="CA79" s="106">
        <v>5001.7911103450188</v>
      </c>
      <c r="CB79" s="106">
        <v>8.0057731362699407</v>
      </c>
      <c r="CC79" s="106">
        <v>6061.9714187835989</v>
      </c>
      <c r="CD79" s="106">
        <v>8.8953034847443799</v>
      </c>
      <c r="CE79" s="106">
        <v>6735.5237986484435</v>
      </c>
      <c r="CF79" s="106">
        <v>3.8565234687780805</v>
      </c>
      <c r="CG79" s="106">
        <v>2920.1595705587624</v>
      </c>
      <c r="CH79" s="106">
        <v>3.802491616325848</v>
      </c>
      <c r="CI79" s="106">
        <v>2879.2466518819319</v>
      </c>
      <c r="CJ79" s="106">
        <v>3.8910801306846943</v>
      </c>
      <c r="CK79" s="106">
        <v>2946.3258749544502</v>
      </c>
      <c r="CL79" s="106">
        <v>4.1292271511311638</v>
      </c>
      <c r="CM79" s="106">
        <v>3126.650798836517</v>
      </c>
      <c r="CN79" s="106">
        <v>6.2458976609725152</v>
      </c>
      <c r="CO79" s="106">
        <v>4729.3937088883877</v>
      </c>
      <c r="CP79" s="106">
        <v>7.6756814628818857</v>
      </c>
      <c r="CQ79" s="106">
        <v>5812.0260036941636</v>
      </c>
      <c r="CR79" s="106">
        <v>5.6031799597114915</v>
      </c>
      <c r="CS79" s="106">
        <v>4242.7278654935408</v>
      </c>
      <c r="CT79" s="106">
        <v>5.8365470743125831</v>
      </c>
      <c r="CU79" s="106">
        <v>4419.4334446694875</v>
      </c>
    </row>
    <row r="80" spans="2:99" x14ac:dyDescent="0.2">
      <c r="C80" s="105" t="s">
        <v>245</v>
      </c>
      <c r="D80" s="106">
        <v>14.251546334479761</v>
      </c>
      <c r="E80" s="106">
        <v>11475.345108523103</v>
      </c>
      <c r="F80" s="106">
        <v>16.239435856904034</v>
      </c>
      <c r="G80" s="106">
        <v>13075.993751979127</v>
      </c>
      <c r="H80" s="106">
        <v>11.478013074772923</v>
      </c>
      <c r="I80" s="106">
        <v>9242.0961278071572</v>
      </c>
      <c r="J80" s="106">
        <v>13.572161099084656</v>
      </c>
      <c r="K80" s="106">
        <v>10928.304116982965</v>
      </c>
      <c r="L80" s="106">
        <v>8.0497301449648191</v>
      </c>
      <c r="M80" s="106">
        <v>6481.642712725672</v>
      </c>
      <c r="N80" s="106">
        <v>7.1941929628469046</v>
      </c>
      <c r="O80" s="106">
        <v>5792.764173684327</v>
      </c>
      <c r="P80" s="106">
        <v>8.568083980057251</v>
      </c>
      <c r="Q80" s="106">
        <v>6899.0212207420982</v>
      </c>
      <c r="R80" s="106">
        <v>8.2997723731661051</v>
      </c>
      <c r="S80" s="106">
        <v>6682.9767148733472</v>
      </c>
      <c r="T80" s="106">
        <v>0.8227977334063431</v>
      </c>
      <c r="U80" s="106">
        <v>662.51673493878741</v>
      </c>
      <c r="V80" s="106">
        <v>0.68079714538884695</v>
      </c>
      <c r="W80" s="106">
        <v>548.17786146709955</v>
      </c>
      <c r="X80" s="106">
        <v>0.66575886241671023</v>
      </c>
      <c r="Y80" s="106">
        <v>536.06903601793499</v>
      </c>
      <c r="Z80" s="106">
        <v>0.74326672754924894</v>
      </c>
      <c r="AA80" s="106">
        <v>598.47836902265522</v>
      </c>
      <c r="AB80" s="106">
        <v>10.518763137467614</v>
      </c>
      <c r="AC80" s="106">
        <v>8469.7080782889225</v>
      </c>
      <c r="AD80" s="106">
        <v>9.3415897922304296</v>
      </c>
      <c r="AE80" s="106">
        <v>7521.8481007039409</v>
      </c>
      <c r="AF80" s="106">
        <v>10.96300971672013</v>
      </c>
      <c r="AG80" s="106">
        <v>8827.4154239030486</v>
      </c>
      <c r="AH80" s="106">
        <v>13.684898481371645</v>
      </c>
      <c r="AI80" s="106">
        <v>11019.080257200449</v>
      </c>
      <c r="AJ80" s="106">
        <v>10.397116877251353</v>
      </c>
      <c r="AK80" s="106">
        <v>8371.7585095627892</v>
      </c>
      <c r="AL80" s="106">
        <v>11.761079735328453</v>
      </c>
      <c r="AM80" s="106">
        <v>9470.0214028864702</v>
      </c>
      <c r="AN80" s="106">
        <v>14.179245662218415</v>
      </c>
      <c r="AO80" s="106">
        <v>11417.128607218267</v>
      </c>
      <c r="AP80" s="106">
        <v>10.500964049400404</v>
      </c>
      <c r="AQ80" s="106">
        <v>8455.3762525772036</v>
      </c>
      <c r="AR80" s="106">
        <v>10.919015461741298</v>
      </c>
      <c r="AS80" s="106">
        <v>8791.9912497940913</v>
      </c>
      <c r="AT80" s="106">
        <v>9.1541634329880708</v>
      </c>
      <c r="AU80" s="106">
        <v>7370.932396241994</v>
      </c>
      <c r="AV80" s="106">
        <v>12.082262847580216</v>
      </c>
      <c r="AW80" s="106">
        <v>9728.6380448715881</v>
      </c>
      <c r="AX80" s="106">
        <v>10.961228150382052</v>
      </c>
      <c r="AY80" s="106">
        <v>8825.9809066876278</v>
      </c>
      <c r="AZ80" s="106">
        <v>8.9378539303621167</v>
      </c>
      <c r="BA80" s="106">
        <v>7196.759984727576</v>
      </c>
      <c r="BB80" s="106">
        <v>6.3809167406249996</v>
      </c>
      <c r="BC80" s="106">
        <v>5137.9141595512492</v>
      </c>
      <c r="BD80" s="106">
        <v>6.2443221926605501</v>
      </c>
      <c r="BE80" s="106">
        <v>5027.9282295302746</v>
      </c>
      <c r="BF80" s="106">
        <v>8.5215453101123604</v>
      </c>
      <c r="BG80" s="106">
        <v>6861.548283702472</v>
      </c>
      <c r="BH80" s="106">
        <v>11.248164047708805</v>
      </c>
      <c r="BI80" s="106">
        <v>9057.0216912151282</v>
      </c>
      <c r="BJ80" s="106">
        <v>9.7188793122772825</v>
      </c>
      <c r="BK80" s="106">
        <v>7825.6416222456673</v>
      </c>
      <c r="BL80" s="106">
        <v>10.825817685456379</v>
      </c>
      <c r="BM80" s="106">
        <v>8716.9484003294747</v>
      </c>
      <c r="BN80" s="106">
        <v>10.70103599806127</v>
      </c>
      <c r="BO80" s="106">
        <v>8616.4741856389337</v>
      </c>
      <c r="BP80" s="106">
        <v>6.9516970433862335</v>
      </c>
      <c r="BQ80" s="106">
        <v>5597.5064593345951</v>
      </c>
      <c r="BR80" s="106">
        <v>6.7837816558648267</v>
      </c>
      <c r="BS80" s="106">
        <v>5462.3009893023582</v>
      </c>
      <c r="BT80" s="106">
        <v>8.9806225758164011</v>
      </c>
      <c r="BU80" s="106">
        <v>7231.1972980473656</v>
      </c>
      <c r="BV80" s="106">
        <v>9.1581052354175156</v>
      </c>
      <c r="BW80" s="106">
        <v>7374.1063355581828</v>
      </c>
      <c r="BX80" s="106">
        <v>8.4891148817420206</v>
      </c>
      <c r="BY80" s="106">
        <v>6835.4353027786747</v>
      </c>
      <c r="BZ80" s="106">
        <v>6.8698662899614646</v>
      </c>
      <c r="CA80" s="106">
        <v>5531.6163366769706</v>
      </c>
      <c r="CB80" s="106">
        <v>8.6729208976257688</v>
      </c>
      <c r="CC80" s="106">
        <v>6983.4359067682681</v>
      </c>
      <c r="CD80" s="106">
        <v>7.7833905491513313</v>
      </c>
      <c r="CE80" s="106">
        <v>6267.1860701766518</v>
      </c>
      <c r="CF80" s="106">
        <v>3.5351465130465738</v>
      </c>
      <c r="CG80" s="106">
        <v>2846.499972305101</v>
      </c>
      <c r="CH80" s="106">
        <v>4.1193659176863351</v>
      </c>
      <c r="CI80" s="106">
        <v>3316.9134369210369</v>
      </c>
      <c r="CJ80" s="106">
        <v>3.5019721176162246</v>
      </c>
      <c r="CK80" s="106">
        <v>2819.7879491045837</v>
      </c>
      <c r="CL80" s="106">
        <v>4.1292271511311638</v>
      </c>
      <c r="CM80" s="106">
        <v>3324.8537020908129</v>
      </c>
      <c r="CN80" s="106">
        <v>6.6920332081848377</v>
      </c>
      <c r="CO80" s="106">
        <v>5388.4251392304304</v>
      </c>
      <c r="CP80" s="106">
        <v>8.10210821081977</v>
      </c>
      <c r="CQ80" s="106">
        <v>6523.8175313520778</v>
      </c>
      <c r="CR80" s="106">
        <v>5.6031799597114915</v>
      </c>
      <c r="CS80" s="106">
        <v>4511.6805035596926</v>
      </c>
      <c r="CT80" s="106">
        <v>6.2855122338750888</v>
      </c>
      <c r="CU80" s="106">
        <v>5061.0944507162212</v>
      </c>
    </row>
    <row r="81" spans="2:99" x14ac:dyDescent="0.2">
      <c r="C81" s="105" t="s">
        <v>246</v>
      </c>
      <c r="D81" s="106">
        <v>15.307216433330112</v>
      </c>
      <c r="E81" s="106">
        <v>11535.518304157573</v>
      </c>
      <c r="F81" s="106">
        <v>13.532863214086694</v>
      </c>
      <c r="G81" s="106">
        <v>10198.365718135732</v>
      </c>
      <c r="H81" s="106">
        <v>13.474189261689956</v>
      </c>
      <c r="I81" s="106">
        <v>10154.149027609552</v>
      </c>
      <c r="J81" s="106">
        <v>14.009972747442227</v>
      </c>
      <c r="K81" s="106">
        <v>10557.915462472462</v>
      </c>
      <c r="L81" s="106">
        <v>7.8057989284507334</v>
      </c>
      <c r="M81" s="106">
        <v>5882.450072480473</v>
      </c>
      <c r="N81" s="106">
        <v>6.9277413716303524</v>
      </c>
      <c r="O81" s="106">
        <v>5220.745897660634</v>
      </c>
      <c r="P81" s="106">
        <v>9.9389774168664111</v>
      </c>
      <c r="Q81" s="106">
        <v>7490.0133813505272</v>
      </c>
      <c r="R81" s="106">
        <v>7.7273742784649944</v>
      </c>
      <c r="S81" s="106">
        <v>5823.3492562512201</v>
      </c>
      <c r="T81" s="106">
        <v>0.84630624007509581</v>
      </c>
      <c r="U81" s="106">
        <v>637.77638252059216</v>
      </c>
      <c r="V81" s="106">
        <v>0.64675728811940458</v>
      </c>
      <c r="W81" s="106">
        <v>487.39629232678328</v>
      </c>
      <c r="X81" s="106">
        <v>0.63549709594322346</v>
      </c>
      <c r="Y81" s="106">
        <v>478.9106115028132</v>
      </c>
      <c r="Z81" s="106">
        <v>0.80520562151168629</v>
      </c>
      <c r="AA81" s="106">
        <v>606.80295637120685</v>
      </c>
      <c r="AB81" s="106">
        <v>12.622515764961138</v>
      </c>
      <c r="AC81" s="106">
        <v>9512.3278804747133</v>
      </c>
      <c r="AD81" s="106">
        <v>9.8605670029098995</v>
      </c>
      <c r="AE81" s="106">
        <v>7430.9232933929006</v>
      </c>
      <c r="AF81" s="106">
        <v>10.440961634971552</v>
      </c>
      <c r="AG81" s="106">
        <v>7868.3086881145618</v>
      </c>
      <c r="AH81" s="106">
        <v>14.099592374746543</v>
      </c>
      <c r="AI81" s="106">
        <v>10625.452813608996</v>
      </c>
      <c r="AJ81" s="106">
        <v>11.596784209241894</v>
      </c>
      <c r="AK81" s="106">
        <v>8739.3365800846914</v>
      </c>
      <c r="AL81" s="106">
        <v>11.341041173352437</v>
      </c>
      <c r="AM81" s="106">
        <v>8546.6086282383967</v>
      </c>
      <c r="AN81" s="106">
        <v>15.192048923805446</v>
      </c>
      <c r="AO81" s="106">
        <v>11448.728068979784</v>
      </c>
      <c r="AP81" s="106">
        <v>11.761079735328453</v>
      </c>
      <c r="AQ81" s="106">
        <v>8863.1496885435226</v>
      </c>
      <c r="AR81" s="106">
        <v>9.5541385290236374</v>
      </c>
      <c r="AS81" s="106">
        <v>7199.9987954722137</v>
      </c>
      <c r="AT81" s="106">
        <v>10.849378883541418</v>
      </c>
      <c r="AU81" s="106">
        <v>8176.0919266368128</v>
      </c>
      <c r="AV81" s="106">
        <v>11.10261991399263</v>
      </c>
      <c r="AW81" s="106">
        <v>8366.9343671848455</v>
      </c>
      <c r="AX81" s="106">
        <v>12.331381669179809</v>
      </c>
      <c r="AY81" s="106">
        <v>9292.929225893904</v>
      </c>
      <c r="AZ81" s="106">
        <v>7.3127895793871867</v>
      </c>
      <c r="BA81" s="106">
        <v>5510.9182270261845</v>
      </c>
      <c r="BB81" s="106">
        <v>6.3809167406249996</v>
      </c>
      <c r="BC81" s="106">
        <v>4808.6588557349996</v>
      </c>
      <c r="BD81" s="106">
        <v>6.2443221926605501</v>
      </c>
      <c r="BE81" s="106">
        <v>4705.7212043889904</v>
      </c>
      <c r="BF81" s="106">
        <v>7.2105383393258426</v>
      </c>
      <c r="BG81" s="106">
        <v>5433.8616925159549</v>
      </c>
      <c r="BH81" s="106">
        <v>10.444723758586747</v>
      </c>
      <c r="BI81" s="106">
        <v>7871.1438244709725</v>
      </c>
      <c r="BJ81" s="106">
        <v>11.338692530990164</v>
      </c>
      <c r="BK81" s="106">
        <v>8544.8386913541872</v>
      </c>
      <c r="BL81" s="106">
        <v>9.8416524413239816</v>
      </c>
      <c r="BM81" s="106">
        <v>7416.6692797817532</v>
      </c>
      <c r="BN81" s="106">
        <v>11.524192613296751</v>
      </c>
      <c r="BO81" s="106">
        <v>8684.6315533804318</v>
      </c>
      <c r="BP81" s="106">
        <v>6.0827349129629553</v>
      </c>
      <c r="BQ81" s="106">
        <v>4583.9490304088831</v>
      </c>
      <c r="BR81" s="106">
        <v>6.7837816558648267</v>
      </c>
      <c r="BS81" s="106">
        <v>5112.2578558597334</v>
      </c>
      <c r="BT81" s="106">
        <v>9.7970428099815283</v>
      </c>
      <c r="BU81" s="106">
        <v>7383.0514616020801</v>
      </c>
      <c r="BV81" s="106">
        <v>9.1581052354175156</v>
      </c>
      <c r="BW81" s="106">
        <v>6901.5481054106403</v>
      </c>
      <c r="BX81" s="106">
        <v>8.781842981112435</v>
      </c>
      <c r="BY81" s="106">
        <v>6617.9968705663314</v>
      </c>
      <c r="BZ81" s="106">
        <v>7.134091916498444</v>
      </c>
      <c r="CA81" s="106">
        <v>5376.2516682732276</v>
      </c>
      <c r="CB81" s="106">
        <v>7.3386253749141135</v>
      </c>
      <c r="CC81" s="106">
        <v>5530.3880825352762</v>
      </c>
      <c r="CD81" s="106">
        <v>9.1176860718629893</v>
      </c>
      <c r="CE81" s="106">
        <v>6871.088223755949</v>
      </c>
      <c r="CF81" s="106">
        <v>3.8565234687780805</v>
      </c>
      <c r="CG81" s="106">
        <v>2906.2760860711614</v>
      </c>
      <c r="CH81" s="106">
        <v>4.1193659176863351</v>
      </c>
      <c r="CI81" s="106">
        <v>3104.3541555684224</v>
      </c>
      <c r="CJ81" s="106">
        <v>3.112864104547755</v>
      </c>
      <c r="CK81" s="106">
        <v>2345.8543891871882</v>
      </c>
      <c r="CL81" s="106">
        <v>4.1292271511311638</v>
      </c>
      <c r="CM81" s="106">
        <v>3111.7855810924452</v>
      </c>
      <c r="CN81" s="106">
        <v>5.7997621137601927</v>
      </c>
      <c r="CO81" s="106">
        <v>4370.7007289296816</v>
      </c>
      <c r="CP81" s="106">
        <v>7.2492547149440041</v>
      </c>
      <c r="CQ81" s="106">
        <v>5463.0383531818015</v>
      </c>
      <c r="CR81" s="106">
        <v>5.6031799597114915</v>
      </c>
      <c r="CS81" s="106">
        <v>4222.5564176385806</v>
      </c>
      <c r="CT81" s="106">
        <v>6.2855122338750888</v>
      </c>
      <c r="CU81" s="106">
        <v>4736.762019448267</v>
      </c>
    </row>
    <row r="82" spans="2:99" x14ac:dyDescent="0.2">
      <c r="C82" s="105" t="s">
        <v>247</v>
      </c>
      <c r="D82" s="106">
        <v>16.890721581605639</v>
      </c>
      <c r="E82" s="106">
        <v>8593.9991407209473</v>
      </c>
      <c r="F82" s="106">
        <v>13.983958654556252</v>
      </c>
      <c r="G82" s="106">
        <v>7115.0381634382193</v>
      </c>
      <c r="H82" s="106">
        <v>13.973233308419214</v>
      </c>
      <c r="I82" s="106">
        <v>7109.5811073236946</v>
      </c>
      <c r="J82" s="106">
        <v>14.885596044157365</v>
      </c>
      <c r="K82" s="106">
        <v>7573.7912672672655</v>
      </c>
      <c r="L82" s="106">
        <v>7.8057989284507334</v>
      </c>
      <c r="M82" s="106">
        <v>3971.5904947957324</v>
      </c>
      <c r="N82" s="106">
        <v>6.9277413716303524</v>
      </c>
      <c r="O82" s="106">
        <v>3524.8348098855226</v>
      </c>
      <c r="P82" s="106">
        <v>9.253530698461832</v>
      </c>
      <c r="Q82" s="106">
        <v>4708.1964193773792</v>
      </c>
      <c r="R82" s="106">
        <v>8.8721704678672157</v>
      </c>
      <c r="S82" s="106">
        <v>4514.1603340508382</v>
      </c>
      <c r="T82" s="106">
        <v>0.8933232534126011</v>
      </c>
      <c r="U82" s="106">
        <v>454.52287133633138</v>
      </c>
      <c r="V82" s="106">
        <v>0.64675728811940458</v>
      </c>
      <c r="W82" s="106">
        <v>329.07010819515301</v>
      </c>
      <c r="X82" s="106">
        <v>0.726282395363684</v>
      </c>
      <c r="Y82" s="106">
        <v>369.53248276104233</v>
      </c>
      <c r="Z82" s="106">
        <v>0.74326672754924894</v>
      </c>
      <c r="AA82" s="106">
        <v>378.17411097705781</v>
      </c>
      <c r="AB82" s="106">
        <v>10.518763137467614</v>
      </c>
      <c r="AC82" s="106">
        <v>5351.9466843435212</v>
      </c>
      <c r="AD82" s="106">
        <v>9.8605670029098995</v>
      </c>
      <c r="AE82" s="106">
        <v>5017.056491080556</v>
      </c>
      <c r="AF82" s="106">
        <v>12.007105880217285</v>
      </c>
      <c r="AG82" s="106">
        <v>6109.2154718545535</v>
      </c>
      <c r="AH82" s="106">
        <v>13.684898481371645</v>
      </c>
      <c r="AI82" s="106">
        <v>6962.8763473218914</v>
      </c>
      <c r="AJ82" s="106">
        <v>11.196895098578381</v>
      </c>
      <c r="AK82" s="106">
        <v>5696.9802261566792</v>
      </c>
      <c r="AL82" s="106">
        <v>12.601156859280486</v>
      </c>
      <c r="AM82" s="106">
        <v>6411.4686100019098</v>
      </c>
      <c r="AN82" s="106">
        <v>15.529650011001124</v>
      </c>
      <c r="AO82" s="106">
        <v>7901.4859255973706</v>
      </c>
      <c r="AP82" s="106">
        <v>12.18111829730447</v>
      </c>
      <c r="AQ82" s="106">
        <v>6197.7529896685137</v>
      </c>
      <c r="AR82" s="106">
        <v>10.919015461741298</v>
      </c>
      <c r="AS82" s="106">
        <v>5555.5950669339709</v>
      </c>
      <c r="AT82" s="106">
        <v>11.527465063762756</v>
      </c>
      <c r="AU82" s="106">
        <v>5865.1742244424895</v>
      </c>
      <c r="AV82" s="106">
        <v>11.10261991399263</v>
      </c>
      <c r="AW82" s="106">
        <v>5649.0130122394485</v>
      </c>
      <c r="AX82" s="106">
        <v>11.235258854141604</v>
      </c>
      <c r="AY82" s="106">
        <v>5716.4997049872463</v>
      </c>
      <c r="AZ82" s="106">
        <v>8.9378539303621167</v>
      </c>
      <c r="BA82" s="106">
        <v>4547.5800797682441</v>
      </c>
      <c r="BB82" s="106">
        <v>6.3809167406249996</v>
      </c>
      <c r="BC82" s="106">
        <v>3246.6104376299991</v>
      </c>
      <c r="BD82" s="106">
        <v>6.2443221926605501</v>
      </c>
      <c r="BE82" s="106">
        <v>3177.1111316256874</v>
      </c>
      <c r="BF82" s="106">
        <v>7.8660418247191011</v>
      </c>
      <c r="BG82" s="106">
        <v>4002.2420804170779</v>
      </c>
      <c r="BH82" s="106">
        <v>9.6412834694646907</v>
      </c>
      <c r="BI82" s="106">
        <v>4905.4850292636338</v>
      </c>
      <c r="BJ82" s="106">
        <v>11.338692530990164</v>
      </c>
      <c r="BK82" s="106">
        <v>5769.1267597677943</v>
      </c>
      <c r="BL82" s="106">
        <v>10.825817685456379</v>
      </c>
      <c r="BM82" s="106">
        <v>5508.1760383602041</v>
      </c>
      <c r="BN82" s="106">
        <v>10.70103599806127</v>
      </c>
      <c r="BO82" s="106">
        <v>5444.6871158135727</v>
      </c>
      <c r="BP82" s="106">
        <v>6.9516970433862335</v>
      </c>
      <c r="BQ82" s="106">
        <v>3537.0234556749151</v>
      </c>
      <c r="BR82" s="106">
        <v>6.7837816558648267</v>
      </c>
      <c r="BS82" s="106">
        <v>3451.588106504023</v>
      </c>
      <c r="BT82" s="106">
        <v>9.7970428099815283</v>
      </c>
      <c r="BU82" s="106">
        <v>4984.7353817186004</v>
      </c>
      <c r="BV82" s="106">
        <v>9.9212806717023092</v>
      </c>
      <c r="BW82" s="106">
        <v>5047.9476057621341</v>
      </c>
      <c r="BX82" s="106">
        <v>8.4891148817420206</v>
      </c>
      <c r="BY82" s="106">
        <v>4319.2616518303394</v>
      </c>
      <c r="BZ82" s="106">
        <v>7.134091916498444</v>
      </c>
      <c r="CA82" s="106">
        <v>3629.8259671144074</v>
      </c>
      <c r="CB82" s="106">
        <v>8.4505383105071594</v>
      </c>
      <c r="CC82" s="106">
        <v>4299.6338923860421</v>
      </c>
      <c r="CD82" s="106">
        <v>8.0057731362699407</v>
      </c>
      <c r="CE82" s="106">
        <v>4073.3373717341451</v>
      </c>
      <c r="CF82" s="106">
        <v>4.1779004245095868</v>
      </c>
      <c r="CG82" s="106">
        <v>2125.7157359904772</v>
      </c>
      <c r="CH82" s="106">
        <v>4.4362402190468222</v>
      </c>
      <c r="CI82" s="106">
        <v>2257.1590234510227</v>
      </c>
      <c r="CJ82" s="106">
        <v>3.8910801306846943</v>
      </c>
      <c r="CK82" s="106">
        <v>1979.7815704923721</v>
      </c>
      <c r="CL82" s="106">
        <v>3.7538428646646942</v>
      </c>
      <c r="CM82" s="106">
        <v>1909.9552495413959</v>
      </c>
      <c r="CN82" s="106">
        <v>6.2458976609725152</v>
      </c>
      <c r="CO82" s="106">
        <v>3177.912729902815</v>
      </c>
      <c r="CP82" s="106">
        <v>7.6756814628818857</v>
      </c>
      <c r="CQ82" s="106">
        <v>3905.3867283143027</v>
      </c>
      <c r="CR82" s="106">
        <v>6.1634979556826401</v>
      </c>
      <c r="CS82" s="106">
        <v>3135.9877598513267</v>
      </c>
      <c r="CT82" s="106">
        <v>6.2855122338750888</v>
      </c>
      <c r="CU82" s="106">
        <v>3198.0686245956445</v>
      </c>
    </row>
    <row r="83" spans="2:99" x14ac:dyDescent="0.2">
      <c r="C83" s="105" t="s">
        <v>248</v>
      </c>
      <c r="D83" s="106">
        <v>16.362886532180465</v>
      </c>
      <c r="E83" s="106">
        <v>14078.627572288071</v>
      </c>
      <c r="F83" s="106">
        <v>13.983958654556252</v>
      </c>
      <c r="G83" s="106">
        <v>12031.798026380198</v>
      </c>
      <c r="H83" s="106">
        <v>12.476101168231441</v>
      </c>
      <c r="I83" s="106">
        <v>10734.437445146332</v>
      </c>
      <c r="J83" s="106">
        <v>13.134349450727088</v>
      </c>
      <c r="K83" s="106">
        <v>11300.794267405587</v>
      </c>
      <c r="L83" s="106">
        <v>8.2936613614789056</v>
      </c>
      <c r="M83" s="106">
        <v>7135.8662354164499</v>
      </c>
      <c r="N83" s="106">
        <v>6.9277413716303524</v>
      </c>
      <c r="O83" s="106">
        <v>5960.6286761507554</v>
      </c>
      <c r="P83" s="106">
        <v>9.253530698461832</v>
      </c>
      <c r="Q83" s="106">
        <v>7961.7378129565604</v>
      </c>
      <c r="R83" s="106">
        <v>8.5859714205166604</v>
      </c>
      <c r="S83" s="106">
        <v>7387.3698102125345</v>
      </c>
      <c r="T83" s="106">
        <v>0.72876370673133251</v>
      </c>
      <c r="U83" s="106">
        <v>627.02829327163852</v>
      </c>
      <c r="V83" s="106">
        <v>0.64675728811940458</v>
      </c>
      <c r="W83" s="106">
        <v>556.46997069793565</v>
      </c>
      <c r="X83" s="106">
        <v>0.60523532946973668</v>
      </c>
      <c r="Y83" s="106">
        <v>520.74447747576141</v>
      </c>
      <c r="Z83" s="106">
        <v>0.68132783358681148</v>
      </c>
      <c r="AA83" s="106">
        <v>586.21446801809259</v>
      </c>
      <c r="AB83" s="106">
        <v>10.518763137467614</v>
      </c>
      <c r="AC83" s="106">
        <v>9050.3438034771352</v>
      </c>
      <c r="AD83" s="106">
        <v>9.8605670029098995</v>
      </c>
      <c r="AE83" s="106">
        <v>8484.0318493036775</v>
      </c>
      <c r="AF83" s="106">
        <v>9.9189135532229749</v>
      </c>
      <c r="AG83" s="106">
        <v>8534.2332211930479</v>
      </c>
      <c r="AH83" s="106">
        <v>14.099592374746543</v>
      </c>
      <c r="AI83" s="106">
        <v>12131.289279231925</v>
      </c>
      <c r="AJ83" s="106">
        <v>11.596784209241894</v>
      </c>
      <c r="AK83" s="106">
        <v>9977.8731336317251</v>
      </c>
      <c r="AL83" s="106">
        <v>10.500964049400404</v>
      </c>
      <c r="AM83" s="106">
        <v>9035.0294681041069</v>
      </c>
      <c r="AN83" s="106">
        <v>15.192048923805446</v>
      </c>
      <c r="AO83" s="106">
        <v>13071.238894042206</v>
      </c>
      <c r="AP83" s="106">
        <v>10.921002611376423</v>
      </c>
      <c r="AQ83" s="106">
        <v>9396.4306468282739</v>
      </c>
      <c r="AR83" s="106">
        <v>9.8953577622030533</v>
      </c>
      <c r="AS83" s="106">
        <v>8513.9658185995067</v>
      </c>
      <c r="AT83" s="106">
        <v>9.8322496132094095</v>
      </c>
      <c r="AU83" s="106">
        <v>8459.6675672053752</v>
      </c>
      <c r="AV83" s="106">
        <v>12.082262847580216</v>
      </c>
      <c r="AW83" s="106">
        <v>10395.578954058017</v>
      </c>
      <c r="AX83" s="106">
        <v>11.509289557901154</v>
      </c>
      <c r="AY83" s="106">
        <v>9902.5927356181528</v>
      </c>
      <c r="AZ83" s="106">
        <v>7.3127895793871867</v>
      </c>
      <c r="BA83" s="106">
        <v>6291.924154104735</v>
      </c>
      <c r="BB83" s="106">
        <v>6.3809167406249996</v>
      </c>
      <c r="BC83" s="106">
        <v>5490.1407636337499</v>
      </c>
      <c r="BD83" s="106">
        <v>6.2443221926605501</v>
      </c>
      <c r="BE83" s="106">
        <v>5372.6148145651368</v>
      </c>
      <c r="BF83" s="106">
        <v>7.8660418247191011</v>
      </c>
      <c r="BG83" s="106">
        <v>6767.9423859883145</v>
      </c>
      <c r="BH83" s="106">
        <v>10.444723758586747</v>
      </c>
      <c r="BI83" s="106">
        <v>8986.6403218880369</v>
      </c>
      <c r="BJ83" s="106">
        <v>9.7188793122772825</v>
      </c>
      <c r="BK83" s="106">
        <v>8362.1237602833735</v>
      </c>
      <c r="BL83" s="106">
        <v>9.8416524413239816</v>
      </c>
      <c r="BM83" s="106">
        <v>8467.7577605151528</v>
      </c>
      <c r="BN83" s="106">
        <v>9.8778793828257871</v>
      </c>
      <c r="BO83" s="106">
        <v>8498.9274209833075</v>
      </c>
      <c r="BP83" s="106">
        <v>6.0827349129629553</v>
      </c>
      <c r="BQ83" s="106">
        <v>5233.585119113327</v>
      </c>
      <c r="BR83" s="106">
        <v>5.9358089488817232</v>
      </c>
      <c r="BS83" s="106">
        <v>5107.1700196178344</v>
      </c>
      <c r="BT83" s="106">
        <v>9.7970428099815283</v>
      </c>
      <c r="BU83" s="106">
        <v>8429.3756337081068</v>
      </c>
      <c r="BV83" s="106">
        <v>8.3949297991327239</v>
      </c>
      <c r="BW83" s="106">
        <v>7222.9975991737956</v>
      </c>
      <c r="BX83" s="106">
        <v>7.6109305836307772</v>
      </c>
      <c r="BY83" s="106">
        <v>6548.4446741559204</v>
      </c>
      <c r="BZ83" s="106">
        <v>7.6625431695724027</v>
      </c>
      <c r="CA83" s="106">
        <v>6592.8521431000954</v>
      </c>
      <c r="CB83" s="106">
        <v>7.3386253749141135</v>
      </c>
      <c r="CC83" s="106">
        <v>6314.1532725761035</v>
      </c>
      <c r="CD83" s="106">
        <v>8.4505383105071594</v>
      </c>
      <c r="CE83" s="106">
        <v>7270.8431623603601</v>
      </c>
      <c r="CF83" s="106">
        <v>3.5351465130465738</v>
      </c>
      <c r="CG83" s="106">
        <v>3041.6400598252721</v>
      </c>
      <c r="CH83" s="106">
        <v>4.1193659176863351</v>
      </c>
      <c r="CI83" s="106">
        <v>3544.3024355773227</v>
      </c>
      <c r="CJ83" s="106">
        <v>3.5019721176162246</v>
      </c>
      <c r="CK83" s="106">
        <v>3013.0968099969996</v>
      </c>
      <c r="CL83" s="106">
        <v>3.7538428646646942</v>
      </c>
      <c r="CM83" s="106">
        <v>3229.8064007575026</v>
      </c>
      <c r="CN83" s="106">
        <v>6.2458976609725152</v>
      </c>
      <c r="CO83" s="106">
        <v>5373.9703475007518</v>
      </c>
      <c r="CP83" s="106">
        <v>7.2492547149440041</v>
      </c>
      <c r="CQ83" s="106">
        <v>6237.2587567378214</v>
      </c>
      <c r="CR83" s="106">
        <v>5.6031799597114915</v>
      </c>
      <c r="CS83" s="106">
        <v>4820.9760373357676</v>
      </c>
      <c r="CT83" s="106">
        <v>5.3875819147500765</v>
      </c>
      <c r="CU83" s="106">
        <v>4635.4754794509654</v>
      </c>
    </row>
    <row r="84" spans="2:99" x14ac:dyDescent="0.2">
      <c r="C84" s="105" t="s">
        <v>249</v>
      </c>
      <c r="D84" s="106">
        <v>16.362886532180465</v>
      </c>
      <c r="E84" s="106">
        <v>12782.686958939377</v>
      </c>
      <c r="F84" s="106">
        <v>14.886149535495363</v>
      </c>
      <c r="G84" s="106">
        <v>11629.060017128977</v>
      </c>
      <c r="H84" s="106">
        <v>11.977057121502183</v>
      </c>
      <c r="I84" s="106">
        <v>9356.4770233175041</v>
      </c>
      <c r="J84" s="106">
        <v>14.885596044157365</v>
      </c>
      <c r="K84" s="106">
        <v>11628.627629695733</v>
      </c>
      <c r="L84" s="106">
        <v>8.2936613614789056</v>
      </c>
      <c r="M84" s="106">
        <v>6479.0082555873205</v>
      </c>
      <c r="N84" s="106">
        <v>7.7270961452800089</v>
      </c>
      <c r="O84" s="106">
        <v>6036.4075086927423</v>
      </c>
      <c r="P84" s="106">
        <v>8.9108073392595415</v>
      </c>
      <c r="Q84" s="106">
        <v>6961.1226934295528</v>
      </c>
      <c r="R84" s="106">
        <v>7.7273742784649944</v>
      </c>
      <c r="S84" s="106">
        <v>6036.6247863368535</v>
      </c>
      <c r="T84" s="106">
        <v>0.79928922673759051</v>
      </c>
      <c r="U84" s="106">
        <v>624.40474392740566</v>
      </c>
      <c r="V84" s="106">
        <v>0.64675728811940458</v>
      </c>
      <c r="W84" s="106">
        <v>505.24679347887883</v>
      </c>
      <c r="X84" s="106">
        <v>0.60523532946973668</v>
      </c>
      <c r="Y84" s="106">
        <v>472.80983938175825</v>
      </c>
      <c r="Z84" s="106">
        <v>0.77423617453046767</v>
      </c>
      <c r="AA84" s="106">
        <v>604.83329954320129</v>
      </c>
      <c r="AB84" s="106">
        <v>11.570639451214376</v>
      </c>
      <c r="AC84" s="106">
        <v>9038.9835392886689</v>
      </c>
      <c r="AD84" s="106">
        <v>9.8605670029098995</v>
      </c>
      <c r="AE84" s="106">
        <v>7703.0749426732127</v>
      </c>
      <c r="AF84" s="106">
        <v>9.9189135532229749</v>
      </c>
      <c r="AG84" s="106">
        <v>7748.6552677777872</v>
      </c>
      <c r="AH84" s="106">
        <v>12.02612290787205</v>
      </c>
      <c r="AI84" s="106">
        <v>9394.8072156296457</v>
      </c>
      <c r="AJ84" s="106">
        <v>11.596784209241894</v>
      </c>
      <c r="AK84" s="106">
        <v>9059.4078242597679</v>
      </c>
      <c r="AL84" s="106">
        <v>11.761079735328453</v>
      </c>
      <c r="AM84" s="106">
        <v>9187.755489238587</v>
      </c>
      <c r="AN84" s="106">
        <v>15.192048923805446</v>
      </c>
      <c r="AO84" s="106">
        <v>11868.028619276813</v>
      </c>
      <c r="AP84" s="106">
        <v>10.500964049400404</v>
      </c>
      <c r="AQ84" s="106">
        <v>8203.3531153915937</v>
      </c>
      <c r="AR84" s="106">
        <v>9.8953577622030533</v>
      </c>
      <c r="AS84" s="106">
        <v>7730.2534838330248</v>
      </c>
      <c r="AT84" s="106">
        <v>10.51033579343075</v>
      </c>
      <c r="AU84" s="106">
        <v>8210.6743218281008</v>
      </c>
      <c r="AV84" s="106">
        <v>11.10261991399263</v>
      </c>
      <c r="AW84" s="106">
        <v>8673.3666768110415</v>
      </c>
      <c r="AX84" s="106">
        <v>12.057350965420255</v>
      </c>
      <c r="AY84" s="106">
        <v>9419.2025741863017</v>
      </c>
      <c r="AZ84" s="106">
        <v>8.1253217548746512</v>
      </c>
      <c r="BA84" s="106">
        <v>6347.5013549080768</v>
      </c>
      <c r="BB84" s="106">
        <v>7.2924762750000003</v>
      </c>
      <c r="BC84" s="106">
        <v>5696.8824660299997</v>
      </c>
      <c r="BD84" s="106">
        <v>6.2443221926605501</v>
      </c>
      <c r="BE84" s="106">
        <v>4878.0644969064215</v>
      </c>
      <c r="BF84" s="106">
        <v>7.8660418247191011</v>
      </c>
      <c r="BG84" s="106">
        <v>6144.9518734705616</v>
      </c>
      <c r="BH84" s="106">
        <v>11.248164047708805</v>
      </c>
      <c r="BI84" s="106">
        <v>8787.0657540701177</v>
      </c>
      <c r="BJ84" s="106">
        <v>10.528785921633725</v>
      </c>
      <c r="BK84" s="106">
        <v>8225.0875619802646</v>
      </c>
      <c r="BL84" s="106">
        <v>9.8416524413239816</v>
      </c>
      <c r="BM84" s="106">
        <v>7688.2988871622938</v>
      </c>
      <c r="BN84" s="106">
        <v>11.524192613296751</v>
      </c>
      <c r="BO84" s="106">
        <v>9002.6992695074223</v>
      </c>
      <c r="BP84" s="106">
        <v>6.0827349129629553</v>
      </c>
      <c r="BQ84" s="106">
        <v>4751.8325140066599</v>
      </c>
      <c r="BR84" s="106">
        <v>6.7837816558648267</v>
      </c>
      <c r="BS84" s="106">
        <v>5299.4902295616021</v>
      </c>
      <c r="BT84" s="106">
        <v>8.9806225758164011</v>
      </c>
      <c r="BU84" s="106">
        <v>7015.6623562277719</v>
      </c>
      <c r="BV84" s="106">
        <v>8.3949297991327239</v>
      </c>
      <c r="BW84" s="106">
        <v>6558.1191590824837</v>
      </c>
      <c r="BX84" s="106">
        <v>8.1963867823716061</v>
      </c>
      <c r="BY84" s="106">
        <v>6403.0173543886985</v>
      </c>
      <c r="BZ84" s="106">
        <v>6.8698662899614646</v>
      </c>
      <c r="CA84" s="106">
        <v>5366.7395457178955</v>
      </c>
      <c r="CB84" s="106">
        <v>8.2281557233885501</v>
      </c>
      <c r="CC84" s="106">
        <v>6427.8352511111343</v>
      </c>
      <c r="CD84" s="106">
        <v>8.0057731362699407</v>
      </c>
      <c r="CE84" s="106">
        <v>6254.1099740540767</v>
      </c>
      <c r="CF84" s="106">
        <v>3.5351465130465738</v>
      </c>
      <c r="CG84" s="106">
        <v>2761.6564559919834</v>
      </c>
      <c r="CH84" s="106">
        <v>4.1193659176863351</v>
      </c>
      <c r="CI84" s="106">
        <v>3218.0486548965646</v>
      </c>
      <c r="CJ84" s="106">
        <v>3.5019721176162246</v>
      </c>
      <c r="CK84" s="106">
        <v>2735.7406182817945</v>
      </c>
      <c r="CL84" s="106">
        <v>4.1292271511311638</v>
      </c>
      <c r="CM84" s="106">
        <v>3225.752250463665</v>
      </c>
      <c r="CN84" s="106">
        <v>5.7997621137601927</v>
      </c>
      <c r="CO84" s="106">
        <v>4530.7741632694624</v>
      </c>
      <c r="CP84" s="106">
        <v>8.10210821081977</v>
      </c>
      <c r="CQ84" s="106">
        <v>6329.366934292404</v>
      </c>
      <c r="CR84" s="106">
        <v>5.042861963740342</v>
      </c>
      <c r="CS84" s="106">
        <v>3939.4837660739549</v>
      </c>
      <c r="CT84" s="106">
        <v>5.8365470743125831</v>
      </c>
      <c r="CU84" s="106">
        <v>4559.5105744529892</v>
      </c>
    </row>
    <row r="85" spans="2:99" x14ac:dyDescent="0.2">
      <c r="C85" s="105" t="s">
        <v>250</v>
      </c>
      <c r="D85" s="106">
        <v>15.835051482755288</v>
      </c>
      <c r="E85" s="106">
        <v>2375.2577224132933</v>
      </c>
      <c r="F85" s="106">
        <v>18.04381761878226</v>
      </c>
      <c r="G85" s="106">
        <v>2706.5726428173389</v>
      </c>
      <c r="H85" s="106">
        <v>13.474189261689956</v>
      </c>
      <c r="I85" s="106">
        <v>2021.1283892534934</v>
      </c>
      <c r="J85" s="106">
        <v>14.885596044157365</v>
      </c>
      <c r="K85" s="106">
        <v>2232.8394066236046</v>
      </c>
      <c r="L85" s="106">
        <v>8.7815237945070752</v>
      </c>
      <c r="M85" s="106">
        <v>1317.2285691760612</v>
      </c>
      <c r="N85" s="106">
        <v>8.5264509189296636</v>
      </c>
      <c r="O85" s="106">
        <v>1278.9676378394495</v>
      </c>
      <c r="P85" s="106">
        <v>9.9389774168664111</v>
      </c>
      <c r="Q85" s="106">
        <v>1490.8466125299617</v>
      </c>
      <c r="R85" s="106">
        <v>9.4445685625683282</v>
      </c>
      <c r="S85" s="106">
        <v>1416.6852843852491</v>
      </c>
      <c r="T85" s="106">
        <v>0.8933232534126011</v>
      </c>
      <c r="U85" s="106">
        <v>133.99848801189017</v>
      </c>
      <c r="V85" s="106">
        <v>0.71483700265828931</v>
      </c>
      <c r="W85" s="106">
        <v>107.22555039874339</v>
      </c>
      <c r="X85" s="106">
        <v>0.726282395363684</v>
      </c>
      <c r="Y85" s="106">
        <v>108.9423593045526</v>
      </c>
      <c r="Z85" s="106">
        <v>0.86714451547412374</v>
      </c>
      <c r="AA85" s="106">
        <v>130.07167732111856</v>
      </c>
      <c r="AB85" s="106">
        <v>12.096577608087758</v>
      </c>
      <c r="AC85" s="106">
        <v>1814.4866412131637</v>
      </c>
      <c r="AD85" s="106">
        <v>11.417498634948304</v>
      </c>
      <c r="AE85" s="106">
        <v>1712.6247952422457</v>
      </c>
      <c r="AF85" s="106">
        <v>12.529153961965863</v>
      </c>
      <c r="AG85" s="106">
        <v>1879.3730942948794</v>
      </c>
      <c r="AH85" s="106">
        <v>15.343674054871238</v>
      </c>
      <c r="AI85" s="106">
        <v>2301.5511082306857</v>
      </c>
      <c r="AJ85" s="106">
        <v>14.396007983886488</v>
      </c>
      <c r="AK85" s="106">
        <v>2159.4011975829731</v>
      </c>
      <c r="AL85" s="106">
        <v>13.021195421256502</v>
      </c>
      <c r="AM85" s="106">
        <v>1953.1793131884754</v>
      </c>
      <c r="AN85" s="106">
        <v>17.217655446979506</v>
      </c>
      <c r="AO85" s="106">
        <v>2582.648317046926</v>
      </c>
      <c r="AP85" s="106">
        <v>12.601156859280486</v>
      </c>
      <c r="AQ85" s="106">
        <v>1890.1735288920729</v>
      </c>
      <c r="AR85" s="106">
        <v>11.260234694920713</v>
      </c>
      <c r="AS85" s="106">
        <v>1689.0352042381071</v>
      </c>
      <c r="AT85" s="106">
        <v>10.849378883541418</v>
      </c>
      <c r="AU85" s="106">
        <v>1627.4068325312126</v>
      </c>
      <c r="AV85" s="106">
        <v>13.388453425696996</v>
      </c>
      <c r="AW85" s="106">
        <v>2008.2680138545495</v>
      </c>
      <c r="AX85" s="106">
        <v>12.605412372939359</v>
      </c>
      <c r="AY85" s="106">
        <v>1890.8118559409038</v>
      </c>
      <c r="AZ85" s="106">
        <v>9.7503861058495822</v>
      </c>
      <c r="BA85" s="106">
        <v>1462.5579158774374</v>
      </c>
      <c r="BB85" s="106">
        <v>7.2924762750000003</v>
      </c>
      <c r="BC85" s="106">
        <v>1093.8714412500001</v>
      </c>
      <c r="BD85" s="106">
        <v>6.2443221926605501</v>
      </c>
      <c r="BE85" s="106">
        <v>936.64832889908257</v>
      </c>
      <c r="BF85" s="106">
        <v>7.8660418247191011</v>
      </c>
      <c r="BG85" s="106">
        <v>1179.9062737078652</v>
      </c>
      <c r="BH85" s="106">
        <v>11.248164047708805</v>
      </c>
      <c r="BI85" s="106">
        <v>1687.2246071563206</v>
      </c>
      <c r="BJ85" s="106">
        <v>12.148599140346604</v>
      </c>
      <c r="BK85" s="106">
        <v>1822.2898710519908</v>
      </c>
      <c r="BL85" s="106">
        <v>9.8416524413239816</v>
      </c>
      <c r="BM85" s="106">
        <v>1476.2478661985972</v>
      </c>
      <c r="BN85" s="106">
        <v>10.70103599806127</v>
      </c>
      <c r="BO85" s="106">
        <v>1605.1553997091905</v>
      </c>
      <c r="BP85" s="106">
        <v>6.9516970433862335</v>
      </c>
      <c r="BQ85" s="106">
        <v>1042.7545565079349</v>
      </c>
      <c r="BR85" s="106">
        <v>7.6317543628479303</v>
      </c>
      <c r="BS85" s="106">
        <v>1144.7631544271896</v>
      </c>
      <c r="BT85" s="106">
        <v>10.613463044146657</v>
      </c>
      <c r="BU85" s="106">
        <v>1592.0194566219986</v>
      </c>
      <c r="BV85" s="106">
        <v>10.684456107987103</v>
      </c>
      <c r="BW85" s="106">
        <v>1602.6684161980654</v>
      </c>
      <c r="BX85" s="106">
        <v>9.6600272792236783</v>
      </c>
      <c r="BY85" s="106">
        <v>1449.0040918835518</v>
      </c>
      <c r="BZ85" s="106">
        <v>7.6625431695724027</v>
      </c>
      <c r="CA85" s="106">
        <v>1149.3814754358605</v>
      </c>
      <c r="CB85" s="106">
        <v>8.6729208976257688</v>
      </c>
      <c r="CC85" s="106">
        <v>1300.9381346438654</v>
      </c>
      <c r="CD85" s="106">
        <v>8.6729208976257688</v>
      </c>
      <c r="CE85" s="106">
        <v>1300.9381346438654</v>
      </c>
      <c r="CF85" s="106">
        <v>3.8565234687780805</v>
      </c>
      <c r="CG85" s="106">
        <v>578.47852031671209</v>
      </c>
      <c r="CH85" s="106">
        <v>4.4362402190468222</v>
      </c>
      <c r="CI85" s="106">
        <v>665.43603285702329</v>
      </c>
      <c r="CJ85" s="106">
        <v>4.280188143753163</v>
      </c>
      <c r="CK85" s="106">
        <v>642.02822156297441</v>
      </c>
      <c r="CL85" s="106">
        <v>4.1292271511311638</v>
      </c>
      <c r="CM85" s="106">
        <v>619.38407266967454</v>
      </c>
      <c r="CN85" s="106">
        <v>7.1381687553971602</v>
      </c>
      <c r="CO85" s="106">
        <v>1070.7253133095739</v>
      </c>
      <c r="CP85" s="106">
        <v>8.9549617066955332</v>
      </c>
      <c r="CQ85" s="106">
        <v>1343.2442560043301</v>
      </c>
      <c r="CR85" s="106">
        <v>5.6031799597114915</v>
      </c>
      <c r="CS85" s="106">
        <v>840.47699395672373</v>
      </c>
      <c r="CT85" s="106">
        <v>5.8365470743125831</v>
      </c>
      <c r="CU85" s="106">
        <v>875.48206114688742</v>
      </c>
    </row>
    <row r="86" spans="2:99" x14ac:dyDescent="0.2">
      <c r="C86" s="105" t="s">
        <v>251</v>
      </c>
      <c r="D86" s="106">
        <v>16.362886532180465</v>
      </c>
      <c r="E86" s="106">
        <v>8835.9587273774505</v>
      </c>
      <c r="F86" s="106">
        <v>15.33724497596492</v>
      </c>
      <c r="G86" s="106">
        <v>8282.1122870210565</v>
      </c>
      <c r="H86" s="106">
        <v>12.975145214960696</v>
      </c>
      <c r="I86" s="106">
        <v>7006.5784160787762</v>
      </c>
      <c r="J86" s="106">
        <v>14.447784395799795</v>
      </c>
      <c r="K86" s="106">
        <v>7801.8035737318896</v>
      </c>
      <c r="L86" s="106">
        <v>8.0497301449648191</v>
      </c>
      <c r="M86" s="106">
        <v>4346.8542782810027</v>
      </c>
      <c r="N86" s="106">
        <v>7.1941929628469046</v>
      </c>
      <c r="O86" s="106">
        <v>3884.8641999373285</v>
      </c>
      <c r="P86" s="106">
        <v>9.253530698461832</v>
      </c>
      <c r="Q86" s="106">
        <v>4996.9065771693895</v>
      </c>
      <c r="R86" s="106">
        <v>8.2997723731661051</v>
      </c>
      <c r="S86" s="106">
        <v>4481.8770815096968</v>
      </c>
      <c r="T86" s="106">
        <v>0.8933232534126011</v>
      </c>
      <c r="U86" s="106">
        <v>482.3945568428046</v>
      </c>
      <c r="V86" s="106">
        <v>0.61271743084996233</v>
      </c>
      <c r="W86" s="106">
        <v>330.86741265897967</v>
      </c>
      <c r="X86" s="106">
        <v>0.63549709594322346</v>
      </c>
      <c r="Y86" s="106">
        <v>343.16843180934069</v>
      </c>
      <c r="Z86" s="106">
        <v>0.74326672754924894</v>
      </c>
      <c r="AA86" s="106">
        <v>401.36403287659442</v>
      </c>
      <c r="AB86" s="106">
        <v>11.570639451214376</v>
      </c>
      <c r="AC86" s="106">
        <v>6248.1453036557632</v>
      </c>
      <c r="AD86" s="106">
        <v>10.379544213589368</v>
      </c>
      <c r="AE86" s="106">
        <v>5604.9538753382585</v>
      </c>
      <c r="AF86" s="106">
        <v>10.96300971672013</v>
      </c>
      <c r="AG86" s="106">
        <v>5920.0252470288706</v>
      </c>
      <c r="AH86" s="106">
        <v>14.514286268121442</v>
      </c>
      <c r="AI86" s="106">
        <v>7837.7145847855782</v>
      </c>
      <c r="AJ86" s="106">
        <v>11.996673319905408</v>
      </c>
      <c r="AK86" s="106">
        <v>6478.2035927489205</v>
      </c>
      <c r="AL86" s="106">
        <v>11.761079735328453</v>
      </c>
      <c r="AM86" s="106">
        <v>6350.9830570773647</v>
      </c>
      <c r="AN86" s="106">
        <v>15.529650011001124</v>
      </c>
      <c r="AO86" s="106">
        <v>8386.011005940607</v>
      </c>
      <c r="AP86" s="106">
        <v>12.601156859280486</v>
      </c>
      <c r="AQ86" s="106">
        <v>6804.6247040114622</v>
      </c>
      <c r="AR86" s="106">
        <v>10.236576995382469</v>
      </c>
      <c r="AS86" s="106">
        <v>5527.7515775065331</v>
      </c>
      <c r="AT86" s="106">
        <v>11.866508153873426</v>
      </c>
      <c r="AU86" s="106">
        <v>6407.9144030916495</v>
      </c>
      <c r="AV86" s="106">
        <v>11.429167558521826</v>
      </c>
      <c r="AW86" s="106">
        <v>6171.7504816017863</v>
      </c>
      <c r="AX86" s="106">
        <v>10.961228150382052</v>
      </c>
      <c r="AY86" s="106">
        <v>5919.0632012063079</v>
      </c>
      <c r="AZ86" s="106">
        <v>8.1253217548746512</v>
      </c>
      <c r="BA86" s="106">
        <v>4387.6737476323115</v>
      </c>
      <c r="BB86" s="106">
        <v>7.2924762750000003</v>
      </c>
      <c r="BC86" s="106">
        <v>3937.9371885</v>
      </c>
      <c r="BD86" s="106">
        <v>6.2443221926605501</v>
      </c>
      <c r="BE86" s="106">
        <v>3371.933984036697</v>
      </c>
      <c r="BF86" s="106">
        <v>8.5215453101123604</v>
      </c>
      <c r="BG86" s="106">
        <v>4601.6344674606744</v>
      </c>
      <c r="BH86" s="106">
        <v>12.051604336830863</v>
      </c>
      <c r="BI86" s="106">
        <v>6507.8663418886663</v>
      </c>
      <c r="BJ86" s="106">
        <v>11.338692530990164</v>
      </c>
      <c r="BK86" s="106">
        <v>6122.8939667346885</v>
      </c>
      <c r="BL86" s="106">
        <v>11.809982929588777</v>
      </c>
      <c r="BM86" s="106">
        <v>6377.3907819779397</v>
      </c>
      <c r="BN86" s="106">
        <v>9.8778793828257871</v>
      </c>
      <c r="BO86" s="106">
        <v>5334.0548667259254</v>
      </c>
      <c r="BP86" s="106">
        <v>6.9516970433862335</v>
      </c>
      <c r="BQ86" s="106">
        <v>3753.9164034285659</v>
      </c>
      <c r="BR86" s="106">
        <v>6.7837816558648267</v>
      </c>
      <c r="BS86" s="106">
        <v>3663.2420941670066</v>
      </c>
      <c r="BT86" s="106">
        <v>8.9806225758164011</v>
      </c>
      <c r="BU86" s="106">
        <v>4849.5361909408566</v>
      </c>
      <c r="BV86" s="106">
        <v>9.9212806717023092</v>
      </c>
      <c r="BW86" s="106">
        <v>5357.4915627192468</v>
      </c>
      <c r="BX86" s="106">
        <v>7.9036586830011926</v>
      </c>
      <c r="BY86" s="106">
        <v>4267.9756888206439</v>
      </c>
      <c r="BZ86" s="106">
        <v>8.1909944226463622</v>
      </c>
      <c r="CA86" s="106">
        <v>4423.1369882290355</v>
      </c>
      <c r="CB86" s="106">
        <v>7.561007962032722</v>
      </c>
      <c r="CC86" s="106">
        <v>4082.9442994976698</v>
      </c>
      <c r="CD86" s="106">
        <v>8.2281557233885501</v>
      </c>
      <c r="CE86" s="106">
        <v>4443.2040906298171</v>
      </c>
      <c r="CF86" s="106">
        <v>3.5351465130465738</v>
      </c>
      <c r="CG86" s="106">
        <v>1908.9791170451499</v>
      </c>
      <c r="CH86" s="106">
        <v>4.4362402190468222</v>
      </c>
      <c r="CI86" s="106">
        <v>2395.5697182852841</v>
      </c>
      <c r="CJ86" s="106">
        <v>3.5019721176162246</v>
      </c>
      <c r="CK86" s="106">
        <v>1891.0649435127614</v>
      </c>
      <c r="CL86" s="106">
        <v>4.1292271511311638</v>
      </c>
      <c r="CM86" s="106">
        <v>2229.7826616108287</v>
      </c>
      <c r="CN86" s="106">
        <v>6.6920332081848377</v>
      </c>
      <c r="CO86" s="106">
        <v>3613.6979324198123</v>
      </c>
      <c r="CP86" s="106">
        <v>8.5285349587576516</v>
      </c>
      <c r="CQ86" s="106">
        <v>4605.4088777291317</v>
      </c>
      <c r="CR86" s="106">
        <v>5.6031799597114915</v>
      </c>
      <c r="CS86" s="106">
        <v>3025.7171782442056</v>
      </c>
      <c r="CT86" s="106">
        <v>6.2855122338750888</v>
      </c>
      <c r="CU86" s="106">
        <v>3394.1766062925481</v>
      </c>
    </row>
    <row r="87" spans="2:99" x14ac:dyDescent="0.2">
      <c r="B87" s="105" t="s">
        <v>131</v>
      </c>
      <c r="C87" s="105" t="s">
        <v>252</v>
      </c>
      <c r="D87" s="106">
        <v>3.6948453459762343</v>
      </c>
      <c r="E87" s="106">
        <v>7222.6836823143421</v>
      </c>
      <c r="F87" s="106">
        <v>2.7065726428173389</v>
      </c>
      <c r="G87" s="106">
        <v>5290.8082021793343</v>
      </c>
      <c r="H87" s="106">
        <v>2.9942642803755457</v>
      </c>
      <c r="I87" s="106">
        <v>5853.1878152781164</v>
      </c>
      <c r="J87" s="106">
        <v>3.0646815385029869</v>
      </c>
      <c r="K87" s="106">
        <v>5990.8394714656388</v>
      </c>
      <c r="L87" s="106">
        <v>2.4393121651408545</v>
      </c>
      <c r="M87" s="106">
        <v>4768.3674204173421</v>
      </c>
      <c r="N87" s="106">
        <v>2.6645159121655202</v>
      </c>
      <c r="O87" s="106">
        <v>5208.5957051011592</v>
      </c>
      <c r="P87" s="106">
        <v>2.3990635144160306</v>
      </c>
      <c r="Q87" s="106">
        <v>4689.6893579804564</v>
      </c>
      <c r="R87" s="106">
        <v>2.0033933314538874</v>
      </c>
      <c r="S87" s="106">
        <v>3916.2332843260592</v>
      </c>
      <c r="T87" s="106">
        <v>0.21157656001877395</v>
      </c>
      <c r="U87" s="106">
        <v>413.58985952469931</v>
      </c>
      <c r="V87" s="106">
        <v>0.4084782872333082</v>
      </c>
      <c r="W87" s="106">
        <v>798.4933558836708</v>
      </c>
      <c r="X87" s="106">
        <v>0.24209413178789466</v>
      </c>
      <c r="Y87" s="106">
        <v>473.24560881897645</v>
      </c>
      <c r="Z87" s="106">
        <v>0.24775557584974964</v>
      </c>
      <c r="AA87" s="106">
        <v>484.3125996710906</v>
      </c>
      <c r="AB87" s="106">
        <v>6.311257882480569</v>
      </c>
      <c r="AC87" s="106">
        <v>12337.246908673016</v>
      </c>
      <c r="AD87" s="106">
        <v>10.379544213589368</v>
      </c>
      <c r="AE87" s="106">
        <v>20289.933028724496</v>
      </c>
      <c r="AF87" s="106">
        <v>8.3527693079772423</v>
      </c>
      <c r="AG87" s="106">
        <v>16327.993443233912</v>
      </c>
      <c r="AH87" s="106">
        <v>7.0497961873732713</v>
      </c>
      <c r="AI87" s="106">
        <v>13780.94158707727</v>
      </c>
      <c r="AJ87" s="106">
        <v>4.7986693279621626</v>
      </c>
      <c r="AK87" s="106">
        <v>9380.4388023004358</v>
      </c>
      <c r="AL87" s="106">
        <v>5.0404627437121947</v>
      </c>
      <c r="AM87" s="106">
        <v>9853.0965714085978</v>
      </c>
      <c r="AN87" s="106">
        <v>3.0384097847610891</v>
      </c>
      <c r="AO87" s="106">
        <v>5939.4834472509765</v>
      </c>
      <c r="AP87" s="106">
        <v>6.7206169916162599</v>
      </c>
      <c r="AQ87" s="106">
        <v>13137.462095211464</v>
      </c>
      <c r="AR87" s="106">
        <v>8.8717000626648055</v>
      </c>
      <c r="AS87" s="106">
        <v>17342.399282497161</v>
      </c>
      <c r="AT87" s="106">
        <v>5.0856463516600403</v>
      </c>
      <c r="AU87" s="106">
        <v>9941.4214882250471</v>
      </c>
      <c r="AV87" s="106">
        <v>5.2247623124671199</v>
      </c>
      <c r="AW87" s="106">
        <v>10213.365368410725</v>
      </c>
      <c r="AX87" s="106">
        <v>5.7546447789505768</v>
      </c>
      <c r="AY87" s="106">
        <v>11249.179613892587</v>
      </c>
      <c r="AZ87" s="106">
        <v>5.6877252284122566</v>
      </c>
      <c r="BA87" s="106">
        <v>11118.365276500279</v>
      </c>
      <c r="BB87" s="106">
        <v>7.2924762750000003</v>
      </c>
      <c r="BC87" s="106">
        <v>14255.332622370001</v>
      </c>
      <c r="BD87" s="106">
        <v>8.0284142477064222</v>
      </c>
      <c r="BE87" s="106">
        <v>15693.944171416513</v>
      </c>
      <c r="BF87" s="106">
        <v>5.8995313685393258</v>
      </c>
      <c r="BG87" s="106">
        <v>11532.403919220675</v>
      </c>
      <c r="BH87" s="106">
        <v>9.6412834694646907</v>
      </c>
      <c r="BI87" s="106">
        <v>18846.780926109575</v>
      </c>
      <c r="BJ87" s="106">
        <v>11.338692530990164</v>
      </c>
      <c r="BK87" s="106">
        <v>22164.876159579573</v>
      </c>
      <c r="BL87" s="106">
        <v>7.8733219530591851</v>
      </c>
      <c r="BM87" s="106">
        <v>15390.769753840095</v>
      </c>
      <c r="BN87" s="106">
        <v>10.70103599806127</v>
      </c>
      <c r="BO87" s="106">
        <v>20918.385169010169</v>
      </c>
      <c r="BP87" s="106">
        <v>13.903394086772467</v>
      </c>
      <c r="BQ87" s="106">
        <v>27178.354760822818</v>
      </c>
      <c r="BR87" s="106">
        <v>16.959454139662068</v>
      </c>
      <c r="BS87" s="106">
        <v>33152.340952211409</v>
      </c>
      <c r="BT87" s="106">
        <v>11.429883278311785</v>
      </c>
      <c r="BU87" s="106">
        <v>22343.135832443877</v>
      </c>
      <c r="BV87" s="106">
        <v>16.789859598265448</v>
      </c>
      <c r="BW87" s="106">
        <v>32820.817542689299</v>
      </c>
      <c r="BX87" s="106">
        <v>2.9272809937041449</v>
      </c>
      <c r="BY87" s="106">
        <v>5722.2488864928619</v>
      </c>
      <c r="BZ87" s="106">
        <v>3.4349331449807323</v>
      </c>
      <c r="CA87" s="106">
        <v>6714.607311808335</v>
      </c>
      <c r="CB87" s="106">
        <v>2.8909736325419231</v>
      </c>
      <c r="CC87" s="106">
        <v>5651.2752568929509</v>
      </c>
      <c r="CD87" s="106">
        <v>3.1133562196605324</v>
      </c>
      <c r="CE87" s="106">
        <v>6085.9887381924091</v>
      </c>
      <c r="CF87" s="106">
        <v>2.2496386901205465</v>
      </c>
      <c r="CG87" s="106">
        <v>4397.5937114476446</v>
      </c>
      <c r="CH87" s="106">
        <v>2.5349944108838987</v>
      </c>
      <c r="CI87" s="106">
        <v>4955.4070743958446</v>
      </c>
      <c r="CJ87" s="106">
        <v>2.7237560914792858</v>
      </c>
      <c r="CK87" s="106">
        <v>5324.3984076237075</v>
      </c>
      <c r="CL87" s="106">
        <v>3.7538428646646942</v>
      </c>
      <c r="CM87" s="106">
        <v>7338.0120318465442</v>
      </c>
      <c r="CN87" s="106">
        <v>4.0152199249109026</v>
      </c>
      <c r="CO87" s="106">
        <v>7848.9519092158325</v>
      </c>
      <c r="CP87" s="106">
        <v>2.5585604876272954</v>
      </c>
      <c r="CQ87" s="106">
        <v>5001.4740412138372</v>
      </c>
      <c r="CR87" s="106">
        <v>3.3619079758268948</v>
      </c>
      <c r="CS87" s="106">
        <v>6571.8577111464137</v>
      </c>
      <c r="CT87" s="106">
        <v>2.6937909573750383</v>
      </c>
      <c r="CU87" s="106">
        <v>5265.822563476725</v>
      </c>
    </row>
    <row r="88" spans="2:99" x14ac:dyDescent="0.2">
      <c r="C88" s="105" t="s">
        <v>253</v>
      </c>
      <c r="D88" s="106">
        <v>4.2226803954014098</v>
      </c>
      <c r="E88" s="106">
        <v>7991.0003802576275</v>
      </c>
      <c r="F88" s="106">
        <v>2.7065726428173389</v>
      </c>
      <c r="G88" s="106">
        <v>5121.9180692675318</v>
      </c>
      <c r="H88" s="106">
        <v>3.4933083271048035</v>
      </c>
      <c r="I88" s="106">
        <v>6610.7366782131294</v>
      </c>
      <c r="J88" s="106">
        <v>2.6268698901454171</v>
      </c>
      <c r="K88" s="106">
        <v>4971.0885801111872</v>
      </c>
      <c r="L88" s="106">
        <v>2.4393121651408545</v>
      </c>
      <c r="M88" s="106">
        <v>4616.1543413125528</v>
      </c>
      <c r="N88" s="106">
        <v>2.6645159121655202</v>
      </c>
      <c r="O88" s="106">
        <v>5042.3299121820301</v>
      </c>
      <c r="P88" s="106">
        <v>2.7417868736183202</v>
      </c>
      <c r="Q88" s="106">
        <v>5188.5574796353085</v>
      </c>
      <c r="R88" s="106">
        <v>2.2895923788044428</v>
      </c>
      <c r="S88" s="106">
        <v>4332.8246176495268</v>
      </c>
      <c r="T88" s="106">
        <v>0.25859357335627925</v>
      </c>
      <c r="U88" s="106">
        <v>489.36247821942283</v>
      </c>
      <c r="V88" s="106">
        <v>0.4084782872333082</v>
      </c>
      <c r="W88" s="106">
        <v>773.00431076031236</v>
      </c>
      <c r="X88" s="106">
        <v>0.24209413178789466</v>
      </c>
      <c r="Y88" s="106">
        <v>458.13893499541183</v>
      </c>
      <c r="Z88" s="106">
        <v>0.24775557584974964</v>
      </c>
      <c r="AA88" s="106">
        <v>468.85265173806619</v>
      </c>
      <c r="AB88" s="106">
        <v>6.837196039353949</v>
      </c>
      <c r="AC88" s="106">
        <v>12938.709784873412</v>
      </c>
      <c r="AD88" s="106">
        <v>10.898521424268836</v>
      </c>
      <c r="AE88" s="106">
        <v>20624.361943286342</v>
      </c>
      <c r="AF88" s="106">
        <v>7.8307212262286638</v>
      </c>
      <c r="AG88" s="106">
        <v>14818.856848515123</v>
      </c>
      <c r="AH88" s="106">
        <v>6.2204084006234748</v>
      </c>
      <c r="AI88" s="106">
        <v>11771.500857339863</v>
      </c>
      <c r="AJ88" s="106">
        <v>4.3987802172986497</v>
      </c>
      <c r="AK88" s="106">
        <v>8324.2516832159636</v>
      </c>
      <c r="AL88" s="106">
        <v>5.0404627437121947</v>
      </c>
      <c r="AM88" s="106">
        <v>9538.5716962009574</v>
      </c>
      <c r="AN88" s="106">
        <v>3.3760108719567659</v>
      </c>
      <c r="AO88" s="106">
        <v>6388.7629740909833</v>
      </c>
      <c r="AP88" s="106">
        <v>6.7206169916162599</v>
      </c>
      <c r="AQ88" s="106">
        <v>12718.09559493461</v>
      </c>
      <c r="AR88" s="106">
        <v>7.8480423631265586</v>
      </c>
      <c r="AS88" s="106">
        <v>14851.635367980698</v>
      </c>
      <c r="AT88" s="106">
        <v>6.1027756219920484</v>
      </c>
      <c r="AU88" s="106">
        <v>11548.892587057751</v>
      </c>
      <c r="AV88" s="106">
        <v>5.5513099569963149</v>
      </c>
      <c r="AW88" s="106">
        <v>10505.298962619825</v>
      </c>
      <c r="AX88" s="106">
        <v>6.0286754827101277</v>
      </c>
      <c r="AY88" s="106">
        <v>11408.665483480645</v>
      </c>
      <c r="AZ88" s="106">
        <v>5.6877252284122566</v>
      </c>
      <c r="BA88" s="106">
        <v>10763.451222247353</v>
      </c>
      <c r="BB88" s="106">
        <v>6.3809167406249996</v>
      </c>
      <c r="BC88" s="106">
        <v>12075.246839958749</v>
      </c>
      <c r="BD88" s="106">
        <v>7.1363682201834866</v>
      </c>
      <c r="BE88" s="106">
        <v>13504.863219875229</v>
      </c>
      <c r="BF88" s="106">
        <v>5.8995313685393258</v>
      </c>
      <c r="BG88" s="106">
        <v>11164.273161823819</v>
      </c>
      <c r="BH88" s="106">
        <v>11.248164047708805</v>
      </c>
      <c r="BI88" s="106">
        <v>21286.025643884142</v>
      </c>
      <c r="BJ88" s="106">
        <v>11.338692530990164</v>
      </c>
      <c r="BK88" s="106">
        <v>21457.341745645783</v>
      </c>
      <c r="BL88" s="106">
        <v>8.857487197191583</v>
      </c>
      <c r="BM88" s="106">
        <v>16761.908771965351</v>
      </c>
      <c r="BN88" s="106">
        <v>11.524192613296751</v>
      </c>
      <c r="BO88" s="106">
        <v>21808.382101402771</v>
      </c>
      <c r="BP88" s="106">
        <v>13.034431956349188</v>
      </c>
      <c r="BQ88" s="106">
        <v>24666.3590341952</v>
      </c>
      <c r="BR88" s="106">
        <v>16.111481432678964</v>
      </c>
      <c r="BS88" s="106">
        <v>30489.36746320167</v>
      </c>
      <c r="BT88" s="106">
        <v>10.613463044146657</v>
      </c>
      <c r="BU88" s="106">
        <v>20084.917464743132</v>
      </c>
      <c r="BV88" s="106">
        <v>15.263508725695861</v>
      </c>
      <c r="BW88" s="106">
        <v>28884.663912506843</v>
      </c>
      <c r="BX88" s="106">
        <v>2.6345528943337304</v>
      </c>
      <c r="BY88" s="106">
        <v>4985.627897237151</v>
      </c>
      <c r="BZ88" s="106">
        <v>3.4349331449807323</v>
      </c>
      <c r="CA88" s="106">
        <v>6500.2674835615371</v>
      </c>
      <c r="CB88" s="106">
        <v>2.8909736325419231</v>
      </c>
      <c r="CC88" s="106">
        <v>5470.8785022223346</v>
      </c>
      <c r="CD88" s="106">
        <v>3.5581213938977512</v>
      </c>
      <c r="CE88" s="106">
        <v>6733.3889258121035</v>
      </c>
      <c r="CF88" s="106">
        <v>2.5710156458520537</v>
      </c>
      <c r="CG88" s="106">
        <v>4865.3900082104265</v>
      </c>
      <c r="CH88" s="106">
        <v>2.5349944108838987</v>
      </c>
      <c r="CI88" s="106">
        <v>4797.223423156689</v>
      </c>
      <c r="CJ88" s="106">
        <v>2.7237560914792858</v>
      </c>
      <c r="CK88" s="106">
        <v>5154.4360275154004</v>
      </c>
      <c r="CL88" s="106">
        <v>3.3784585781982246</v>
      </c>
      <c r="CM88" s="106">
        <v>6393.39501338232</v>
      </c>
      <c r="CN88" s="106">
        <v>4.0152199249109026</v>
      </c>
      <c r="CO88" s="106">
        <v>7598.4021859013919</v>
      </c>
      <c r="CP88" s="106">
        <v>2.1321337396894129</v>
      </c>
      <c r="CQ88" s="106">
        <v>4034.8498889882449</v>
      </c>
      <c r="CR88" s="106">
        <v>3.3619079758268948</v>
      </c>
      <c r="CS88" s="106">
        <v>6362.0746534548152</v>
      </c>
      <c r="CT88" s="106">
        <v>2.6937909573750383</v>
      </c>
      <c r="CU88" s="106">
        <v>5097.7300077365217</v>
      </c>
    </row>
    <row r="89" spans="2:99" x14ac:dyDescent="0.2">
      <c r="C89" s="105" t="s">
        <v>254</v>
      </c>
      <c r="D89" s="106">
        <v>3.6948453459762343</v>
      </c>
      <c r="E89" s="106">
        <v>8858.7612015126197</v>
      </c>
      <c r="F89" s="106">
        <v>2.7065726428173389</v>
      </c>
      <c r="G89" s="106">
        <v>6489.2785684188511</v>
      </c>
      <c r="H89" s="106">
        <v>3.4933083271048035</v>
      </c>
      <c r="I89" s="106">
        <v>8375.5560450664761</v>
      </c>
      <c r="J89" s="106">
        <v>3.0646815385029869</v>
      </c>
      <c r="K89" s="106">
        <v>7347.8804567147608</v>
      </c>
      <c r="L89" s="106">
        <v>2.1953809486267688</v>
      </c>
      <c r="M89" s="106">
        <v>5263.6453624275409</v>
      </c>
      <c r="N89" s="106">
        <v>2.1316127297324159</v>
      </c>
      <c r="O89" s="106">
        <v>5110.7546808064399</v>
      </c>
      <c r="P89" s="106">
        <v>2.7417868736183202</v>
      </c>
      <c r="Q89" s="106">
        <v>6573.7082081872841</v>
      </c>
      <c r="R89" s="106">
        <v>2.0033933314538874</v>
      </c>
      <c r="S89" s="106">
        <v>4803.33585149384</v>
      </c>
      <c r="T89" s="106">
        <v>0.21157656001877395</v>
      </c>
      <c r="U89" s="106">
        <v>507.27596030101239</v>
      </c>
      <c r="V89" s="106">
        <v>0.4084782872333082</v>
      </c>
      <c r="W89" s="106">
        <v>979.36754147057968</v>
      </c>
      <c r="X89" s="106">
        <v>0.30261766473486834</v>
      </c>
      <c r="Y89" s="106">
        <v>725.55611296832035</v>
      </c>
      <c r="Z89" s="106">
        <v>0.21678612886853094</v>
      </c>
      <c r="AA89" s="106">
        <v>519.76642257518972</v>
      </c>
      <c r="AB89" s="106">
        <v>6.837196039353949</v>
      </c>
      <c r="AC89" s="106">
        <v>16392.861223955028</v>
      </c>
      <c r="AD89" s="106">
        <v>10.379544213589368</v>
      </c>
      <c r="AE89" s="106">
        <v>24885.995206501866</v>
      </c>
      <c r="AF89" s="106">
        <v>7.3086731444800872</v>
      </c>
      <c r="AG89" s="106">
        <v>17523.274731205456</v>
      </c>
      <c r="AH89" s="106">
        <v>6.2204084006234748</v>
      </c>
      <c r="AI89" s="106">
        <v>14914.051181334842</v>
      </c>
      <c r="AJ89" s="106">
        <v>4.3987802172986497</v>
      </c>
      <c r="AK89" s="106">
        <v>10546.515448995242</v>
      </c>
      <c r="AL89" s="106">
        <v>5.0404627437121947</v>
      </c>
      <c r="AM89" s="106">
        <v>12085.013474324358</v>
      </c>
      <c r="AN89" s="106">
        <v>3.0384097847610891</v>
      </c>
      <c r="AO89" s="106">
        <v>7284.8912999431868</v>
      </c>
      <c r="AP89" s="106">
        <v>6.7206169916162599</v>
      </c>
      <c r="AQ89" s="106">
        <v>16113.351299099144</v>
      </c>
      <c r="AR89" s="106">
        <v>7.8480423631265586</v>
      </c>
      <c r="AS89" s="106">
        <v>18816.466369832237</v>
      </c>
      <c r="AT89" s="106">
        <v>5.7637325318813781</v>
      </c>
      <c r="AU89" s="106">
        <v>13819.125118438791</v>
      </c>
      <c r="AV89" s="106">
        <v>4.8982146679379248</v>
      </c>
      <c r="AW89" s="106">
        <v>11743.959487847967</v>
      </c>
      <c r="AX89" s="106">
        <v>5.2065833714314742</v>
      </c>
      <c r="AY89" s="106">
        <v>12483.304291344102</v>
      </c>
      <c r="AZ89" s="106">
        <v>4.8751930529247911</v>
      </c>
      <c r="BA89" s="106">
        <v>11688.762863692478</v>
      </c>
      <c r="BB89" s="106">
        <v>6.3809167406249996</v>
      </c>
      <c r="BC89" s="106">
        <v>15298.885977322498</v>
      </c>
      <c r="BD89" s="106">
        <v>8.0284142477064222</v>
      </c>
      <c r="BE89" s="106">
        <v>19248.926000300919</v>
      </c>
      <c r="BF89" s="106">
        <v>5.2440278831460683</v>
      </c>
      <c r="BG89" s="106">
        <v>12573.081252631013</v>
      </c>
      <c r="BH89" s="106">
        <v>10.444723758586747</v>
      </c>
      <c r="BI89" s="106">
        <v>25042.269683587583</v>
      </c>
      <c r="BJ89" s="106">
        <v>8.9089727029208436</v>
      </c>
      <c r="BK89" s="106">
        <v>21360.152952523014</v>
      </c>
      <c r="BL89" s="106">
        <v>7.8733219530591851</v>
      </c>
      <c r="BM89" s="106">
        <v>18877.0767146547</v>
      </c>
      <c r="BN89" s="106">
        <v>11.524192613296751</v>
      </c>
      <c r="BO89" s="106">
        <v>27630.404209640292</v>
      </c>
      <c r="BP89" s="106">
        <v>13.034431956349188</v>
      </c>
      <c r="BQ89" s="106">
        <v>31251.354058542813</v>
      </c>
      <c r="BR89" s="106">
        <v>14.415536018712759</v>
      </c>
      <c r="BS89" s="106">
        <v>34562.689158465706</v>
      </c>
      <c r="BT89" s="106">
        <v>10.613463044146657</v>
      </c>
      <c r="BU89" s="106">
        <v>25446.838994646023</v>
      </c>
      <c r="BV89" s="106">
        <v>14.500333289411067</v>
      </c>
      <c r="BW89" s="106">
        <v>34765.999094691972</v>
      </c>
      <c r="BX89" s="106">
        <v>2.6345528943337304</v>
      </c>
      <c r="BY89" s="106">
        <v>6316.6040194545521</v>
      </c>
      <c r="BZ89" s="106">
        <v>3.170707518443753</v>
      </c>
      <c r="CA89" s="106">
        <v>7602.0883462207421</v>
      </c>
      <c r="CB89" s="106">
        <v>3.1133562196605324</v>
      </c>
      <c r="CC89" s="106">
        <v>7464.5828722580927</v>
      </c>
      <c r="CD89" s="106">
        <v>3.1133562196605324</v>
      </c>
      <c r="CE89" s="106">
        <v>7464.5828722580927</v>
      </c>
      <c r="CF89" s="106">
        <v>2.5710156458520537</v>
      </c>
      <c r="CG89" s="106">
        <v>6164.2671124948838</v>
      </c>
      <c r="CH89" s="106">
        <v>2.2181201095234111</v>
      </c>
      <c r="CI89" s="106">
        <v>5318.1647745933305</v>
      </c>
      <c r="CJ89" s="106">
        <v>2.3346480784108161</v>
      </c>
      <c r="CK89" s="106">
        <v>5597.5522327977724</v>
      </c>
      <c r="CL89" s="106">
        <v>3.7538428646646942</v>
      </c>
      <c r="CM89" s="106">
        <v>9000.2136523200697</v>
      </c>
      <c r="CN89" s="106">
        <v>4.0152199249109026</v>
      </c>
      <c r="CO89" s="106">
        <v>9626.8912919663799</v>
      </c>
      <c r="CP89" s="106">
        <v>2.5585604876272954</v>
      </c>
      <c r="CQ89" s="106">
        <v>6134.4046251352029</v>
      </c>
      <c r="CR89" s="106">
        <v>3.3619079758268948</v>
      </c>
      <c r="CS89" s="106">
        <v>8060.5105628425626</v>
      </c>
      <c r="CT89" s="106">
        <v>2.6937909573750383</v>
      </c>
      <c r="CU89" s="106">
        <v>6458.6331994023913</v>
      </c>
    </row>
    <row r="90" spans="2:99" x14ac:dyDescent="0.2">
      <c r="C90" s="105" t="s">
        <v>255</v>
      </c>
      <c r="D90" s="106">
        <v>3.6948453459762343</v>
      </c>
      <c r="E90" s="106">
        <v>8118.3141941789809</v>
      </c>
      <c r="F90" s="106">
        <v>2.7065726428173389</v>
      </c>
      <c r="G90" s="106">
        <v>5946.8814107982562</v>
      </c>
      <c r="H90" s="106">
        <v>3.4933083271048035</v>
      </c>
      <c r="I90" s="106">
        <v>7675.4970563146735</v>
      </c>
      <c r="J90" s="106">
        <v>3.0646815385029869</v>
      </c>
      <c r="K90" s="106">
        <v>6733.7182763987621</v>
      </c>
      <c r="L90" s="106">
        <v>2.1953809486267688</v>
      </c>
      <c r="M90" s="106">
        <v>4823.6910203227362</v>
      </c>
      <c r="N90" s="106">
        <v>2.6645159121655202</v>
      </c>
      <c r="O90" s="106">
        <v>5854.4743622100805</v>
      </c>
      <c r="P90" s="106">
        <v>2.3990635144160306</v>
      </c>
      <c r="Q90" s="106">
        <v>5271.2223538749022</v>
      </c>
      <c r="R90" s="106">
        <v>2.0033933314538874</v>
      </c>
      <c r="S90" s="106">
        <v>4401.8558278704813</v>
      </c>
      <c r="T90" s="106">
        <v>0.21157656001877395</v>
      </c>
      <c r="U90" s="106">
        <v>464.87601767325009</v>
      </c>
      <c r="V90" s="106">
        <v>0.4084782872333082</v>
      </c>
      <c r="W90" s="106">
        <v>897.50849270902472</v>
      </c>
      <c r="X90" s="106">
        <v>0.27235589826138146</v>
      </c>
      <c r="Y90" s="106">
        <v>598.42037965990733</v>
      </c>
      <c r="Z90" s="106">
        <v>0.27872502283096839</v>
      </c>
      <c r="AA90" s="106">
        <v>612.41462016420371</v>
      </c>
      <c r="AB90" s="106">
        <v>5.785319725607188</v>
      </c>
      <c r="AC90" s="106">
        <v>12711.504501104113</v>
      </c>
      <c r="AD90" s="106">
        <v>10.898521424268836</v>
      </c>
      <c r="AE90" s="106">
        <v>23946.231273403482</v>
      </c>
      <c r="AF90" s="106">
        <v>7.3086731444800872</v>
      </c>
      <c r="AG90" s="106">
        <v>16058.616633051646</v>
      </c>
      <c r="AH90" s="106">
        <v>6.2204084006234748</v>
      </c>
      <c r="AI90" s="106">
        <v>13667.481337849898</v>
      </c>
      <c r="AJ90" s="106">
        <v>4.7986693279621626</v>
      </c>
      <c r="AK90" s="106">
        <v>10543.636247398463</v>
      </c>
      <c r="AL90" s="106">
        <v>5.4605013056882115</v>
      </c>
      <c r="AM90" s="106">
        <v>11997.813468858138</v>
      </c>
      <c r="AN90" s="106">
        <v>3.0384097847610891</v>
      </c>
      <c r="AO90" s="106">
        <v>6675.9939790770641</v>
      </c>
      <c r="AP90" s="106">
        <v>7.5606941155682916</v>
      </c>
      <c r="AQ90" s="106">
        <v>16612.357110726651</v>
      </c>
      <c r="AR90" s="106">
        <v>7.1656038967677267</v>
      </c>
      <c r="AS90" s="106">
        <v>15744.264881978048</v>
      </c>
      <c r="AT90" s="106">
        <v>5.7637325318813781</v>
      </c>
      <c r="AU90" s="106">
        <v>12664.073119049763</v>
      </c>
      <c r="AV90" s="106">
        <v>5.2247623124671199</v>
      </c>
      <c r="AW90" s="106">
        <v>11479.847752952755</v>
      </c>
      <c r="AX90" s="106">
        <v>6.0286754827101277</v>
      </c>
      <c r="AY90" s="106">
        <v>13246.205770610692</v>
      </c>
      <c r="AZ90" s="106">
        <v>4.8751930529247911</v>
      </c>
      <c r="BA90" s="106">
        <v>10711.77417588635</v>
      </c>
      <c r="BB90" s="106">
        <v>6.3809167406249996</v>
      </c>
      <c r="BC90" s="106">
        <v>14020.150262501247</v>
      </c>
      <c r="BD90" s="106">
        <v>8.0284142477064222</v>
      </c>
      <c r="BE90" s="106">
        <v>17640.03178506055</v>
      </c>
      <c r="BF90" s="106">
        <v>6.5550348539325842</v>
      </c>
      <c r="BG90" s="106">
        <v>14402.722581060672</v>
      </c>
      <c r="BH90" s="106">
        <v>11.248164047708805</v>
      </c>
      <c r="BI90" s="106">
        <v>24714.466045625784</v>
      </c>
      <c r="BJ90" s="106">
        <v>9.7188793122772825</v>
      </c>
      <c r="BK90" s="106">
        <v>21354.321624935645</v>
      </c>
      <c r="BL90" s="106">
        <v>7.8733219530591851</v>
      </c>
      <c r="BM90" s="106">
        <v>17299.262995261641</v>
      </c>
      <c r="BN90" s="106">
        <v>9.8778793828257871</v>
      </c>
      <c r="BO90" s="106">
        <v>21703.676579944819</v>
      </c>
      <c r="BP90" s="106">
        <v>13.034431956349188</v>
      </c>
      <c r="BQ90" s="106">
        <v>28639.253894490434</v>
      </c>
      <c r="BR90" s="106">
        <v>14.415536018712759</v>
      </c>
      <c r="BS90" s="106">
        <v>31673.815740315669</v>
      </c>
      <c r="BT90" s="106">
        <v>11.429883278311785</v>
      </c>
      <c r="BU90" s="106">
        <v>25113.739539106649</v>
      </c>
      <c r="BV90" s="106">
        <v>16.789859598265448</v>
      </c>
      <c r="BW90" s="106">
        <v>36890.679509308837</v>
      </c>
      <c r="BX90" s="106">
        <v>2.6345528943337304</v>
      </c>
      <c r="BY90" s="106">
        <v>5788.6396194300723</v>
      </c>
      <c r="BZ90" s="106">
        <v>3.170707518443753</v>
      </c>
      <c r="CA90" s="106">
        <v>6966.6785595246138</v>
      </c>
      <c r="CB90" s="106">
        <v>2.6685910454233137</v>
      </c>
      <c r="CC90" s="106">
        <v>5863.4282450041046</v>
      </c>
      <c r="CD90" s="106">
        <v>3.1133562196605324</v>
      </c>
      <c r="CE90" s="106">
        <v>6840.6662858381214</v>
      </c>
      <c r="CF90" s="106">
        <v>2.2496386901205465</v>
      </c>
      <c r="CG90" s="106">
        <v>4942.9061299328641</v>
      </c>
      <c r="CH90" s="106">
        <v>2.5349944108838987</v>
      </c>
      <c r="CI90" s="106">
        <v>5569.8897195941017</v>
      </c>
      <c r="CJ90" s="106">
        <v>2.3346480784108161</v>
      </c>
      <c r="CK90" s="106">
        <v>5129.6887578842452</v>
      </c>
      <c r="CL90" s="106">
        <v>3.3784585781982246</v>
      </c>
      <c r="CM90" s="106">
        <v>7423.1491880171388</v>
      </c>
      <c r="CN90" s="106">
        <v>4.0152199249109026</v>
      </c>
      <c r="CO90" s="106">
        <v>8822.241219014235</v>
      </c>
      <c r="CP90" s="106">
        <v>2.1321337396894129</v>
      </c>
      <c r="CQ90" s="106">
        <v>4684.7242528455772</v>
      </c>
      <c r="CR90" s="106">
        <v>3.3619079758268948</v>
      </c>
      <c r="CS90" s="106">
        <v>7386.784204486853</v>
      </c>
      <c r="CT90" s="106">
        <v>2.6937909573750383</v>
      </c>
      <c r="CU90" s="106">
        <v>5918.7974915444338</v>
      </c>
    </row>
    <row r="91" spans="2:99" x14ac:dyDescent="0.2">
      <c r="C91" s="105" t="s">
        <v>256</v>
      </c>
      <c r="D91" s="106">
        <v>3.6948453459762343</v>
      </c>
      <c r="E91" s="106">
        <v>8486.320790638214</v>
      </c>
      <c r="F91" s="106">
        <v>2.7065726428173389</v>
      </c>
      <c r="G91" s="106">
        <v>6216.4560460228631</v>
      </c>
      <c r="H91" s="106">
        <v>3.4933083271048035</v>
      </c>
      <c r="I91" s="106">
        <v>8023.4305656943116</v>
      </c>
      <c r="J91" s="106">
        <v>2.6268698901454171</v>
      </c>
      <c r="K91" s="106">
        <v>6033.394763685993</v>
      </c>
      <c r="L91" s="106">
        <v>2.1953809486267688</v>
      </c>
      <c r="M91" s="106">
        <v>5042.3509628059619</v>
      </c>
      <c r="N91" s="106">
        <v>2.6645159121655202</v>
      </c>
      <c r="O91" s="106">
        <v>6119.8601470617659</v>
      </c>
      <c r="P91" s="106">
        <v>2.7417868736183202</v>
      </c>
      <c r="Q91" s="106">
        <v>6297.3360913265569</v>
      </c>
      <c r="R91" s="106">
        <v>2.0033933314538874</v>
      </c>
      <c r="S91" s="106">
        <v>4601.3938036832878</v>
      </c>
      <c r="T91" s="106">
        <v>0.23508506668752663</v>
      </c>
      <c r="U91" s="106">
        <v>539.94338116791107</v>
      </c>
      <c r="V91" s="106">
        <v>0.4084782872333082</v>
      </c>
      <c r="W91" s="106">
        <v>938.1929301174622</v>
      </c>
      <c r="X91" s="106">
        <v>0.27235589826138146</v>
      </c>
      <c r="Y91" s="106">
        <v>625.54702712674089</v>
      </c>
      <c r="Z91" s="106">
        <v>0.24775557584974964</v>
      </c>
      <c r="AA91" s="106">
        <v>569.04500661170493</v>
      </c>
      <c r="AB91" s="106">
        <v>6.837196039353949</v>
      </c>
      <c r="AC91" s="106">
        <v>15703.671863188149</v>
      </c>
      <c r="AD91" s="106">
        <v>11.417498634948304</v>
      </c>
      <c r="AE91" s="106">
        <v>26223.710864749261</v>
      </c>
      <c r="AF91" s="106">
        <v>7.8307212262286638</v>
      </c>
      <c r="AG91" s="106">
        <v>17985.600512401994</v>
      </c>
      <c r="AH91" s="106">
        <v>6.2204084006234748</v>
      </c>
      <c r="AI91" s="106">
        <v>14287.034014551995</v>
      </c>
      <c r="AJ91" s="106">
        <v>4.3987802172986497</v>
      </c>
      <c r="AK91" s="106">
        <v>10103.118403091537</v>
      </c>
      <c r="AL91" s="106">
        <v>5.0404627437121947</v>
      </c>
      <c r="AM91" s="106">
        <v>11576.934829758167</v>
      </c>
      <c r="AN91" s="106">
        <v>3.3760108719567659</v>
      </c>
      <c r="AO91" s="106">
        <v>7754.0217707102993</v>
      </c>
      <c r="AP91" s="106">
        <v>7.1406555535922749</v>
      </c>
      <c r="AQ91" s="106">
        <v>16400.657675490736</v>
      </c>
      <c r="AR91" s="106">
        <v>8.1892615963059754</v>
      </c>
      <c r="AS91" s="106">
        <v>18809.096034395563</v>
      </c>
      <c r="AT91" s="106">
        <v>5.7637325318813781</v>
      </c>
      <c r="AU91" s="106">
        <v>13238.140879225148</v>
      </c>
      <c r="AV91" s="106">
        <v>4.8982146679379248</v>
      </c>
      <c r="AW91" s="106">
        <v>11250.219449319824</v>
      </c>
      <c r="AX91" s="106">
        <v>5.4806140751910259</v>
      </c>
      <c r="AY91" s="106">
        <v>12587.874407898747</v>
      </c>
      <c r="AZ91" s="106">
        <v>5.6877252284122566</v>
      </c>
      <c r="BA91" s="106">
        <v>13063.567304617269</v>
      </c>
      <c r="BB91" s="106">
        <v>7.2924762750000003</v>
      </c>
      <c r="BC91" s="106">
        <v>16749.359508419999</v>
      </c>
      <c r="BD91" s="106">
        <v>8.0284142477064222</v>
      </c>
      <c r="BE91" s="106">
        <v>18439.661844132108</v>
      </c>
      <c r="BF91" s="106">
        <v>6.5550348539325842</v>
      </c>
      <c r="BG91" s="106">
        <v>15055.604052512357</v>
      </c>
      <c r="BH91" s="106">
        <v>10.444723758586747</v>
      </c>
      <c r="BI91" s="106">
        <v>23989.441528722036</v>
      </c>
      <c r="BJ91" s="106">
        <v>9.7188793122772825</v>
      </c>
      <c r="BK91" s="106">
        <v>22322.322004438462</v>
      </c>
      <c r="BL91" s="106">
        <v>8.857487197191583</v>
      </c>
      <c r="BM91" s="106">
        <v>20343.876594509624</v>
      </c>
      <c r="BN91" s="106">
        <v>11.524192613296751</v>
      </c>
      <c r="BO91" s="106">
        <v>26468.765594219974</v>
      </c>
      <c r="BP91" s="106">
        <v>12.165469825925911</v>
      </c>
      <c r="BQ91" s="106">
        <v>27941.65109618663</v>
      </c>
      <c r="BR91" s="106">
        <v>15.263508725695861</v>
      </c>
      <c r="BS91" s="106">
        <v>35057.22684117825</v>
      </c>
      <c r="BT91" s="106">
        <v>11.429883278311785</v>
      </c>
      <c r="BU91" s="106">
        <v>26252.155913626502</v>
      </c>
      <c r="BV91" s="106">
        <v>16.026684161980654</v>
      </c>
      <c r="BW91" s="106">
        <v>36810.08818323716</v>
      </c>
      <c r="BX91" s="106">
        <v>2.9272809937041449</v>
      </c>
      <c r="BY91" s="106">
        <v>6723.3789863396787</v>
      </c>
      <c r="BZ91" s="106">
        <v>3.4349331449807323</v>
      </c>
      <c r="CA91" s="106">
        <v>7889.3544473917455</v>
      </c>
      <c r="CB91" s="106">
        <v>2.8909736325419231</v>
      </c>
      <c r="CC91" s="106">
        <v>6639.988239222288</v>
      </c>
      <c r="CD91" s="106">
        <v>3.3357388067791423</v>
      </c>
      <c r="CE91" s="106">
        <v>7661.5248914103331</v>
      </c>
      <c r="CF91" s="106">
        <v>2.2496386901205465</v>
      </c>
      <c r="CG91" s="106">
        <v>5166.9701434688704</v>
      </c>
      <c r="CH91" s="106">
        <v>2.2181201095234111</v>
      </c>
      <c r="CI91" s="106">
        <v>5094.5782675533701</v>
      </c>
      <c r="CJ91" s="106">
        <v>2.3346480784108161</v>
      </c>
      <c r="CK91" s="106">
        <v>5362.2197064939619</v>
      </c>
      <c r="CL91" s="106">
        <v>3.3784585781982246</v>
      </c>
      <c r="CM91" s="106">
        <v>7759.6436624056814</v>
      </c>
      <c r="CN91" s="106">
        <v>4.0152199249109026</v>
      </c>
      <c r="CO91" s="106">
        <v>9222.1571235353604</v>
      </c>
      <c r="CP91" s="106">
        <v>2.1321337396894129</v>
      </c>
      <c r="CQ91" s="106">
        <v>4897.0847733186429</v>
      </c>
      <c r="CR91" s="106">
        <v>3.3619079758268948</v>
      </c>
      <c r="CS91" s="106">
        <v>7721.630238879211</v>
      </c>
      <c r="CT91" s="106">
        <v>2.6937909573750383</v>
      </c>
      <c r="CU91" s="106">
        <v>6187.0990708989875</v>
      </c>
    </row>
    <row r="92" spans="2:99" x14ac:dyDescent="0.2">
      <c r="C92" s="105" t="s">
        <v>257</v>
      </c>
      <c r="D92" s="106">
        <v>4.2226803954014098</v>
      </c>
      <c r="E92" s="106">
        <v>5999.5843057863231</v>
      </c>
      <c r="F92" s="106">
        <v>2.7065726428173389</v>
      </c>
      <c r="G92" s="106">
        <v>3845.498410914875</v>
      </c>
      <c r="H92" s="106">
        <v>3.9923523738340605</v>
      </c>
      <c r="I92" s="106">
        <v>5672.3342527434334</v>
      </c>
      <c r="J92" s="106">
        <v>3.0646815385029869</v>
      </c>
      <c r="K92" s="106">
        <v>4354.2995299050435</v>
      </c>
      <c r="L92" s="106">
        <v>2.6832433816549397</v>
      </c>
      <c r="M92" s="106">
        <v>3812.352196655338</v>
      </c>
      <c r="N92" s="106">
        <v>2.6645159121655202</v>
      </c>
      <c r="O92" s="106">
        <v>3785.7442080047708</v>
      </c>
      <c r="P92" s="106">
        <v>2.7417868736183202</v>
      </c>
      <c r="Q92" s="106">
        <v>3895.5307900369094</v>
      </c>
      <c r="R92" s="106">
        <v>2.2895923788044428</v>
      </c>
      <c r="S92" s="106">
        <v>3253.052851805352</v>
      </c>
      <c r="T92" s="106">
        <v>0.23508506668752663</v>
      </c>
      <c r="U92" s="106">
        <v>334.00886274963784</v>
      </c>
      <c r="V92" s="106">
        <v>0.51059785904163524</v>
      </c>
      <c r="W92" s="106">
        <v>725.45743812635533</v>
      </c>
      <c r="X92" s="106">
        <v>0.30261766473486834</v>
      </c>
      <c r="Y92" s="106">
        <v>429.95917805530092</v>
      </c>
      <c r="Z92" s="106">
        <v>0.27872502283096839</v>
      </c>
      <c r="AA92" s="106">
        <v>396.01251243823987</v>
      </c>
      <c r="AB92" s="106">
        <v>6.837196039353949</v>
      </c>
      <c r="AC92" s="106">
        <v>9714.2881327140913</v>
      </c>
      <c r="AD92" s="106">
        <v>10.379544213589368</v>
      </c>
      <c r="AE92" s="106">
        <v>14747.256418667774</v>
      </c>
      <c r="AF92" s="106">
        <v>9.3968654714743973</v>
      </c>
      <c r="AG92" s="106">
        <v>13351.066461870823</v>
      </c>
      <c r="AH92" s="106">
        <v>7.0497961873732713</v>
      </c>
      <c r="AI92" s="106">
        <v>10016.350423019943</v>
      </c>
      <c r="AJ92" s="106">
        <v>5.1985584386256765</v>
      </c>
      <c r="AK92" s="106">
        <v>7386.111829599361</v>
      </c>
      <c r="AL92" s="106">
        <v>5.0404627437121947</v>
      </c>
      <c r="AM92" s="106">
        <v>7161.4894662662864</v>
      </c>
      <c r="AN92" s="106">
        <v>3.7136119591524426</v>
      </c>
      <c r="AO92" s="106">
        <v>5276.2998715637905</v>
      </c>
      <c r="AP92" s="106">
        <v>8.4007712395203242</v>
      </c>
      <c r="AQ92" s="106">
        <v>11935.815777110476</v>
      </c>
      <c r="AR92" s="106">
        <v>9.2129192958442214</v>
      </c>
      <c r="AS92" s="106">
        <v>13089.71573553547</v>
      </c>
      <c r="AT92" s="106">
        <v>6.7808618022133862</v>
      </c>
      <c r="AU92" s="106">
        <v>9634.2484485847781</v>
      </c>
      <c r="AV92" s="106">
        <v>5.5513099569963149</v>
      </c>
      <c r="AW92" s="106">
        <v>7887.301186900364</v>
      </c>
      <c r="AX92" s="106">
        <v>6.850767593988782</v>
      </c>
      <c r="AY92" s="106">
        <v>9733.5705975392611</v>
      </c>
      <c r="AZ92" s="106">
        <v>5.6877252284122566</v>
      </c>
      <c r="BA92" s="106">
        <v>8081.1200045281339</v>
      </c>
      <c r="BB92" s="106">
        <v>6.3809167406249996</v>
      </c>
      <c r="BC92" s="106">
        <v>9066.0065050799985</v>
      </c>
      <c r="BD92" s="106">
        <v>8.0284142477064222</v>
      </c>
      <c r="BE92" s="106">
        <v>11406.770963141284</v>
      </c>
      <c r="BF92" s="106">
        <v>5.8995313685393258</v>
      </c>
      <c r="BG92" s="106">
        <v>8382.0541684206746</v>
      </c>
      <c r="BH92" s="106">
        <v>10.444723758586747</v>
      </c>
      <c r="BI92" s="106">
        <v>14839.86351620005</v>
      </c>
      <c r="BJ92" s="106">
        <v>10.528785921633725</v>
      </c>
      <c r="BK92" s="106">
        <v>14959.299037457196</v>
      </c>
      <c r="BL92" s="106">
        <v>8.857487197191583</v>
      </c>
      <c r="BM92" s="106">
        <v>12584.717809769802</v>
      </c>
      <c r="BN92" s="106">
        <v>11.524192613296751</v>
      </c>
      <c r="BO92" s="106">
        <v>16373.572864972024</v>
      </c>
      <c r="BP92" s="106">
        <v>13.903394086772467</v>
      </c>
      <c r="BQ92" s="106">
        <v>19753.942318486319</v>
      </c>
      <c r="BR92" s="106">
        <v>17.807426846645171</v>
      </c>
      <c r="BS92" s="106">
        <v>25300.792063713459</v>
      </c>
      <c r="BT92" s="106">
        <v>13.062723746642039</v>
      </c>
      <c r="BU92" s="106">
        <v>18559.517899229009</v>
      </c>
      <c r="BV92" s="106">
        <v>16.789859598265448</v>
      </c>
      <c r="BW92" s="106">
        <v>23855.032517215546</v>
      </c>
      <c r="BX92" s="106">
        <v>3.2200090930745597</v>
      </c>
      <c r="BY92" s="106">
        <v>4574.988919440334</v>
      </c>
      <c r="BZ92" s="106">
        <v>3.6991587715177112</v>
      </c>
      <c r="CA92" s="106">
        <v>5255.7647825723643</v>
      </c>
      <c r="CB92" s="106">
        <v>3.3357388067791423</v>
      </c>
      <c r="CC92" s="106">
        <v>4739.4176966718051</v>
      </c>
      <c r="CD92" s="106">
        <v>3.5581213938977512</v>
      </c>
      <c r="CE92" s="106">
        <v>5055.378876449925</v>
      </c>
      <c r="CF92" s="106">
        <v>2.2496386901205465</v>
      </c>
      <c r="CG92" s="106">
        <v>3196.2866509232722</v>
      </c>
      <c r="CH92" s="106">
        <v>2.8518687122443858</v>
      </c>
      <c r="CI92" s="106">
        <v>4051.935066356823</v>
      </c>
      <c r="CJ92" s="106">
        <v>3.112864104547755</v>
      </c>
      <c r="CK92" s="106">
        <v>4422.7573197414504</v>
      </c>
      <c r="CL92" s="106">
        <v>4.5046114375976325</v>
      </c>
      <c r="CM92" s="106">
        <v>6400.1519305387164</v>
      </c>
      <c r="CN92" s="106">
        <v>4.0152199249109026</v>
      </c>
      <c r="CO92" s="106">
        <v>5704.8244693134102</v>
      </c>
      <c r="CP92" s="106">
        <v>2.5585604876272954</v>
      </c>
      <c r="CQ92" s="106">
        <v>3635.202740820861</v>
      </c>
      <c r="CR92" s="106">
        <v>3.9222259717980439</v>
      </c>
      <c r="CS92" s="106">
        <v>5572.6986607306608</v>
      </c>
      <c r="CT92" s="106">
        <v>2.6937909573750383</v>
      </c>
      <c r="CU92" s="106">
        <v>3827.3381922384542</v>
      </c>
    </row>
    <row r="93" spans="2:99" x14ac:dyDescent="0.2">
      <c r="C93" s="105" t="s">
        <v>258</v>
      </c>
      <c r="D93" s="106">
        <v>4.2226803954014098</v>
      </c>
      <c r="E93" s="106">
        <v>7484.2787328094582</v>
      </c>
      <c r="F93" s="106">
        <v>2.7065726428173389</v>
      </c>
      <c r="G93" s="106">
        <v>4797.129352129451</v>
      </c>
      <c r="H93" s="106">
        <v>3.9923523738340605</v>
      </c>
      <c r="I93" s="106">
        <v>7076.0453473834887</v>
      </c>
      <c r="J93" s="106">
        <v>3.0646815385029869</v>
      </c>
      <c r="K93" s="106">
        <v>5431.8415588426933</v>
      </c>
      <c r="L93" s="106">
        <v>2.6832433816549397</v>
      </c>
      <c r="M93" s="106">
        <v>4755.7805696452151</v>
      </c>
      <c r="N93" s="106">
        <v>2.3980643209489685</v>
      </c>
      <c r="O93" s="106">
        <v>4250.3292024499515</v>
      </c>
      <c r="P93" s="106">
        <v>2.7417868736183202</v>
      </c>
      <c r="Q93" s="106">
        <v>4859.54305480111</v>
      </c>
      <c r="R93" s="106">
        <v>2.0033933314538874</v>
      </c>
      <c r="S93" s="106">
        <v>3550.8143406688696</v>
      </c>
      <c r="T93" s="106">
        <v>0.23508506668752663</v>
      </c>
      <c r="U93" s="106">
        <v>416.66477219697214</v>
      </c>
      <c r="V93" s="106">
        <v>0.4084782872333082</v>
      </c>
      <c r="W93" s="106">
        <v>723.98691629231541</v>
      </c>
      <c r="X93" s="106">
        <v>0.27235589826138146</v>
      </c>
      <c r="Y93" s="106">
        <v>482.72359407847244</v>
      </c>
      <c r="Z93" s="106">
        <v>0.24775557584974964</v>
      </c>
      <c r="AA93" s="106">
        <v>439.12198263609622</v>
      </c>
      <c r="AB93" s="106">
        <v>6.837196039353949</v>
      </c>
      <c r="AC93" s="106">
        <v>12118.246260150938</v>
      </c>
      <c r="AD93" s="106">
        <v>10.898521424268836</v>
      </c>
      <c r="AE93" s="106">
        <v>19316.539372374082</v>
      </c>
      <c r="AF93" s="106">
        <v>8.3527693079772423</v>
      </c>
      <c r="AG93" s="106">
        <v>14804.448321458864</v>
      </c>
      <c r="AH93" s="106">
        <v>7.0497961873732713</v>
      </c>
      <c r="AI93" s="106">
        <v>12495.058762500385</v>
      </c>
      <c r="AJ93" s="106">
        <v>4.3987802172986497</v>
      </c>
      <c r="AK93" s="106">
        <v>7796.3980571401262</v>
      </c>
      <c r="AL93" s="106">
        <v>5.4605013056882115</v>
      </c>
      <c r="AM93" s="106">
        <v>9678.1925142017844</v>
      </c>
      <c r="AN93" s="106">
        <v>3.7136119591524426</v>
      </c>
      <c r="AO93" s="106">
        <v>6582.0058364017887</v>
      </c>
      <c r="AP93" s="106">
        <v>7.9807326775443084</v>
      </c>
      <c r="AQ93" s="106">
        <v>14145.05059767953</v>
      </c>
      <c r="AR93" s="106">
        <v>7.5068231299471426</v>
      </c>
      <c r="AS93" s="106">
        <v>13305.093315518314</v>
      </c>
      <c r="AT93" s="106">
        <v>5.4246894417707088</v>
      </c>
      <c r="AU93" s="106">
        <v>9614.7195665944037</v>
      </c>
      <c r="AV93" s="106">
        <v>5.2247623124671199</v>
      </c>
      <c r="AW93" s="106">
        <v>9260.3687226167222</v>
      </c>
      <c r="AX93" s="106">
        <v>6.5767368902292302</v>
      </c>
      <c r="AY93" s="106">
        <v>11656.608464242287</v>
      </c>
      <c r="AZ93" s="106">
        <v>4.8751930529247911</v>
      </c>
      <c r="BA93" s="106">
        <v>8640.7921670038995</v>
      </c>
      <c r="BB93" s="106">
        <v>6.3809167406249996</v>
      </c>
      <c r="BC93" s="106">
        <v>11309.536831083748</v>
      </c>
      <c r="BD93" s="106">
        <v>8.0284142477064222</v>
      </c>
      <c r="BE93" s="106">
        <v>14229.561412634861</v>
      </c>
      <c r="BF93" s="106">
        <v>6.5550348539325842</v>
      </c>
      <c r="BG93" s="106">
        <v>11618.143775110111</v>
      </c>
      <c r="BH93" s="106">
        <v>9.6412834694646907</v>
      </c>
      <c r="BI93" s="106">
        <v>17088.210821279215</v>
      </c>
      <c r="BJ93" s="106">
        <v>12.148599140346604</v>
      </c>
      <c r="BK93" s="106">
        <v>21532.177116350322</v>
      </c>
      <c r="BL93" s="106">
        <v>8.857487197191583</v>
      </c>
      <c r="BM93" s="106">
        <v>15699.01030830236</v>
      </c>
      <c r="BN93" s="106">
        <v>11.524192613296751</v>
      </c>
      <c r="BO93" s="106">
        <v>20425.478987807161</v>
      </c>
      <c r="BP93" s="106">
        <v>13.903394086772467</v>
      </c>
      <c r="BQ93" s="106">
        <v>24642.375679395518</v>
      </c>
      <c r="BR93" s="106">
        <v>15.263508725695861</v>
      </c>
      <c r="BS93" s="106">
        <v>27053.04286542334</v>
      </c>
      <c r="BT93" s="106">
        <v>11.429883278311785</v>
      </c>
      <c r="BU93" s="106">
        <v>20258.325122479804</v>
      </c>
      <c r="BV93" s="106">
        <v>17.553035034550241</v>
      </c>
      <c r="BW93" s="106">
        <v>31110.999295236845</v>
      </c>
      <c r="BX93" s="106">
        <v>2.9272809937041449</v>
      </c>
      <c r="BY93" s="106">
        <v>5188.3128332412261</v>
      </c>
      <c r="BZ93" s="106">
        <v>3.6991587715177112</v>
      </c>
      <c r="CA93" s="106">
        <v>6556.3890066379909</v>
      </c>
      <c r="CB93" s="106">
        <v>2.8909736325419231</v>
      </c>
      <c r="CC93" s="106">
        <v>5123.9616663173038</v>
      </c>
      <c r="CD93" s="106">
        <v>3.3357388067791423</v>
      </c>
      <c r="CE93" s="106">
        <v>5912.2634611353515</v>
      </c>
      <c r="CF93" s="106">
        <v>2.5710156458520537</v>
      </c>
      <c r="CG93" s="106">
        <v>4556.8681307081797</v>
      </c>
      <c r="CH93" s="106">
        <v>2.5349944108838987</v>
      </c>
      <c r="CI93" s="106">
        <v>4493.0240938506213</v>
      </c>
      <c r="CJ93" s="106">
        <v>2.7237560914792858</v>
      </c>
      <c r="CK93" s="106">
        <v>4827.5852965378854</v>
      </c>
      <c r="CL93" s="106">
        <v>4.1292271511311638</v>
      </c>
      <c r="CM93" s="106">
        <v>7318.6422026648743</v>
      </c>
      <c r="CN93" s="106">
        <v>4.4613554721232251</v>
      </c>
      <c r="CO93" s="106">
        <v>7907.3064387912036</v>
      </c>
      <c r="CP93" s="106">
        <v>2.5585604876272954</v>
      </c>
      <c r="CQ93" s="106">
        <v>4534.7926082706181</v>
      </c>
      <c r="CR93" s="106">
        <v>3.9222259717980439</v>
      </c>
      <c r="CS93" s="106">
        <v>6951.7533124148522</v>
      </c>
      <c r="CT93" s="106">
        <v>2.6937909573750383</v>
      </c>
      <c r="CU93" s="106">
        <v>4774.4750928515177</v>
      </c>
    </row>
    <row r="94" spans="2:99" x14ac:dyDescent="0.2">
      <c r="C94" s="105" t="s">
        <v>259</v>
      </c>
      <c r="D94" s="106">
        <v>3.6948453459762343</v>
      </c>
      <c r="E94" s="106">
        <v>8849.8935726822765</v>
      </c>
      <c r="F94" s="106">
        <v>2.2554772023477825</v>
      </c>
      <c r="G94" s="106">
        <v>5402.3189950634078</v>
      </c>
      <c r="H94" s="106">
        <v>3.4933083271048035</v>
      </c>
      <c r="I94" s="106">
        <v>8367.1721050814249</v>
      </c>
      <c r="J94" s="106">
        <v>3.0646815385029869</v>
      </c>
      <c r="K94" s="106">
        <v>7340.5252210223534</v>
      </c>
      <c r="L94" s="106">
        <v>2.4393121651408545</v>
      </c>
      <c r="M94" s="106">
        <v>5842.6404979453746</v>
      </c>
      <c r="N94" s="106">
        <v>2.3980643209489685</v>
      </c>
      <c r="O94" s="106">
        <v>5743.8436615369692</v>
      </c>
      <c r="P94" s="106">
        <v>2.3990635144160306</v>
      </c>
      <c r="Q94" s="106">
        <v>5746.2369297292762</v>
      </c>
      <c r="R94" s="106">
        <v>2.0033933314538874</v>
      </c>
      <c r="S94" s="106">
        <v>4798.5277074983505</v>
      </c>
      <c r="T94" s="106">
        <v>0.23508506668752663</v>
      </c>
      <c r="U94" s="106">
        <v>563.07575172996371</v>
      </c>
      <c r="V94" s="106">
        <v>0.44251814450275051</v>
      </c>
      <c r="W94" s="106">
        <v>1059.9194597129879</v>
      </c>
      <c r="X94" s="106">
        <v>0.27235589826138146</v>
      </c>
      <c r="Y94" s="106">
        <v>652.34684751566078</v>
      </c>
      <c r="Z94" s="106">
        <v>0.21678612886853094</v>
      </c>
      <c r="AA94" s="106">
        <v>519.24613586590522</v>
      </c>
      <c r="AB94" s="106">
        <v>6.837196039353949</v>
      </c>
      <c r="AC94" s="106">
        <v>16376.451953460577</v>
      </c>
      <c r="AD94" s="106">
        <v>9.3415897922304296</v>
      </c>
      <c r="AE94" s="106">
        <v>22374.975870350325</v>
      </c>
      <c r="AF94" s="106">
        <v>7.8307212262286638</v>
      </c>
      <c r="AG94" s="106">
        <v>18756.143481062893</v>
      </c>
      <c r="AH94" s="106">
        <v>6.2204084006234748</v>
      </c>
      <c r="AI94" s="106">
        <v>14899.122201173346</v>
      </c>
      <c r="AJ94" s="106">
        <v>3.9988911066351358</v>
      </c>
      <c r="AK94" s="106">
        <v>9578.1439786124774</v>
      </c>
      <c r="AL94" s="106">
        <v>5.0404627437121947</v>
      </c>
      <c r="AM94" s="106">
        <v>12072.916363739449</v>
      </c>
      <c r="AN94" s="106">
        <v>3.0384097847610891</v>
      </c>
      <c r="AO94" s="106">
        <v>7277.5991164597599</v>
      </c>
      <c r="AP94" s="106">
        <v>6.7206169916162599</v>
      </c>
      <c r="AQ94" s="106">
        <v>16097.221818319265</v>
      </c>
      <c r="AR94" s="106">
        <v>7.8480423631265586</v>
      </c>
      <c r="AS94" s="106">
        <v>18797.631068160732</v>
      </c>
      <c r="AT94" s="106">
        <v>4.7466032615493701</v>
      </c>
      <c r="AU94" s="106">
        <v>11369.064132063051</v>
      </c>
      <c r="AV94" s="106">
        <v>4.8982146679379248</v>
      </c>
      <c r="AW94" s="106">
        <v>11732.203772644916</v>
      </c>
      <c r="AX94" s="106">
        <v>6.0286754827101277</v>
      </c>
      <c r="AY94" s="106">
        <v>14439.883516187296</v>
      </c>
      <c r="AZ94" s="106">
        <v>4.8751930529247911</v>
      </c>
      <c r="BA94" s="106">
        <v>11677.062400365459</v>
      </c>
      <c r="BB94" s="106">
        <v>6.3809167406249996</v>
      </c>
      <c r="BC94" s="106">
        <v>15283.571777144998</v>
      </c>
      <c r="BD94" s="106">
        <v>7.1363682201834866</v>
      </c>
      <c r="BE94" s="106">
        <v>17093.029160983486</v>
      </c>
      <c r="BF94" s="106">
        <v>5.8995313685393258</v>
      </c>
      <c r="BG94" s="106">
        <v>14130.557533925392</v>
      </c>
      <c r="BH94" s="106">
        <v>9.6412834694646907</v>
      </c>
      <c r="BI94" s="106">
        <v>23092.802166061825</v>
      </c>
      <c r="BJ94" s="106">
        <v>10.528785921633725</v>
      </c>
      <c r="BK94" s="106">
        <v>25218.548039497095</v>
      </c>
      <c r="BL94" s="106">
        <v>7.8733219530591851</v>
      </c>
      <c r="BM94" s="106">
        <v>18858.180741967361</v>
      </c>
      <c r="BN94" s="106">
        <v>10.70103599806127</v>
      </c>
      <c r="BO94" s="106">
        <v>25631.121422556353</v>
      </c>
      <c r="BP94" s="106">
        <v>13.034431956349188</v>
      </c>
      <c r="BQ94" s="106">
        <v>31220.071421847573</v>
      </c>
      <c r="BR94" s="106">
        <v>13.567563311729653</v>
      </c>
      <c r="BS94" s="106">
        <v>32497.027644254864</v>
      </c>
      <c r="BT94" s="106">
        <v>10.613463044146657</v>
      </c>
      <c r="BU94" s="106">
        <v>25421.366683340071</v>
      </c>
      <c r="BV94" s="106">
        <v>13.737157853126275</v>
      </c>
      <c r="BW94" s="106">
        <v>32903.240489808049</v>
      </c>
      <c r="BX94" s="106">
        <v>2.9272809937041449</v>
      </c>
      <c r="BY94" s="106">
        <v>7011.423436120167</v>
      </c>
      <c r="BZ94" s="106">
        <v>3.170707518443753</v>
      </c>
      <c r="CA94" s="106">
        <v>7594.4786481764768</v>
      </c>
      <c r="CB94" s="106">
        <v>2.8909736325419231</v>
      </c>
      <c r="CC94" s="106">
        <v>6924.4600446644135</v>
      </c>
      <c r="CD94" s="106">
        <v>3.3357388067791423</v>
      </c>
      <c r="CE94" s="106">
        <v>7989.7615899974007</v>
      </c>
      <c r="CF94" s="106">
        <v>2.2496386901205465</v>
      </c>
      <c r="CG94" s="106">
        <v>5388.3345905767328</v>
      </c>
      <c r="CH94" s="106">
        <v>2.2181201095234111</v>
      </c>
      <c r="CI94" s="106">
        <v>5312.8412863304738</v>
      </c>
      <c r="CJ94" s="106">
        <v>2.7237560914792858</v>
      </c>
      <c r="CK94" s="106">
        <v>6523.9405903111847</v>
      </c>
      <c r="CL94" s="106">
        <v>3.7538428646646942</v>
      </c>
      <c r="CM94" s="106">
        <v>8991.2044294448751</v>
      </c>
      <c r="CN94" s="106">
        <v>4.0152199249109026</v>
      </c>
      <c r="CO94" s="106">
        <v>9617.2547641465935</v>
      </c>
      <c r="CP94" s="106">
        <v>2.1321337396894129</v>
      </c>
      <c r="CQ94" s="106">
        <v>5106.8867333040816</v>
      </c>
      <c r="CR94" s="106">
        <v>3.9222259717980439</v>
      </c>
      <c r="CS94" s="106">
        <v>9394.5156476506745</v>
      </c>
      <c r="CT94" s="106">
        <v>2.6937909573750383</v>
      </c>
      <c r="CU94" s="106">
        <v>6452.1681011046912</v>
      </c>
    </row>
    <row r="95" spans="2:99" x14ac:dyDescent="0.2">
      <c r="B95" s="105" t="s">
        <v>132</v>
      </c>
      <c r="C95" s="105" t="s">
        <v>260</v>
      </c>
      <c r="D95" s="106">
        <v>4.7505154448265872</v>
      </c>
      <c r="E95" s="106">
        <v>8231.6931627955091</v>
      </c>
      <c r="F95" s="106">
        <v>6.3153361665737906</v>
      </c>
      <c r="G95" s="106">
        <v>10943.214509439063</v>
      </c>
      <c r="H95" s="106">
        <v>8.9827928411266367</v>
      </c>
      <c r="I95" s="106">
        <v>15565.383435104235</v>
      </c>
      <c r="J95" s="106">
        <v>7.880609670436252</v>
      </c>
      <c r="K95" s="106">
        <v>13655.520436931938</v>
      </c>
      <c r="L95" s="106">
        <v>9.7572486605634179</v>
      </c>
      <c r="M95" s="106">
        <v>16907.36047902429</v>
      </c>
      <c r="N95" s="106">
        <v>11.457418422311738</v>
      </c>
      <c r="O95" s="106">
        <v>19853.414642181779</v>
      </c>
      <c r="P95" s="106">
        <v>8.2253606208549606</v>
      </c>
      <c r="Q95" s="106">
        <v>14252.904883817475</v>
      </c>
      <c r="R95" s="106">
        <v>11.161762846671659</v>
      </c>
      <c r="S95" s="106">
        <v>19341.102660712648</v>
      </c>
      <c r="T95" s="106">
        <v>0.72876370673133251</v>
      </c>
      <c r="U95" s="106">
        <v>1262.8017510240529</v>
      </c>
      <c r="V95" s="106">
        <v>0.71483700265828931</v>
      </c>
      <c r="W95" s="106">
        <v>1238.6695582062837</v>
      </c>
      <c r="X95" s="106">
        <v>0.81706769478414443</v>
      </c>
      <c r="Y95" s="106">
        <v>1415.8149015219653</v>
      </c>
      <c r="Z95" s="106">
        <v>0.55745004566193679</v>
      </c>
      <c r="AA95" s="106">
        <v>965.94943912300403</v>
      </c>
      <c r="AB95" s="106">
        <v>6.837196039353949</v>
      </c>
      <c r="AC95" s="106">
        <v>11847.493296992523</v>
      </c>
      <c r="AD95" s="106">
        <v>5.7087493174741519</v>
      </c>
      <c r="AE95" s="106">
        <v>9892.1208173192099</v>
      </c>
      <c r="AF95" s="106">
        <v>5.2204808174857762</v>
      </c>
      <c r="AG95" s="106">
        <v>9046.0491605393527</v>
      </c>
      <c r="AH95" s="106">
        <v>4.1469389337489835</v>
      </c>
      <c r="AI95" s="106">
        <v>7185.815784400238</v>
      </c>
      <c r="AJ95" s="106">
        <v>5.1985584386256765</v>
      </c>
      <c r="AK95" s="106">
        <v>9008.0620624505718</v>
      </c>
      <c r="AL95" s="106">
        <v>5.8805398676642264</v>
      </c>
      <c r="AM95" s="106">
        <v>10189.799482688572</v>
      </c>
      <c r="AN95" s="106">
        <v>2.7008086975654124</v>
      </c>
      <c r="AO95" s="106">
        <v>4679.9613111413464</v>
      </c>
      <c r="AP95" s="106">
        <v>5.0404627437121947</v>
      </c>
      <c r="AQ95" s="106">
        <v>8734.1138423044904</v>
      </c>
      <c r="AR95" s="106">
        <v>1.7060961658970781</v>
      </c>
      <c r="AS95" s="106">
        <v>2956.3234362664571</v>
      </c>
      <c r="AT95" s="106">
        <v>3.3904309011066931</v>
      </c>
      <c r="AU95" s="106">
        <v>5874.9386654376776</v>
      </c>
      <c r="AV95" s="106">
        <v>2.2858335117043653</v>
      </c>
      <c r="AW95" s="106">
        <v>3960.8923090813241</v>
      </c>
      <c r="AX95" s="106">
        <v>1.3701535187977565</v>
      </c>
      <c r="AY95" s="106">
        <v>2374.2020173727524</v>
      </c>
      <c r="AZ95" s="106">
        <v>7.3127895793871867</v>
      </c>
      <c r="BA95" s="106">
        <v>12671.601783162117</v>
      </c>
      <c r="BB95" s="106">
        <v>9.1155953437499999</v>
      </c>
      <c r="BC95" s="106">
        <v>15795.50361165</v>
      </c>
      <c r="BD95" s="106">
        <v>8.9204602752293578</v>
      </c>
      <c r="BE95" s="106">
        <v>15457.37356491743</v>
      </c>
      <c r="BF95" s="106">
        <v>7.8660418247191011</v>
      </c>
      <c r="BG95" s="106">
        <v>13630.277273873258</v>
      </c>
      <c r="BH95" s="106">
        <v>11.248164047708805</v>
      </c>
      <c r="BI95" s="106">
        <v>19490.818661869816</v>
      </c>
      <c r="BJ95" s="106">
        <v>10.528785921633725</v>
      </c>
      <c r="BK95" s="106">
        <v>18244.280245006918</v>
      </c>
      <c r="BL95" s="106">
        <v>10.825817685456379</v>
      </c>
      <c r="BM95" s="106">
        <v>18758.976885358814</v>
      </c>
      <c r="BN95" s="106">
        <v>10.70103599806127</v>
      </c>
      <c r="BO95" s="106">
        <v>18542.755177440569</v>
      </c>
      <c r="BP95" s="106">
        <v>6.0827349129629553</v>
      </c>
      <c r="BQ95" s="106">
        <v>10540.163057182208</v>
      </c>
      <c r="BR95" s="106">
        <v>5.0878362418986205</v>
      </c>
      <c r="BS95" s="106">
        <v>8816.2026399619299</v>
      </c>
      <c r="BT95" s="106">
        <v>4.8985214049907642</v>
      </c>
      <c r="BU95" s="106">
        <v>8488.1578905679962</v>
      </c>
      <c r="BV95" s="106">
        <v>3.8158771814239651</v>
      </c>
      <c r="BW95" s="106">
        <v>6612.151979971447</v>
      </c>
      <c r="BX95" s="106">
        <v>3.2200090930745597</v>
      </c>
      <c r="BY95" s="106">
        <v>5579.6317564795972</v>
      </c>
      <c r="BZ95" s="106">
        <v>4.4918356511286497</v>
      </c>
      <c r="CA95" s="106">
        <v>7783.4528162757242</v>
      </c>
      <c r="CB95" s="106">
        <v>3.5581213938977512</v>
      </c>
      <c r="CC95" s="106">
        <v>6165.5127513460229</v>
      </c>
      <c r="CD95" s="106">
        <v>2.4462084583047043</v>
      </c>
      <c r="CE95" s="106">
        <v>4238.7900165503916</v>
      </c>
      <c r="CF95" s="106">
        <v>3.5351465130465738</v>
      </c>
      <c r="CG95" s="106">
        <v>6125.7018778071033</v>
      </c>
      <c r="CH95" s="106">
        <v>3.1687430136048733</v>
      </c>
      <c r="CI95" s="106">
        <v>5490.7978939745244</v>
      </c>
      <c r="CJ95" s="106">
        <v>3.8910801306846943</v>
      </c>
      <c r="CK95" s="106">
        <v>6742.4636504504379</v>
      </c>
      <c r="CL95" s="106">
        <v>3.3784585781982246</v>
      </c>
      <c r="CM95" s="106">
        <v>5854.1930243018833</v>
      </c>
      <c r="CN95" s="106">
        <v>4.9074910193355477</v>
      </c>
      <c r="CO95" s="106">
        <v>8503.7004383046369</v>
      </c>
      <c r="CP95" s="106">
        <v>3.8378407314409428</v>
      </c>
      <c r="CQ95" s="106">
        <v>6650.2104194408657</v>
      </c>
      <c r="CR95" s="106">
        <v>5.042861963740342</v>
      </c>
      <c r="CS95" s="106">
        <v>8738.2712107692641</v>
      </c>
      <c r="CT95" s="106">
        <v>6.7344773934375954</v>
      </c>
      <c r="CU95" s="106">
        <v>11669.502427348665</v>
      </c>
    </row>
    <row r="96" spans="2:99" x14ac:dyDescent="0.2">
      <c r="C96" s="105" t="s">
        <v>261</v>
      </c>
      <c r="D96" s="106">
        <v>6.3340205931021156</v>
      </c>
      <c r="E96" s="106">
        <v>5214.1657522416608</v>
      </c>
      <c r="F96" s="106">
        <v>7.6686224879824598</v>
      </c>
      <c r="G96" s="106">
        <v>6312.8100321071606</v>
      </c>
      <c r="H96" s="106">
        <v>9.481836887855895</v>
      </c>
      <c r="I96" s="106">
        <v>7805.4481260829725</v>
      </c>
      <c r="J96" s="106">
        <v>7.880609670436252</v>
      </c>
      <c r="K96" s="106">
        <v>6487.3178807031218</v>
      </c>
      <c r="L96" s="106">
        <v>12.684423258732442</v>
      </c>
      <c r="M96" s="106">
        <v>10441.817226588546</v>
      </c>
      <c r="N96" s="106">
        <v>13.855482743260705</v>
      </c>
      <c r="O96" s="106">
        <v>11405.833394252211</v>
      </c>
      <c r="P96" s="106">
        <v>9.9389774168664111</v>
      </c>
      <c r="Q96" s="106">
        <v>8181.7662095644291</v>
      </c>
      <c r="R96" s="106">
        <v>11.734160941372769</v>
      </c>
      <c r="S96" s="106">
        <v>9659.561286938062</v>
      </c>
      <c r="T96" s="106">
        <v>0.8227977334063431</v>
      </c>
      <c r="U96" s="106">
        <v>677.32709414010162</v>
      </c>
      <c r="V96" s="106">
        <v>0.95311600354438564</v>
      </c>
      <c r="W96" s="106">
        <v>784.60509411773819</v>
      </c>
      <c r="X96" s="106">
        <v>0.87759122773111808</v>
      </c>
      <c r="Y96" s="106">
        <v>722.43309866825632</v>
      </c>
      <c r="Z96" s="106">
        <v>0.74326672754924894</v>
      </c>
      <c r="AA96" s="106">
        <v>611.85717011854172</v>
      </c>
      <c r="AB96" s="106">
        <v>7.889072353100711</v>
      </c>
      <c r="AC96" s="106">
        <v>6494.2843610725049</v>
      </c>
      <c r="AD96" s="106">
        <v>6.746703738833089</v>
      </c>
      <c r="AE96" s="106">
        <v>5553.8865178073984</v>
      </c>
      <c r="AF96" s="106">
        <v>6.7866250627315097</v>
      </c>
      <c r="AG96" s="106">
        <v>5586.7497516405783</v>
      </c>
      <c r="AH96" s="106">
        <v>5.3910206138736783</v>
      </c>
      <c r="AI96" s="106">
        <v>4437.8881693408111</v>
      </c>
      <c r="AJ96" s="106">
        <v>5.9983366599527042</v>
      </c>
      <c r="AK96" s="106">
        <v>4937.830738473066</v>
      </c>
      <c r="AL96" s="106">
        <v>5.8805398676642264</v>
      </c>
      <c r="AM96" s="106">
        <v>4840.8604190611904</v>
      </c>
      <c r="AN96" s="106">
        <v>3.0384097847610891</v>
      </c>
      <c r="AO96" s="106">
        <v>2501.2189348153283</v>
      </c>
      <c r="AP96" s="106">
        <v>5.0404627437121947</v>
      </c>
      <c r="AQ96" s="106">
        <v>4149.308930623878</v>
      </c>
      <c r="AR96" s="106">
        <v>2.0473153990764938</v>
      </c>
      <c r="AS96" s="106">
        <v>1685.3500365197697</v>
      </c>
      <c r="AT96" s="106">
        <v>3.3904309011066931</v>
      </c>
      <c r="AU96" s="106">
        <v>2791.0027177910297</v>
      </c>
      <c r="AV96" s="106">
        <v>2.938928800762755</v>
      </c>
      <c r="AW96" s="106">
        <v>2419.3261887878998</v>
      </c>
      <c r="AX96" s="106">
        <v>1.6441842225573076</v>
      </c>
      <c r="AY96" s="106">
        <v>1353.4924520091754</v>
      </c>
      <c r="AZ96" s="106">
        <v>7.3127895793871867</v>
      </c>
      <c r="BA96" s="106">
        <v>6019.8883817515316</v>
      </c>
      <c r="BB96" s="106">
        <v>10.9387144125</v>
      </c>
      <c r="BC96" s="106">
        <v>9004.7497043699987</v>
      </c>
      <c r="BD96" s="106">
        <v>8.9204602752293578</v>
      </c>
      <c r="BE96" s="106">
        <v>7343.3228985688065</v>
      </c>
      <c r="BF96" s="106">
        <v>8.5215453101123604</v>
      </c>
      <c r="BG96" s="106">
        <v>7014.936099284494</v>
      </c>
      <c r="BH96" s="106">
        <v>12.855044625952919</v>
      </c>
      <c r="BI96" s="106">
        <v>10582.272736084442</v>
      </c>
      <c r="BJ96" s="106">
        <v>12.148599140346604</v>
      </c>
      <c r="BK96" s="106">
        <v>10000.726812333323</v>
      </c>
      <c r="BL96" s="106">
        <v>11.809982929588777</v>
      </c>
      <c r="BM96" s="106">
        <v>9721.9779476374806</v>
      </c>
      <c r="BN96" s="106">
        <v>10.70103599806127</v>
      </c>
      <c r="BO96" s="106">
        <v>8809.0928336040361</v>
      </c>
      <c r="BP96" s="106">
        <v>6.9516970433862335</v>
      </c>
      <c r="BQ96" s="106">
        <v>5722.6370061155467</v>
      </c>
      <c r="BR96" s="106">
        <v>5.9358089488817232</v>
      </c>
      <c r="BS96" s="106">
        <v>4886.3579267194345</v>
      </c>
      <c r="BT96" s="106">
        <v>4.8985214049907642</v>
      </c>
      <c r="BU96" s="106">
        <v>4032.4628205883969</v>
      </c>
      <c r="BV96" s="106">
        <v>4.5790526177087578</v>
      </c>
      <c r="BW96" s="106">
        <v>3769.4761148978491</v>
      </c>
      <c r="BX96" s="106">
        <v>3.5127371924449742</v>
      </c>
      <c r="BY96" s="106">
        <v>2891.6852568207023</v>
      </c>
      <c r="BZ96" s="106">
        <v>5.0202869042026093</v>
      </c>
      <c r="CA96" s="106">
        <v>4132.7001795395872</v>
      </c>
      <c r="CB96" s="106">
        <v>3.3357388067791423</v>
      </c>
      <c r="CC96" s="106">
        <v>2745.9801857405896</v>
      </c>
      <c r="CD96" s="106">
        <v>2.4462084583047043</v>
      </c>
      <c r="CE96" s="106">
        <v>2013.7188028764324</v>
      </c>
      <c r="CF96" s="106">
        <v>3.8565234687780805</v>
      </c>
      <c r="CG96" s="106">
        <v>3174.6901194981156</v>
      </c>
      <c r="CH96" s="106">
        <v>3.4856173149653604</v>
      </c>
      <c r="CI96" s="106">
        <v>2869.3601736794844</v>
      </c>
      <c r="CJ96" s="106">
        <v>4.6692961568216322</v>
      </c>
      <c r="CK96" s="106">
        <v>3843.7645962955671</v>
      </c>
      <c r="CL96" s="106">
        <v>3.0030742917317554</v>
      </c>
      <c r="CM96" s="106">
        <v>2472.1307569535807</v>
      </c>
      <c r="CN96" s="106">
        <v>5.3536265665478702</v>
      </c>
      <c r="CO96" s="106">
        <v>4407.105389582206</v>
      </c>
      <c r="CP96" s="106">
        <v>3.8378407314409428</v>
      </c>
      <c r="CQ96" s="106">
        <v>3159.3104901221841</v>
      </c>
      <c r="CR96" s="106">
        <v>6.1634979556826401</v>
      </c>
      <c r="CS96" s="106">
        <v>5073.7915171179493</v>
      </c>
      <c r="CT96" s="106">
        <v>7.183442553000102</v>
      </c>
      <c r="CU96" s="106">
        <v>5913.4099096296832</v>
      </c>
    </row>
    <row r="97" spans="2:99" x14ac:dyDescent="0.2">
      <c r="C97" s="105" t="s">
        <v>262</v>
      </c>
      <c r="D97" s="106">
        <v>4.7505154448265872</v>
      </c>
      <c r="E97" s="106">
        <v>8687.7426454988617</v>
      </c>
      <c r="F97" s="106">
        <v>6.766431607043347</v>
      </c>
      <c r="G97" s="106">
        <v>12374.450122960872</v>
      </c>
      <c r="H97" s="106">
        <v>7.984704747668121</v>
      </c>
      <c r="I97" s="106">
        <v>14602.428042535459</v>
      </c>
      <c r="J97" s="106">
        <v>6.567174725363544</v>
      </c>
      <c r="K97" s="106">
        <v>12010.049137744849</v>
      </c>
      <c r="L97" s="106">
        <v>9.7572486605634179</v>
      </c>
      <c r="M97" s="106">
        <v>17844.056350438379</v>
      </c>
      <c r="N97" s="106">
        <v>12.256773195961394</v>
      </c>
      <c r="O97" s="106">
        <v>22415.186820774197</v>
      </c>
      <c r="P97" s="106">
        <v>8.568083980057251</v>
      </c>
      <c r="Q97" s="106">
        <v>15669.311982728701</v>
      </c>
      <c r="R97" s="106">
        <v>9.4445685625683282</v>
      </c>
      <c r="S97" s="106">
        <v>17272.22698722496</v>
      </c>
      <c r="T97" s="106">
        <v>0.63472968005632191</v>
      </c>
      <c r="U97" s="106">
        <v>1160.7936388870014</v>
      </c>
      <c r="V97" s="106">
        <v>0.68079714538884695</v>
      </c>
      <c r="W97" s="106">
        <v>1245.0418194871233</v>
      </c>
      <c r="X97" s="106">
        <v>0.75654416183717077</v>
      </c>
      <c r="Y97" s="106">
        <v>1383.5679631678179</v>
      </c>
      <c r="Z97" s="106">
        <v>0.52648059868071806</v>
      </c>
      <c r="AA97" s="106">
        <v>962.82771886729711</v>
      </c>
      <c r="AB97" s="106">
        <v>6.311257882480569</v>
      </c>
      <c r="AC97" s="106">
        <v>11542.028415480465</v>
      </c>
      <c r="AD97" s="106">
        <v>6.22772652815362</v>
      </c>
      <c r="AE97" s="106">
        <v>11389.266274687339</v>
      </c>
      <c r="AF97" s="106">
        <v>5.7425288992343537</v>
      </c>
      <c r="AG97" s="106">
        <v>10501.936850919787</v>
      </c>
      <c r="AH97" s="106">
        <v>4.97632672049878</v>
      </c>
      <c r="AI97" s="106">
        <v>9100.7063064481681</v>
      </c>
      <c r="AJ97" s="106">
        <v>5.1985584386256765</v>
      </c>
      <c r="AK97" s="106">
        <v>9507.1236725586368</v>
      </c>
      <c r="AL97" s="106">
        <v>5.8805398676642264</v>
      </c>
      <c r="AM97" s="106">
        <v>10754.331309984336</v>
      </c>
      <c r="AN97" s="106">
        <v>2.7008086975654124</v>
      </c>
      <c r="AO97" s="106">
        <v>4939.2389461076264</v>
      </c>
      <c r="AP97" s="106">
        <v>4.2003856197601621</v>
      </c>
      <c r="AQ97" s="106">
        <v>7681.6652214173846</v>
      </c>
      <c r="AR97" s="106">
        <v>1.7060961658970781</v>
      </c>
      <c r="AS97" s="106">
        <v>3120.1086681925763</v>
      </c>
      <c r="AT97" s="106">
        <v>3.3904309011066931</v>
      </c>
      <c r="AU97" s="106">
        <v>6200.4200319439205</v>
      </c>
      <c r="AV97" s="106">
        <v>2.6123811562335599</v>
      </c>
      <c r="AW97" s="106">
        <v>4777.5226585199343</v>
      </c>
      <c r="AX97" s="106">
        <v>1.6441842225573076</v>
      </c>
      <c r="AY97" s="106">
        <v>3006.884106212804</v>
      </c>
      <c r="AZ97" s="106">
        <v>7.3127895793871867</v>
      </c>
      <c r="BA97" s="106">
        <v>13373.629582783287</v>
      </c>
      <c r="BB97" s="106">
        <v>8.2040358093750001</v>
      </c>
      <c r="BC97" s="106">
        <v>15003.540688184999</v>
      </c>
      <c r="BD97" s="106">
        <v>8.9204602752293578</v>
      </c>
      <c r="BE97" s="106">
        <v>16313.737751339449</v>
      </c>
      <c r="BF97" s="106">
        <v>7.8660418247191011</v>
      </c>
      <c r="BG97" s="106">
        <v>14385.417289046292</v>
      </c>
      <c r="BH97" s="106">
        <v>11.248164047708805</v>
      </c>
      <c r="BI97" s="106">
        <v>20570.642410449862</v>
      </c>
      <c r="BJ97" s="106">
        <v>10.528785921633725</v>
      </c>
      <c r="BK97" s="106">
        <v>19255.043693483756</v>
      </c>
      <c r="BL97" s="106">
        <v>10.825817685456379</v>
      </c>
      <c r="BM97" s="106">
        <v>19798.255383162625</v>
      </c>
      <c r="BN97" s="106">
        <v>9.0547227675903059</v>
      </c>
      <c r="BO97" s="106">
        <v>16559.27699736915</v>
      </c>
      <c r="BP97" s="106">
        <v>6.0827349129629553</v>
      </c>
      <c r="BQ97" s="106">
        <v>11124.105608826652</v>
      </c>
      <c r="BR97" s="106">
        <v>4.2398635349155169</v>
      </c>
      <c r="BS97" s="106">
        <v>7753.8624326534973</v>
      </c>
      <c r="BT97" s="106">
        <v>4.8985214049907642</v>
      </c>
      <c r="BU97" s="106">
        <v>8958.4159454471101</v>
      </c>
      <c r="BV97" s="106">
        <v>3.8158771814239651</v>
      </c>
      <c r="BW97" s="106">
        <v>6978.4761893881468</v>
      </c>
      <c r="BX97" s="106">
        <v>2.6345528943337304</v>
      </c>
      <c r="BY97" s="106">
        <v>4818.070333157526</v>
      </c>
      <c r="BZ97" s="106">
        <v>4.4918356511286497</v>
      </c>
      <c r="CA97" s="106">
        <v>8214.6690387840736</v>
      </c>
      <c r="CB97" s="106">
        <v>3.5581213938977512</v>
      </c>
      <c r="CC97" s="106">
        <v>6507.0924051602069</v>
      </c>
      <c r="CD97" s="106">
        <v>2.223825871186095</v>
      </c>
      <c r="CE97" s="106">
        <v>4066.9327532251305</v>
      </c>
      <c r="CF97" s="106">
        <v>3.8565234687780805</v>
      </c>
      <c r="CG97" s="106">
        <v>7052.8101197013539</v>
      </c>
      <c r="CH97" s="106">
        <v>3.4856173149653604</v>
      </c>
      <c r="CI97" s="106">
        <v>6374.496945608651</v>
      </c>
      <c r="CJ97" s="106">
        <v>3.5019721176162246</v>
      </c>
      <c r="CK97" s="106">
        <v>6404.4066086965513</v>
      </c>
      <c r="CL97" s="106">
        <v>3.0030742917317554</v>
      </c>
      <c r="CM97" s="106">
        <v>5492.022264719034</v>
      </c>
      <c r="CN97" s="106">
        <v>4.9074910193355477</v>
      </c>
      <c r="CO97" s="106">
        <v>8974.8195761608495</v>
      </c>
      <c r="CP97" s="106">
        <v>2.9849872355651779</v>
      </c>
      <c r="CQ97" s="106">
        <v>5458.9446564015971</v>
      </c>
      <c r="CR97" s="106">
        <v>5.042861963740342</v>
      </c>
      <c r="CS97" s="106">
        <v>9222.3859592883364</v>
      </c>
      <c r="CT97" s="106">
        <v>7.183442553000102</v>
      </c>
      <c r="CU97" s="106">
        <v>13137.079740926587</v>
      </c>
    </row>
    <row r="98" spans="2:99" x14ac:dyDescent="0.2">
      <c r="C98" s="105" t="s">
        <v>263</v>
      </c>
      <c r="D98" s="106">
        <v>5.2783504942517627</v>
      </c>
      <c r="E98" s="106">
        <v>6669.7236845365269</v>
      </c>
      <c r="F98" s="106">
        <v>7.6686224879824598</v>
      </c>
      <c r="G98" s="106">
        <v>9690.0713758146358</v>
      </c>
      <c r="H98" s="106">
        <v>9.9808809345851515</v>
      </c>
      <c r="I98" s="106">
        <v>12611.841148941796</v>
      </c>
      <c r="J98" s="106">
        <v>7.0049863737211133</v>
      </c>
      <c r="K98" s="106">
        <v>8851.5007818339982</v>
      </c>
      <c r="L98" s="106">
        <v>11.464767176162015</v>
      </c>
      <c r="M98" s="106">
        <v>14486.879803798322</v>
      </c>
      <c r="N98" s="106">
        <v>12.789676378394496</v>
      </c>
      <c r="O98" s="106">
        <v>16161.035071739285</v>
      </c>
      <c r="P98" s="106">
        <v>9.9389774168664111</v>
      </c>
      <c r="Q98" s="106">
        <v>12558.891863952396</v>
      </c>
      <c r="R98" s="106">
        <v>11.161762846671659</v>
      </c>
      <c r="S98" s="106">
        <v>14104.003533054307</v>
      </c>
      <c r="T98" s="106">
        <v>0.7522722134000851</v>
      </c>
      <c r="U98" s="106">
        <v>950.57116885234745</v>
      </c>
      <c r="V98" s="106">
        <v>0.78291671719717393</v>
      </c>
      <c r="W98" s="106">
        <v>989.29356385034896</v>
      </c>
      <c r="X98" s="106">
        <v>0.81706769478414443</v>
      </c>
      <c r="Y98" s="106">
        <v>1032.4467391292449</v>
      </c>
      <c r="Z98" s="106">
        <v>0.68132783358681148</v>
      </c>
      <c r="AA98" s="106">
        <v>860.92585052029494</v>
      </c>
      <c r="AB98" s="106">
        <v>7.889072353100711</v>
      </c>
      <c r="AC98" s="106">
        <v>9968.6318253780573</v>
      </c>
      <c r="AD98" s="106">
        <v>7.2656809495125572</v>
      </c>
      <c r="AE98" s="106">
        <v>9180.9144478040671</v>
      </c>
      <c r="AF98" s="106">
        <v>5.7425288992343537</v>
      </c>
      <c r="AG98" s="106">
        <v>7256.259517072529</v>
      </c>
      <c r="AH98" s="106">
        <v>4.5616328271238817</v>
      </c>
      <c r="AI98" s="106">
        <v>5764.0792403537362</v>
      </c>
      <c r="AJ98" s="106">
        <v>5.5984475492891903</v>
      </c>
      <c r="AK98" s="106">
        <v>7074.1983232818202</v>
      </c>
      <c r="AL98" s="106">
        <v>6.3005784296402432</v>
      </c>
      <c r="AM98" s="106">
        <v>7961.4109036934105</v>
      </c>
      <c r="AN98" s="106">
        <v>2.7008086975654124</v>
      </c>
      <c r="AO98" s="106">
        <v>3412.7418702436548</v>
      </c>
      <c r="AP98" s="106">
        <v>5.0404627437121947</v>
      </c>
      <c r="AQ98" s="106">
        <v>6369.1287229547288</v>
      </c>
      <c r="AR98" s="106">
        <v>1.7060961658970781</v>
      </c>
      <c r="AS98" s="106">
        <v>2155.823115227548</v>
      </c>
      <c r="AT98" s="106">
        <v>3.3904309011066931</v>
      </c>
      <c r="AU98" s="106">
        <v>4284.1484866384171</v>
      </c>
      <c r="AV98" s="106">
        <v>2.6123811562335599</v>
      </c>
      <c r="AW98" s="106">
        <v>3301.004829016726</v>
      </c>
      <c r="AX98" s="106">
        <v>1.6441842225573076</v>
      </c>
      <c r="AY98" s="106">
        <v>2077.5911836234136</v>
      </c>
      <c r="AZ98" s="106">
        <v>7.3127895793871867</v>
      </c>
      <c r="BA98" s="106">
        <v>9240.4409125136481</v>
      </c>
      <c r="BB98" s="106">
        <v>10.027154878125002</v>
      </c>
      <c r="BC98" s="106">
        <v>12670.312903998751</v>
      </c>
      <c r="BD98" s="106">
        <v>8.9204602752293578</v>
      </c>
      <c r="BE98" s="106">
        <v>11271.893603779816</v>
      </c>
      <c r="BF98" s="106">
        <v>7.8660418247191011</v>
      </c>
      <c r="BG98" s="106">
        <v>9939.5304497150555</v>
      </c>
      <c r="BH98" s="106">
        <v>11.248164047708805</v>
      </c>
      <c r="BI98" s="106">
        <v>14213.180090684846</v>
      </c>
      <c r="BJ98" s="106">
        <v>10.528785921633725</v>
      </c>
      <c r="BK98" s="106">
        <v>13304.173890576374</v>
      </c>
      <c r="BL98" s="106">
        <v>11.809982929588777</v>
      </c>
      <c r="BM98" s="106">
        <v>14923.094429828378</v>
      </c>
      <c r="BN98" s="106">
        <v>10.70103599806127</v>
      </c>
      <c r="BO98" s="106">
        <v>13521.829087150219</v>
      </c>
      <c r="BP98" s="106">
        <v>6.9516970433862335</v>
      </c>
      <c r="BQ98" s="106">
        <v>8784.1643840228444</v>
      </c>
      <c r="BR98" s="106">
        <v>5.0878362418986205</v>
      </c>
      <c r="BS98" s="106">
        <v>6428.9898752630961</v>
      </c>
      <c r="BT98" s="106">
        <v>4.8985214049907642</v>
      </c>
      <c r="BU98" s="106">
        <v>6189.7716473463288</v>
      </c>
      <c r="BV98" s="106">
        <v>4.5790526177087578</v>
      </c>
      <c r="BW98" s="106">
        <v>5786.0908877367856</v>
      </c>
      <c r="BX98" s="106">
        <v>3.5127371924449742</v>
      </c>
      <c r="BY98" s="106">
        <v>4438.6947163734694</v>
      </c>
      <c r="BZ98" s="106">
        <v>4.2276100245916703</v>
      </c>
      <c r="CA98" s="106">
        <v>5342.0080270740345</v>
      </c>
      <c r="CB98" s="106">
        <v>3.1133562196605324</v>
      </c>
      <c r="CC98" s="106">
        <v>3934.0369191630484</v>
      </c>
      <c r="CD98" s="106">
        <v>2.6685910454233137</v>
      </c>
      <c r="CE98" s="106">
        <v>3372.0316449968991</v>
      </c>
      <c r="CF98" s="106">
        <v>3.5351465130465738</v>
      </c>
      <c r="CG98" s="106">
        <v>4467.0111338856505</v>
      </c>
      <c r="CH98" s="106">
        <v>3.802491616325848</v>
      </c>
      <c r="CI98" s="106">
        <v>4804.8284063893416</v>
      </c>
      <c r="CJ98" s="106">
        <v>3.8910801306846943</v>
      </c>
      <c r="CK98" s="106">
        <v>4916.7688531331796</v>
      </c>
      <c r="CL98" s="106">
        <v>3.3784585781982246</v>
      </c>
      <c r="CM98" s="106">
        <v>4269.0202594112761</v>
      </c>
      <c r="CN98" s="106">
        <v>5.3536265665478702</v>
      </c>
      <c r="CO98" s="106">
        <v>6764.842529489888</v>
      </c>
      <c r="CP98" s="106">
        <v>3.8378407314409428</v>
      </c>
      <c r="CQ98" s="106">
        <v>4849.4955482487749</v>
      </c>
      <c r="CR98" s="106">
        <v>5.6031799597114915</v>
      </c>
      <c r="CS98" s="106">
        <v>7080.1781970914399</v>
      </c>
      <c r="CT98" s="106">
        <v>7.6324077125626077</v>
      </c>
      <c r="CU98" s="106">
        <v>9644.3103855941099</v>
      </c>
    </row>
    <row r="99" spans="2:99" x14ac:dyDescent="0.2">
      <c r="C99" s="105" t="s">
        <v>264</v>
      </c>
      <c r="D99" s="106">
        <v>3.1670102965510578</v>
      </c>
      <c r="E99" s="106">
        <v>17360.283641574279</v>
      </c>
      <c r="F99" s="106">
        <v>4.510954404695565</v>
      </c>
      <c r="G99" s="106">
        <v>24727.247664779206</v>
      </c>
      <c r="H99" s="106">
        <v>5.9885285607510914</v>
      </c>
      <c r="I99" s="106">
        <v>32826.718158613177</v>
      </c>
      <c r="J99" s="106">
        <v>4.8159281319332647</v>
      </c>
      <c r="K99" s="106">
        <v>26398.99164800538</v>
      </c>
      <c r="L99" s="106">
        <v>6.0982804128521364</v>
      </c>
      <c r="M99" s="106">
        <v>33428.333911090267</v>
      </c>
      <c r="N99" s="106">
        <v>6.9277413716303524</v>
      </c>
      <c r="O99" s="106">
        <v>37975.107102728936</v>
      </c>
      <c r="P99" s="106">
        <v>4.7981270288320612</v>
      </c>
      <c r="Q99" s="106">
        <v>26301.413121245823</v>
      </c>
      <c r="R99" s="106">
        <v>5.4377818996605525</v>
      </c>
      <c r="S99" s="106">
        <v>29807.745261179283</v>
      </c>
      <c r="T99" s="106">
        <v>0.39964461336879525</v>
      </c>
      <c r="U99" s="106">
        <v>2190.6919126423877</v>
      </c>
      <c r="V99" s="106">
        <v>0.47655800177219282</v>
      </c>
      <c r="W99" s="106">
        <v>2612.300342514452</v>
      </c>
      <c r="X99" s="106">
        <v>0.42366473062881566</v>
      </c>
      <c r="Y99" s="106">
        <v>2322.3605874149157</v>
      </c>
      <c r="Z99" s="106">
        <v>0.30969446981218707</v>
      </c>
      <c r="AA99" s="106">
        <v>1697.6212057224845</v>
      </c>
      <c r="AB99" s="106">
        <v>4.7334434118604269</v>
      </c>
      <c r="AC99" s="106">
        <v>25946.843406454114</v>
      </c>
      <c r="AD99" s="106">
        <v>4.1518176854357467</v>
      </c>
      <c r="AE99" s="106">
        <v>22758.603824484588</v>
      </c>
      <c r="AF99" s="106">
        <v>3.6543365722400436</v>
      </c>
      <c r="AG99" s="106">
        <v>20031.611354391021</v>
      </c>
      <c r="AH99" s="106">
        <v>3.3175511469991865</v>
      </c>
      <c r="AI99" s="106">
        <v>18185.488367390739</v>
      </c>
      <c r="AJ99" s="106">
        <v>3.599001995971622</v>
      </c>
      <c r="AK99" s="106">
        <v>19728.289341118041</v>
      </c>
      <c r="AL99" s="106">
        <v>4.2003856197601621</v>
      </c>
      <c r="AM99" s="106">
        <v>23024.833813277302</v>
      </c>
      <c r="AN99" s="106">
        <v>1.6880054359783829</v>
      </c>
      <c r="AO99" s="106">
        <v>9252.9705978591028</v>
      </c>
      <c r="AP99" s="106">
        <v>2.9402699338321132</v>
      </c>
      <c r="AQ99" s="106">
        <v>16117.383669294109</v>
      </c>
      <c r="AR99" s="106">
        <v>1.0236576995382469</v>
      </c>
      <c r="AS99" s="106">
        <v>5611.2820457888538</v>
      </c>
      <c r="AT99" s="106">
        <v>2.373301630774685</v>
      </c>
      <c r="AU99" s="106">
        <v>13009.490219254512</v>
      </c>
      <c r="AV99" s="106">
        <v>1.632738222645975</v>
      </c>
      <c r="AW99" s="106">
        <v>8950.0178412561763</v>
      </c>
      <c r="AX99" s="106">
        <v>1.0961228150382052</v>
      </c>
      <c r="AY99" s="106">
        <v>6008.5068229134249</v>
      </c>
      <c r="AZ99" s="106">
        <v>5.6877252284122566</v>
      </c>
      <c r="BA99" s="106">
        <v>31177.834612064624</v>
      </c>
      <c r="BB99" s="106">
        <v>6.3809167406249996</v>
      </c>
      <c r="BC99" s="106">
        <v>34977.633205409991</v>
      </c>
      <c r="BD99" s="106">
        <v>6.2443221926605501</v>
      </c>
      <c r="BE99" s="106">
        <v>34228.876531288071</v>
      </c>
      <c r="BF99" s="106">
        <v>5.8995313685393258</v>
      </c>
      <c r="BG99" s="106">
        <v>32338.871149785165</v>
      </c>
      <c r="BH99" s="106">
        <v>8.0344028912205747</v>
      </c>
      <c r="BI99" s="106">
        <v>44041.382888514701</v>
      </c>
      <c r="BJ99" s="106">
        <v>7.2891594842079632</v>
      </c>
      <c r="BK99" s="106">
        <v>39956.256628634364</v>
      </c>
      <c r="BL99" s="106">
        <v>8.857487197191583</v>
      </c>
      <c r="BM99" s="106">
        <v>48553.201820125374</v>
      </c>
      <c r="BN99" s="106">
        <v>5.7620963066483757</v>
      </c>
      <c r="BO99" s="106">
        <v>31585.507114523734</v>
      </c>
      <c r="BP99" s="106">
        <v>4.3448106521163963</v>
      </c>
      <c r="BQ99" s="106">
        <v>23816.514070641235</v>
      </c>
      <c r="BR99" s="106">
        <v>4.2398635349155169</v>
      </c>
      <c r="BS99" s="106">
        <v>23241.235952992894</v>
      </c>
      <c r="BT99" s="106">
        <v>3.2656809366605097</v>
      </c>
      <c r="BU99" s="106">
        <v>17901.156622398248</v>
      </c>
      <c r="BV99" s="106">
        <v>3.052701745139172</v>
      </c>
      <c r="BW99" s="106">
        <v>16733.689886154883</v>
      </c>
      <c r="BX99" s="106">
        <v>2.0490966955929015</v>
      </c>
      <c r="BY99" s="106">
        <v>11232.328446562047</v>
      </c>
      <c r="BZ99" s="106">
        <v>2.6422562653697939</v>
      </c>
      <c r="CA99" s="106">
        <v>14483.791944251061</v>
      </c>
      <c r="CB99" s="106">
        <v>2.0014432840674852</v>
      </c>
      <c r="CC99" s="106">
        <v>10971.111505944325</v>
      </c>
      <c r="CD99" s="106">
        <v>1.7790606969488756</v>
      </c>
      <c r="CE99" s="106">
        <v>9752.0991163949548</v>
      </c>
      <c r="CF99" s="106">
        <v>2.5710156458520537</v>
      </c>
      <c r="CG99" s="106">
        <v>14093.279364302616</v>
      </c>
      <c r="CH99" s="106">
        <v>2.5349944108838987</v>
      </c>
      <c r="CI99" s="106">
        <v>13895.825362701178</v>
      </c>
      <c r="CJ99" s="106">
        <v>3.112864104547755</v>
      </c>
      <c r="CK99" s="106">
        <v>17063.475875488974</v>
      </c>
      <c r="CL99" s="106">
        <v>2.2523057187988162</v>
      </c>
      <c r="CM99" s="106">
        <v>12346.239028167591</v>
      </c>
      <c r="CN99" s="106">
        <v>3.5690843776985801</v>
      </c>
      <c r="CO99" s="106">
        <v>19564.292924792535</v>
      </c>
      <c r="CP99" s="106">
        <v>2.1321337396894129</v>
      </c>
      <c r="CQ99" s="106">
        <v>11687.504307481484</v>
      </c>
      <c r="CR99" s="106">
        <v>3.9222259717980439</v>
      </c>
      <c r="CS99" s="106">
        <v>21500.073887008155</v>
      </c>
      <c r="CT99" s="106">
        <v>4.9386167551875699</v>
      </c>
      <c r="CU99" s="106">
        <v>27071.521605236179</v>
      </c>
    </row>
    <row r="100" spans="2:99" x14ac:dyDescent="0.2">
      <c r="C100" s="105" t="s">
        <v>265</v>
      </c>
      <c r="D100" s="106">
        <v>5.2783504942517627</v>
      </c>
      <c r="E100" s="106">
        <v>8563.5958418740593</v>
      </c>
      <c r="F100" s="106">
        <v>6.766431607043347</v>
      </c>
      <c r="G100" s="106">
        <v>10977.858639267126</v>
      </c>
      <c r="H100" s="106">
        <v>8.9827928411266367</v>
      </c>
      <c r="I100" s="106">
        <v>14573.683105443853</v>
      </c>
      <c r="J100" s="106">
        <v>7.4427980220786827</v>
      </c>
      <c r="K100" s="106">
        <v>12075.195511020454</v>
      </c>
      <c r="L100" s="106">
        <v>11.22083595964793</v>
      </c>
      <c r="M100" s="106">
        <v>18204.684260932801</v>
      </c>
      <c r="N100" s="106">
        <v>11.990321604744841</v>
      </c>
      <c r="O100" s="106">
        <v>19453.097771538029</v>
      </c>
      <c r="P100" s="106">
        <v>9.9389774168664111</v>
      </c>
      <c r="Q100" s="106">
        <v>16124.996961124065</v>
      </c>
      <c r="R100" s="106">
        <v>10.589364751970548</v>
      </c>
      <c r="S100" s="106">
        <v>17180.185373597014</v>
      </c>
      <c r="T100" s="106">
        <v>0.6817466933938271</v>
      </c>
      <c r="U100" s="106">
        <v>1106.065835362145</v>
      </c>
      <c r="V100" s="106">
        <v>0.74887685992773168</v>
      </c>
      <c r="W100" s="106">
        <v>1214.9778175467518</v>
      </c>
      <c r="X100" s="106">
        <v>0.726282395363684</v>
      </c>
      <c r="Y100" s="106">
        <v>1178.3205582380408</v>
      </c>
      <c r="Z100" s="106">
        <v>0.61938893962437414</v>
      </c>
      <c r="AA100" s="106">
        <v>1004.8966156465846</v>
      </c>
      <c r="AB100" s="106">
        <v>6.311257882480569</v>
      </c>
      <c r="AC100" s="106">
        <v>10239.384788536474</v>
      </c>
      <c r="AD100" s="106">
        <v>6.22772652815362</v>
      </c>
      <c r="AE100" s="106">
        <v>10103.863519276432</v>
      </c>
      <c r="AF100" s="106">
        <v>5.2204808174857762</v>
      </c>
      <c r="AG100" s="106">
        <v>8469.7080782889225</v>
      </c>
      <c r="AH100" s="106">
        <v>4.97632672049878</v>
      </c>
      <c r="AI100" s="106">
        <v>8073.5924713372196</v>
      </c>
      <c r="AJ100" s="106">
        <v>5.9983366599527042</v>
      </c>
      <c r="AK100" s="106">
        <v>9731.7013971072665</v>
      </c>
      <c r="AL100" s="106">
        <v>5.8805398676642264</v>
      </c>
      <c r="AM100" s="106">
        <v>9540.5878812984411</v>
      </c>
      <c r="AN100" s="106">
        <v>2.3632076103697361</v>
      </c>
      <c r="AO100" s="106">
        <v>3834.0680270638595</v>
      </c>
      <c r="AP100" s="106">
        <v>4.6204241817361789</v>
      </c>
      <c r="AQ100" s="106">
        <v>7496.1761924487755</v>
      </c>
      <c r="AR100" s="106">
        <v>1.7060961658970781</v>
      </c>
      <c r="AS100" s="106">
        <v>2767.9704195514191</v>
      </c>
      <c r="AT100" s="106">
        <v>3.0513878109960242</v>
      </c>
      <c r="AU100" s="106">
        <v>4950.5715845599489</v>
      </c>
      <c r="AV100" s="106">
        <v>2.6123811562335599</v>
      </c>
      <c r="AW100" s="106">
        <v>4238.3271878733276</v>
      </c>
      <c r="AX100" s="106">
        <v>1.3701535187977565</v>
      </c>
      <c r="AY100" s="106">
        <v>2222.93706889748</v>
      </c>
      <c r="AZ100" s="106">
        <v>8.1253217548746512</v>
      </c>
      <c r="BA100" s="106">
        <v>13182.522015108632</v>
      </c>
      <c r="BB100" s="106">
        <v>9.1155953437499999</v>
      </c>
      <c r="BC100" s="106">
        <v>14789.141885699999</v>
      </c>
      <c r="BD100" s="106">
        <v>8.9204602752293578</v>
      </c>
      <c r="BE100" s="106">
        <v>14472.554750532108</v>
      </c>
      <c r="BF100" s="106">
        <v>8.5215453101123604</v>
      </c>
      <c r="BG100" s="106">
        <v>13825.355111126293</v>
      </c>
      <c r="BH100" s="106">
        <v>11.248164047708805</v>
      </c>
      <c r="BI100" s="106">
        <v>18249.021351002764</v>
      </c>
      <c r="BJ100" s="106">
        <v>11.338692530990164</v>
      </c>
      <c r="BK100" s="106">
        <v>18395.89476227844</v>
      </c>
      <c r="BL100" s="106">
        <v>12.794148173721176</v>
      </c>
      <c r="BM100" s="106">
        <v>20757.225997045232</v>
      </c>
      <c r="BN100" s="106">
        <v>9.8778793828257871</v>
      </c>
      <c r="BO100" s="106">
        <v>16025.871510696556</v>
      </c>
      <c r="BP100" s="106">
        <v>6.0827349129629553</v>
      </c>
      <c r="BQ100" s="106">
        <v>9868.6291227910988</v>
      </c>
      <c r="BR100" s="106">
        <v>5.0878362418986205</v>
      </c>
      <c r="BS100" s="106">
        <v>8254.5055188563219</v>
      </c>
      <c r="BT100" s="106">
        <v>4.8985214049907642</v>
      </c>
      <c r="BU100" s="106">
        <v>7947.3611274570148</v>
      </c>
      <c r="BV100" s="106">
        <v>3.8158771814239651</v>
      </c>
      <c r="BW100" s="106">
        <v>6190.8791391422401</v>
      </c>
      <c r="BX100" s="106">
        <v>2.9272809937041449</v>
      </c>
      <c r="BY100" s="106">
        <v>4749.2206841856041</v>
      </c>
      <c r="BZ100" s="106">
        <v>4.2276100245916703</v>
      </c>
      <c r="CA100" s="106">
        <v>6858.8745038975258</v>
      </c>
      <c r="CB100" s="106">
        <v>3.3357388067791423</v>
      </c>
      <c r="CC100" s="106">
        <v>5411.9026401184801</v>
      </c>
      <c r="CD100" s="106">
        <v>2.4462084583047043</v>
      </c>
      <c r="CE100" s="106">
        <v>3968.728602753552</v>
      </c>
      <c r="CF100" s="106">
        <v>3.5351465130465738</v>
      </c>
      <c r="CG100" s="106">
        <v>5735.421702766761</v>
      </c>
      <c r="CH100" s="106">
        <v>3.1687430136048733</v>
      </c>
      <c r="CI100" s="106">
        <v>5140.9686652725459</v>
      </c>
      <c r="CJ100" s="106">
        <v>4.280188143753163</v>
      </c>
      <c r="CK100" s="106">
        <v>6944.177244425131</v>
      </c>
      <c r="CL100" s="106">
        <v>3.0030742917317554</v>
      </c>
      <c r="CM100" s="106">
        <v>4872.1877309055999</v>
      </c>
      <c r="CN100" s="106">
        <v>4.9074910193355477</v>
      </c>
      <c r="CO100" s="106">
        <v>7961.913429769992</v>
      </c>
      <c r="CP100" s="106">
        <v>3.4114139835030604</v>
      </c>
      <c r="CQ100" s="106">
        <v>5534.6780468353645</v>
      </c>
      <c r="CR100" s="106">
        <v>5.042861963740342</v>
      </c>
      <c r="CS100" s="106">
        <v>8181.5392499723303</v>
      </c>
      <c r="CT100" s="106">
        <v>6.7344773934375954</v>
      </c>
      <c r="CU100" s="106">
        <v>10926.016123113153</v>
      </c>
    </row>
    <row r="101" spans="2:99" x14ac:dyDescent="0.2">
      <c r="C101" s="105" t="s">
        <v>266</v>
      </c>
      <c r="D101" s="106">
        <v>4.7505154448265872</v>
      </c>
      <c r="E101" s="106">
        <v>5655.0135855215685</v>
      </c>
      <c r="F101" s="106">
        <v>7.2175270475129043</v>
      </c>
      <c r="G101" s="106">
        <v>8591.7441973593595</v>
      </c>
      <c r="H101" s="106">
        <v>8.9827928411266367</v>
      </c>
      <c r="I101" s="106">
        <v>10693.116598077148</v>
      </c>
      <c r="J101" s="106">
        <v>7.4427980220786827</v>
      </c>
      <c r="K101" s="106">
        <v>8859.906765482463</v>
      </c>
      <c r="L101" s="106">
        <v>12.196560825704273</v>
      </c>
      <c r="M101" s="106">
        <v>14518.786006918364</v>
      </c>
      <c r="N101" s="106">
        <v>12.256773195961394</v>
      </c>
      <c r="O101" s="106">
        <v>14590.462812472442</v>
      </c>
      <c r="P101" s="106">
        <v>10.624424135270992</v>
      </c>
      <c r="Q101" s="106">
        <v>12647.314490626588</v>
      </c>
      <c r="R101" s="106">
        <v>11.161762846671659</v>
      </c>
      <c r="S101" s="106">
        <v>13286.962492677942</v>
      </c>
      <c r="T101" s="106">
        <v>0.6582381867250745</v>
      </c>
      <c r="U101" s="106">
        <v>783.56673747752859</v>
      </c>
      <c r="V101" s="106">
        <v>0.91907614627494338</v>
      </c>
      <c r="W101" s="106">
        <v>1094.0682445256925</v>
      </c>
      <c r="X101" s="106">
        <v>0.90785299420460497</v>
      </c>
      <c r="Y101" s="106">
        <v>1080.7082043011617</v>
      </c>
      <c r="Z101" s="106">
        <v>0.58841949264315541</v>
      </c>
      <c r="AA101" s="106">
        <v>700.45456404241213</v>
      </c>
      <c r="AB101" s="106">
        <v>6.837196039353949</v>
      </c>
      <c r="AC101" s="106">
        <v>8138.9981652469396</v>
      </c>
      <c r="AD101" s="106">
        <v>6.22772652815362</v>
      </c>
      <c r="AE101" s="106">
        <v>7413.4856591140688</v>
      </c>
      <c r="AF101" s="106">
        <v>6.2645769809829313</v>
      </c>
      <c r="AG101" s="106">
        <v>7457.3524381620809</v>
      </c>
      <c r="AH101" s="106">
        <v>4.97632672049878</v>
      </c>
      <c r="AI101" s="106">
        <v>5923.8193280817468</v>
      </c>
      <c r="AJ101" s="106">
        <v>5.9983366599527042</v>
      </c>
      <c r="AK101" s="106">
        <v>7140.4199600076981</v>
      </c>
      <c r="AL101" s="106">
        <v>6.7206169916162599</v>
      </c>
      <c r="AM101" s="106">
        <v>8000.2224668199951</v>
      </c>
      <c r="AN101" s="106">
        <v>3.0384097847610891</v>
      </c>
      <c r="AO101" s="106">
        <v>3616.9230077796001</v>
      </c>
      <c r="AP101" s="106">
        <v>5.0404627437121947</v>
      </c>
      <c r="AQ101" s="106">
        <v>6000.1668501149961</v>
      </c>
      <c r="AR101" s="106">
        <v>2.0473153990764938</v>
      </c>
      <c r="AS101" s="106">
        <v>2437.124251060658</v>
      </c>
      <c r="AT101" s="106">
        <v>3.7294739912173624</v>
      </c>
      <c r="AU101" s="106">
        <v>4439.5658391451479</v>
      </c>
      <c r="AV101" s="106">
        <v>2.2858335117043653</v>
      </c>
      <c r="AW101" s="106">
        <v>2721.0562123328764</v>
      </c>
      <c r="AX101" s="106">
        <v>1.6441842225573076</v>
      </c>
      <c r="AY101" s="106">
        <v>1957.2368985322187</v>
      </c>
      <c r="AZ101" s="106">
        <v>7.3127895793871867</v>
      </c>
      <c r="BA101" s="106">
        <v>8705.1447153025056</v>
      </c>
      <c r="BB101" s="106">
        <v>9.1155953437499999</v>
      </c>
      <c r="BC101" s="106">
        <v>10851.204697199999</v>
      </c>
      <c r="BD101" s="106">
        <v>9.8125063027522934</v>
      </c>
      <c r="BE101" s="106">
        <v>11680.80750279633</v>
      </c>
      <c r="BF101" s="106">
        <v>7.8660418247191011</v>
      </c>
      <c r="BG101" s="106">
        <v>9363.7361881456163</v>
      </c>
      <c r="BH101" s="106">
        <v>12.051604336830863</v>
      </c>
      <c r="BI101" s="106">
        <v>14346.229802563457</v>
      </c>
      <c r="BJ101" s="106">
        <v>11.338692530990164</v>
      </c>
      <c r="BK101" s="106">
        <v>13497.579588890689</v>
      </c>
      <c r="BL101" s="106">
        <v>11.809982929588777</v>
      </c>
      <c r="BM101" s="106">
        <v>14058.603679382479</v>
      </c>
      <c r="BN101" s="106">
        <v>9.8778793828257871</v>
      </c>
      <c r="BO101" s="106">
        <v>11758.627617315815</v>
      </c>
      <c r="BP101" s="106">
        <v>6.0827349129629553</v>
      </c>
      <c r="BQ101" s="106">
        <v>7240.8876403911008</v>
      </c>
      <c r="BR101" s="106">
        <v>5.0878362418986205</v>
      </c>
      <c r="BS101" s="106">
        <v>6056.5602623561172</v>
      </c>
      <c r="BT101" s="106">
        <v>4.8985214049907642</v>
      </c>
      <c r="BU101" s="106">
        <v>5831.1998805010053</v>
      </c>
      <c r="BV101" s="106">
        <v>4.5790526177087578</v>
      </c>
      <c r="BW101" s="106">
        <v>5450.9042361205047</v>
      </c>
      <c r="BX101" s="106">
        <v>3.2200090930745597</v>
      </c>
      <c r="BY101" s="106">
        <v>3833.0988243959555</v>
      </c>
      <c r="BZ101" s="106">
        <v>4.756061277665629</v>
      </c>
      <c r="CA101" s="106">
        <v>5661.6153449331641</v>
      </c>
      <c r="CB101" s="106">
        <v>3.3357388067791423</v>
      </c>
      <c r="CC101" s="106">
        <v>3970.8634755898906</v>
      </c>
      <c r="CD101" s="106">
        <v>2.6685910454233137</v>
      </c>
      <c r="CE101" s="106">
        <v>3176.6907804719121</v>
      </c>
      <c r="CF101" s="106">
        <v>3.8565234687780805</v>
      </c>
      <c r="CG101" s="106">
        <v>4590.8055372334265</v>
      </c>
      <c r="CH101" s="106">
        <v>3.4856173149653604</v>
      </c>
      <c r="CI101" s="106">
        <v>4149.2788517347644</v>
      </c>
      <c r="CJ101" s="106">
        <v>3.8910801306846943</v>
      </c>
      <c r="CK101" s="106">
        <v>4631.9417875670597</v>
      </c>
      <c r="CL101" s="106">
        <v>3.3784585781982246</v>
      </c>
      <c r="CM101" s="106">
        <v>4021.7170914871663</v>
      </c>
      <c r="CN101" s="106">
        <v>5.3536265665478702</v>
      </c>
      <c r="CO101" s="106">
        <v>6372.9570648185836</v>
      </c>
      <c r="CP101" s="106">
        <v>3.8378407314409428</v>
      </c>
      <c r="CQ101" s="106">
        <v>4568.5656067072978</v>
      </c>
      <c r="CR101" s="106">
        <v>5.042861963740342</v>
      </c>
      <c r="CS101" s="106">
        <v>6003.0228816365025</v>
      </c>
      <c r="CT101" s="106">
        <v>6.7344773934375954</v>
      </c>
      <c r="CU101" s="106">
        <v>8016.7218891481125</v>
      </c>
    </row>
    <row r="102" spans="2:99" x14ac:dyDescent="0.2">
      <c r="C102" s="105" t="s">
        <v>267</v>
      </c>
      <c r="D102" s="106">
        <v>4.7505154448265872</v>
      </c>
      <c r="E102" s="106">
        <v>9212.1995506077164</v>
      </c>
      <c r="F102" s="106">
        <v>6.3153361665737906</v>
      </c>
      <c r="G102" s="106">
        <v>12246.699894219893</v>
      </c>
      <c r="H102" s="106">
        <v>7.4856607009388645</v>
      </c>
      <c r="I102" s="106">
        <v>14516.193231260644</v>
      </c>
      <c r="J102" s="106">
        <v>7.880609670436252</v>
      </c>
      <c r="K102" s="106">
        <v>15282.078272909979</v>
      </c>
      <c r="L102" s="106">
        <v>10.001179877077503</v>
      </c>
      <c r="M102" s="106">
        <v>19394.288017628693</v>
      </c>
      <c r="N102" s="106">
        <v>10.924515239878632</v>
      </c>
      <c r="O102" s="106">
        <v>21184.819953172642</v>
      </c>
      <c r="P102" s="106">
        <v>8.568083980057251</v>
      </c>
      <c r="Q102" s="106">
        <v>16615.22845412702</v>
      </c>
      <c r="R102" s="106">
        <v>9.4445685625683282</v>
      </c>
      <c r="S102" s="106">
        <v>18314.907356532502</v>
      </c>
      <c r="T102" s="106">
        <v>0.5877126667188165</v>
      </c>
      <c r="U102" s="106">
        <v>1139.6924033011289</v>
      </c>
      <c r="V102" s="106">
        <v>0.71483700265828931</v>
      </c>
      <c r="W102" s="106">
        <v>1386.2119155549544</v>
      </c>
      <c r="X102" s="106">
        <v>0.81706769478414443</v>
      </c>
      <c r="Y102" s="106">
        <v>1584.4576737254126</v>
      </c>
      <c r="Z102" s="106">
        <v>0.61938893962437414</v>
      </c>
      <c r="AA102" s="106">
        <v>1201.1190317195862</v>
      </c>
      <c r="AB102" s="106">
        <v>6.837196039353949</v>
      </c>
      <c r="AC102" s="106">
        <v>13258.690559515177</v>
      </c>
      <c r="AD102" s="106">
        <v>6.22772652815362</v>
      </c>
      <c r="AE102" s="106">
        <v>12076.807283395499</v>
      </c>
      <c r="AF102" s="106">
        <v>5.2204808174857762</v>
      </c>
      <c r="AG102" s="106">
        <v>10123.556401268415</v>
      </c>
      <c r="AH102" s="106">
        <v>4.5616328271238817</v>
      </c>
      <c r="AI102" s="106">
        <v>8845.9183783586304</v>
      </c>
      <c r="AJ102" s="106">
        <v>5.9983366599527042</v>
      </c>
      <c r="AK102" s="106">
        <v>11631.974450980282</v>
      </c>
      <c r="AL102" s="106">
        <v>5.8805398676642264</v>
      </c>
      <c r="AM102" s="106">
        <v>11403.542911374467</v>
      </c>
      <c r="AN102" s="106">
        <v>2.7008086975654124</v>
      </c>
      <c r="AO102" s="106">
        <v>5237.4082263188475</v>
      </c>
      <c r="AP102" s="106">
        <v>4.6204241817361789</v>
      </c>
      <c r="AQ102" s="106">
        <v>8959.9265732227977</v>
      </c>
      <c r="AR102" s="106">
        <v>1.7060961658970781</v>
      </c>
      <c r="AS102" s="106">
        <v>3308.4616849076137</v>
      </c>
      <c r="AT102" s="106">
        <v>3.3904309011066931</v>
      </c>
      <c r="AU102" s="106">
        <v>6574.7236034260986</v>
      </c>
      <c r="AV102" s="106">
        <v>2.6123811562335599</v>
      </c>
      <c r="AW102" s="106">
        <v>5065.9295381681186</v>
      </c>
      <c r="AX102" s="106">
        <v>1.3701535187977565</v>
      </c>
      <c r="AY102" s="106">
        <v>2657.0017036526092</v>
      </c>
      <c r="AZ102" s="106">
        <v>8.1253217548746512</v>
      </c>
      <c r="BA102" s="106">
        <v>15756.623947052922</v>
      </c>
      <c r="BB102" s="106">
        <v>8.2040358093750001</v>
      </c>
      <c r="BC102" s="106">
        <v>15909.266241539999</v>
      </c>
      <c r="BD102" s="106">
        <v>8.9204602752293578</v>
      </c>
      <c r="BE102" s="106">
        <v>17298.556565724768</v>
      </c>
      <c r="BF102" s="106">
        <v>8.5215453101123604</v>
      </c>
      <c r="BG102" s="106">
        <v>16524.980665369887</v>
      </c>
      <c r="BH102" s="106">
        <v>11.248164047708805</v>
      </c>
      <c r="BI102" s="106">
        <v>21812.439721316914</v>
      </c>
      <c r="BJ102" s="106">
        <v>10.528785921633725</v>
      </c>
      <c r="BK102" s="106">
        <v>20417.421659232117</v>
      </c>
      <c r="BL102" s="106">
        <v>11.809982929588777</v>
      </c>
      <c r="BM102" s="106">
        <v>22901.918897058556</v>
      </c>
      <c r="BN102" s="106">
        <v>9.0547227675903059</v>
      </c>
      <c r="BO102" s="106">
        <v>17558.91839091112</v>
      </c>
      <c r="BP102" s="106">
        <v>6.0827349129629553</v>
      </c>
      <c r="BQ102" s="106">
        <v>11795.639543217761</v>
      </c>
      <c r="BR102" s="106">
        <v>5.0878362418986205</v>
      </c>
      <c r="BS102" s="106">
        <v>9866.3320402898044</v>
      </c>
      <c r="BT102" s="106">
        <v>4.8985214049907642</v>
      </c>
      <c r="BU102" s="106">
        <v>9499.2127085580887</v>
      </c>
      <c r="BV102" s="106">
        <v>3.8158771814239651</v>
      </c>
      <c r="BW102" s="106">
        <v>7399.7490302173528</v>
      </c>
      <c r="BX102" s="106">
        <v>3.2200090930745597</v>
      </c>
      <c r="BY102" s="106">
        <v>6244.2416332901857</v>
      </c>
      <c r="BZ102" s="106">
        <v>4.4918356511286497</v>
      </c>
      <c r="CA102" s="106">
        <v>8710.5676946686763</v>
      </c>
      <c r="CB102" s="106">
        <v>3.3357388067791423</v>
      </c>
      <c r="CC102" s="106">
        <v>6468.6646941061117</v>
      </c>
      <c r="CD102" s="106">
        <v>2.4462084583047043</v>
      </c>
      <c r="CE102" s="106">
        <v>4743.6874423444824</v>
      </c>
      <c r="CF102" s="106">
        <v>3.8565234687780805</v>
      </c>
      <c r="CG102" s="106">
        <v>7478.5703106544534</v>
      </c>
      <c r="CH102" s="106">
        <v>2.8518687122443858</v>
      </c>
      <c r="CI102" s="106">
        <v>5530.3438067843126</v>
      </c>
      <c r="CJ102" s="106">
        <v>3.5019721176162246</v>
      </c>
      <c r="CK102" s="106">
        <v>6791.0243304813821</v>
      </c>
      <c r="CL102" s="106">
        <v>3.0030742917317554</v>
      </c>
      <c r="CM102" s="106">
        <v>5823.5616665262196</v>
      </c>
      <c r="CN102" s="106">
        <v>4.9074910193355477</v>
      </c>
      <c r="CO102" s="106">
        <v>9516.6065846954934</v>
      </c>
      <c r="CP102" s="106">
        <v>3.4114139835030604</v>
      </c>
      <c r="CQ102" s="106">
        <v>6615.413996809134</v>
      </c>
      <c r="CR102" s="106">
        <v>4.4825439677691925</v>
      </c>
      <c r="CS102" s="106">
        <v>8692.5492622980164</v>
      </c>
      <c r="CT102" s="106">
        <v>6.7344773934375954</v>
      </c>
      <c r="CU102" s="106">
        <v>13059.498561354183</v>
      </c>
    </row>
    <row r="103" spans="2:99" x14ac:dyDescent="0.2">
      <c r="C103" s="105" t="s">
        <v>268</v>
      </c>
      <c r="D103" s="106">
        <v>4.7505154448265872</v>
      </c>
      <c r="E103" s="106">
        <v>9634.0453221083189</v>
      </c>
      <c r="F103" s="106">
        <v>6.766431607043347</v>
      </c>
      <c r="G103" s="106">
        <v>13722.323299083908</v>
      </c>
      <c r="H103" s="106">
        <v>7.4856607009388645</v>
      </c>
      <c r="I103" s="106">
        <v>15180.919901504018</v>
      </c>
      <c r="J103" s="106">
        <v>7.880609670436252</v>
      </c>
      <c r="K103" s="106">
        <v>15981.876411644718</v>
      </c>
      <c r="L103" s="106">
        <v>11.22083595964793</v>
      </c>
      <c r="M103" s="106">
        <v>22755.855326166002</v>
      </c>
      <c r="N103" s="106">
        <v>10.39161205744553</v>
      </c>
      <c r="O103" s="106">
        <v>21074.189252499535</v>
      </c>
      <c r="P103" s="106">
        <v>8.2253606208549606</v>
      </c>
      <c r="Q103" s="106">
        <v>16681.031339093861</v>
      </c>
      <c r="R103" s="106">
        <v>8.8721704678672157</v>
      </c>
      <c r="S103" s="106">
        <v>17992.761708834714</v>
      </c>
      <c r="T103" s="106">
        <v>0.61122117338756921</v>
      </c>
      <c r="U103" s="106">
        <v>1239.5565396299903</v>
      </c>
      <c r="V103" s="106">
        <v>0.71483700265828931</v>
      </c>
      <c r="W103" s="106">
        <v>1449.6894413910106</v>
      </c>
      <c r="X103" s="106">
        <v>0.726282395363684</v>
      </c>
      <c r="Y103" s="106">
        <v>1472.9006977975512</v>
      </c>
      <c r="Z103" s="106">
        <v>0.49551115169949927</v>
      </c>
      <c r="AA103" s="106">
        <v>1004.8966156465846</v>
      </c>
      <c r="AB103" s="106">
        <v>6.311257882480569</v>
      </c>
      <c r="AC103" s="106">
        <v>12799.230985670594</v>
      </c>
      <c r="AD103" s="106">
        <v>6.22772652815362</v>
      </c>
      <c r="AE103" s="106">
        <v>12629.829399095541</v>
      </c>
      <c r="AF103" s="106">
        <v>5.7425288992343537</v>
      </c>
      <c r="AG103" s="106">
        <v>11645.848607647269</v>
      </c>
      <c r="AH103" s="106">
        <v>4.1469389337489835</v>
      </c>
      <c r="AI103" s="106">
        <v>8409.9921576429388</v>
      </c>
      <c r="AJ103" s="106">
        <v>5.5984475492891903</v>
      </c>
      <c r="AK103" s="106">
        <v>11353.651629958478</v>
      </c>
      <c r="AL103" s="106">
        <v>5.8805398676642264</v>
      </c>
      <c r="AM103" s="106">
        <v>11925.73485162305</v>
      </c>
      <c r="AN103" s="106">
        <v>2.3632076103697361</v>
      </c>
      <c r="AO103" s="106">
        <v>4792.5850338298251</v>
      </c>
      <c r="AP103" s="106">
        <v>4.2003856197601621</v>
      </c>
      <c r="AQ103" s="106">
        <v>8518.3820368736087</v>
      </c>
      <c r="AR103" s="106">
        <v>1.7060961658970781</v>
      </c>
      <c r="AS103" s="106">
        <v>3459.9630244392742</v>
      </c>
      <c r="AT103" s="106">
        <v>3.0513878109960242</v>
      </c>
      <c r="AU103" s="106">
        <v>6188.2144806999368</v>
      </c>
      <c r="AV103" s="106">
        <v>2.6123811562335599</v>
      </c>
      <c r="AW103" s="106">
        <v>5297.9089848416597</v>
      </c>
      <c r="AX103" s="106">
        <v>1.3701535187977565</v>
      </c>
      <c r="AY103" s="106">
        <v>2778.6713361218503</v>
      </c>
      <c r="AZ103" s="106">
        <v>7.3127895793871867</v>
      </c>
      <c r="BA103" s="106">
        <v>14830.337266997214</v>
      </c>
      <c r="BB103" s="106">
        <v>8.2040358093750001</v>
      </c>
      <c r="BC103" s="106">
        <v>16637.784621412502</v>
      </c>
      <c r="BD103" s="106">
        <v>8.9204602752293578</v>
      </c>
      <c r="BE103" s="106">
        <v>18090.693438165137</v>
      </c>
      <c r="BF103" s="106">
        <v>7.8660418247191011</v>
      </c>
      <c r="BG103" s="106">
        <v>15952.332820530337</v>
      </c>
      <c r="BH103" s="106">
        <v>9.6412834694646907</v>
      </c>
      <c r="BI103" s="106">
        <v>19552.522876074392</v>
      </c>
      <c r="BJ103" s="106">
        <v>9.7188793122772825</v>
      </c>
      <c r="BK103" s="106">
        <v>19709.887245298331</v>
      </c>
      <c r="BL103" s="106">
        <v>10.825817685456379</v>
      </c>
      <c r="BM103" s="106">
        <v>21954.758266105535</v>
      </c>
      <c r="BN103" s="106">
        <v>9.0547227675903059</v>
      </c>
      <c r="BO103" s="106">
        <v>18362.977772673141</v>
      </c>
      <c r="BP103" s="106">
        <v>6.0827349129629553</v>
      </c>
      <c r="BQ103" s="106">
        <v>12335.786403488873</v>
      </c>
      <c r="BR103" s="106">
        <v>5.0878362418986205</v>
      </c>
      <c r="BS103" s="106">
        <v>10318.131898570402</v>
      </c>
      <c r="BT103" s="106">
        <v>4.8985214049907642</v>
      </c>
      <c r="BU103" s="106">
        <v>9934.2014093212692</v>
      </c>
      <c r="BV103" s="106">
        <v>3.8158771814239651</v>
      </c>
      <c r="BW103" s="106">
        <v>7738.5989239278015</v>
      </c>
      <c r="BX103" s="106">
        <v>3.2200090930745597</v>
      </c>
      <c r="BY103" s="106">
        <v>6530.1784407552068</v>
      </c>
      <c r="BZ103" s="106">
        <v>4.4918356511286497</v>
      </c>
      <c r="CA103" s="106">
        <v>9109.4427004889021</v>
      </c>
      <c r="CB103" s="106">
        <v>3.3357388067791423</v>
      </c>
      <c r="CC103" s="106">
        <v>6764.8783001481006</v>
      </c>
      <c r="CD103" s="106">
        <v>2.4462084583047043</v>
      </c>
      <c r="CE103" s="106">
        <v>4960.9107534419409</v>
      </c>
      <c r="CF103" s="106">
        <v>3.2137695573150666</v>
      </c>
      <c r="CG103" s="106">
        <v>6517.524662234955</v>
      </c>
      <c r="CH103" s="106">
        <v>2.8518687122443858</v>
      </c>
      <c r="CI103" s="106">
        <v>5783.5897484316147</v>
      </c>
      <c r="CJ103" s="106">
        <v>3.5019721176162246</v>
      </c>
      <c r="CK103" s="106">
        <v>7101.9994545257032</v>
      </c>
      <c r="CL103" s="106">
        <v>2.6276900052652858</v>
      </c>
      <c r="CM103" s="106">
        <v>5328.9553306779999</v>
      </c>
      <c r="CN103" s="106">
        <v>4.9074910193355477</v>
      </c>
      <c r="CO103" s="106">
        <v>9952.3917872124912</v>
      </c>
      <c r="CP103" s="106">
        <v>2.9849872355651779</v>
      </c>
      <c r="CQ103" s="106">
        <v>6053.5541137261807</v>
      </c>
      <c r="CR103" s="106">
        <v>5.6031799597114915</v>
      </c>
      <c r="CS103" s="106">
        <v>11363.248958294906</v>
      </c>
      <c r="CT103" s="106">
        <v>6.7344773934375954</v>
      </c>
      <c r="CU103" s="106">
        <v>13657.520153891444</v>
      </c>
    </row>
    <row r="104" spans="2:99" x14ac:dyDescent="0.2">
      <c r="C104" s="105" t="s">
        <v>269</v>
      </c>
      <c r="D104" s="106">
        <v>4.7505154448265872</v>
      </c>
      <c r="E104" s="106">
        <v>9844.9682078586193</v>
      </c>
      <c r="F104" s="106">
        <v>6.766431607043347</v>
      </c>
      <c r="G104" s="106">
        <v>14022.752862436633</v>
      </c>
      <c r="H104" s="106">
        <v>7.4856607009388645</v>
      </c>
      <c r="I104" s="106">
        <v>15513.283236625703</v>
      </c>
      <c r="J104" s="106">
        <v>7.4427980220786827</v>
      </c>
      <c r="K104" s="106">
        <v>15424.454620955863</v>
      </c>
      <c r="L104" s="106">
        <v>10.732973526619759</v>
      </c>
      <c r="M104" s="106">
        <v>22243.01433656679</v>
      </c>
      <c r="N104" s="106">
        <v>12.256773195961394</v>
      </c>
      <c r="O104" s="106">
        <v>25400.936771310393</v>
      </c>
      <c r="P104" s="106">
        <v>7.5399139024503805</v>
      </c>
      <c r="Q104" s="106">
        <v>15625.71757143817</v>
      </c>
      <c r="R104" s="106">
        <v>10.016966657269437</v>
      </c>
      <c r="S104" s="106">
        <v>20759.161700525183</v>
      </c>
      <c r="T104" s="106">
        <v>0.61122117338756921</v>
      </c>
      <c r="U104" s="106">
        <v>1266.6947597283984</v>
      </c>
      <c r="V104" s="106">
        <v>0.74887685992773168</v>
      </c>
      <c r="W104" s="106">
        <v>1551.9724045142311</v>
      </c>
      <c r="X104" s="106">
        <v>0.726282395363684</v>
      </c>
      <c r="Y104" s="106">
        <v>1505.1476361516989</v>
      </c>
      <c r="Z104" s="106">
        <v>0.55745004566193679</v>
      </c>
      <c r="AA104" s="106">
        <v>1155.2594746297978</v>
      </c>
      <c r="AB104" s="106">
        <v>6.837196039353949</v>
      </c>
      <c r="AC104" s="106">
        <v>14169.405071957124</v>
      </c>
      <c r="AD104" s="106">
        <v>5.7087493174741519</v>
      </c>
      <c r="AE104" s="106">
        <v>11830.812085533433</v>
      </c>
      <c r="AF104" s="106">
        <v>5.2204808174857762</v>
      </c>
      <c r="AG104" s="106">
        <v>10818.924446157524</v>
      </c>
      <c r="AH104" s="106">
        <v>4.5616328271238817</v>
      </c>
      <c r="AI104" s="106">
        <v>9453.5278709315335</v>
      </c>
      <c r="AJ104" s="106">
        <v>5.5984475492891903</v>
      </c>
      <c r="AK104" s="106">
        <v>11602.222701146919</v>
      </c>
      <c r="AL104" s="106">
        <v>5.4605013056882115</v>
      </c>
      <c r="AM104" s="106">
        <v>11316.34290590825</v>
      </c>
      <c r="AN104" s="106">
        <v>2.7008086975654124</v>
      </c>
      <c r="AO104" s="106">
        <v>5597.1559448345606</v>
      </c>
      <c r="AP104" s="106">
        <v>4.2003856197601621</v>
      </c>
      <c r="AQ104" s="106">
        <v>8704.8791583909606</v>
      </c>
      <c r="AR104" s="106">
        <v>1.7060961658970781</v>
      </c>
      <c r="AS104" s="106">
        <v>3535.7136942051047</v>
      </c>
      <c r="AT104" s="106">
        <v>3.0513878109960242</v>
      </c>
      <c r="AU104" s="106">
        <v>6323.6960995081608</v>
      </c>
      <c r="AV104" s="106">
        <v>2.6123811562335599</v>
      </c>
      <c r="AW104" s="106">
        <v>5413.8987081784298</v>
      </c>
      <c r="AX104" s="106">
        <v>1.6441842225573076</v>
      </c>
      <c r="AY104" s="106">
        <v>3407.4073828277642</v>
      </c>
      <c r="AZ104" s="106">
        <v>6.5002574038997212</v>
      </c>
      <c r="BA104" s="106">
        <v>13471.133443841783</v>
      </c>
      <c r="BB104" s="106">
        <v>10.027154878125002</v>
      </c>
      <c r="BC104" s="106">
        <v>20780.275769426255</v>
      </c>
      <c r="BD104" s="106">
        <v>8.9204602752293578</v>
      </c>
      <c r="BE104" s="106">
        <v>18486.761874385324</v>
      </c>
      <c r="BF104" s="106">
        <v>7.8660418247191011</v>
      </c>
      <c r="BG104" s="106">
        <v>16301.585077547867</v>
      </c>
      <c r="BH104" s="106">
        <v>10.444723758586747</v>
      </c>
      <c r="BI104" s="106">
        <v>21645.645517295176</v>
      </c>
      <c r="BJ104" s="106">
        <v>9.7188793122772825</v>
      </c>
      <c r="BK104" s="106">
        <v>20141.40548676344</v>
      </c>
      <c r="BL104" s="106">
        <v>11.809982929588777</v>
      </c>
      <c r="BM104" s="106">
        <v>24475.008623279784</v>
      </c>
      <c r="BN104" s="106">
        <v>9.0547227675903059</v>
      </c>
      <c r="BO104" s="106">
        <v>18765.00746355415</v>
      </c>
      <c r="BP104" s="106">
        <v>6.0827349129629553</v>
      </c>
      <c r="BQ104" s="106">
        <v>12605.859833624429</v>
      </c>
      <c r="BR104" s="106">
        <v>5.0878362418986205</v>
      </c>
      <c r="BS104" s="106">
        <v>10544.031827710702</v>
      </c>
      <c r="BT104" s="106">
        <v>4.8985214049907642</v>
      </c>
      <c r="BU104" s="106">
        <v>10151.69575970286</v>
      </c>
      <c r="BV104" s="106">
        <v>3.8158771814239651</v>
      </c>
      <c r="BW104" s="106">
        <v>7908.0238707830258</v>
      </c>
      <c r="BX104" s="106">
        <v>2.9272809937041449</v>
      </c>
      <c r="BY104" s="106">
        <v>6066.4971313524702</v>
      </c>
      <c r="BZ104" s="106">
        <v>4.4918356511286497</v>
      </c>
      <c r="CA104" s="106">
        <v>9308.8802033990141</v>
      </c>
      <c r="CB104" s="106">
        <v>3.3357388067791423</v>
      </c>
      <c r="CC104" s="106">
        <v>6912.9851031690951</v>
      </c>
      <c r="CD104" s="106">
        <v>2.4462084583047043</v>
      </c>
      <c r="CE104" s="106">
        <v>5069.5224089906696</v>
      </c>
      <c r="CF104" s="106">
        <v>3.2137695573150666</v>
      </c>
      <c r="CG104" s="106">
        <v>6660.2160305797443</v>
      </c>
      <c r="CH104" s="106">
        <v>2.8518687122443858</v>
      </c>
      <c r="CI104" s="106">
        <v>5910.2127192552653</v>
      </c>
      <c r="CJ104" s="106">
        <v>3.8910801306846943</v>
      </c>
      <c r="CK104" s="106">
        <v>8063.8744628309605</v>
      </c>
      <c r="CL104" s="106">
        <v>2.6276900052652858</v>
      </c>
      <c r="CM104" s="106">
        <v>5445.6247669117784</v>
      </c>
      <c r="CN104" s="106">
        <v>4.9074910193355477</v>
      </c>
      <c r="CO104" s="106">
        <v>10170.284388470989</v>
      </c>
      <c r="CP104" s="106">
        <v>2.9849872355651779</v>
      </c>
      <c r="CQ104" s="106">
        <v>6186.0875469852745</v>
      </c>
      <c r="CR104" s="106">
        <v>4.4825439677691925</v>
      </c>
      <c r="CS104" s="106">
        <v>9289.6241188048753</v>
      </c>
      <c r="CT104" s="106">
        <v>6.7344773934375954</v>
      </c>
      <c r="CU104" s="106">
        <v>13956.530950160073</v>
      </c>
    </row>
    <row r="105" spans="2:99" x14ac:dyDescent="0.2">
      <c r="C105" s="105" t="s">
        <v>270</v>
      </c>
      <c r="D105" s="106">
        <v>4.7505154448265872</v>
      </c>
      <c r="E105" s="106">
        <v>9491.5298587635207</v>
      </c>
      <c r="F105" s="106">
        <v>6.766431607043347</v>
      </c>
      <c r="G105" s="106">
        <v>13519.330350872608</v>
      </c>
      <c r="H105" s="106">
        <v>8.4837487943973784</v>
      </c>
      <c r="I105" s="106">
        <v>16950.530091205961</v>
      </c>
      <c r="J105" s="106">
        <v>7.4427980220786827</v>
      </c>
      <c r="K105" s="106">
        <v>14870.710448113208</v>
      </c>
      <c r="L105" s="106">
        <v>10.489042310105674</v>
      </c>
      <c r="M105" s="106">
        <v>20957.106535591138</v>
      </c>
      <c r="N105" s="106">
        <v>10.658063648662081</v>
      </c>
      <c r="O105" s="106">
        <v>21294.811170026838</v>
      </c>
      <c r="P105" s="106">
        <v>8.2253606208549606</v>
      </c>
      <c r="Q105" s="106">
        <v>16434.27052046821</v>
      </c>
      <c r="R105" s="106">
        <v>9.7307676099188818</v>
      </c>
      <c r="S105" s="106">
        <v>19442.073684617924</v>
      </c>
      <c r="T105" s="106">
        <v>0.61122117338756921</v>
      </c>
      <c r="U105" s="106">
        <v>1221.2199044283632</v>
      </c>
      <c r="V105" s="106">
        <v>0.74887685992773168</v>
      </c>
      <c r="W105" s="106">
        <v>1496.2559661356079</v>
      </c>
      <c r="X105" s="106">
        <v>0.81706769478414443</v>
      </c>
      <c r="Y105" s="106">
        <v>1632.5012541787205</v>
      </c>
      <c r="Z105" s="106">
        <v>0.55745004566193679</v>
      </c>
      <c r="AA105" s="106">
        <v>1113.7851912325498</v>
      </c>
      <c r="AB105" s="106">
        <v>6.311257882480569</v>
      </c>
      <c r="AC105" s="106">
        <v>12609.893249196177</v>
      </c>
      <c r="AD105" s="106">
        <v>6.22772652815362</v>
      </c>
      <c r="AE105" s="106">
        <v>12442.997603250933</v>
      </c>
      <c r="AF105" s="106">
        <v>5.2204808174857762</v>
      </c>
      <c r="AG105" s="106">
        <v>10430.520673336581</v>
      </c>
      <c r="AH105" s="106">
        <v>4.1469389337489835</v>
      </c>
      <c r="AI105" s="106">
        <v>8285.5839896304697</v>
      </c>
      <c r="AJ105" s="106">
        <v>5.5984475492891903</v>
      </c>
      <c r="AK105" s="106">
        <v>11185.698203479802</v>
      </c>
      <c r="AL105" s="106">
        <v>5.4605013056882115</v>
      </c>
      <c r="AM105" s="106">
        <v>10910.081608765047</v>
      </c>
      <c r="AN105" s="106">
        <v>2.7008086975654124</v>
      </c>
      <c r="AO105" s="106">
        <v>5396.2157777356942</v>
      </c>
      <c r="AP105" s="106">
        <v>4.2003856197601621</v>
      </c>
      <c r="AQ105" s="106">
        <v>8392.3704682808038</v>
      </c>
      <c r="AR105" s="106">
        <v>1.7060961658970781</v>
      </c>
      <c r="AS105" s="106">
        <v>3408.7801394623621</v>
      </c>
      <c r="AT105" s="106">
        <v>3.3904309011066931</v>
      </c>
      <c r="AU105" s="106">
        <v>6774.0809404111724</v>
      </c>
      <c r="AV105" s="106">
        <v>2.2858335117043653</v>
      </c>
      <c r="AW105" s="106">
        <v>4567.0953563853218</v>
      </c>
      <c r="AX105" s="106">
        <v>1.6441842225573076</v>
      </c>
      <c r="AY105" s="106">
        <v>3285.0800766695006</v>
      </c>
      <c r="AZ105" s="106">
        <v>6.5002574038997212</v>
      </c>
      <c r="BA105" s="106">
        <v>12987.514292991644</v>
      </c>
      <c r="BB105" s="106">
        <v>8.2040358093750001</v>
      </c>
      <c r="BC105" s="106">
        <v>16391.663547131251</v>
      </c>
      <c r="BD105" s="106">
        <v>8.0284142477064222</v>
      </c>
      <c r="BE105" s="106">
        <v>16040.771666917432</v>
      </c>
      <c r="BF105" s="106">
        <v>7.8660418247191011</v>
      </c>
      <c r="BG105" s="106">
        <v>15716.351565788764</v>
      </c>
      <c r="BH105" s="106">
        <v>10.444723758586747</v>
      </c>
      <c r="BI105" s="106">
        <v>20868.558069656319</v>
      </c>
      <c r="BJ105" s="106">
        <v>11.338692530990164</v>
      </c>
      <c r="BK105" s="106">
        <v>22654.707676918348</v>
      </c>
      <c r="BL105" s="106">
        <v>11.809982929588777</v>
      </c>
      <c r="BM105" s="106">
        <v>23596.345893318376</v>
      </c>
      <c r="BN105" s="106">
        <v>9.0547227675903059</v>
      </c>
      <c r="BO105" s="106">
        <v>18091.336089645432</v>
      </c>
      <c r="BP105" s="106">
        <v>6.0827349129629553</v>
      </c>
      <c r="BQ105" s="106">
        <v>12153.304356099985</v>
      </c>
      <c r="BR105" s="106">
        <v>5.0878362418986205</v>
      </c>
      <c r="BS105" s="106">
        <v>10165.496811313444</v>
      </c>
      <c r="BT105" s="106">
        <v>4.0821011708256369</v>
      </c>
      <c r="BU105" s="106">
        <v>8156.0381393096222</v>
      </c>
      <c r="BV105" s="106">
        <v>3.8158771814239651</v>
      </c>
      <c r="BW105" s="106">
        <v>7624.1226084850823</v>
      </c>
      <c r="BX105" s="106">
        <v>2.9272809937041449</v>
      </c>
      <c r="BY105" s="106">
        <v>5848.707425420881</v>
      </c>
      <c r="BZ105" s="106">
        <v>4.2276100245916703</v>
      </c>
      <c r="CA105" s="106">
        <v>8446.7648291341575</v>
      </c>
      <c r="CB105" s="106">
        <v>3.3357388067791423</v>
      </c>
      <c r="CC105" s="106">
        <v>6664.8061359447265</v>
      </c>
      <c r="CD105" s="106">
        <v>2.223825871186095</v>
      </c>
      <c r="CE105" s="106">
        <v>4443.204090629818</v>
      </c>
      <c r="CF105" s="106">
        <v>3.5351465130465738</v>
      </c>
      <c r="CG105" s="106">
        <v>7063.2227330670548</v>
      </c>
      <c r="CH105" s="106">
        <v>3.1687430136048733</v>
      </c>
      <c r="CI105" s="106">
        <v>6331.148541182537</v>
      </c>
      <c r="CJ105" s="106">
        <v>3.5019721176162246</v>
      </c>
      <c r="CK105" s="106">
        <v>6996.9402909972168</v>
      </c>
      <c r="CL105" s="106">
        <v>3.0030742917317554</v>
      </c>
      <c r="CM105" s="106">
        <v>6000.1424348800474</v>
      </c>
      <c r="CN105" s="106">
        <v>4.4613554721232251</v>
      </c>
      <c r="CO105" s="106">
        <v>8913.7882333022044</v>
      </c>
      <c r="CP105" s="106">
        <v>3.4114139835030604</v>
      </c>
      <c r="CQ105" s="106">
        <v>6816.0051390391145</v>
      </c>
      <c r="CR105" s="106">
        <v>5.6031799597114915</v>
      </c>
      <c r="CS105" s="106">
        <v>11195.15355950356</v>
      </c>
      <c r="CT105" s="106">
        <v>6.7344773934375954</v>
      </c>
      <c r="CU105" s="106">
        <v>13455.485832088316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174.54662873161061</v>
      </c>
      <c r="E109" s="106">
        <f>SUM(L$6:L$19)+SUM(N$6:N$19)+SUM(P$6:P$19)+SUM(R$6:R$19)</f>
        <v>159.70456048389434</v>
      </c>
      <c r="F109" s="106">
        <f>SUM(T$6:T$19)+SUM(V$6:V$19)+SUM(X$6:X$19)+SUM(Z$6:Z$19)</f>
        <v>118.38271163337058</v>
      </c>
      <c r="G109" s="106">
        <f>SUM(AB$6:AB$19)+SUM(AD$6:AD$19)+SUM(AF$6:AF$19)+SUM(AH$6:AH$19)</f>
        <v>2853.5380497851111</v>
      </c>
      <c r="H109" s="106">
        <f>SUM(AJ$6:AJ$19)+SUM(AL$6:AL$19)+SUM(AN$6:AN$19)+SUM(AP$6:AP$19)</f>
        <v>1711</v>
      </c>
      <c r="I109" s="106">
        <f>SUM(AR$6:AR$19)+SUM(AT$6:AT$19)+SUM(AV$6:AV$19)+SUM(AX$6:AX$19)</f>
        <v>1661</v>
      </c>
      <c r="J109" s="106">
        <f>SUM(AZ$6:AZ$19)+SUM(BB$6:BB$19)+SUM(BD$6:BD$19)+SUM(BF$6:BF$19)</f>
        <v>74.759963451619981</v>
      </c>
      <c r="K109" s="106">
        <f>SUM(BH$6:BH$19)+SUM(BJ$6:BJ$19)+SUM(BL$6:BL$19)+SUM(BN$6:BN$19)</f>
        <v>3180</v>
      </c>
      <c r="L109" s="106">
        <f>SUM(BP$6:BP$19)+SUM(BR$6:BR$19)+SUM(BT$6:BT$19)+SUM(BV$6:BV$19)</f>
        <v>2836</v>
      </c>
      <c r="M109" s="106">
        <f>SUM(BX$6:BX$19)+SUM(BZ$6:BZ$19)+SUM(CB$6:CB$19)+SUM(CD$6:CD$19)</f>
        <v>1334.7618259700162</v>
      </c>
      <c r="N109" s="106">
        <f>SUM(CF$6:CF$19)+SUM(CH$6:CH$19)+SUM(CJ$6:CJ$19)+SUM(CL$6:CL$19)</f>
        <v>562.7974769096727</v>
      </c>
      <c r="O109" s="106">
        <f>SUM(CN$6:CN$19)+SUM(CP$6:CP$19)+SUM(CR$6:CR$19)+SUM(CT$6:CT$19)</f>
        <v>701.71514977678169</v>
      </c>
    </row>
    <row r="110" spans="2:99" x14ac:dyDescent="0.2">
      <c r="C110" s="105" t="s">
        <v>127</v>
      </c>
      <c r="D110" s="106">
        <f>SUM(D$20:D$36)+SUM(F$20:F$36)+SUM(H$20:H$36)+SUM(J$20:J$36)</f>
        <v>497.29117735242966</v>
      </c>
      <c r="E110" s="106">
        <f>SUM(L$20:L$36)+SUM(N$20:N$36)+SUM(P$20:P$36)+SUM(R$20:R$36)</f>
        <v>492.95787370221882</v>
      </c>
      <c r="F110" s="106">
        <f>SUM(T$20:T$36)+SUM(V$20:V$36)+SUM(X$20:X$36)+SUM(Z$20:Z$36)</f>
        <v>331.19129791259837</v>
      </c>
      <c r="G110" s="106">
        <f>SUM(AB$20:AB$36)+SUM(AD$20:AD$36)+SUM(AF$20:AF$36)+SUM(AH$20:AH$36)</f>
        <v>3022.6667428744113</v>
      </c>
      <c r="H110" s="106">
        <f>SUM(AJ$20:AJ$36)+SUM(AL$20:AL$36)+SUM(AN$20:AN$36)+SUM(AP$20:AP$36)</f>
        <v>2667</v>
      </c>
      <c r="I110" s="106">
        <f>SUM(AR$20:AR$36)+SUM(AT$20:AT$36)+SUM(AV$20:AV$36)+SUM(AX$20:AX$36)</f>
        <v>2473</v>
      </c>
      <c r="J110" s="106">
        <f>SUM(AZ$20:AZ$36)+SUM(BB$20:BB$36)+SUM(BD$20:BD$36)+SUM(BF$20:BF$36)</f>
        <v>163.75991994164374</v>
      </c>
      <c r="K110" s="106">
        <f>SUM(BH$20:BH$36)+SUM(BJ$20:BJ$36)+SUM(BL$20:BL$36)+SUM(BN$20:BN$36)</f>
        <v>3257</v>
      </c>
      <c r="L110" s="106">
        <f>SUM(BP$20:BP$36)+SUM(BR$20:BR$36)+SUM(BT$20:BT$36)+SUM(BV$20:BV$36)</f>
        <v>3214</v>
      </c>
      <c r="M110" s="106">
        <f>SUM(BX$20:BX$36)+SUM(BZ$20:BZ$36)+SUM(CB$20:CB$36)+SUM(CD$20:CD$36)</f>
        <v>5274.9986519999038</v>
      </c>
      <c r="N110" s="106">
        <f>SUM(CF$20:CF$36)+SUM(CH$20:CH$36)+SUM(CJ$20:CJ$36)+SUM(CL$20:CL$36)</f>
        <v>1937.1132372163706</v>
      </c>
      <c r="O110" s="106">
        <f>SUM(CN$20:CN$36)+SUM(CP$20:CP$36)+SUM(CR$20:CR$36)+SUM(CT$20:CT$36)</f>
        <v>2991.0655339683399</v>
      </c>
    </row>
    <row r="111" spans="2:99" x14ac:dyDescent="0.2">
      <c r="C111" s="105" t="s">
        <v>128</v>
      </c>
      <c r="D111" s="106">
        <f>SUM(D$37:D$48)+SUM(F$37:F$48)+SUM(H$37:H$48)+SUM(J$37:J$48)</f>
        <v>487.80908458969947</v>
      </c>
      <c r="E111" s="106">
        <f>SUM(L$37:L$48)+SUM(N$37:N$48)+SUM(P$37:P$48)+SUM(R$37:R$48)</f>
        <v>47.85347651626499</v>
      </c>
      <c r="F111" s="106">
        <f>SUM(T$37:T$48)+SUM(V$37:V$48)+SUM(X$37:X$48)+SUM(Z$37:Z$48)</f>
        <v>6.8214359324606484</v>
      </c>
      <c r="G111" s="106">
        <f>SUM(AB$37:AB$48)+SUM(AD$37:AD$48)+SUM(AF$37:AF$48)+SUM(AH$37:AH$48)</f>
        <v>1293.6295889483401</v>
      </c>
      <c r="H111" s="106">
        <f>SUM(AJ$37:AJ$48)+SUM(AL$37:AL$48)+SUM(AN$37:AN$48)+SUM(AP$37:AP$48)</f>
        <v>1356</v>
      </c>
      <c r="I111" s="106">
        <f>SUM(AR$37:AR$48)+SUM(AT$37:AT$48)+SUM(AV$37:AV$48)+SUM(AX$37:AX$48)</f>
        <v>3183</v>
      </c>
      <c r="J111" s="106">
        <f>SUM(AZ$37:AZ$48)+SUM(BB$37:BB$48)+SUM(BD$37:BD$48)+SUM(BF$37:BF$48)</f>
        <v>39.753313898877288</v>
      </c>
      <c r="K111" s="106">
        <f>SUM(BH$37:BH$48)+SUM(BJ$37:BJ$48)+SUM(BL$37:BL$48)+SUM(BN$37:BN$48)</f>
        <v>1176</v>
      </c>
      <c r="L111" s="106">
        <f>SUM(BP$37:BP$48)+SUM(BR$37:BR$48)+SUM(BT$37:BT$48)+SUM(BV$37:BV$48)</f>
        <v>988</v>
      </c>
      <c r="M111" s="106">
        <f>SUM(BX$37:BX$48)+SUM(BZ$37:BZ$48)+SUM(CB$37:CB$48)+SUM(CD$37:CD$48)</f>
        <v>927.94684340296476</v>
      </c>
      <c r="N111" s="106">
        <f>SUM(CF$37:CF$48)+SUM(CH$37:CH$48)+SUM(CJ$37:CJ$48)+SUM(CL$37:CL$48)</f>
        <v>889.60144540960459</v>
      </c>
      <c r="O111" s="106">
        <f>SUM(CN$37:CN$48)+SUM(CP$37:CP$48)+SUM(CR$37:CR$48)+SUM(CT$37:CT$48)</f>
        <v>1196.9111700220565</v>
      </c>
    </row>
    <row r="112" spans="2:99" x14ac:dyDescent="0.2">
      <c r="C112" s="105" t="s">
        <v>129</v>
      </c>
      <c r="D112" s="106">
        <f>SUM(D$49:D$70)+SUM(F$49:F$70)+SUM(H$49:H$70)+SUM(J$49:J$70)</f>
        <v>373.51089626498737</v>
      </c>
      <c r="E112" s="106">
        <f>SUM(L$49:L$70)+SUM(N$49:N$70)+SUM(P$49:P$70)+SUM(R$49:R$70)</f>
        <v>369.17695595461919</v>
      </c>
      <c r="F112" s="106">
        <f>SUM(T$49:T$70)+SUM(V$49:V$70)+SUM(X$49:X$70)+SUM(Z$49:Z$70)</f>
        <v>313.53490428594779</v>
      </c>
      <c r="G112" s="106">
        <f>SUM(AB$49:AB$70)+SUM(AD$49:AD$70)+SUM(AF$49:AF$70)+SUM(AH$49:AH$70)</f>
        <v>2040.9534870001969</v>
      </c>
      <c r="H112" s="106">
        <f>SUM(AJ$49:AJ$70)+SUM(AL$49:AL$70)+SUM(AN$49:AN$70)+SUM(AP$49:AP$70)</f>
        <v>2077.048322015783</v>
      </c>
      <c r="I112" s="106">
        <f>SUM(AR$49:AR$70)+SUM(AT$49:AT$70)+SUM(AV$49:AV$70)+SUM(AX$49:AX$70)</f>
        <v>911.85989968406966</v>
      </c>
      <c r="J112" s="106">
        <f>SUM(AZ$49:AZ$70)+SUM(BB$49:BB$70)+SUM(BD$49:BD$70)+SUM(BF$49:BF$70)</f>
        <v>183.26091211608573</v>
      </c>
      <c r="K112" s="106">
        <f>SUM(BH$49:BH$70)+SUM(BJ$49:BJ$70)+SUM(BL$49:BL$70)+SUM(BN$49:BN$70)</f>
        <v>1168.7991399988052</v>
      </c>
      <c r="L112" s="106">
        <f>SUM(BP$49:BP$70)+SUM(BR$49:BR$70)+SUM(BT$49:BT$70)+SUM(BV$49:BV$70)</f>
        <v>1881.2298255840858</v>
      </c>
      <c r="M112" s="106">
        <f>SUM(BX$49:BX$70)+SUM(BZ$49:BZ$70)+SUM(CB$49:CB$70)+SUM(CD$49:CD$70)</f>
        <v>691.76067039236409</v>
      </c>
      <c r="N112" s="106">
        <f>SUM(CF$49:CF$70)+SUM(CH$49:CH$70)+SUM(CJ$49:CJ$70)+SUM(CL$49:CL$70)</f>
        <v>1689.9473096703282</v>
      </c>
      <c r="O112" s="106">
        <f>SUM(CN$49:CN$70)+SUM(CP$49:CP$70)+SUM(CR$49:CR$70)+SUM(CT$49:CT$70)</f>
        <v>904.07192073482202</v>
      </c>
    </row>
    <row r="113" spans="2:15" x14ac:dyDescent="0.2">
      <c r="C113" s="105" t="s">
        <v>130</v>
      </c>
      <c r="D113" s="106">
        <f>SUM(D$71:D$86)+SUM(F$71:F$86)+SUM(H$71:H$86)+SUM(J$71:J$86)</f>
        <v>957.95797319797896</v>
      </c>
      <c r="E113" s="106">
        <f>SUM(L$71:L$86)+SUM(N$71:N$86)+SUM(P$71:P$86)+SUM(R$71:R$86)</f>
        <v>535.94051342865441</v>
      </c>
      <c r="F113" s="106">
        <f>SUM(T$71:T$86)+SUM(V$71:V$86)+SUM(X$71:X$86)+SUM(Z$71:Z$86)</f>
        <v>46.570610958067867</v>
      </c>
      <c r="G113" s="106">
        <f>SUM(AB$71:AB$86)+SUM(AD$71:AD$86)+SUM(AF$71:AF$86)+SUM(AH$71:AH$86)</f>
        <v>755.05978581011232</v>
      </c>
      <c r="H113" s="106">
        <f>SUM(AJ$71:AJ$86)+SUM(AL$71:AL$86)+SUM(AN$71:AN$86)+SUM(AP$71:AP$86)</f>
        <v>819.88948863258543</v>
      </c>
      <c r="I113" s="106">
        <f>SUM(AR$71:AR$86)+SUM(AT$71:AT$86)+SUM(AV$71:AV$86)+SUM(AX$71:AX$86)</f>
        <v>724.11821873613633</v>
      </c>
      <c r="J113" s="106">
        <f>SUM(AZ$71:AZ$86)+SUM(BB$71:BB$86)+SUM(BD$71:BD$86)+SUM(BF$71:BF$86)</f>
        <v>472.53478359585029</v>
      </c>
      <c r="K113" s="106">
        <f>SUM(BH$71:BH$86)+SUM(BJ$71:BJ$86)+SUM(BL$71:BL$86)+SUM(BN$71:BN$86)</f>
        <v>690.88350668567023</v>
      </c>
      <c r="L113" s="106">
        <f>SUM(BP$71:BP$86)+SUM(BR$71:BR$86)+SUM(BT$71:BT$86)+SUM(BV$71:BV$86)</f>
        <v>528.15885357974048</v>
      </c>
      <c r="M113" s="106">
        <f>SUM(BX$71:BX$86)+SUM(BZ$71:BZ$86)+SUM(CB$71:CB$86)+SUM(CD$71:CD$86)</f>
        <v>528.92709448298024</v>
      </c>
      <c r="N113" s="106">
        <f>SUM(CF$71:CF$86)+SUM(CH$71:CH$86)+SUM(CJ$71:CJ$86)+SUM(CL$71:CL$86)</f>
        <v>251.4654179759292</v>
      </c>
      <c r="O113" s="106">
        <f>SUM(CN$71:CN$86)+SUM(CP$71:CP$86)+SUM(CR$71:CR$86)+SUM(CT$71:CT$86)</f>
        <v>419.8630761436325</v>
      </c>
    </row>
    <row r="114" spans="2:15" x14ac:dyDescent="0.2">
      <c r="C114" s="105" t="s">
        <v>131</v>
      </c>
      <c r="D114" s="106">
        <f>SUM(D$87:D$94)+SUM(F$87:F$94)+SUM(H$87:H$94)+SUM(J$87:J$94)</f>
        <v>104.431093293031</v>
      </c>
      <c r="E114" s="106">
        <f>SUM(L$87:L$94)+SUM(N$87:N$94)+SUM(P$87:P$94)+SUM(R$87:R$94)</f>
        <v>77.026556694742609</v>
      </c>
      <c r="F114" s="106">
        <f>SUM(T$87:T$94)+SUM(V$87:V$94)+SUM(X$87:X$94)+SUM(Z$87:Z$94)</f>
        <v>9.3985410399959903</v>
      </c>
      <c r="G114" s="106">
        <f>SUM(AB$87:AB$94)+SUM(AD$87:AD$94)+SUM(AF$87:AF$94)+SUM(AH$87:AH$94)</f>
        <v>254.17638380527703</v>
      </c>
      <c r="H114" s="106">
        <f>SUM(AJ$87:AJ$94)+SUM(AL$87:AL$94)+SUM(AN$87:AN$94)+SUM(AP$87:AP$94)</f>
        <v>161.85189449798236</v>
      </c>
      <c r="I114" s="106">
        <f>SUM(AR$87:AR$94)+SUM(AT$87:AT$94)+SUM(AV$87:AV$94)+SUM(AX$87:AX$94)</f>
        <v>199.34913315886848</v>
      </c>
      <c r="J114" s="106">
        <f>SUM(AZ$87:AZ$94)+SUM(BB$87:BB$94)+SUM(BD$87:BD$94)+SUM(BF$87:BF$94)</f>
        <v>206.07260596480481</v>
      </c>
      <c r="K114" s="106">
        <f>SUM(BH$87:BH$94)+SUM(BJ$87:BJ$94)+SUM(BL$87:BL$94)+SUM(BN$87:BN$94)</f>
        <v>322.80878819907684</v>
      </c>
      <c r="L114" s="106">
        <f>SUM(BP$87:BP$94)+SUM(BR$87:BR$94)+SUM(BT$87:BT$94)+SUM(BV$87:BV$94)</f>
        <v>447.89033898306275</v>
      </c>
      <c r="M114" s="106">
        <f>SUM(BX$87:BX$94)+SUM(BZ$87:BZ$94)+SUM(CB$87:CB$94)+SUM(CD$87:CD$94)</f>
        <v>100.08411338588833</v>
      </c>
      <c r="N114" s="106">
        <f>SUM(CF$87:CF$94)+SUM(CH$87:CH$94)+SUM(CJ$87:CJ$94)+SUM(CL$87:CL$94)</f>
        <v>89.650022695524001</v>
      </c>
      <c r="O114" s="106">
        <f>SUM(CN$87:CN$94)+SUM(CP$87:CP$94)+SUM(CR$87:CR$94)+SUM(CT$87:CT$94)</f>
        <v>101.45721730929529</v>
      </c>
    </row>
    <row r="115" spans="2:15" x14ac:dyDescent="0.2">
      <c r="C115" s="105" t="s">
        <v>132</v>
      </c>
      <c r="D115" s="106">
        <f>SUM(D$95:D$105)+SUM(F$95:F$105)+SUM(H$95:H$105)+SUM(J$95:J$105)</f>
        <v>297.84667734101231</v>
      </c>
      <c r="E115" s="106">
        <f>SUM(L$95:L$105)+SUM(N$95:N$105)+SUM(P$95:P$105)+SUM(R$95:R$105)</f>
        <v>444.73583281493211</v>
      </c>
      <c r="F115" s="106">
        <f>SUM(T$95:T$105)+SUM(V$95:V$105)+SUM(X$95:X$105)+SUM(Z$95:Z$105)</f>
        <v>29.971773985734426</v>
      </c>
      <c r="G115" s="106">
        <f>SUM(AB$95:AB$105)+SUM(AD$95:AD$105)+SUM(AF$95:AF$105)+SUM(AH$95:AH$105)</f>
        <v>249.85226058912559</v>
      </c>
      <c r="H115" s="106">
        <f>SUM(AJ$95:AJ$105)+SUM(AL$95:AL$105)+SUM(AN$95:AN$105)+SUM(AP$95:AP$105)</f>
        <v>201.64968273139542</v>
      </c>
      <c r="I115" s="106">
        <f>SUM(AR$95:AR$105)+SUM(AT$95:AT$105)+SUM(AV$95:AV$105)+SUM(AX$95:AX$105)</f>
        <v>97.911879007984396</v>
      </c>
      <c r="J115" s="106">
        <f>SUM(AZ$95:AZ$105)+SUM(BB$95:BB$105)+SUM(BD$95:BD$105)+SUM(BF$95:BF$105)</f>
        <v>358.32787621727334</v>
      </c>
      <c r="K115" s="106">
        <f>SUM(BH$95:BH$105)+SUM(BJ$95:BJ$105)+SUM(BL$95:BL$105)+SUM(BN$95:BN$105)</f>
        <v>462.60290451705094</v>
      </c>
      <c r="L115" s="106">
        <f>SUM(BP$95:BP$105)+SUM(BR$95:BR$105)+SUM(BT$95:BT$105)+SUM(BV$95:BV$105)</f>
        <v>216.96378461713044</v>
      </c>
      <c r="M115" s="106">
        <f>SUM(BX$95:BX$105)+SUM(BZ$95:BZ$105)+SUM(CB$95:CB$105)+SUM(CD$95:CD$105)</f>
        <v>142.75397532385696</v>
      </c>
      <c r="N115" s="106">
        <f>SUM(CF$95:CF$105)+SUM(CH$95:CH$105)+SUM(CJ$95:CJ$105)+SUM(CL$95:CL$105)</f>
        <v>147.71439815834347</v>
      </c>
      <c r="O115" s="106">
        <f>SUM(CN$95:CN$105)+SUM(CP$95:CP$105)+SUM(CR$95:CR$105)+SUM(CT$95:CT$105)</f>
        <v>220.32001691306505</v>
      </c>
    </row>
    <row r="116" spans="2:15" x14ac:dyDescent="0.2">
      <c r="C116" s="105" t="s">
        <v>277</v>
      </c>
      <c r="D116" s="106">
        <f t="shared" ref="D116:O116" si="0">SUM(D$109:D$115)</f>
        <v>2893.3935307707497</v>
      </c>
      <c r="E116" s="106">
        <f t="shared" si="0"/>
        <v>2127.3957695953268</v>
      </c>
      <c r="F116" s="106">
        <f t="shared" si="0"/>
        <v>855.87127574817555</v>
      </c>
      <c r="G116" s="106">
        <f t="shared" si="0"/>
        <v>10469.876298812573</v>
      </c>
      <c r="H116" s="106">
        <f t="shared" si="0"/>
        <v>8994.4393878777464</v>
      </c>
      <c r="I116" s="106">
        <f t="shared" si="0"/>
        <v>9250.2391305870588</v>
      </c>
      <c r="J116" s="106">
        <f t="shared" si="0"/>
        <v>1498.4693751861553</v>
      </c>
      <c r="K116" s="106">
        <f t="shared" si="0"/>
        <v>10258.094339400603</v>
      </c>
      <c r="L116" s="106">
        <f t="shared" si="0"/>
        <v>10112.242802764018</v>
      </c>
      <c r="M116" s="106">
        <f t="shared" si="0"/>
        <v>9001.2331749579735</v>
      </c>
      <c r="N116" s="106">
        <f t="shared" si="0"/>
        <v>5568.2893080357726</v>
      </c>
      <c r="O116" s="106">
        <f t="shared" si="0"/>
        <v>6535.4040848679933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751064.49449448416</v>
      </c>
      <c r="E120" s="106">
        <f>E109*pricing!E6*2000</f>
        <v>687199.89529409388</v>
      </c>
      <c r="F120" s="106">
        <f>F109*pricing!F6*2000</f>
        <v>278798.32730027568</v>
      </c>
      <c r="G120" s="106">
        <f>G109*pricing!G6*2000</f>
        <v>6128741.8762764223</v>
      </c>
      <c r="H120" s="106">
        <f>H109*pricing!H6*2000</f>
        <v>4578884.5740799997</v>
      </c>
      <c r="I120" s="106">
        <f>I109*pricing!I6*2000</f>
        <v>4499954.7900999999</v>
      </c>
      <c r="J120" s="106">
        <f>J109*pricing!J6*2000</f>
        <v>209948.45021716243</v>
      </c>
      <c r="K120" s="106">
        <f>K109*pricing!K6*2000</f>
        <v>6546841.9811999993</v>
      </c>
      <c r="L120" s="106">
        <f>L109*pricing!L6*2000</f>
        <v>6170370.5068800002</v>
      </c>
      <c r="M120" s="106">
        <f>M109*pricing!M6*2000</f>
        <v>3946324.7269886532</v>
      </c>
      <c r="N120" s="106">
        <f>N109*pricing!N6*2000</f>
        <v>1642059.3630378605</v>
      </c>
      <c r="O120" s="106">
        <f>O109*pricing!O6*2000</f>
        <v>2074674.142597832</v>
      </c>
    </row>
    <row r="121" spans="2:15" x14ac:dyDescent="0.2">
      <c r="C121" s="105" t="s">
        <v>127</v>
      </c>
      <c r="D121" s="106">
        <f>D110*pricing!D7*2000</f>
        <v>1865364.5780448322</v>
      </c>
      <c r="E121" s="106">
        <f>E110*pricing!E7*2000</f>
        <v>1849110.134967739</v>
      </c>
      <c r="F121" s="106">
        <f>F110*pricing!F7*2000</f>
        <v>676627.46473971545</v>
      </c>
      <c r="G121" s="106">
        <f>G110*pricing!G7*2000</f>
        <v>8268805.4491138645</v>
      </c>
      <c r="H121" s="106">
        <f>H110*pricing!H7*2000</f>
        <v>7490399.5429199999</v>
      </c>
      <c r="I121" s="106">
        <f>I110*pricing!I7*2000</f>
        <v>7035742.9176599998</v>
      </c>
      <c r="J121" s="106">
        <f>J110*pricing!J7*2000</f>
        <v>477846.98229429888</v>
      </c>
      <c r="K121" s="106">
        <f>K110*pricing!K7*2000</f>
        <v>8480104.8561199997</v>
      </c>
      <c r="L121" s="106">
        <f>L110*pricing!L7*2000</f>
        <v>8820480.0019200016</v>
      </c>
      <c r="M121" s="106">
        <f>M110*pricing!M7*2000</f>
        <v>11099662.186035637</v>
      </c>
      <c r="N121" s="106">
        <f>N110*pricing!N7*2000</f>
        <v>3988419.8034160882</v>
      </c>
      <c r="O121" s="106">
        <f>O110*pricing!O7*2000</f>
        <v>6226130.4692209242</v>
      </c>
    </row>
    <row r="122" spans="2:15" x14ac:dyDescent="0.2">
      <c r="C122" s="105" t="s">
        <v>128</v>
      </c>
      <c r="D122" s="106">
        <f>D111*pricing!D8*2000</f>
        <v>1422082.5557765223</v>
      </c>
      <c r="E122" s="106">
        <f>E111*pricing!E8*2000</f>
        <v>382827.81213011994</v>
      </c>
      <c r="F122" s="106">
        <f>F111*pricing!F8*2000</f>
        <v>54571.487459685188</v>
      </c>
      <c r="G122" s="106">
        <f>G111*pricing!G8*2000</f>
        <v>3758462.6637675962</v>
      </c>
      <c r="H122" s="106">
        <f>H111*pricing!H8*2000</f>
        <v>4031291.5612799996</v>
      </c>
      <c r="I122" s="106">
        <f>I111*pricing!I8*2000</f>
        <v>6938819.682599999</v>
      </c>
      <c r="J122" s="106">
        <f>J111*pricing!J8*2000</f>
        <v>136511.08069375754</v>
      </c>
      <c r="K122" s="106">
        <f>K111*pricing!K8*2000</f>
        <v>3753272.1374399997</v>
      </c>
      <c r="L122" s="106">
        <f>L111*pricing!L8*2000</f>
        <v>3273003.2639199998</v>
      </c>
      <c r="M122" s="106">
        <f>M111*pricing!M8*2000</f>
        <v>3074061.7886661584</v>
      </c>
      <c r="N122" s="106">
        <f>N111*pricing!N8*2000</f>
        <v>1993611.0194099639</v>
      </c>
      <c r="O122" s="106">
        <f>O111*pricing!O8*2000</f>
        <v>2682297.0107834786</v>
      </c>
    </row>
    <row r="123" spans="2:15" x14ac:dyDescent="0.2">
      <c r="C123" s="105" t="s">
        <v>129</v>
      </c>
      <c r="D123" s="106">
        <f>D112*pricing!D9*2000</f>
        <v>1567234.1059540194</v>
      </c>
      <c r="E123" s="106">
        <f>E112*pricing!E9*2000</f>
        <v>1549049.0968003394</v>
      </c>
      <c r="F123" s="106">
        <f>F112*pricing!F9*2000</f>
        <v>568131.57997120405</v>
      </c>
      <c r="G123" s="106">
        <f>G112*pricing!G9*2000</f>
        <v>6122613.8321812218</v>
      </c>
      <c r="H123" s="106">
        <f>H112*pricing!H9*2000</f>
        <v>5795405.1526683019</v>
      </c>
      <c r="I123" s="106">
        <f>I112*pricing!I9*2000</f>
        <v>3703620.180778516</v>
      </c>
      <c r="J123" s="106">
        <f>J112*pricing!J9*2000</f>
        <v>765010.49077794421</v>
      </c>
      <c r="K123" s="106">
        <f>K112*pricing!K9*2000</f>
        <v>4549407.1005349755</v>
      </c>
      <c r="L123" s="106">
        <f>L112*pricing!L9*2000</f>
        <v>6199018.5507466039</v>
      </c>
      <c r="M123" s="106">
        <f>M112*pricing!M9*2000</f>
        <v>2852174.623527695</v>
      </c>
      <c r="N123" s="106">
        <f>N112*pricing!N9*2000</f>
        <v>3673143.6050238013</v>
      </c>
      <c r="O123" s="106">
        <f>O112*pricing!O9*2000</f>
        <v>2947410.3074423298</v>
      </c>
    </row>
    <row r="124" spans="2:15" x14ac:dyDescent="0.2">
      <c r="C124" s="105" t="s">
        <v>130</v>
      </c>
      <c r="D124" s="106">
        <f>D113*pricing!D10*2000</f>
        <v>2306820.1236658497</v>
      </c>
      <c r="E124" s="106">
        <f>E113*pricing!E10*2000</f>
        <v>1304306.368869764</v>
      </c>
      <c r="F124" s="106">
        <f>F113*pricing!F10*2000</f>
        <v>121165.0786774431</v>
      </c>
      <c r="G124" s="106">
        <f>G113*pricing!G10*2000</f>
        <v>2047371.0061142312</v>
      </c>
      <c r="H124" s="106">
        <f>H113*pricing!H10*2000</f>
        <v>1798237.0837939978</v>
      </c>
      <c r="I124" s="106">
        <f>I113*pricing!I10*2000</f>
        <v>1581821.3754408769</v>
      </c>
      <c r="J124" s="106">
        <f>J113*pricing!J10*2000</f>
        <v>1960686.8197448663</v>
      </c>
      <c r="K124" s="106">
        <f>K113*pricing!K10*2000</f>
        <v>2740209.1777618164</v>
      </c>
      <c r="L124" s="106">
        <f>L113*pricing!L10*2000</f>
        <v>2159259.8096313686</v>
      </c>
      <c r="M124" s="106">
        <f>M113*pricing!M10*2000</f>
        <v>1231312.4656253329</v>
      </c>
      <c r="N124" s="106">
        <f>N113*pricing!N10*2000</f>
        <v>970720.87344616349</v>
      </c>
      <c r="O124" s="106">
        <f>O113*pricing!O10*2000</f>
        <v>1479070.2918544936</v>
      </c>
    </row>
    <row r="125" spans="2:15" x14ac:dyDescent="0.2">
      <c r="C125" s="105" t="s">
        <v>131</v>
      </c>
      <c r="D125" s="106">
        <f>D114*pricing!D11*2000</f>
        <v>546107.66297139821</v>
      </c>
      <c r="E125" s="106">
        <f>E114*pricing!E11*2000</f>
        <v>326641.54922195699</v>
      </c>
      <c r="F125" s="106">
        <f>F114*pricing!F11*2000</f>
        <v>38609.199825353979</v>
      </c>
      <c r="G125" s="106">
        <f>G114*pricing!G11*2000</f>
        <v>849550.97091825469</v>
      </c>
      <c r="H125" s="106">
        <f>H114*pricing!H11*2000</f>
        <v>596729.60366849008</v>
      </c>
      <c r="I125" s="106">
        <f>I114*pricing!I11*2000</f>
        <v>638123.58834404254</v>
      </c>
      <c r="J125" s="106">
        <f>J114*pricing!J11*2000</f>
        <v>1017960.8014426116</v>
      </c>
      <c r="K125" s="106">
        <f>K114*pricing!K11*2000</f>
        <v>1275868.7378425216</v>
      </c>
      <c r="L125" s="106">
        <f>L114*pricing!L11*2000</f>
        <v>1446979.1720451333</v>
      </c>
      <c r="M125" s="106">
        <f>M114*pricing!M11*2000</f>
        <v>406990.41371098446</v>
      </c>
      <c r="N125" s="106">
        <f>N114*pricing!N11*2000</f>
        <v>402523.5330906196</v>
      </c>
      <c r="O125" s="106">
        <f>O114*pricing!O11*2000</f>
        <v>497122.8938827262</v>
      </c>
    </row>
    <row r="126" spans="2:15" x14ac:dyDescent="0.2">
      <c r="C126" s="105" t="s">
        <v>132</v>
      </c>
      <c r="D126" s="106">
        <f>D115*pricing!D12*2000</f>
        <v>1111586.5851074746</v>
      </c>
      <c r="E126" s="106">
        <f>E115*pricing!E12*2000</f>
        <v>1030293.3712048171</v>
      </c>
      <c r="F126" s="106">
        <f>F115*pricing!F12*2000</f>
        <v>80648.496619682061</v>
      </c>
      <c r="G126" s="106">
        <f>G115*pricing!G12*2000</f>
        <v>1030441.7325070758</v>
      </c>
      <c r="H126" s="106">
        <f>H115*pricing!H12*2000</f>
        <v>811143.0234827497</v>
      </c>
      <c r="I126" s="106">
        <f>I115*pricing!I12*2000</f>
        <v>478591.9271147605</v>
      </c>
      <c r="J126" s="106">
        <f>J115*pricing!J12*2000</f>
        <v>1552416.2079767582</v>
      </c>
      <c r="K126" s="106">
        <f>K115*pricing!K12*2000</f>
        <v>1918892.2341093316</v>
      </c>
      <c r="L126" s="106">
        <f>L115*pricing!L12*2000</f>
        <v>1153911.7953309477</v>
      </c>
      <c r="M126" s="106">
        <f>M115*pricing!M12*2000</f>
        <v>562178.21110393188</v>
      </c>
      <c r="N126" s="106">
        <f>N115*pricing!N12*2000</f>
        <v>650497.00614102453</v>
      </c>
      <c r="O126" s="106">
        <f>O115*pricing!O12*2000</f>
        <v>897344.85150308791</v>
      </c>
    </row>
    <row r="127" spans="2:15" x14ac:dyDescent="0.2">
      <c r="C127" s="105" t="s">
        <v>277</v>
      </c>
      <c r="D127" s="106">
        <f t="shared" ref="D127:O127" si="1">SUM(D$120:D$126)</f>
        <v>9570260.1060145795</v>
      </c>
      <c r="E127" s="106">
        <f t="shared" si="1"/>
        <v>7129428.2284888299</v>
      </c>
      <c r="F127" s="106">
        <f t="shared" si="1"/>
        <v>1818551.6345933594</v>
      </c>
      <c r="G127" s="106">
        <f t="shared" si="1"/>
        <v>28205987.530878663</v>
      </c>
      <c r="H127" s="106">
        <f t="shared" si="1"/>
        <v>25102090.541893538</v>
      </c>
      <c r="I127" s="106">
        <f t="shared" si="1"/>
        <v>24876674.462038189</v>
      </c>
      <c r="J127" s="106">
        <f t="shared" si="1"/>
        <v>6120380.8331474001</v>
      </c>
      <c r="K127" s="106">
        <f t="shared" si="1"/>
        <v>29264596.225008644</v>
      </c>
      <c r="L127" s="106">
        <f t="shared" si="1"/>
        <v>29223023.10047406</v>
      </c>
      <c r="M127" s="106">
        <f t="shared" si="1"/>
        <v>23172704.415658392</v>
      </c>
      <c r="N127" s="106">
        <f t="shared" si="1"/>
        <v>13320975.203565519</v>
      </c>
      <c r="O127" s="106">
        <f t="shared" si="1"/>
        <v>16804049.967284873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87898.21120955603</v>
      </c>
      <c r="E131" s="112">
        <f>SUM(M$6:M$19)+SUM(O$6:O$19)+SUM(Q$6:Q$19)+SUM(S$6:S$19)</f>
        <v>80112.5726863405</v>
      </c>
      <c r="F131" s="112">
        <f>SUM(U$6:U$19)+SUM(W$6:W$19)+SUM(Y$6:Y$19)+SUM(AA$6:AA$19)</f>
        <v>59337.341252565573</v>
      </c>
      <c r="G131" s="112">
        <f>SUM(AC$6:AC$19)+SUM(AE$6:AE$19)+SUM(AG$6:AG$19)+SUM(AI$6:AI$19)</f>
        <v>1427688.2405562995</v>
      </c>
      <c r="H131" s="112">
        <f>SUM(AK$6:AK$19)+SUM(AM$6:AM$19)+SUM(AO$6:AO$19)+SUM(AQ$6:AQ$19)</f>
        <v>857208</v>
      </c>
      <c r="I131" s="112">
        <f>SUM(AS$6:AS$19)+SUM(AU$6:AU$19)+SUM(AW$6:AW$19)+SUM(AY$6:AY$19)</f>
        <v>832771.2</v>
      </c>
      <c r="J131" s="112">
        <f>SUM(BA$6:BA$19)+SUM(BC$6:BC$19)+SUM(BE$6:BE$19)+SUM(BG$6:BG$19)</f>
        <v>37916.592130140511</v>
      </c>
      <c r="K131" s="112">
        <f>SUM(BI$6:BI$19)+SUM(BK$6:BK$19)+SUM(BM$6:BM$19)+SUM(BO$6:BO$19)</f>
        <v>1590885.6</v>
      </c>
      <c r="L131" s="112">
        <f>SUM(BQ$6:BQ$19)+SUM(BS$6:BS$19)+SUM(BU$6:BU$19)+SUM(BW$6:BW$19)</f>
        <v>1410922.7999999998</v>
      </c>
      <c r="M131" s="112">
        <f>SUM(BY$6:BY$19)+SUM(CA$6:CA$19)+SUM(CC$6:CC$19)+SUM(CE$6:CE$19)</f>
        <v>669643.9840013521</v>
      </c>
      <c r="N131" s="112">
        <f>SUM(CG$6:CG$19)+SUM(CI$6:CI$19)+SUM(CK$6:CK$19)+SUM(CM$6:CM$19)</f>
        <v>281360.2946090225</v>
      </c>
      <c r="O131" s="112">
        <f>SUM(CO$6:CO$19)+SUM(CQ$6:CQ$19)+SUM(CS$6:CS$19)+SUM(CU$6:CU$19)</f>
        <v>352320.1288766957</v>
      </c>
    </row>
    <row r="132" spans="2:15" x14ac:dyDescent="0.2">
      <c r="C132" s="111" t="s">
        <v>127</v>
      </c>
      <c r="D132" s="112">
        <f>SUM(E$20:E$36)+SUM(G$20:G$36)+SUM(I$20:I$36)+SUM(K$20:K$36)</f>
        <v>211540.28517277358</v>
      </c>
      <c r="E132" s="112">
        <f>SUM(M$20:M$36)+SUM(O$20:O$36)+SUM(Q$20:Q$36)+SUM(S$20:S$36)</f>
        <v>208373.90902055384</v>
      </c>
      <c r="F132" s="112">
        <f>SUM(U$20:U$36)+SUM(W$20:W$36)+SUM(Y$20:Y$36)+SUM(AA$20:AA$36)</f>
        <v>138560.09668446024</v>
      </c>
      <c r="G132" s="112">
        <f>SUM(AC$20:AC$36)+SUM(AE$20:AE$36)+SUM(AG$20:AG$36)+SUM(AI$20:AI$36)</f>
        <v>1277926.7673761689</v>
      </c>
      <c r="H132" s="112">
        <f>SUM(AK$20:AK$36)+SUM(AM$20:AM$36)+SUM(AO$20:AO$36)+SUM(AQ$20:AQ$36)</f>
        <v>1131799.2</v>
      </c>
      <c r="I132" s="112">
        <f>SUM(AS$20:AS$36)+SUM(AU$20:AU$36)+SUM(AW$20:AW$36)+SUM(AY$20:AY$36)</f>
        <v>1048957.2</v>
      </c>
      <c r="J132" s="112">
        <f>SUM(BA$20:BA$36)+SUM(BC$20:BC$36)+SUM(BE$20:BE$36)+SUM(BG$20:BG$36)</f>
        <v>69008.904929843295</v>
      </c>
      <c r="K132" s="112">
        <f>SUM(BI$20:BI$36)+SUM(BK$20:BK$36)+SUM(BM$20:BM$36)+SUM(BO$20:BO$36)</f>
        <v>1379252.4</v>
      </c>
      <c r="L132" s="112">
        <f>SUM(BQ$20:BQ$36)+SUM(BS$20:BS$36)+SUM(BU$20:BU$36)+SUM(BW$20:BW$36)</f>
        <v>1344440.4</v>
      </c>
      <c r="M132" s="112">
        <f>SUM(BY$20:BY$36)+SUM(CA$20:CA$36)+SUM(CC$20:CC$36)+SUM(CE$20:CE$36)</f>
        <v>2208388.9936485053</v>
      </c>
      <c r="N132" s="112">
        <f>SUM(CG$20:CG$36)+SUM(CI$20:CI$36)+SUM(CK$20:CK$36)+SUM(CM$20:CM$36)</f>
        <v>814408.33823224332</v>
      </c>
      <c r="O132" s="112">
        <f>SUM(CO$20:CO$36)+SUM(CQ$20:CQ$36)+SUM(CS$20:CS$36)+SUM(CU$20:CU$36)</f>
        <v>1269323.7499819247</v>
      </c>
    </row>
    <row r="133" spans="2:15" x14ac:dyDescent="0.2">
      <c r="C133" s="111" t="s">
        <v>128</v>
      </c>
      <c r="D133" s="112">
        <f>SUM(E$37:E$48)+SUM(G$37:G$48)+SUM(I$37:I$48)+SUM(K$37:K$48)</f>
        <v>508633.47246887721</v>
      </c>
      <c r="E133" s="112">
        <f>SUM(M$37:M$48)+SUM(O$37:O$48)+SUM(Q$37:Q$48)+SUM(S$37:S$48)</f>
        <v>50126.390248757889</v>
      </c>
      <c r="F133" s="112">
        <f>SUM(U$37:U$48)+SUM(W$37:W$48)+SUM(Y$37:Y$48)+SUM(AA$37:AA$48)</f>
        <v>7151.0338218556935</v>
      </c>
      <c r="G133" s="112">
        <f>SUM(AC$37:AC$48)+SUM(AE$37:AE$48)+SUM(AG$37:AG$48)+SUM(AI$37:AI$48)</f>
        <v>1349725.4677645564</v>
      </c>
      <c r="H133" s="112">
        <f>SUM(AK$37:AK$48)+SUM(AM$37:AM$48)+SUM(AO$37:AO$48)+SUM(AQ$37:AQ$48)</f>
        <v>1417629.6</v>
      </c>
      <c r="I133" s="112">
        <f>SUM(AS$37:AS$48)+SUM(AU$37:AU$48)+SUM(AW$37:AW$48)+SUM(AY$37:AY$48)</f>
        <v>3311380.8</v>
      </c>
      <c r="J133" s="112">
        <f>SUM(BA$37:BA$48)+SUM(BC$37:BC$48)+SUM(BE$37:BE$48)+SUM(BG$37:BG$48)</f>
        <v>41522.395700681649</v>
      </c>
      <c r="K133" s="112">
        <f>SUM(BI$37:BI$48)+SUM(BK$37:BK$48)+SUM(BM$37:BM$48)+SUM(BO$37:BO$48)</f>
        <v>1231602</v>
      </c>
      <c r="L133" s="112">
        <f>SUM(BQ$37:BQ$48)+SUM(BS$37:BS$48)+SUM(BU$37:BU$48)+SUM(BW$37:BW$48)</f>
        <v>1030310.4000000001</v>
      </c>
      <c r="M133" s="112">
        <f>SUM(BY$37:BY$48)+SUM(CA$37:CA$48)+SUM(CC$37:CC$48)+SUM(CE$37:CE$48)</f>
        <v>974056.33972996683</v>
      </c>
      <c r="N133" s="112">
        <f>SUM(CG$37:CG$48)+SUM(CI$37:CI$48)+SUM(CK$37:CK$48)+SUM(CM$37:CM$48)</f>
        <v>926153.39621858695</v>
      </c>
      <c r="O133" s="112">
        <f>SUM(CO$37:CO$48)+SUM(CQ$37:CQ$48)+SUM(CS$37:CS$48)+SUM(CU$37:CU$48)</f>
        <v>1248101.3918990158</v>
      </c>
    </row>
    <row r="134" spans="2:15" x14ac:dyDescent="0.2">
      <c r="C134" s="111" t="s">
        <v>129</v>
      </c>
      <c r="D134" s="112">
        <f>SUM(E$49:E$70)+SUM(G$49:G$70)+SUM(I$49:I$70)+SUM(K$49:K$70)</f>
        <v>320740.01159227686</v>
      </c>
      <c r="E134" s="112">
        <f>SUM(M$49:M$70)+SUM(O$49:O$70)+SUM(Q$49:Q$70)+SUM(S$49:S$70)</f>
        <v>309147.94878874929</v>
      </c>
      <c r="F134" s="112">
        <f>SUM(U$49:U$70)+SUM(W$49:W$70)+SUM(Y$49:Y$70)+SUM(AA$49:AA$70)</f>
        <v>255024.92180903954</v>
      </c>
      <c r="G134" s="112">
        <f>SUM(AC$49:AC$70)+SUM(AE$49:AE$70)+SUM(AG$49:AG$70)+SUM(AI$49:AI$70)</f>
        <v>1680535.454290363</v>
      </c>
      <c r="H134" s="112">
        <f>SUM(AK$49:AK$70)+SUM(AM$49:AM$70)+SUM(AO$49:AO$70)+SUM(AQ$49:AQ$70)</f>
        <v>1697517.2950203046</v>
      </c>
      <c r="I134" s="112">
        <f>SUM(AS$49:AS$70)+SUM(AU$49:AU$70)+SUM(AW$49:AW$70)+SUM(AY$49:AY$70)</f>
        <v>748354.14884713362</v>
      </c>
      <c r="J134" s="112">
        <f>SUM(BA$49:BA$70)+SUM(BC$49:BC$70)+SUM(BE$49:BE$70)+SUM(BG$49:BG$70)</f>
        <v>186721.02383609256</v>
      </c>
      <c r="K134" s="112">
        <f>SUM(BI$49:BI$70)+SUM(BK$49:BK$70)+SUM(BM$49:BM$70)+SUM(BO$49:BO$70)</f>
        <v>978832.22009954869</v>
      </c>
      <c r="L134" s="112">
        <f>SUM(BQ$49:BQ$70)+SUM(BS$49:BS$70)+SUM(BU$49:BU$70)+SUM(BW$49:BW$70)</f>
        <v>1566908.9553720034</v>
      </c>
      <c r="M134" s="112">
        <f>SUM(BY$49:BY$70)+SUM(CA$49:CA$70)+SUM(CC$49:CC$70)+SUM(CE$49:CE$70)</f>
        <v>563409.37933710881</v>
      </c>
      <c r="N134" s="112">
        <f>SUM(CG$49:CG$70)+SUM(CI$49:CI$70)+SUM(CK$49:CK$70)+SUM(CM$49:CM$70)</f>
        <v>1412345.1643724088</v>
      </c>
      <c r="O134" s="112">
        <f>SUM(CO$49:CO$70)+SUM(CQ$49:CQ$70)+SUM(CS$49:CS$70)+SUM(CU$49:CU$70)</f>
        <v>756113.0862018714</v>
      </c>
    </row>
    <row r="135" spans="2:15" x14ac:dyDescent="0.2">
      <c r="C135" s="111" t="s">
        <v>130</v>
      </c>
      <c r="D135" s="112">
        <f>SUM(E$71:E$86)+SUM(G$71:G$86)+SUM(I$71:I$86)+SUM(K$71:K$86)</f>
        <v>530251.09718589601</v>
      </c>
      <c r="E135" s="112">
        <f>SUM(M$71:M$86)+SUM(O$71:O$86)+SUM(Q$71:Q$86)+SUM(S$71:S$86)</f>
        <v>295580.718496872</v>
      </c>
      <c r="F135" s="112">
        <f>SUM(U$71:U$86)+SUM(W$71:W$86)+SUM(Y$71:Y$86)+SUM(AA$71:AA$86)</f>
        <v>25763.415611662382</v>
      </c>
      <c r="G135" s="112">
        <f>SUM(AC$71:AC$86)+SUM(AE$71:AE$86)+SUM(AG$71:AG$86)+SUM(AI$71:AI$86)</f>
        <v>417675.62945237861</v>
      </c>
      <c r="H135" s="112">
        <f>SUM(AK$71:AK$86)+SUM(AM$71:AM$86)+SUM(AO$71:AO$86)+SUM(AQ$71:AQ$86)</f>
        <v>451806.01403852011</v>
      </c>
      <c r="I135" s="112">
        <f>SUM(AS$71:AS$86)+SUM(AU$71:AU$86)+SUM(AW$71:AW$86)+SUM(AY$71:AY$86)</f>
        <v>399757.79668955627</v>
      </c>
      <c r="J135" s="112">
        <f>SUM(BA$71:BA$86)+SUM(BC$71:BC$86)+SUM(BE$71:BE$86)+SUM(BG$71:BG$86)</f>
        <v>262416.310944653</v>
      </c>
      <c r="K135" s="112">
        <f>SUM(BI$71:BI$86)+SUM(BK$71:BK$86)+SUM(BM$71:BM$86)+SUM(BO$71:BO$86)</f>
        <v>385191.66230788548</v>
      </c>
      <c r="L135" s="112">
        <f>SUM(BQ$71:BQ$86)+SUM(BS$71:BS$86)+SUM(BU$71:BU$86)+SUM(BW$71:BW$86)</f>
        <v>292419.23755648464</v>
      </c>
      <c r="M135" s="112">
        <f>SUM(BY$71:BY$86)+SUM(CA$71:CA$86)+SUM(CC$71:CC$86)+SUM(CE$71:CE$86)</f>
        <v>292176.20120568469</v>
      </c>
      <c r="N135" s="112">
        <f>SUM(CG$71:CG$86)+SUM(CI$71:CI$86)+SUM(CK$71:CK$86)+SUM(CM$71:CM$86)</f>
        <v>140012.66807551734</v>
      </c>
      <c r="O135" s="112">
        <f>SUM(CO$71:CO$86)+SUM(CQ$71:CQ$86)+SUM(CS$71:CS$86)+SUM(CU$71:CU$86)</f>
        <v>232817.93837469071</v>
      </c>
    </row>
    <row r="136" spans="2:15" x14ac:dyDescent="0.2">
      <c r="C136" s="111" t="s">
        <v>131</v>
      </c>
      <c r="D136" s="112">
        <f>SUM(E$87:E$94)+SUM(G$87:G$94)+SUM(I$87:I$94)+SUM(K$87:K$94)</f>
        <v>211978.67363889591</v>
      </c>
      <c r="E136" s="112">
        <f>SUM(M$87:M$94)+SUM(O$87:O$94)+SUM(Q$87:Q$94)+SUM(S$87:S$94)</f>
        <v>156220.7768014528</v>
      </c>
      <c r="F136" s="112">
        <f>SUM(U$87:U$94)+SUM(W$87:W$94)+SUM(Y$87:Y$94)+SUM(AA$87:AA$94)</f>
        <v>19079.437143554864</v>
      </c>
      <c r="G136" s="112">
        <f>SUM(AC$87:AC$94)+SUM(AE$87:AE$94)+SUM(AG$87:AG$94)+SUM(AI$87:AI$94)</f>
        <v>516159.52540382522</v>
      </c>
      <c r="H136" s="112">
        <f>SUM(AK$87:AK$94)+SUM(AM$87:AM$94)+SUM(AO$87:AO$94)+SUM(AQ$87:AQ$94)</f>
        <v>327961.71309918107</v>
      </c>
      <c r="I136" s="112">
        <f>SUM(AS$87:AS$94)+SUM(AU$87:AU$94)+SUM(AW$87:AW$94)+SUM(AY$87:AY$94)</f>
        <v>403463.84424364573</v>
      </c>
      <c r="J136" s="112">
        <f>SUM(BA$87:BA$94)+SUM(BC$87:BC$94)+SUM(BE$87:BE$94)+SUM(BG$87:BG$94)</f>
        <v>419918.61474097217</v>
      </c>
      <c r="K136" s="112">
        <f>SUM(BI$87:BI$94)+SUM(BK$87:BK$94)+SUM(BM$87:BM$94)+SUM(BO$87:BO$94)</f>
        <v>656043.48963172175</v>
      </c>
      <c r="L136" s="112">
        <f>SUM(BQ$87:BQ$94)+SUM(BS$87:BS$94)+SUM(BU$87:BU$94)+SUM(BW$87:BW$94)</f>
        <v>906601.18298704131</v>
      </c>
      <c r="M136" s="112">
        <f>SUM(BY$87:BY$94)+SUM(CA$87:CA$94)+SUM(CC$87:CC$94)+SUM(CE$87:CE$94)</f>
        <v>203012.40134799684</v>
      </c>
      <c r="N136" s="112">
        <f>SUM(CG$87:CG$94)+SUM(CI$87:CI$94)+SUM(CK$87:CK$94)+SUM(CM$87:CM$94)</f>
        <v>181238.67063311997</v>
      </c>
      <c r="O136" s="112">
        <f>SUM(CO$87:CO$94)+SUM(CQ$87:CQ$94)+SUM(CS$87:CS$94)+SUM(CU$87:CU$94)</f>
        <v>206381.33777664125</v>
      </c>
    </row>
    <row r="137" spans="2:15" x14ac:dyDescent="0.2">
      <c r="C137" s="111" t="s">
        <v>132</v>
      </c>
      <c r="D137" s="112">
        <f>SUM(E$95:E$105)+SUM(G$95:G$105)+SUM(I$95:I$105)+SUM(K$95:K$105)</f>
        <v>556430.61119246203</v>
      </c>
      <c r="E137" s="112">
        <f>SUM(M$95:M$105)+SUM(O$95:O$105)+SUM(Q$95:Q$105)+SUM(S$95:S$105)</f>
        <v>810244.61646152101</v>
      </c>
      <c r="F137" s="112">
        <f>SUM(U$95:U$105)+SUM(W$95:W$105)+SUM(Y$95:Y$105)+SUM(AA$95:AA$105)</f>
        <v>54672.320104881561</v>
      </c>
      <c r="G137" s="112">
        <f>SUM(AC$95:AC$105)+SUM(AE$95:AE$105)+SUM(AG$95:AG$105)+SUM(AI$95:AI$105)</f>
        <v>467322.40090060892</v>
      </c>
      <c r="H137" s="112">
        <f>SUM(AK$95:AK$105)+SUM(AM$95:AM$105)+SUM(AO$95:AO$105)+SUM(AQ$95:AQ$105)</f>
        <v>377152.91037871264</v>
      </c>
      <c r="I137" s="112">
        <f>SUM(AS$95:AS$105)+SUM(AU$95:AU$105)+SUM(AW$95:AW$105)+SUM(AY$95:AY$105)</f>
        <v>183699.74404771245</v>
      </c>
      <c r="J137" s="112">
        <f>SUM(BA$95:BA$105)+SUM(BC$95:BC$105)+SUM(BE$95:BE$105)+SUM(BG$95:BG$105)</f>
        <v>679906.47166822141</v>
      </c>
      <c r="K137" s="112">
        <f>SUM(BI$95:BI$105)+SUM(BK$95:BK$105)+SUM(BM$95:BM$105)+SUM(BO$95:BO$105)</f>
        <v>870030.65969211538</v>
      </c>
      <c r="L137" s="112">
        <f>SUM(BQ$95:BQ$105)+SUM(BS$95:BS$105)+SUM(BU$95:BU$105)+SUM(BW$95:BW$105)</f>
        <v>411601.23503111245</v>
      </c>
      <c r="M137" s="112">
        <f>SUM(BY$95:BY$105)+SUM(CA$95:CA$105)+SUM(CC$95:CC$105)+SUM(CE$95:CE$105)</f>
        <v>266609.27246034634</v>
      </c>
      <c r="N137" s="112">
        <f>SUM(CG$95:CG$105)+SUM(CI$95:CI$105)+SUM(CK$95:CK$105)+SUM(CM$95:CM$105)</f>
        <v>280666.7362165798</v>
      </c>
      <c r="O137" s="112">
        <f>SUM(CO$95:CO$105)+SUM(CQ$95:CQ$105)+SUM(CS$95:CS$105)+SUM(CU$95:CU$105)</f>
        <v>415529.90859867295</v>
      </c>
    </row>
    <row r="138" spans="2:15" x14ac:dyDescent="0.2">
      <c r="C138" s="111" t="s">
        <v>277</v>
      </c>
      <c r="D138" s="106">
        <f t="shared" ref="D138:O138" si="2">SUM(D$131:D$137)</f>
        <v>2427472.3624607376</v>
      </c>
      <c r="E138" s="106">
        <f t="shared" si="2"/>
        <v>1909806.9325042474</v>
      </c>
      <c r="F138" s="106">
        <f t="shared" si="2"/>
        <v>559588.56642801978</v>
      </c>
      <c r="G138" s="106">
        <f t="shared" si="2"/>
        <v>7137033.4857442006</v>
      </c>
      <c r="H138" s="106">
        <f t="shared" si="2"/>
        <v>6261074.7325367173</v>
      </c>
      <c r="I138" s="106">
        <f t="shared" si="2"/>
        <v>6928384.7338280473</v>
      </c>
      <c r="J138" s="106">
        <f t="shared" si="2"/>
        <v>1697410.3139506048</v>
      </c>
      <c r="K138" s="106">
        <f t="shared" si="2"/>
        <v>7091838.0317312712</v>
      </c>
      <c r="L138" s="106">
        <f t="shared" si="2"/>
        <v>6963204.2109466409</v>
      </c>
      <c r="M138" s="106">
        <f t="shared" si="2"/>
        <v>5177296.5717309602</v>
      </c>
      <c r="N138" s="106">
        <f t="shared" si="2"/>
        <v>4036185.2683574781</v>
      </c>
      <c r="O138" s="106">
        <f t="shared" si="2"/>
        <v>4480587.5417095125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0.48043146032747935</v>
      </c>
      <c r="M6" s="106">
        <v>277.88155665341407</v>
      </c>
      <c r="N6" s="106">
        <v>0.1407648069335572</v>
      </c>
      <c r="O6" s="106">
        <v>81.418364330369485</v>
      </c>
      <c r="P6" s="106">
        <v>0.12720957473165556</v>
      </c>
      <c r="Q6" s="106">
        <v>73.578018024789571</v>
      </c>
      <c r="R6" s="106">
        <v>0.11178298862492375</v>
      </c>
      <c r="S6" s="106">
        <v>64.655280620655901</v>
      </c>
      <c r="T6" s="106">
        <v>0</v>
      </c>
      <c r="U6" s="106">
        <v>0</v>
      </c>
      <c r="V6" s="106">
        <v>0.17717264960721249</v>
      </c>
      <c r="W6" s="106">
        <v>102.47666053281171</v>
      </c>
      <c r="X6" s="106">
        <v>5.4854459568214081E-2</v>
      </c>
      <c r="Y6" s="106">
        <v>31.727819414255023</v>
      </c>
      <c r="Z6" s="106">
        <v>4.8250029095805551E-2</v>
      </c>
      <c r="AA6" s="106">
        <v>27.907816829013928</v>
      </c>
      <c r="AB6" s="106">
        <v>0</v>
      </c>
      <c r="AC6" s="106">
        <v>0</v>
      </c>
      <c r="AD6" s="106">
        <v>9.3079271347109929E-2</v>
      </c>
      <c r="AE6" s="106">
        <v>53.837050547168381</v>
      </c>
      <c r="AF6" s="106">
        <v>0.82098261924147131</v>
      </c>
      <c r="AG6" s="106">
        <v>474.85634696926701</v>
      </c>
      <c r="AH6" s="106">
        <v>8.6181105543918238E-2</v>
      </c>
      <c r="AI6" s="106">
        <v>49.847151446602304</v>
      </c>
      <c r="AJ6" s="106">
        <v>0</v>
      </c>
      <c r="AK6" s="106">
        <v>0</v>
      </c>
      <c r="AL6" s="106">
        <v>3.9339295470460645</v>
      </c>
      <c r="AM6" s="106">
        <v>2275.3848500114436</v>
      </c>
      <c r="AN6" s="106">
        <v>1.7252286420831957</v>
      </c>
      <c r="AO6" s="106">
        <v>997.87224658092032</v>
      </c>
      <c r="AP6" s="106">
        <v>0</v>
      </c>
      <c r="AQ6" s="106">
        <v>0</v>
      </c>
      <c r="AR6" s="106">
        <v>4.1438837833355819</v>
      </c>
      <c r="AS6" s="106">
        <v>2396.8223802813004</v>
      </c>
      <c r="AT6" s="106">
        <v>0</v>
      </c>
      <c r="AU6" s="106">
        <v>0</v>
      </c>
      <c r="AV6" s="106">
        <v>3.5661222329117028</v>
      </c>
      <c r="AW6" s="106">
        <v>2062.645099516129</v>
      </c>
      <c r="AX6" s="106">
        <v>1.2685170767977541</v>
      </c>
      <c r="AY6" s="106">
        <v>733.71027721982091</v>
      </c>
      <c r="AZ6" s="106">
        <v>1.6105045022136939</v>
      </c>
      <c r="BA6" s="106">
        <v>931.51580408040047</v>
      </c>
      <c r="BB6" s="106">
        <v>0</v>
      </c>
      <c r="BC6" s="106">
        <v>0</v>
      </c>
      <c r="BD6" s="106">
        <v>1.1228889508483615</v>
      </c>
      <c r="BE6" s="106">
        <v>649.47896917069227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3.0602737205638437</v>
      </c>
      <c r="BM6" s="106">
        <v>1770.0623199741271</v>
      </c>
      <c r="BN6" s="106">
        <v>5.3069164895634415</v>
      </c>
      <c r="BO6" s="106">
        <v>3069.5204975634942</v>
      </c>
      <c r="BP6" s="106">
        <v>3.9255632919225323</v>
      </c>
      <c r="BQ6" s="106">
        <v>2270.5458080479925</v>
      </c>
      <c r="BR6" s="106">
        <v>3.1191993160843685</v>
      </c>
      <c r="BS6" s="106">
        <v>1804.1448844231986</v>
      </c>
      <c r="BT6" s="106">
        <v>2.3495431508091786</v>
      </c>
      <c r="BU6" s="106">
        <v>1358.9757584280289</v>
      </c>
      <c r="BV6" s="106">
        <v>0</v>
      </c>
      <c r="BW6" s="106">
        <v>0</v>
      </c>
      <c r="BX6" s="106">
        <v>5.1101777203743941</v>
      </c>
      <c r="BY6" s="106">
        <v>2955.7267934645492</v>
      </c>
      <c r="BZ6" s="106">
        <v>1.2557949690335297</v>
      </c>
      <c r="CA6" s="106">
        <v>726.3518100889936</v>
      </c>
      <c r="CB6" s="106">
        <v>0</v>
      </c>
      <c r="CC6" s="106">
        <v>0</v>
      </c>
      <c r="CD6" s="106">
        <v>2.1222385310245824</v>
      </c>
      <c r="CE6" s="106">
        <v>1227.5027663446183</v>
      </c>
      <c r="CF6" s="106">
        <v>0</v>
      </c>
      <c r="CG6" s="106">
        <v>0</v>
      </c>
      <c r="CH6" s="106">
        <v>0</v>
      </c>
      <c r="CI6" s="106">
        <v>0</v>
      </c>
      <c r="CJ6" s="106">
        <v>2.4627787386007922</v>
      </c>
      <c r="CK6" s="106">
        <v>1424.4712224066982</v>
      </c>
      <c r="CL6" s="106">
        <v>1.6540741657875138</v>
      </c>
      <c r="CM6" s="106">
        <v>956.71649749149788</v>
      </c>
      <c r="CN6" s="106">
        <v>3.7030340217472246</v>
      </c>
      <c r="CO6" s="106">
        <v>2141.8348781785949</v>
      </c>
      <c r="CP6" s="106">
        <v>0</v>
      </c>
      <c r="CQ6" s="106">
        <v>0</v>
      </c>
      <c r="CR6" s="106">
        <v>0</v>
      </c>
      <c r="CS6" s="106">
        <v>0</v>
      </c>
      <c r="CT6" s="106">
        <v>4.9299601879824957</v>
      </c>
      <c r="CU6" s="106">
        <v>2851.4889727290756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0.51738772650651621</v>
      </c>
      <c r="M7" s="106">
        <v>407.90848357773734</v>
      </c>
      <c r="N7" s="106">
        <v>0.14780304728023505</v>
      </c>
      <c r="O7" s="106">
        <v>116.52792247573731</v>
      </c>
      <c r="P7" s="106">
        <v>0.13175277382921469</v>
      </c>
      <c r="Q7" s="106">
        <v>103.87388688695286</v>
      </c>
      <c r="R7" s="106">
        <v>9.6539853812434143E-2</v>
      </c>
      <c r="S7" s="106">
        <v>76.112020745723072</v>
      </c>
      <c r="T7" s="106">
        <v>0</v>
      </c>
      <c r="U7" s="106">
        <v>0</v>
      </c>
      <c r="V7" s="106">
        <v>0.15945538464649123</v>
      </c>
      <c r="W7" s="106">
        <v>125.71462525529368</v>
      </c>
      <c r="X7" s="106">
        <v>6.5302928057397708E-2</v>
      </c>
      <c r="Y7" s="106">
        <v>51.48482848045235</v>
      </c>
      <c r="Z7" s="106">
        <v>5.1088266101441175E-2</v>
      </c>
      <c r="AA7" s="106">
        <v>40.277988994376223</v>
      </c>
      <c r="AB7" s="106">
        <v>0</v>
      </c>
      <c r="AC7" s="106">
        <v>0</v>
      </c>
      <c r="AD7" s="106">
        <v>8.9499299372221092E-2</v>
      </c>
      <c r="AE7" s="106">
        <v>70.56124762505911</v>
      </c>
      <c r="AF7" s="106">
        <v>0.78814331447181241</v>
      </c>
      <c r="AG7" s="106">
        <v>621.3721891295769</v>
      </c>
      <c r="AH7" s="106">
        <v>7.5734910932534205E-2</v>
      </c>
      <c r="AI7" s="106">
        <v>59.709403779209964</v>
      </c>
      <c r="AJ7" s="106">
        <v>0</v>
      </c>
      <c r="AK7" s="106">
        <v>0</v>
      </c>
      <c r="AL7" s="106">
        <v>3.4421883536653071</v>
      </c>
      <c r="AM7" s="106">
        <v>2713.821298029728</v>
      </c>
      <c r="AN7" s="106">
        <v>1.9408822223435951</v>
      </c>
      <c r="AO7" s="106">
        <v>1530.1915440956902</v>
      </c>
      <c r="AP7" s="106">
        <v>0</v>
      </c>
      <c r="AQ7" s="106">
        <v>0</v>
      </c>
      <c r="AR7" s="106">
        <v>4.1438837833355819</v>
      </c>
      <c r="AS7" s="106">
        <v>3267.0379747817728</v>
      </c>
      <c r="AT7" s="106">
        <v>0</v>
      </c>
      <c r="AU7" s="106">
        <v>0</v>
      </c>
      <c r="AV7" s="106">
        <v>3.3432395933547214</v>
      </c>
      <c r="AW7" s="106">
        <v>2635.8100954008623</v>
      </c>
      <c r="AX7" s="106">
        <v>1.2685170767977541</v>
      </c>
      <c r="AY7" s="106">
        <v>1000.0988633473493</v>
      </c>
      <c r="AZ7" s="106">
        <v>1.4552751526027352</v>
      </c>
      <c r="BA7" s="106">
        <v>1147.3389303119964</v>
      </c>
      <c r="BB7" s="106">
        <v>0</v>
      </c>
      <c r="BC7" s="106">
        <v>0</v>
      </c>
      <c r="BD7" s="106">
        <v>1.0426825972163356</v>
      </c>
      <c r="BE7" s="106">
        <v>822.05095964535894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2.9978191548380511</v>
      </c>
      <c r="BM7" s="106">
        <v>2363.4806216743195</v>
      </c>
      <c r="BN7" s="106">
        <v>5.076180990017205</v>
      </c>
      <c r="BO7" s="106">
        <v>4002.0610925295641</v>
      </c>
      <c r="BP7" s="106">
        <v>3.2045414627939039</v>
      </c>
      <c r="BQ7" s="106">
        <v>2526.4604892667139</v>
      </c>
      <c r="BR7" s="106">
        <v>3.1952773481839873</v>
      </c>
      <c r="BS7" s="106">
        <v>2519.1566613082555</v>
      </c>
      <c r="BT7" s="106">
        <v>2.0884828007192695</v>
      </c>
      <c r="BU7" s="106">
        <v>1646.559840087072</v>
      </c>
      <c r="BV7" s="106">
        <v>0</v>
      </c>
      <c r="BW7" s="106">
        <v>0</v>
      </c>
      <c r="BX7" s="106">
        <v>5.005888379142263</v>
      </c>
      <c r="BY7" s="106">
        <v>3946.64239811576</v>
      </c>
      <c r="BZ7" s="106">
        <v>1.360444549786324</v>
      </c>
      <c r="CA7" s="106">
        <v>1072.5744830515378</v>
      </c>
      <c r="CB7" s="106">
        <v>0</v>
      </c>
      <c r="CC7" s="106">
        <v>0</v>
      </c>
      <c r="CD7" s="106">
        <v>1.9546933838384311</v>
      </c>
      <c r="CE7" s="106">
        <v>1541.080263818219</v>
      </c>
      <c r="CF7" s="106">
        <v>0</v>
      </c>
      <c r="CG7" s="106">
        <v>0</v>
      </c>
      <c r="CH7" s="106">
        <v>0</v>
      </c>
      <c r="CI7" s="106">
        <v>0</v>
      </c>
      <c r="CJ7" s="106">
        <v>2.4627787386007922</v>
      </c>
      <c r="CK7" s="106">
        <v>1941.6547575128645</v>
      </c>
      <c r="CL7" s="106">
        <v>1.5805597584191799</v>
      </c>
      <c r="CM7" s="106">
        <v>1246.1133135376815</v>
      </c>
      <c r="CN7" s="106">
        <v>3.9773328381729449</v>
      </c>
      <c r="CO7" s="106">
        <v>3135.7292096155497</v>
      </c>
      <c r="CP7" s="106">
        <v>0</v>
      </c>
      <c r="CQ7" s="106">
        <v>0</v>
      </c>
      <c r="CR7" s="106">
        <v>0</v>
      </c>
      <c r="CS7" s="106">
        <v>0</v>
      </c>
      <c r="CT7" s="106">
        <v>4.4243232456253168</v>
      </c>
      <c r="CU7" s="106">
        <v>3488.1364468509996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0.59130025886458992</v>
      </c>
      <c r="M8" s="106">
        <v>183.06656014447702</v>
      </c>
      <c r="N8" s="106">
        <v>0.1407648069335572</v>
      </c>
      <c r="O8" s="106">
        <v>43.580784226629305</v>
      </c>
      <c r="P8" s="106">
        <v>0.14992557021945122</v>
      </c>
      <c r="Q8" s="106">
        <v>46.416956539942092</v>
      </c>
      <c r="R8" s="106">
        <v>9.6539853812434143E-2</v>
      </c>
      <c r="S8" s="106">
        <v>29.888738740329607</v>
      </c>
      <c r="T8" s="106">
        <v>0</v>
      </c>
      <c r="U8" s="106">
        <v>0</v>
      </c>
      <c r="V8" s="106">
        <v>0.15945538464649123</v>
      </c>
      <c r="W8" s="106">
        <v>49.367387086553677</v>
      </c>
      <c r="X8" s="106">
        <v>5.7466576690509988E-2</v>
      </c>
      <c r="Y8" s="106">
        <v>17.791652143381889</v>
      </c>
      <c r="Z8" s="106">
        <v>5.1088266101441175E-2</v>
      </c>
      <c r="AA8" s="106">
        <v>15.816927185006186</v>
      </c>
      <c r="AB8" s="106">
        <v>0</v>
      </c>
      <c r="AC8" s="106">
        <v>0</v>
      </c>
      <c r="AD8" s="106">
        <v>0.10023921529688762</v>
      </c>
      <c r="AE8" s="106">
        <v>31.034061055916403</v>
      </c>
      <c r="AF8" s="106">
        <v>0.85382192401113011</v>
      </c>
      <c r="AG8" s="106">
        <v>264.34326767384584</v>
      </c>
      <c r="AH8" s="106">
        <v>8.3569556891072233E-2</v>
      </c>
      <c r="AI8" s="106">
        <v>25.873134813475961</v>
      </c>
      <c r="AJ8" s="106">
        <v>0</v>
      </c>
      <c r="AK8" s="106">
        <v>0</v>
      </c>
      <c r="AL8" s="106">
        <v>3.9339295470460645</v>
      </c>
      <c r="AM8" s="106">
        <v>1217.9445877654614</v>
      </c>
      <c r="AN8" s="106">
        <v>1.8330554322133954</v>
      </c>
      <c r="AO8" s="106">
        <v>567.5139618132672</v>
      </c>
      <c r="AP8" s="106">
        <v>0</v>
      </c>
      <c r="AQ8" s="106">
        <v>0</v>
      </c>
      <c r="AR8" s="106">
        <v>4.6313995225515328</v>
      </c>
      <c r="AS8" s="106">
        <v>1433.8812921819544</v>
      </c>
      <c r="AT8" s="106">
        <v>0</v>
      </c>
      <c r="AU8" s="106">
        <v>0</v>
      </c>
      <c r="AV8" s="106">
        <v>3.5661222329117028</v>
      </c>
      <c r="AW8" s="106">
        <v>1104.0714433094631</v>
      </c>
      <c r="AX8" s="106">
        <v>1.3742268331975669</v>
      </c>
      <c r="AY8" s="106">
        <v>425.46062755796669</v>
      </c>
      <c r="AZ8" s="106">
        <v>1.6299081709150636</v>
      </c>
      <c r="BA8" s="106">
        <v>504.61956971530361</v>
      </c>
      <c r="BB8" s="106">
        <v>0</v>
      </c>
      <c r="BC8" s="106">
        <v>0</v>
      </c>
      <c r="BD8" s="106">
        <v>1.0827857740323485</v>
      </c>
      <c r="BE8" s="106">
        <v>335.23047564041508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2.9978191548380511</v>
      </c>
      <c r="BM8" s="106">
        <v>928.12481033786048</v>
      </c>
      <c r="BN8" s="106">
        <v>5.1915487397903233</v>
      </c>
      <c r="BO8" s="106">
        <v>1607.3034898390838</v>
      </c>
      <c r="BP8" s="106">
        <v>3.3647685359335995</v>
      </c>
      <c r="BQ8" s="106">
        <v>1041.7323387250424</v>
      </c>
      <c r="BR8" s="106">
        <v>3.1952773481839873</v>
      </c>
      <c r="BS8" s="106">
        <v>989.25786699776233</v>
      </c>
      <c r="BT8" s="106">
        <v>2.480073325854133</v>
      </c>
      <c r="BU8" s="106">
        <v>767.83070168443953</v>
      </c>
      <c r="BV8" s="106">
        <v>0</v>
      </c>
      <c r="BW8" s="106">
        <v>0</v>
      </c>
      <c r="BX8" s="106">
        <v>5.5273350853029157</v>
      </c>
      <c r="BY8" s="106">
        <v>1711.2629424097825</v>
      </c>
      <c r="BZ8" s="106">
        <v>1.4127693401627208</v>
      </c>
      <c r="CA8" s="106">
        <v>437.39338771437832</v>
      </c>
      <c r="CB8" s="106">
        <v>0</v>
      </c>
      <c r="CC8" s="106">
        <v>0</v>
      </c>
      <c r="CD8" s="106">
        <v>2.1780869134199659</v>
      </c>
      <c r="CE8" s="106">
        <v>674.33570839482138</v>
      </c>
      <c r="CF8" s="106">
        <v>0</v>
      </c>
      <c r="CG8" s="106">
        <v>0</v>
      </c>
      <c r="CH8" s="106">
        <v>0</v>
      </c>
      <c r="CI8" s="106">
        <v>0</v>
      </c>
      <c r="CJ8" s="106">
        <v>2.9553344863209507</v>
      </c>
      <c r="CK8" s="106">
        <v>914.97155696496623</v>
      </c>
      <c r="CL8" s="106">
        <v>1.7275885731558478</v>
      </c>
      <c r="CM8" s="106">
        <v>534.86142224905041</v>
      </c>
      <c r="CN8" s="106">
        <v>4.2516316545986657</v>
      </c>
      <c r="CO8" s="106">
        <v>1316.3051602637468</v>
      </c>
      <c r="CP8" s="106">
        <v>0</v>
      </c>
      <c r="CQ8" s="106">
        <v>0</v>
      </c>
      <c r="CR8" s="106">
        <v>0</v>
      </c>
      <c r="CS8" s="106">
        <v>0</v>
      </c>
      <c r="CT8" s="106">
        <v>4.8667555701878484</v>
      </c>
      <c r="CU8" s="106">
        <v>1506.7475245301578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0.51738772650651621</v>
      </c>
      <c r="M9" s="106">
        <v>363.20618400757439</v>
      </c>
      <c r="N9" s="106">
        <v>0.1407648069335572</v>
      </c>
      <c r="O9" s="106">
        <v>98.816894467357145</v>
      </c>
      <c r="P9" s="106">
        <v>0.12720957473165556</v>
      </c>
      <c r="Q9" s="106">
        <v>89.301121461622202</v>
      </c>
      <c r="R9" s="106">
        <v>0.10162089874993069</v>
      </c>
      <c r="S9" s="106">
        <v>71.337870922451344</v>
      </c>
      <c r="T9" s="106">
        <v>0</v>
      </c>
      <c r="U9" s="106">
        <v>0</v>
      </c>
      <c r="V9" s="106">
        <v>0.17126689462030539</v>
      </c>
      <c r="W9" s="106">
        <v>120.22936002345439</v>
      </c>
      <c r="X9" s="106">
        <v>5.4854459568214081E-2</v>
      </c>
      <c r="Y9" s="106">
        <v>38.507830616886288</v>
      </c>
      <c r="Z9" s="106">
        <v>5.1088266101441175E-2</v>
      </c>
      <c r="AA9" s="106">
        <v>35.863962803211706</v>
      </c>
      <c r="AB9" s="106">
        <v>0</v>
      </c>
      <c r="AC9" s="106">
        <v>0</v>
      </c>
      <c r="AD9" s="106">
        <v>8.2339355422443403E-2</v>
      </c>
      <c r="AE9" s="106">
        <v>57.802227506555269</v>
      </c>
      <c r="AF9" s="106">
        <v>0.91950053355044792</v>
      </c>
      <c r="AG9" s="106">
        <v>645.48937455241446</v>
      </c>
      <c r="AH9" s="106">
        <v>8.3569556891072233E-2</v>
      </c>
      <c r="AI9" s="106">
        <v>58.665828937532709</v>
      </c>
      <c r="AJ9" s="106">
        <v>0</v>
      </c>
      <c r="AK9" s="106">
        <v>0</v>
      </c>
      <c r="AL9" s="106">
        <v>3.6880589503556855</v>
      </c>
      <c r="AM9" s="106">
        <v>2589.0173831496913</v>
      </c>
      <c r="AN9" s="106">
        <v>1.8330554322133954</v>
      </c>
      <c r="AO9" s="106">
        <v>1286.8049134138037</v>
      </c>
      <c r="AP9" s="106">
        <v>0</v>
      </c>
      <c r="AQ9" s="106">
        <v>0</v>
      </c>
      <c r="AR9" s="106">
        <v>4.6313995225515328</v>
      </c>
      <c r="AS9" s="106">
        <v>3251.2424648311762</v>
      </c>
      <c r="AT9" s="106">
        <v>0</v>
      </c>
      <c r="AU9" s="106">
        <v>0</v>
      </c>
      <c r="AV9" s="106">
        <v>3.12035695379774</v>
      </c>
      <c r="AW9" s="106">
        <v>2190.4905815660136</v>
      </c>
      <c r="AX9" s="106">
        <v>1.3742268331975669</v>
      </c>
      <c r="AY9" s="106">
        <v>964.70723690469197</v>
      </c>
      <c r="AZ9" s="106">
        <v>1.494082490005475</v>
      </c>
      <c r="BA9" s="106">
        <v>1048.8459079838435</v>
      </c>
      <c r="BB9" s="106">
        <v>0</v>
      </c>
      <c r="BC9" s="106">
        <v>0</v>
      </c>
      <c r="BD9" s="106">
        <v>1.0426825972163356</v>
      </c>
      <c r="BE9" s="106">
        <v>731.96318324586764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2.4981826290317093</v>
      </c>
      <c r="BM9" s="106">
        <v>1753.7242055802599</v>
      </c>
      <c r="BN9" s="106">
        <v>5.1338648649037637</v>
      </c>
      <c r="BO9" s="106">
        <v>3603.9731351624423</v>
      </c>
      <c r="BP9" s="106">
        <v>3.9255632919225323</v>
      </c>
      <c r="BQ9" s="106">
        <v>2755.7454309296177</v>
      </c>
      <c r="BR9" s="106">
        <v>3.4235114444828434</v>
      </c>
      <c r="BS9" s="106">
        <v>2403.305034026956</v>
      </c>
      <c r="BT9" s="106">
        <v>2.0884828007192695</v>
      </c>
      <c r="BU9" s="106">
        <v>1466.1149261049272</v>
      </c>
      <c r="BV9" s="106">
        <v>0</v>
      </c>
      <c r="BW9" s="106">
        <v>0</v>
      </c>
      <c r="BX9" s="106">
        <v>5.1101777203743941</v>
      </c>
      <c r="BY9" s="106">
        <v>3587.3447597028248</v>
      </c>
      <c r="BZ9" s="106">
        <v>1.4650941305391181</v>
      </c>
      <c r="CA9" s="106">
        <v>1028.496079638461</v>
      </c>
      <c r="CB9" s="106">
        <v>0</v>
      </c>
      <c r="CC9" s="106">
        <v>0</v>
      </c>
      <c r="CD9" s="106">
        <v>1.731299854256896</v>
      </c>
      <c r="CE9" s="106">
        <v>1215.3724976883411</v>
      </c>
      <c r="CF9" s="106">
        <v>0</v>
      </c>
      <c r="CG9" s="106">
        <v>0</v>
      </c>
      <c r="CH9" s="106">
        <v>0</v>
      </c>
      <c r="CI9" s="106">
        <v>0</v>
      </c>
      <c r="CJ9" s="106">
        <v>2.380686113980766</v>
      </c>
      <c r="CK9" s="106">
        <v>1671.2416520144977</v>
      </c>
      <c r="CL9" s="106">
        <v>1.4702881473666789</v>
      </c>
      <c r="CM9" s="106">
        <v>1032.1422794514085</v>
      </c>
      <c r="CN9" s="106">
        <v>3.7716087258536546</v>
      </c>
      <c r="CO9" s="106">
        <v>2647.6693255492655</v>
      </c>
      <c r="CP9" s="106">
        <v>0</v>
      </c>
      <c r="CQ9" s="106">
        <v>0</v>
      </c>
      <c r="CR9" s="106">
        <v>0</v>
      </c>
      <c r="CS9" s="106">
        <v>0</v>
      </c>
      <c r="CT9" s="106">
        <v>5.245983276955732</v>
      </c>
      <c r="CU9" s="106">
        <v>3682.6802604229238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0.55434399268555312</v>
      </c>
      <c r="M10" s="106">
        <v>302.00660721508933</v>
      </c>
      <c r="N10" s="106">
        <v>0.14780304728023505</v>
      </c>
      <c r="O10" s="106">
        <v>80.523100158272044</v>
      </c>
      <c r="P10" s="106">
        <v>0.14083917202433296</v>
      </c>
      <c r="Q10" s="106">
        <v>76.729180918856599</v>
      </c>
      <c r="R10" s="106">
        <v>9.6539853812434143E-2</v>
      </c>
      <c r="S10" s="106">
        <v>52.594912357014117</v>
      </c>
      <c r="T10" s="106">
        <v>0</v>
      </c>
      <c r="U10" s="106">
        <v>0</v>
      </c>
      <c r="V10" s="106">
        <v>0.17126689462030539</v>
      </c>
      <c r="W10" s="106">
        <v>93.306204189142377</v>
      </c>
      <c r="X10" s="106">
        <v>6.5302928057397708E-2</v>
      </c>
      <c r="Y10" s="106">
        <v>35.577035205670271</v>
      </c>
      <c r="Z10" s="106">
        <v>4.5411792090169927E-2</v>
      </c>
      <c r="AA10" s="106">
        <v>24.740344330724575</v>
      </c>
      <c r="AB10" s="106">
        <v>0</v>
      </c>
      <c r="AC10" s="106">
        <v>0</v>
      </c>
      <c r="AD10" s="106">
        <v>8.5919327397332254E-2</v>
      </c>
      <c r="AE10" s="106">
        <v>46.808849566066606</v>
      </c>
      <c r="AF10" s="106">
        <v>0.91950053355044792</v>
      </c>
      <c r="AG10" s="106">
        <v>500.94389067828399</v>
      </c>
      <c r="AH10" s="106">
        <v>8.0958008238226228E-2</v>
      </c>
      <c r="AI10" s="106">
        <v>44.105922888185646</v>
      </c>
      <c r="AJ10" s="106">
        <v>0</v>
      </c>
      <c r="AK10" s="106">
        <v>0</v>
      </c>
      <c r="AL10" s="106">
        <v>3.6880589503556855</v>
      </c>
      <c r="AM10" s="106">
        <v>2009.2545161537773</v>
      </c>
      <c r="AN10" s="106">
        <v>1.8330554322133954</v>
      </c>
      <c r="AO10" s="106">
        <v>998.64859946985769</v>
      </c>
      <c r="AP10" s="106">
        <v>0</v>
      </c>
      <c r="AQ10" s="106">
        <v>0</v>
      </c>
      <c r="AR10" s="106">
        <v>4.6313995225515328</v>
      </c>
      <c r="AS10" s="106">
        <v>2523.1864598860748</v>
      </c>
      <c r="AT10" s="106">
        <v>0</v>
      </c>
      <c r="AU10" s="106">
        <v>0</v>
      </c>
      <c r="AV10" s="106">
        <v>3.5661222329117028</v>
      </c>
      <c r="AW10" s="106">
        <v>1942.8233924902956</v>
      </c>
      <c r="AX10" s="106">
        <v>1.2685170767977541</v>
      </c>
      <c r="AY10" s="106">
        <v>691.08810343941639</v>
      </c>
      <c r="AZ10" s="106">
        <v>1.6493118396164332</v>
      </c>
      <c r="BA10" s="106">
        <v>898.54509022303273</v>
      </c>
      <c r="BB10" s="106">
        <v>0</v>
      </c>
      <c r="BC10" s="106">
        <v>0</v>
      </c>
      <c r="BD10" s="106">
        <v>1.1028373624403549</v>
      </c>
      <c r="BE10" s="106">
        <v>600.82579505750527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3.0602737205638437</v>
      </c>
      <c r="BM10" s="106">
        <v>1667.2371229631819</v>
      </c>
      <c r="BN10" s="106">
        <v>5.1338648649037637</v>
      </c>
      <c r="BO10" s="106">
        <v>2796.9295783995703</v>
      </c>
      <c r="BP10" s="106">
        <v>3.5249956090732941</v>
      </c>
      <c r="BQ10" s="106">
        <v>1920.4176078231305</v>
      </c>
      <c r="BR10" s="106">
        <v>3.2713553802836057</v>
      </c>
      <c r="BS10" s="106">
        <v>1782.2344111785083</v>
      </c>
      <c r="BT10" s="106">
        <v>2.5453384133766099</v>
      </c>
      <c r="BU10" s="106">
        <v>1386.7003676075769</v>
      </c>
      <c r="BV10" s="106">
        <v>0</v>
      </c>
      <c r="BW10" s="106">
        <v>0</v>
      </c>
      <c r="BX10" s="106">
        <v>4.7973096966780018</v>
      </c>
      <c r="BY10" s="106">
        <v>2613.5743227501753</v>
      </c>
      <c r="BZ10" s="106">
        <v>1.4650941305391181</v>
      </c>
      <c r="CA10" s="106">
        <v>798.18328231771147</v>
      </c>
      <c r="CB10" s="106">
        <v>0</v>
      </c>
      <c r="CC10" s="106">
        <v>0</v>
      </c>
      <c r="CD10" s="106">
        <v>2.0105417662338145</v>
      </c>
      <c r="CE10" s="106">
        <v>1095.343154244182</v>
      </c>
      <c r="CF10" s="106">
        <v>0</v>
      </c>
      <c r="CG10" s="106">
        <v>0</v>
      </c>
      <c r="CH10" s="106">
        <v>0</v>
      </c>
      <c r="CI10" s="106">
        <v>0</v>
      </c>
      <c r="CJ10" s="106">
        <v>2.4627787386007922</v>
      </c>
      <c r="CK10" s="106">
        <v>1341.7218567897114</v>
      </c>
      <c r="CL10" s="106">
        <v>1.5438025547350132</v>
      </c>
      <c r="CM10" s="106">
        <v>841.06363181963513</v>
      </c>
      <c r="CN10" s="106">
        <v>3.908758134066515</v>
      </c>
      <c r="CO10" s="106">
        <v>2129.4914314394373</v>
      </c>
      <c r="CP10" s="106">
        <v>0</v>
      </c>
      <c r="CQ10" s="106">
        <v>0</v>
      </c>
      <c r="CR10" s="106">
        <v>0</v>
      </c>
      <c r="CS10" s="106">
        <v>0</v>
      </c>
      <c r="CT10" s="106">
        <v>4.9931648057771429</v>
      </c>
      <c r="CU10" s="106">
        <v>2720.2761861873873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0.49890959341699775</v>
      </c>
      <c r="M11" s="106">
        <v>265.81903137257638</v>
      </c>
      <c r="N11" s="106">
        <v>0.12668832624020146</v>
      </c>
      <c r="O11" s="106">
        <v>67.499540220779338</v>
      </c>
      <c r="P11" s="106">
        <v>0.14538237112189206</v>
      </c>
      <c r="Q11" s="106">
        <v>77.459727333744084</v>
      </c>
      <c r="R11" s="106">
        <v>0.10162089874993069</v>
      </c>
      <c r="S11" s="106">
        <v>54.143614853963065</v>
      </c>
      <c r="T11" s="106">
        <v>0</v>
      </c>
      <c r="U11" s="106">
        <v>0</v>
      </c>
      <c r="V11" s="106">
        <v>0.17126689462030539</v>
      </c>
      <c r="W11" s="106">
        <v>91.251001453698706</v>
      </c>
      <c r="X11" s="106">
        <v>6.5302928057397708E-2</v>
      </c>
      <c r="Y11" s="106">
        <v>34.793400068981498</v>
      </c>
      <c r="Z11" s="106">
        <v>5.1088266101441175E-2</v>
      </c>
      <c r="AA11" s="106">
        <v>27.219828178847855</v>
      </c>
      <c r="AB11" s="106">
        <v>0</v>
      </c>
      <c r="AC11" s="106">
        <v>0</v>
      </c>
      <c r="AD11" s="106">
        <v>8.5919327397332254E-2</v>
      </c>
      <c r="AE11" s="106">
        <v>45.777817637298618</v>
      </c>
      <c r="AF11" s="106">
        <v>0.88666122878078901</v>
      </c>
      <c r="AG11" s="106">
        <v>472.41310269440436</v>
      </c>
      <c r="AH11" s="106">
        <v>8.6181105543918238E-2</v>
      </c>
      <c r="AI11" s="106">
        <v>45.917293033799631</v>
      </c>
      <c r="AJ11" s="106">
        <v>0</v>
      </c>
      <c r="AK11" s="106">
        <v>0</v>
      </c>
      <c r="AL11" s="106">
        <v>3.9339295470460645</v>
      </c>
      <c r="AM11" s="106">
        <v>2095.9976626661428</v>
      </c>
      <c r="AN11" s="106">
        <v>2.048709012473795</v>
      </c>
      <c r="AO11" s="106">
        <v>1091.552161846038</v>
      </c>
      <c r="AP11" s="106">
        <v>0</v>
      </c>
      <c r="AQ11" s="106">
        <v>0</v>
      </c>
      <c r="AR11" s="106">
        <v>4.6313995225515328</v>
      </c>
      <c r="AS11" s="106">
        <v>2467.6096656154564</v>
      </c>
      <c r="AT11" s="106">
        <v>0</v>
      </c>
      <c r="AU11" s="106">
        <v>0</v>
      </c>
      <c r="AV11" s="106">
        <v>3.5661222329117028</v>
      </c>
      <c r="AW11" s="106">
        <v>1900.0299256953551</v>
      </c>
      <c r="AX11" s="106">
        <v>1.1628073203979412</v>
      </c>
      <c r="AY11" s="106">
        <v>619.54374030802308</v>
      </c>
      <c r="AZ11" s="106">
        <v>1.6493118396164332</v>
      </c>
      <c r="BA11" s="106">
        <v>878.75334814763551</v>
      </c>
      <c r="BB11" s="106">
        <v>0</v>
      </c>
      <c r="BC11" s="106">
        <v>0</v>
      </c>
      <c r="BD11" s="106">
        <v>1.0827857740323485</v>
      </c>
      <c r="BE11" s="106">
        <v>576.90826040443528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2.9978191548380511</v>
      </c>
      <c r="BM11" s="106">
        <v>1597.2380456977135</v>
      </c>
      <c r="BN11" s="106">
        <v>4.9031293653575272</v>
      </c>
      <c r="BO11" s="106">
        <v>2612.3873258624903</v>
      </c>
      <c r="BP11" s="106">
        <v>3.7653362187828372</v>
      </c>
      <c r="BQ11" s="106">
        <v>2006.1711373674955</v>
      </c>
      <c r="BR11" s="106">
        <v>3.1952773481839873</v>
      </c>
      <c r="BS11" s="106">
        <v>1702.4437711124283</v>
      </c>
      <c r="BT11" s="106">
        <v>2.2842780632867012</v>
      </c>
      <c r="BU11" s="106">
        <v>1217.0633521191544</v>
      </c>
      <c r="BV11" s="106">
        <v>0</v>
      </c>
      <c r="BW11" s="106">
        <v>0</v>
      </c>
      <c r="BX11" s="106">
        <v>5.1101777203743941</v>
      </c>
      <c r="BY11" s="106">
        <v>2722.7026894154769</v>
      </c>
      <c r="BZ11" s="106">
        <v>1.360444549786324</v>
      </c>
      <c r="CA11" s="106">
        <v>724.84485612615333</v>
      </c>
      <c r="CB11" s="106">
        <v>0</v>
      </c>
      <c r="CC11" s="106">
        <v>0</v>
      </c>
      <c r="CD11" s="106">
        <v>1.8988450014430474</v>
      </c>
      <c r="CE11" s="106">
        <v>1011.7046167688555</v>
      </c>
      <c r="CF11" s="106">
        <v>0</v>
      </c>
      <c r="CG11" s="106">
        <v>0</v>
      </c>
      <c r="CH11" s="106">
        <v>0</v>
      </c>
      <c r="CI11" s="106">
        <v>0</v>
      </c>
      <c r="CJ11" s="106">
        <v>2.7090566124608713</v>
      </c>
      <c r="CK11" s="106">
        <v>1443.3853631191521</v>
      </c>
      <c r="CL11" s="106">
        <v>1.3967737399983451</v>
      </c>
      <c r="CM11" s="106">
        <v>744.2010486711182</v>
      </c>
      <c r="CN11" s="106">
        <v>4.1144822463858048</v>
      </c>
      <c r="CO11" s="106">
        <v>2192.1961408743568</v>
      </c>
      <c r="CP11" s="106">
        <v>0</v>
      </c>
      <c r="CQ11" s="106">
        <v>0</v>
      </c>
      <c r="CR11" s="106">
        <v>0</v>
      </c>
      <c r="CS11" s="106">
        <v>0</v>
      </c>
      <c r="CT11" s="106">
        <v>5.0563694235717902</v>
      </c>
      <c r="CU11" s="106">
        <v>2694.0336288790495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0.57282212577507152</v>
      </c>
      <c r="M12" s="106">
        <v>322.38429238621023</v>
      </c>
      <c r="N12" s="106">
        <v>0.1407648069335572</v>
      </c>
      <c r="O12" s="106">
        <v>79.222433342205989</v>
      </c>
      <c r="P12" s="106">
        <v>0.14538237112189206</v>
      </c>
      <c r="Q12" s="106">
        <v>81.821198467400848</v>
      </c>
      <c r="R12" s="106">
        <v>0.10162089874993069</v>
      </c>
      <c r="S12" s="106">
        <v>57.192241816460985</v>
      </c>
      <c r="T12" s="106">
        <v>0</v>
      </c>
      <c r="U12" s="106">
        <v>0</v>
      </c>
      <c r="V12" s="106">
        <v>0.15945538464649123</v>
      </c>
      <c r="W12" s="106">
        <v>89.741490479045254</v>
      </c>
      <c r="X12" s="106">
        <v>6.5302928057397708E-2</v>
      </c>
      <c r="Y12" s="106">
        <v>36.752487910703429</v>
      </c>
      <c r="Z12" s="106">
        <v>5.1088266101441175E-2</v>
      </c>
      <c r="AA12" s="106">
        <v>28.752476161891092</v>
      </c>
      <c r="AB12" s="106">
        <v>0</v>
      </c>
      <c r="AC12" s="106">
        <v>0</v>
      </c>
      <c r="AD12" s="106">
        <v>9.6659243321998781E-2</v>
      </c>
      <c r="AE12" s="106">
        <v>54.399822141620909</v>
      </c>
      <c r="AF12" s="106">
        <v>0.95233983832010671</v>
      </c>
      <c r="AG12" s="106">
        <v>535.97686100655596</v>
      </c>
      <c r="AH12" s="106">
        <v>7.8346459585380224E-2</v>
      </c>
      <c r="AI12" s="106">
        <v>44.093387454651989</v>
      </c>
      <c r="AJ12" s="106">
        <v>0</v>
      </c>
      <c r="AK12" s="106">
        <v>0</v>
      </c>
      <c r="AL12" s="106">
        <v>3.9339295470460645</v>
      </c>
      <c r="AM12" s="106">
        <v>2214.0155490775251</v>
      </c>
      <c r="AN12" s="106">
        <v>2.048709012473795</v>
      </c>
      <c r="AO12" s="106">
        <v>1153.0134322202518</v>
      </c>
      <c r="AP12" s="106">
        <v>0</v>
      </c>
      <c r="AQ12" s="106">
        <v>0</v>
      </c>
      <c r="AR12" s="106">
        <v>4.3876416529435573</v>
      </c>
      <c r="AS12" s="106">
        <v>2469.364722276634</v>
      </c>
      <c r="AT12" s="106">
        <v>0</v>
      </c>
      <c r="AU12" s="106">
        <v>0</v>
      </c>
      <c r="AV12" s="106">
        <v>3.3432395933547214</v>
      </c>
      <c r="AW12" s="106">
        <v>1881.5752431400372</v>
      </c>
      <c r="AX12" s="106">
        <v>1.2685170767977541</v>
      </c>
      <c r="AY12" s="106">
        <v>713.92141082177591</v>
      </c>
      <c r="AZ12" s="106">
        <v>1.6105045022136939</v>
      </c>
      <c r="BA12" s="106">
        <v>906.3919338458669</v>
      </c>
      <c r="BB12" s="106">
        <v>0</v>
      </c>
      <c r="BC12" s="106">
        <v>0</v>
      </c>
      <c r="BD12" s="106">
        <v>1.062734185624342</v>
      </c>
      <c r="BE12" s="106">
        <v>598.1067996693796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3.0602737205638437</v>
      </c>
      <c r="BM12" s="106">
        <v>1722.3220499333311</v>
      </c>
      <c r="BN12" s="106">
        <v>5.3646003644500011</v>
      </c>
      <c r="BO12" s="106">
        <v>3019.1970851124602</v>
      </c>
      <c r="BP12" s="106">
        <v>3.6852226822129897</v>
      </c>
      <c r="BQ12" s="106">
        <v>2074.0433255494704</v>
      </c>
      <c r="BR12" s="106">
        <v>3.5756675086820811</v>
      </c>
      <c r="BS12" s="106">
        <v>2012.3856738862751</v>
      </c>
      <c r="BT12" s="106">
        <v>2.2190129757642243</v>
      </c>
      <c r="BU12" s="106">
        <v>1248.8605027601054</v>
      </c>
      <c r="BV12" s="106">
        <v>0</v>
      </c>
      <c r="BW12" s="106">
        <v>0</v>
      </c>
      <c r="BX12" s="106">
        <v>5.1101777203743941</v>
      </c>
      <c r="BY12" s="106">
        <v>2876.0080210267088</v>
      </c>
      <c r="BZ12" s="106">
        <v>1.308119759409927</v>
      </c>
      <c r="CA12" s="106">
        <v>736.20980059590681</v>
      </c>
      <c r="CB12" s="106">
        <v>0</v>
      </c>
      <c r="CC12" s="106">
        <v>0</v>
      </c>
      <c r="CD12" s="106">
        <v>2.0663901486291985</v>
      </c>
      <c r="CE12" s="106">
        <v>1162.9643756485127</v>
      </c>
      <c r="CF12" s="106">
        <v>0</v>
      </c>
      <c r="CG12" s="106">
        <v>0</v>
      </c>
      <c r="CH12" s="106">
        <v>0</v>
      </c>
      <c r="CI12" s="106">
        <v>0</v>
      </c>
      <c r="CJ12" s="106">
        <v>2.380686113980766</v>
      </c>
      <c r="CK12" s="106">
        <v>1339.8501449483749</v>
      </c>
      <c r="CL12" s="106">
        <v>1.5070453510508459</v>
      </c>
      <c r="CM12" s="106">
        <v>848.16512357141596</v>
      </c>
      <c r="CN12" s="106">
        <v>4.3887810628115256</v>
      </c>
      <c r="CO12" s="106">
        <v>2470.0059821503264</v>
      </c>
      <c r="CP12" s="106">
        <v>0</v>
      </c>
      <c r="CQ12" s="106">
        <v>0</v>
      </c>
      <c r="CR12" s="106">
        <v>0</v>
      </c>
      <c r="CS12" s="106">
        <v>0</v>
      </c>
      <c r="CT12" s="106">
        <v>4.5507324812146113</v>
      </c>
      <c r="CU12" s="106">
        <v>2561.1522404275829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0.57282212577507152</v>
      </c>
      <c r="M13" s="106">
        <v>48.804445116036092</v>
      </c>
      <c r="N13" s="106">
        <v>0.1407648069335572</v>
      </c>
      <c r="O13" s="106">
        <v>11.993161550739073</v>
      </c>
      <c r="P13" s="106">
        <v>0.15446876931701034</v>
      </c>
      <c r="Q13" s="106">
        <v>13.160739145809281</v>
      </c>
      <c r="R13" s="106">
        <v>9.6539853812434143E-2</v>
      </c>
      <c r="S13" s="106">
        <v>8.225195544819389</v>
      </c>
      <c r="T13" s="106">
        <v>0</v>
      </c>
      <c r="U13" s="106">
        <v>0</v>
      </c>
      <c r="V13" s="106">
        <v>0.18307840459411956</v>
      </c>
      <c r="W13" s="106">
        <v>15.598280071418987</v>
      </c>
      <c r="X13" s="106">
        <v>7.0527162301989535E-2</v>
      </c>
      <c r="Y13" s="106">
        <v>6.0089142281295089</v>
      </c>
      <c r="Z13" s="106">
        <v>5.3926503107076786E-2</v>
      </c>
      <c r="AA13" s="106">
        <v>4.5945380647229426</v>
      </c>
      <c r="AB13" s="106">
        <v>0</v>
      </c>
      <c r="AC13" s="106">
        <v>0</v>
      </c>
      <c r="AD13" s="106">
        <v>8.5919327397332254E-2</v>
      </c>
      <c r="AE13" s="106">
        <v>7.3203266942527083</v>
      </c>
      <c r="AF13" s="106">
        <v>0.98517914308976551</v>
      </c>
      <c r="AG13" s="106">
        <v>83.937262991248019</v>
      </c>
      <c r="AH13" s="106">
        <v>8.8792654196764242E-2</v>
      </c>
      <c r="AI13" s="106">
        <v>7.5651341375643133</v>
      </c>
      <c r="AJ13" s="106">
        <v>0</v>
      </c>
      <c r="AK13" s="106">
        <v>0</v>
      </c>
      <c r="AL13" s="106">
        <v>3.6880589503556855</v>
      </c>
      <c r="AM13" s="106">
        <v>314.2226225703044</v>
      </c>
      <c r="AN13" s="106">
        <v>1.9408822223435951</v>
      </c>
      <c r="AO13" s="106">
        <v>165.3631653436743</v>
      </c>
      <c r="AP13" s="106">
        <v>0</v>
      </c>
      <c r="AQ13" s="106">
        <v>0</v>
      </c>
      <c r="AR13" s="106">
        <v>4.6313995225515328</v>
      </c>
      <c r="AS13" s="106">
        <v>394.59523932139058</v>
      </c>
      <c r="AT13" s="106">
        <v>0</v>
      </c>
      <c r="AU13" s="106">
        <v>0</v>
      </c>
      <c r="AV13" s="106">
        <v>3.5661222329117028</v>
      </c>
      <c r="AW13" s="106">
        <v>303.83361424407707</v>
      </c>
      <c r="AX13" s="106">
        <v>1.3742268331975669</v>
      </c>
      <c r="AY13" s="106">
        <v>117.08412618843271</v>
      </c>
      <c r="AZ13" s="106">
        <v>1.6105045022136939</v>
      </c>
      <c r="BA13" s="106">
        <v>137.21498358860671</v>
      </c>
      <c r="BB13" s="106">
        <v>0</v>
      </c>
      <c r="BC13" s="106">
        <v>0</v>
      </c>
      <c r="BD13" s="106">
        <v>1.062734185624342</v>
      </c>
      <c r="BE13" s="106">
        <v>90.544952615193935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2.8104554576606726</v>
      </c>
      <c r="BM13" s="106">
        <v>239.45080499268931</v>
      </c>
      <c r="BN13" s="106">
        <v>5.9414391133155915</v>
      </c>
      <c r="BO13" s="106">
        <v>506.2106124544884</v>
      </c>
      <c r="BP13" s="106">
        <v>3.6852226822129897</v>
      </c>
      <c r="BQ13" s="106">
        <v>313.9809725245467</v>
      </c>
      <c r="BR13" s="106">
        <v>3.6517455407816999</v>
      </c>
      <c r="BS13" s="106">
        <v>311.12872007460084</v>
      </c>
      <c r="BT13" s="106">
        <v>2.6106035008990873</v>
      </c>
      <c r="BU13" s="106">
        <v>222.42341827660223</v>
      </c>
      <c r="BV13" s="106">
        <v>0</v>
      </c>
      <c r="BW13" s="106">
        <v>0</v>
      </c>
      <c r="BX13" s="106">
        <v>5.3187564028386545</v>
      </c>
      <c r="BY13" s="106">
        <v>453.15804552185335</v>
      </c>
      <c r="BZ13" s="106">
        <v>1.4127693401627208</v>
      </c>
      <c r="CA13" s="106">
        <v>120.36794778186382</v>
      </c>
      <c r="CB13" s="106">
        <v>0</v>
      </c>
      <c r="CC13" s="106">
        <v>0</v>
      </c>
      <c r="CD13" s="106">
        <v>1.8988450014430474</v>
      </c>
      <c r="CE13" s="106">
        <v>161.78159412294764</v>
      </c>
      <c r="CF13" s="106">
        <v>0</v>
      </c>
      <c r="CG13" s="106">
        <v>0</v>
      </c>
      <c r="CH13" s="106">
        <v>0</v>
      </c>
      <c r="CI13" s="106">
        <v>0</v>
      </c>
      <c r="CJ13" s="106">
        <v>2.4627787386007922</v>
      </c>
      <c r="CK13" s="106">
        <v>209.82874852878751</v>
      </c>
      <c r="CL13" s="106">
        <v>1.690831369471681</v>
      </c>
      <c r="CM13" s="106">
        <v>144.05883267898722</v>
      </c>
      <c r="CN13" s="106">
        <v>4.3202063587050956</v>
      </c>
      <c r="CO13" s="106">
        <v>368.08158176167416</v>
      </c>
      <c r="CP13" s="106">
        <v>0</v>
      </c>
      <c r="CQ13" s="106">
        <v>0</v>
      </c>
      <c r="CR13" s="106">
        <v>0</v>
      </c>
      <c r="CS13" s="106">
        <v>0</v>
      </c>
      <c r="CT13" s="106">
        <v>5.6252109837236173</v>
      </c>
      <c r="CU13" s="106">
        <v>479.26797581325224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0.49890959341699775</v>
      </c>
      <c r="M14" s="106">
        <v>243.66744542486168</v>
      </c>
      <c r="N14" s="106">
        <v>0.12668832624020146</v>
      </c>
      <c r="O14" s="106">
        <v>61.874578535714392</v>
      </c>
      <c r="P14" s="106">
        <v>0.12720957473165556</v>
      </c>
      <c r="Q14" s="106">
        <v>62.129156298940572</v>
      </c>
      <c r="R14" s="106">
        <v>0.10670194368742722</v>
      </c>
      <c r="S14" s="106">
        <v>52.113229296939451</v>
      </c>
      <c r="T14" s="106">
        <v>0</v>
      </c>
      <c r="U14" s="106">
        <v>0</v>
      </c>
      <c r="V14" s="106">
        <v>0.17126689462030539</v>
      </c>
      <c r="W14" s="106">
        <v>83.646751332557145</v>
      </c>
      <c r="X14" s="106">
        <v>5.4854459568214081E-2</v>
      </c>
      <c r="Y14" s="106">
        <v>26.790918053115757</v>
      </c>
      <c r="Z14" s="106">
        <v>5.3926503107076786E-2</v>
      </c>
      <c r="AA14" s="106">
        <v>26.337704117496301</v>
      </c>
      <c r="AB14" s="106">
        <v>0</v>
      </c>
      <c r="AC14" s="106">
        <v>0</v>
      </c>
      <c r="AD14" s="106">
        <v>8.5919327397332254E-2</v>
      </c>
      <c r="AE14" s="106">
        <v>41.962999500857073</v>
      </c>
      <c r="AF14" s="106">
        <v>0.98517914308976551</v>
      </c>
      <c r="AG14" s="106">
        <v>481.16149348504143</v>
      </c>
      <c r="AH14" s="106">
        <v>7.8346459585380224E-2</v>
      </c>
      <c r="AI14" s="106">
        <v>38.264410861499698</v>
      </c>
      <c r="AJ14" s="106">
        <v>0</v>
      </c>
      <c r="AK14" s="106">
        <v>0</v>
      </c>
      <c r="AL14" s="106">
        <v>3.6880589503556855</v>
      </c>
      <c r="AM14" s="106">
        <v>1801.2479913537168</v>
      </c>
      <c r="AN14" s="106">
        <v>2.048709012473795</v>
      </c>
      <c r="AO14" s="106">
        <v>1000.5894816922014</v>
      </c>
      <c r="AP14" s="106">
        <v>0</v>
      </c>
      <c r="AQ14" s="106">
        <v>0</v>
      </c>
      <c r="AR14" s="106">
        <v>4.1438837833355819</v>
      </c>
      <c r="AS14" s="106">
        <v>2023.872839781098</v>
      </c>
      <c r="AT14" s="106">
        <v>0</v>
      </c>
      <c r="AU14" s="106">
        <v>0</v>
      </c>
      <c r="AV14" s="106">
        <v>3.5661222329117028</v>
      </c>
      <c r="AW14" s="106">
        <v>1741.6940985540755</v>
      </c>
      <c r="AX14" s="106">
        <v>1.2685170767977541</v>
      </c>
      <c r="AY14" s="106">
        <v>619.54374030802308</v>
      </c>
      <c r="AZ14" s="106">
        <v>1.4746788213041051</v>
      </c>
      <c r="BA14" s="106">
        <v>720.23313632492489</v>
      </c>
      <c r="BB14" s="106">
        <v>0</v>
      </c>
      <c r="BC14" s="106">
        <v>0</v>
      </c>
      <c r="BD14" s="106">
        <v>1.1028373624403549</v>
      </c>
      <c r="BE14" s="106">
        <v>538.62576781586927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2.8104554576606726</v>
      </c>
      <c r="BM14" s="106">
        <v>1372.6264455214725</v>
      </c>
      <c r="BN14" s="106">
        <v>5.2492326146768828</v>
      </c>
      <c r="BO14" s="106">
        <v>2563.7252090081893</v>
      </c>
      <c r="BP14" s="106">
        <v>3.5249956090732941</v>
      </c>
      <c r="BQ14" s="106">
        <v>1721.6078554713968</v>
      </c>
      <c r="BR14" s="106">
        <v>3.3474334123832246</v>
      </c>
      <c r="BS14" s="106">
        <v>1634.8864786079669</v>
      </c>
      <c r="BT14" s="106">
        <v>2.5453384133766099</v>
      </c>
      <c r="BU14" s="106">
        <v>1243.1432810931362</v>
      </c>
      <c r="BV14" s="106">
        <v>0</v>
      </c>
      <c r="BW14" s="106">
        <v>0</v>
      </c>
      <c r="BX14" s="106">
        <v>5.2144670616065243</v>
      </c>
      <c r="BY14" s="106">
        <v>2546.7457128886263</v>
      </c>
      <c r="BZ14" s="106">
        <v>1.4650941305391181</v>
      </c>
      <c r="CA14" s="106">
        <v>715.55197335530522</v>
      </c>
      <c r="CB14" s="106">
        <v>0</v>
      </c>
      <c r="CC14" s="106">
        <v>0</v>
      </c>
      <c r="CD14" s="106">
        <v>2.1780869134199659</v>
      </c>
      <c r="CE14" s="106">
        <v>1063.7776485143113</v>
      </c>
      <c r="CF14" s="106">
        <v>0</v>
      </c>
      <c r="CG14" s="106">
        <v>0</v>
      </c>
      <c r="CH14" s="106">
        <v>0</v>
      </c>
      <c r="CI14" s="106">
        <v>0</v>
      </c>
      <c r="CJ14" s="106">
        <v>2.7090566124608713</v>
      </c>
      <c r="CK14" s="106">
        <v>1323.1032495258894</v>
      </c>
      <c r="CL14" s="106">
        <v>1.5070453510508459</v>
      </c>
      <c r="CM14" s="106">
        <v>736.04094945323311</v>
      </c>
      <c r="CN14" s="106">
        <v>4.2516316545986657</v>
      </c>
      <c r="CO14" s="106">
        <v>2076.4969001059881</v>
      </c>
      <c r="CP14" s="106">
        <v>0</v>
      </c>
      <c r="CQ14" s="106">
        <v>0</v>
      </c>
      <c r="CR14" s="106">
        <v>0</v>
      </c>
      <c r="CS14" s="106">
        <v>0</v>
      </c>
      <c r="CT14" s="106">
        <v>5.245983276955732</v>
      </c>
      <c r="CU14" s="106">
        <v>2562.1382324651795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0.48043146032747935</v>
      </c>
      <c r="M15" s="106">
        <v>366.66529052193221</v>
      </c>
      <c r="N15" s="106">
        <v>0.12668832624020146</v>
      </c>
      <c r="O15" s="106">
        <v>96.68853058652175</v>
      </c>
      <c r="P15" s="106">
        <v>0.13175277382921469</v>
      </c>
      <c r="Q15" s="106">
        <v>100.55371698645664</v>
      </c>
      <c r="R15" s="106">
        <v>0.10162089874993069</v>
      </c>
      <c r="S15" s="106">
        <v>77.55706992594709</v>
      </c>
      <c r="T15" s="106">
        <v>0</v>
      </c>
      <c r="U15" s="106">
        <v>0</v>
      </c>
      <c r="V15" s="106">
        <v>0.15945538464649123</v>
      </c>
      <c r="W15" s="106">
        <v>121.69634956220209</v>
      </c>
      <c r="X15" s="106">
        <v>6.2690810935101801E-2</v>
      </c>
      <c r="Y15" s="106">
        <v>47.84562690566969</v>
      </c>
      <c r="Z15" s="106">
        <v>5.3926503107076786E-2</v>
      </c>
      <c r="AA15" s="106">
        <v>41.156707171320996</v>
      </c>
      <c r="AB15" s="106">
        <v>0</v>
      </c>
      <c r="AC15" s="106">
        <v>0</v>
      </c>
      <c r="AD15" s="106">
        <v>9.6659243321998781E-2</v>
      </c>
      <c r="AE15" s="106">
        <v>73.77033450334946</v>
      </c>
      <c r="AF15" s="106">
        <v>0.91950053355044792</v>
      </c>
      <c r="AG15" s="106">
        <v>701.76280720570173</v>
      </c>
      <c r="AH15" s="106">
        <v>7.8346459585380224E-2</v>
      </c>
      <c r="AI15" s="106">
        <v>59.794017955562182</v>
      </c>
      <c r="AJ15" s="106">
        <v>0</v>
      </c>
      <c r="AK15" s="106">
        <v>0</v>
      </c>
      <c r="AL15" s="106">
        <v>3.9339295470460645</v>
      </c>
      <c r="AM15" s="106">
        <v>3002.3750303055563</v>
      </c>
      <c r="AN15" s="106">
        <v>1.9408822223435951</v>
      </c>
      <c r="AO15" s="106">
        <v>1481.2813120926317</v>
      </c>
      <c r="AP15" s="106">
        <v>0</v>
      </c>
      <c r="AQ15" s="106">
        <v>0</v>
      </c>
      <c r="AR15" s="106">
        <v>4.6313995225515328</v>
      </c>
      <c r="AS15" s="106">
        <v>3534.6841156113296</v>
      </c>
      <c r="AT15" s="106">
        <v>0</v>
      </c>
      <c r="AU15" s="106">
        <v>0</v>
      </c>
      <c r="AV15" s="106">
        <v>3.5661222329117028</v>
      </c>
      <c r="AW15" s="106">
        <v>2721.6644881582115</v>
      </c>
      <c r="AX15" s="106">
        <v>1.2685170767977541</v>
      </c>
      <c r="AY15" s="106">
        <v>968.13223301204584</v>
      </c>
      <c r="AZ15" s="106">
        <v>1.4552751526027352</v>
      </c>
      <c r="BA15" s="106">
        <v>1110.6659964664075</v>
      </c>
      <c r="BB15" s="106">
        <v>0</v>
      </c>
      <c r="BC15" s="106">
        <v>0</v>
      </c>
      <c r="BD15" s="106">
        <v>1.0827857740323485</v>
      </c>
      <c r="BE15" s="106">
        <v>826.38210274148832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2.560637194757502</v>
      </c>
      <c r="BM15" s="106">
        <v>1954.2783070389253</v>
      </c>
      <c r="BN15" s="106">
        <v>5.3069164895634415</v>
      </c>
      <c r="BO15" s="106">
        <v>4050.2386648348183</v>
      </c>
      <c r="BP15" s="106">
        <v>3.2846549993637515</v>
      </c>
      <c r="BQ15" s="106">
        <v>2506.8486955144149</v>
      </c>
      <c r="BR15" s="106">
        <v>3.1952773481839873</v>
      </c>
      <c r="BS15" s="106">
        <v>2438.6356721340189</v>
      </c>
      <c r="BT15" s="106">
        <v>2.1537478882417469</v>
      </c>
      <c r="BU15" s="106">
        <v>1643.7403883061011</v>
      </c>
      <c r="BV15" s="106">
        <v>0</v>
      </c>
      <c r="BW15" s="106">
        <v>0</v>
      </c>
      <c r="BX15" s="106">
        <v>4.7973096966780018</v>
      </c>
      <c r="BY15" s="106">
        <v>3661.3067605046508</v>
      </c>
      <c r="BZ15" s="106">
        <v>1.2034701786571327</v>
      </c>
      <c r="CA15" s="106">
        <v>918.48844035112359</v>
      </c>
      <c r="CB15" s="106">
        <v>0</v>
      </c>
      <c r="CC15" s="106">
        <v>0</v>
      </c>
      <c r="CD15" s="106">
        <v>1.8988450014430474</v>
      </c>
      <c r="CE15" s="106">
        <v>1449.1985051013337</v>
      </c>
      <c r="CF15" s="106">
        <v>0</v>
      </c>
      <c r="CG15" s="106">
        <v>0</v>
      </c>
      <c r="CH15" s="106">
        <v>0</v>
      </c>
      <c r="CI15" s="106">
        <v>0</v>
      </c>
      <c r="CJ15" s="106">
        <v>2.6269639878408451</v>
      </c>
      <c r="CK15" s="106">
        <v>2004.8989155201327</v>
      </c>
      <c r="CL15" s="106">
        <v>1.3967737399983451</v>
      </c>
      <c r="CM15" s="106">
        <v>1066.017718366737</v>
      </c>
      <c r="CN15" s="106">
        <v>4.1144822463858048</v>
      </c>
      <c r="CO15" s="106">
        <v>3140.172850441646</v>
      </c>
      <c r="CP15" s="106">
        <v>0</v>
      </c>
      <c r="CQ15" s="106">
        <v>0</v>
      </c>
      <c r="CR15" s="106">
        <v>0</v>
      </c>
      <c r="CS15" s="106">
        <v>0</v>
      </c>
      <c r="CT15" s="106">
        <v>4.5507324812146113</v>
      </c>
      <c r="CU15" s="106">
        <v>3473.1190296629911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0.53586585959603461</v>
      </c>
      <c r="M16" s="106">
        <v>182.6230849503286</v>
      </c>
      <c r="N16" s="106">
        <v>0.1407648069335572</v>
      </c>
      <c r="O16" s="106">
        <v>47.972646202956291</v>
      </c>
      <c r="P16" s="106">
        <v>0.14538237112189206</v>
      </c>
      <c r="Q16" s="106">
        <v>49.546312078340819</v>
      </c>
      <c r="R16" s="106">
        <v>0.10670194368742722</v>
      </c>
      <c r="S16" s="106">
        <v>36.364022408675197</v>
      </c>
      <c r="T16" s="106">
        <v>0</v>
      </c>
      <c r="U16" s="106">
        <v>0</v>
      </c>
      <c r="V16" s="106">
        <v>0.18307840459411956</v>
      </c>
      <c r="W16" s="106">
        <v>62.393120285675948</v>
      </c>
      <c r="X16" s="106">
        <v>6.0078693812805894E-2</v>
      </c>
      <c r="Y16" s="106">
        <v>20.474818851404251</v>
      </c>
      <c r="Z16" s="106">
        <v>5.1088266101441175E-2</v>
      </c>
      <c r="AA16" s="106">
        <v>17.410881087371152</v>
      </c>
      <c r="AB16" s="106">
        <v>0</v>
      </c>
      <c r="AC16" s="106">
        <v>0</v>
      </c>
      <c r="AD16" s="106">
        <v>8.5919327397332254E-2</v>
      </c>
      <c r="AE16" s="106">
        <v>29.281306777010833</v>
      </c>
      <c r="AF16" s="106">
        <v>0.98517914308976551</v>
      </c>
      <c r="AG16" s="106">
        <v>335.74905196499208</v>
      </c>
      <c r="AH16" s="106">
        <v>8.3569556891072233E-2</v>
      </c>
      <c r="AI16" s="106">
        <v>28.480504988477417</v>
      </c>
      <c r="AJ16" s="106">
        <v>0</v>
      </c>
      <c r="AK16" s="106">
        <v>0</v>
      </c>
      <c r="AL16" s="106">
        <v>3.4421883536653071</v>
      </c>
      <c r="AM16" s="106">
        <v>1173.0977909291366</v>
      </c>
      <c r="AN16" s="106">
        <v>2.048709012473795</v>
      </c>
      <c r="AO16" s="106">
        <v>698.20003145106932</v>
      </c>
      <c r="AP16" s="106">
        <v>0</v>
      </c>
      <c r="AQ16" s="106">
        <v>0</v>
      </c>
      <c r="AR16" s="106">
        <v>4.6313995225515328</v>
      </c>
      <c r="AS16" s="106">
        <v>1578.3809572855623</v>
      </c>
      <c r="AT16" s="106">
        <v>0</v>
      </c>
      <c r="AU16" s="106">
        <v>0</v>
      </c>
      <c r="AV16" s="106">
        <v>3.3432395933547214</v>
      </c>
      <c r="AW16" s="106">
        <v>1139.3760534152891</v>
      </c>
      <c r="AX16" s="106">
        <v>1.2685170767977541</v>
      </c>
      <c r="AY16" s="106">
        <v>432.31061977267461</v>
      </c>
      <c r="AZ16" s="106">
        <v>1.785137520526022</v>
      </c>
      <c r="BA16" s="106">
        <v>608.37486699526835</v>
      </c>
      <c r="BB16" s="106">
        <v>0</v>
      </c>
      <c r="BC16" s="106">
        <v>0</v>
      </c>
      <c r="BD16" s="106">
        <v>1.022631008808329</v>
      </c>
      <c r="BE16" s="106">
        <v>348.51264780187853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2.6855463262090873</v>
      </c>
      <c r="BM16" s="106">
        <v>915.23418797205693</v>
      </c>
      <c r="BN16" s="106">
        <v>5.537651989109678</v>
      </c>
      <c r="BO16" s="106">
        <v>1887.2317978885783</v>
      </c>
      <c r="BP16" s="106">
        <v>3.5249956090732941</v>
      </c>
      <c r="BQ16" s="106">
        <v>1201.3185035721788</v>
      </c>
      <c r="BR16" s="106">
        <v>3.8039016049809371</v>
      </c>
      <c r="BS16" s="106">
        <v>1296.3696669775034</v>
      </c>
      <c r="BT16" s="106">
        <v>2.5453384133766099</v>
      </c>
      <c r="BU16" s="106">
        <v>867.45133127874874</v>
      </c>
      <c r="BV16" s="106">
        <v>0</v>
      </c>
      <c r="BW16" s="106">
        <v>0</v>
      </c>
      <c r="BX16" s="106">
        <v>5.6316244265350459</v>
      </c>
      <c r="BY16" s="106">
        <v>1919.2576045631438</v>
      </c>
      <c r="BZ16" s="106">
        <v>1.5174189209155151</v>
      </c>
      <c r="CA16" s="106">
        <v>517.13636824800756</v>
      </c>
      <c r="CB16" s="106">
        <v>0</v>
      </c>
      <c r="CC16" s="106">
        <v>0</v>
      </c>
      <c r="CD16" s="106">
        <v>2.0663901486291985</v>
      </c>
      <c r="CE16" s="106">
        <v>704.22576265283089</v>
      </c>
      <c r="CF16" s="106">
        <v>0</v>
      </c>
      <c r="CG16" s="106">
        <v>0</v>
      </c>
      <c r="CH16" s="106">
        <v>0</v>
      </c>
      <c r="CI16" s="106">
        <v>0</v>
      </c>
      <c r="CJ16" s="106">
        <v>2.6269639878408451</v>
      </c>
      <c r="CK16" s="106">
        <v>895.26932705616002</v>
      </c>
      <c r="CL16" s="106">
        <v>1.5805597584191799</v>
      </c>
      <c r="CM16" s="106">
        <v>538.65476566925656</v>
      </c>
      <c r="CN16" s="106">
        <v>4.1144822463858048</v>
      </c>
      <c r="CO16" s="106">
        <v>1402.2155495682823</v>
      </c>
      <c r="CP16" s="106">
        <v>0</v>
      </c>
      <c r="CQ16" s="106">
        <v>0</v>
      </c>
      <c r="CR16" s="106">
        <v>0</v>
      </c>
      <c r="CS16" s="106">
        <v>0</v>
      </c>
      <c r="CT16" s="106">
        <v>5.3723925125450274</v>
      </c>
      <c r="CU16" s="106">
        <v>1830.9113682753455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0.53586585959603461</v>
      </c>
      <c r="M17" s="106">
        <v>226.349739093365</v>
      </c>
      <c r="N17" s="106">
        <v>0.1548412876269129</v>
      </c>
      <c r="O17" s="106">
        <v>65.404959893608009</v>
      </c>
      <c r="P17" s="106">
        <v>0.13175277382921469</v>
      </c>
      <c r="Q17" s="106">
        <v>55.652371665460279</v>
      </c>
      <c r="R17" s="106">
        <v>0.10670194368742722</v>
      </c>
      <c r="S17" s="106">
        <v>45.070901013569255</v>
      </c>
      <c r="T17" s="106">
        <v>0</v>
      </c>
      <c r="U17" s="106">
        <v>0</v>
      </c>
      <c r="V17" s="106">
        <v>0.18307840459411956</v>
      </c>
      <c r="W17" s="106">
        <v>77.332318100556094</v>
      </c>
      <c r="X17" s="106">
        <v>6.7915045179693614E-2</v>
      </c>
      <c r="Y17" s="106">
        <v>28.687315083902583</v>
      </c>
      <c r="Z17" s="106">
        <v>4.8250029095805551E-2</v>
      </c>
      <c r="AA17" s="106">
        <v>20.380812290068263</v>
      </c>
      <c r="AB17" s="106">
        <v>0</v>
      </c>
      <c r="AC17" s="106">
        <v>0</v>
      </c>
      <c r="AD17" s="106">
        <v>8.9499299372221092E-2</v>
      </c>
      <c r="AE17" s="106">
        <v>37.804504054826189</v>
      </c>
      <c r="AF17" s="106">
        <v>0.85382192401113011</v>
      </c>
      <c r="AG17" s="106">
        <v>360.65438070230135</v>
      </c>
      <c r="AH17" s="106">
        <v>8.8792654196764242E-2</v>
      </c>
      <c r="AI17" s="106">
        <v>37.506017132713211</v>
      </c>
      <c r="AJ17" s="106">
        <v>0</v>
      </c>
      <c r="AK17" s="106">
        <v>0</v>
      </c>
      <c r="AL17" s="106">
        <v>3.4421883536653071</v>
      </c>
      <c r="AM17" s="106">
        <v>1453.9803605882257</v>
      </c>
      <c r="AN17" s="106">
        <v>2.048709012473795</v>
      </c>
      <c r="AO17" s="106">
        <v>865.37468686893101</v>
      </c>
      <c r="AP17" s="106">
        <v>0</v>
      </c>
      <c r="AQ17" s="106">
        <v>0</v>
      </c>
      <c r="AR17" s="106">
        <v>4.3876416529435573</v>
      </c>
      <c r="AS17" s="106">
        <v>1853.3398342033586</v>
      </c>
      <c r="AT17" s="106">
        <v>0</v>
      </c>
      <c r="AU17" s="106">
        <v>0</v>
      </c>
      <c r="AV17" s="106">
        <v>3.5661222329117028</v>
      </c>
      <c r="AW17" s="106">
        <v>1506.3300311819032</v>
      </c>
      <c r="AX17" s="106">
        <v>1.3742268331975669</v>
      </c>
      <c r="AY17" s="106">
        <v>580.47341434265218</v>
      </c>
      <c r="AZ17" s="106">
        <v>1.7657338518246521</v>
      </c>
      <c r="BA17" s="106">
        <v>745.845979010733</v>
      </c>
      <c r="BB17" s="106">
        <v>0</v>
      </c>
      <c r="BC17" s="106">
        <v>0</v>
      </c>
      <c r="BD17" s="106">
        <v>1.0426825972163356</v>
      </c>
      <c r="BE17" s="106">
        <v>440.42912906418013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2.8729100233864657</v>
      </c>
      <c r="BM17" s="106">
        <v>1213.5171938784431</v>
      </c>
      <c r="BN17" s="106">
        <v>5.2492326146768828</v>
      </c>
      <c r="BO17" s="106">
        <v>2217.2758564395153</v>
      </c>
      <c r="BP17" s="106">
        <v>3.6051091456431417</v>
      </c>
      <c r="BQ17" s="106">
        <v>1522.798103119663</v>
      </c>
      <c r="BR17" s="106">
        <v>3.6517455407816999</v>
      </c>
      <c r="BS17" s="106">
        <v>1542.4973164261899</v>
      </c>
      <c r="BT17" s="106">
        <v>2.2190129757642243</v>
      </c>
      <c r="BU17" s="106">
        <v>937.31108096280832</v>
      </c>
      <c r="BV17" s="106">
        <v>0</v>
      </c>
      <c r="BW17" s="106">
        <v>0</v>
      </c>
      <c r="BX17" s="106">
        <v>5.005888379142263</v>
      </c>
      <c r="BY17" s="106">
        <v>2114.4872513496916</v>
      </c>
      <c r="BZ17" s="106">
        <v>1.360444549786324</v>
      </c>
      <c r="CA17" s="106">
        <v>574.6517778297432</v>
      </c>
      <c r="CB17" s="106">
        <v>0</v>
      </c>
      <c r="CC17" s="106">
        <v>0</v>
      </c>
      <c r="CD17" s="106">
        <v>2.0105417662338145</v>
      </c>
      <c r="CE17" s="106">
        <v>849.25284205716321</v>
      </c>
      <c r="CF17" s="106">
        <v>0</v>
      </c>
      <c r="CG17" s="106">
        <v>0</v>
      </c>
      <c r="CH17" s="106">
        <v>0</v>
      </c>
      <c r="CI17" s="106">
        <v>0</v>
      </c>
      <c r="CJ17" s="106">
        <v>2.6269639878408451</v>
      </c>
      <c r="CK17" s="106">
        <v>1109.6295884639728</v>
      </c>
      <c r="CL17" s="106">
        <v>1.617316962103347</v>
      </c>
      <c r="CM17" s="106">
        <v>683.15468479245374</v>
      </c>
      <c r="CN17" s="106">
        <v>4.1144822463858048</v>
      </c>
      <c r="CO17" s="106">
        <v>1737.9573008733639</v>
      </c>
      <c r="CP17" s="106">
        <v>0</v>
      </c>
      <c r="CQ17" s="106">
        <v>0</v>
      </c>
      <c r="CR17" s="106">
        <v>0</v>
      </c>
      <c r="CS17" s="106">
        <v>0</v>
      </c>
      <c r="CT17" s="106">
        <v>4.6771417168039058</v>
      </c>
      <c r="CU17" s="106">
        <v>1975.6246611779698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0.55434399268555312</v>
      </c>
      <c r="M18" s="106">
        <v>361.87575842512905</v>
      </c>
      <c r="N18" s="106">
        <v>0.1407648069335572</v>
      </c>
      <c r="O18" s="106">
        <v>91.891265966226129</v>
      </c>
      <c r="P18" s="106">
        <v>0.13175277382921469</v>
      </c>
      <c r="Q18" s="106">
        <v>86.008210755711346</v>
      </c>
      <c r="R18" s="106">
        <v>0.10162089874993069</v>
      </c>
      <c r="S18" s="106">
        <v>66.338122703954753</v>
      </c>
      <c r="T18" s="106">
        <v>0</v>
      </c>
      <c r="U18" s="106">
        <v>0</v>
      </c>
      <c r="V18" s="106">
        <v>0.16536113963339832</v>
      </c>
      <c r="W18" s="106">
        <v>107.94775195268242</v>
      </c>
      <c r="X18" s="106">
        <v>6.5302928057397708E-2</v>
      </c>
      <c r="Y18" s="106">
        <v>42.629751435869224</v>
      </c>
      <c r="Z18" s="106">
        <v>4.8250029095805551E-2</v>
      </c>
      <c r="AA18" s="106">
        <v>31.497618993741863</v>
      </c>
      <c r="AB18" s="106">
        <v>0</v>
      </c>
      <c r="AC18" s="106">
        <v>0</v>
      </c>
      <c r="AD18" s="106">
        <v>8.5919327397332254E-2</v>
      </c>
      <c r="AE18" s="106">
        <v>56.088136924978492</v>
      </c>
      <c r="AF18" s="106">
        <v>0.91950053355044792</v>
      </c>
      <c r="AG18" s="106">
        <v>600.24994830173239</v>
      </c>
      <c r="AH18" s="106">
        <v>8.8792654196764242E-2</v>
      </c>
      <c r="AI18" s="106">
        <v>57.963844659647691</v>
      </c>
      <c r="AJ18" s="106">
        <v>0</v>
      </c>
      <c r="AK18" s="106">
        <v>0</v>
      </c>
      <c r="AL18" s="106">
        <v>3.9339295470460645</v>
      </c>
      <c r="AM18" s="106">
        <v>2568.0692083116705</v>
      </c>
      <c r="AN18" s="106">
        <v>1.7252286420831957</v>
      </c>
      <c r="AO18" s="106">
        <v>1126.22925755191</v>
      </c>
      <c r="AP18" s="106">
        <v>0</v>
      </c>
      <c r="AQ18" s="106">
        <v>0</v>
      </c>
      <c r="AR18" s="106">
        <v>3.9001259137276061</v>
      </c>
      <c r="AS18" s="106">
        <v>2546.0021964813809</v>
      </c>
      <c r="AT18" s="106">
        <v>0</v>
      </c>
      <c r="AU18" s="106">
        <v>0</v>
      </c>
      <c r="AV18" s="106">
        <v>3.12035695379774</v>
      </c>
      <c r="AW18" s="106">
        <v>2036.9690194391646</v>
      </c>
      <c r="AX18" s="106">
        <v>1.2685170767977541</v>
      </c>
      <c r="AY18" s="106">
        <v>828.08794773357374</v>
      </c>
      <c r="AZ18" s="106">
        <v>1.6105045022136939</v>
      </c>
      <c r="BA18" s="106">
        <v>1051.3373390450993</v>
      </c>
      <c r="BB18" s="106">
        <v>0</v>
      </c>
      <c r="BC18" s="106">
        <v>0</v>
      </c>
      <c r="BD18" s="106">
        <v>1.0426825972163356</v>
      </c>
      <c r="BE18" s="106">
        <v>680.66319946282385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2.9978191548380511</v>
      </c>
      <c r="BM18" s="106">
        <v>1956.9763442782796</v>
      </c>
      <c r="BN18" s="106">
        <v>4.9031293653575272</v>
      </c>
      <c r="BO18" s="106">
        <v>3200.7628497053934</v>
      </c>
      <c r="BP18" s="106">
        <v>3.6051091456431417</v>
      </c>
      <c r="BQ18" s="106">
        <v>2353.4152502758429</v>
      </c>
      <c r="BR18" s="106">
        <v>3.5756675086820811</v>
      </c>
      <c r="BS18" s="106">
        <v>2334.1957496676623</v>
      </c>
      <c r="BT18" s="106">
        <v>2.2190129757642243</v>
      </c>
      <c r="BU18" s="106">
        <v>1448.5716705788855</v>
      </c>
      <c r="BV18" s="106">
        <v>0</v>
      </c>
      <c r="BW18" s="106">
        <v>0</v>
      </c>
      <c r="BX18" s="106">
        <v>5.4230457440707847</v>
      </c>
      <c r="BY18" s="106">
        <v>3540.1642617294078</v>
      </c>
      <c r="BZ18" s="106">
        <v>1.5174189209155151</v>
      </c>
      <c r="CA18" s="106">
        <v>990.57107157364817</v>
      </c>
      <c r="CB18" s="106">
        <v>0</v>
      </c>
      <c r="CC18" s="106">
        <v>0</v>
      </c>
      <c r="CD18" s="106">
        <v>1.8988450014430474</v>
      </c>
      <c r="CE18" s="106">
        <v>1239.5660169420212</v>
      </c>
      <c r="CF18" s="106">
        <v>0</v>
      </c>
      <c r="CG18" s="106">
        <v>0</v>
      </c>
      <c r="CH18" s="106">
        <v>0</v>
      </c>
      <c r="CI18" s="106">
        <v>0</v>
      </c>
      <c r="CJ18" s="106">
        <v>2.4627787386007922</v>
      </c>
      <c r="CK18" s="106">
        <v>1607.701960558597</v>
      </c>
      <c r="CL18" s="106">
        <v>1.3967737399983451</v>
      </c>
      <c r="CM18" s="106">
        <v>911.81389747091964</v>
      </c>
      <c r="CN18" s="106">
        <v>4.3202063587050956</v>
      </c>
      <c r="CO18" s="106">
        <v>2820.2307109626863</v>
      </c>
      <c r="CP18" s="106">
        <v>0</v>
      </c>
      <c r="CQ18" s="106">
        <v>0</v>
      </c>
      <c r="CR18" s="106">
        <v>0</v>
      </c>
      <c r="CS18" s="106">
        <v>0</v>
      </c>
      <c r="CT18" s="106">
        <v>5.1827786591610847</v>
      </c>
      <c r="CU18" s="106">
        <v>3383.3179087003559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0.55434399268555312</v>
      </c>
      <c r="M19" s="106">
        <v>182.93351758623254</v>
      </c>
      <c r="N19" s="106">
        <v>0.14780304728023505</v>
      </c>
      <c r="O19" s="106">
        <v>48.775005602477563</v>
      </c>
      <c r="P19" s="106">
        <v>0.14083917202433296</v>
      </c>
      <c r="Q19" s="106">
        <v>46.476926768029877</v>
      </c>
      <c r="R19" s="106">
        <v>0.11178298862492375</v>
      </c>
      <c r="S19" s="106">
        <v>36.88838624622484</v>
      </c>
      <c r="T19" s="106">
        <v>0</v>
      </c>
      <c r="U19" s="106">
        <v>0</v>
      </c>
      <c r="V19" s="106">
        <v>0.15354962965958413</v>
      </c>
      <c r="W19" s="106">
        <v>50.671377787662763</v>
      </c>
      <c r="X19" s="106">
        <v>5.7466576690509988E-2</v>
      </c>
      <c r="Y19" s="106">
        <v>18.963970307868298</v>
      </c>
      <c r="Z19" s="106">
        <v>4.8250029095805551E-2</v>
      </c>
      <c r="AA19" s="106">
        <v>15.922509601615833</v>
      </c>
      <c r="AB19" s="106">
        <v>0</v>
      </c>
      <c r="AC19" s="106">
        <v>0</v>
      </c>
      <c r="AD19" s="106">
        <v>8.5919327397332254E-2</v>
      </c>
      <c r="AE19" s="106">
        <v>28.353378041119644</v>
      </c>
      <c r="AF19" s="106">
        <v>0.85382192401113011</v>
      </c>
      <c r="AG19" s="106">
        <v>281.76123492367293</v>
      </c>
      <c r="AH19" s="106">
        <v>8.3569556891072233E-2</v>
      </c>
      <c r="AI19" s="106">
        <v>27.577953774053835</v>
      </c>
      <c r="AJ19" s="106">
        <v>0</v>
      </c>
      <c r="AK19" s="106">
        <v>0</v>
      </c>
      <c r="AL19" s="106">
        <v>3.6880589503556855</v>
      </c>
      <c r="AM19" s="106">
        <v>1217.0594536173762</v>
      </c>
      <c r="AN19" s="106">
        <v>2.048709012473795</v>
      </c>
      <c r="AO19" s="106">
        <v>676.07397411635236</v>
      </c>
      <c r="AP19" s="106">
        <v>0</v>
      </c>
      <c r="AQ19" s="106">
        <v>0</v>
      </c>
      <c r="AR19" s="106">
        <v>4.8751573921595082</v>
      </c>
      <c r="AS19" s="106">
        <v>1608.8019394126377</v>
      </c>
      <c r="AT19" s="106">
        <v>0</v>
      </c>
      <c r="AU19" s="106">
        <v>0</v>
      </c>
      <c r="AV19" s="106">
        <v>3.5661222329117028</v>
      </c>
      <c r="AW19" s="106">
        <v>1176.820336860862</v>
      </c>
      <c r="AX19" s="106">
        <v>1.2685170767977541</v>
      </c>
      <c r="AY19" s="106">
        <v>418.61063534325882</v>
      </c>
      <c r="AZ19" s="106">
        <v>1.5911008335123238</v>
      </c>
      <c r="BA19" s="106">
        <v>525.06327505906688</v>
      </c>
      <c r="BB19" s="106">
        <v>0</v>
      </c>
      <c r="BC19" s="106">
        <v>0</v>
      </c>
      <c r="BD19" s="106">
        <v>1.0025794204003227</v>
      </c>
      <c r="BE19" s="106">
        <v>330.8512087321065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3.0602737205638437</v>
      </c>
      <c r="BM19" s="106">
        <v>1009.8903277860684</v>
      </c>
      <c r="BN19" s="106">
        <v>5.6530197388827972</v>
      </c>
      <c r="BO19" s="106">
        <v>1865.496513831323</v>
      </c>
      <c r="BP19" s="106">
        <v>3.6051091456431417</v>
      </c>
      <c r="BQ19" s="106">
        <v>1189.6860180622368</v>
      </c>
      <c r="BR19" s="106">
        <v>3.1952773481839873</v>
      </c>
      <c r="BS19" s="106">
        <v>1054.4415249007159</v>
      </c>
      <c r="BT19" s="106">
        <v>2.3495431508091786</v>
      </c>
      <c r="BU19" s="106">
        <v>775.34923976702896</v>
      </c>
      <c r="BV19" s="106">
        <v>0</v>
      </c>
      <c r="BW19" s="106">
        <v>0</v>
      </c>
      <c r="BX19" s="106">
        <v>5.5273350853029157</v>
      </c>
      <c r="BY19" s="106">
        <v>1824.0205781499621</v>
      </c>
      <c r="BZ19" s="106">
        <v>1.5174189209155151</v>
      </c>
      <c r="CA19" s="106">
        <v>500.74824390212001</v>
      </c>
      <c r="CB19" s="106">
        <v>0</v>
      </c>
      <c r="CC19" s="106">
        <v>0</v>
      </c>
      <c r="CD19" s="106">
        <v>1.8429966190476634</v>
      </c>
      <c r="CE19" s="106">
        <v>608.18888428572893</v>
      </c>
      <c r="CF19" s="106">
        <v>0</v>
      </c>
      <c r="CG19" s="106">
        <v>0</v>
      </c>
      <c r="CH19" s="106">
        <v>0</v>
      </c>
      <c r="CI19" s="106">
        <v>0</v>
      </c>
      <c r="CJ19" s="106">
        <v>2.6269639878408451</v>
      </c>
      <c r="CK19" s="106">
        <v>866.89811598747883</v>
      </c>
      <c r="CL19" s="106">
        <v>1.7275885731558478</v>
      </c>
      <c r="CM19" s="106">
        <v>570.10422914142976</v>
      </c>
      <c r="CN19" s="106">
        <v>4.2516316545986657</v>
      </c>
      <c r="CO19" s="106">
        <v>1403.0384460175596</v>
      </c>
      <c r="CP19" s="106">
        <v>0</v>
      </c>
      <c r="CQ19" s="106">
        <v>0</v>
      </c>
      <c r="CR19" s="106">
        <v>0</v>
      </c>
      <c r="CS19" s="106">
        <v>0</v>
      </c>
      <c r="CT19" s="106">
        <v>5.3091878947503801</v>
      </c>
      <c r="CU19" s="106">
        <v>1752.0320052676254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2.9565012943229494</v>
      </c>
      <c r="M20" s="106">
        <v>847.9245712118219</v>
      </c>
      <c r="N20" s="106">
        <v>1.1190802151217796</v>
      </c>
      <c r="O20" s="106">
        <v>320.9522056969264</v>
      </c>
      <c r="P20" s="106">
        <v>0.67693666553631004</v>
      </c>
      <c r="Q20" s="106">
        <v>194.14543567581373</v>
      </c>
      <c r="R20" s="106">
        <v>0.79264301024945938</v>
      </c>
      <c r="S20" s="106">
        <v>227.33001533954496</v>
      </c>
      <c r="T20" s="106">
        <v>0</v>
      </c>
      <c r="U20" s="106">
        <v>0</v>
      </c>
      <c r="V20" s="106">
        <v>1.0276013677218323</v>
      </c>
      <c r="W20" s="106">
        <v>294.71607226262154</v>
      </c>
      <c r="X20" s="106">
        <v>0.33173887453158041</v>
      </c>
      <c r="Y20" s="106">
        <v>95.142709215657263</v>
      </c>
      <c r="Z20" s="106">
        <v>0.3434266776819101</v>
      </c>
      <c r="AA20" s="106">
        <v>98.494771159171819</v>
      </c>
      <c r="AB20" s="106">
        <v>0</v>
      </c>
      <c r="AC20" s="106">
        <v>0</v>
      </c>
      <c r="AD20" s="106">
        <v>0.37231708538843972</v>
      </c>
      <c r="AE20" s="106">
        <v>106.78054008940451</v>
      </c>
      <c r="AF20" s="106">
        <v>5.6483604203813229</v>
      </c>
      <c r="AG20" s="106">
        <v>1619.9497685653635</v>
      </c>
      <c r="AH20" s="106">
        <v>0.41262468714966916</v>
      </c>
      <c r="AI20" s="106">
        <v>118.34076027452512</v>
      </c>
      <c r="AJ20" s="106">
        <v>0</v>
      </c>
      <c r="AK20" s="106">
        <v>0</v>
      </c>
      <c r="AL20" s="106">
        <v>8.8513414808536464</v>
      </c>
      <c r="AM20" s="106">
        <v>2538.5647367088259</v>
      </c>
      <c r="AN20" s="106">
        <v>3.0191501236455927</v>
      </c>
      <c r="AO20" s="106">
        <v>865.89225546155603</v>
      </c>
      <c r="AP20" s="106">
        <v>0</v>
      </c>
      <c r="AQ20" s="106">
        <v>0</v>
      </c>
      <c r="AR20" s="106">
        <v>9.5065569147110409</v>
      </c>
      <c r="AS20" s="106">
        <v>2726.4805231391265</v>
      </c>
      <c r="AT20" s="106">
        <v>0</v>
      </c>
      <c r="AU20" s="106">
        <v>0</v>
      </c>
      <c r="AV20" s="106">
        <v>8.0237750240513321</v>
      </c>
      <c r="AW20" s="106">
        <v>2301.2186768979223</v>
      </c>
      <c r="AX20" s="106">
        <v>4.0169707431928874</v>
      </c>
      <c r="AY20" s="106">
        <v>1152.0672091477202</v>
      </c>
      <c r="AZ20" s="106">
        <v>3.7061007219616329</v>
      </c>
      <c r="BA20" s="106">
        <v>1062.9096870585963</v>
      </c>
      <c r="BB20" s="106">
        <v>0</v>
      </c>
      <c r="BC20" s="106">
        <v>0</v>
      </c>
      <c r="BD20" s="106">
        <v>2.7270160234888774</v>
      </c>
      <c r="BE20" s="106">
        <v>782.10819553661008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4.1220013379023204</v>
      </c>
      <c r="BM20" s="106">
        <v>1182.1899837103856</v>
      </c>
      <c r="BN20" s="106">
        <v>2.4804066201220434</v>
      </c>
      <c r="BO20" s="106">
        <v>711.38061865100212</v>
      </c>
      <c r="BP20" s="106">
        <v>3.9255632919225323</v>
      </c>
      <c r="BQ20" s="106">
        <v>1125.8515521233824</v>
      </c>
      <c r="BR20" s="106">
        <v>4.1082137333794124</v>
      </c>
      <c r="BS20" s="106">
        <v>1178.2356987332155</v>
      </c>
      <c r="BT20" s="106">
        <v>5.1559419142756973</v>
      </c>
      <c r="BU20" s="106">
        <v>1478.7241410142701</v>
      </c>
      <c r="BV20" s="106">
        <v>0</v>
      </c>
      <c r="BW20" s="106">
        <v>0</v>
      </c>
      <c r="BX20" s="106">
        <v>4.27586299051735</v>
      </c>
      <c r="BY20" s="106">
        <v>1226.3175056803759</v>
      </c>
      <c r="BZ20" s="106">
        <v>2.5639147284434567</v>
      </c>
      <c r="CA20" s="106">
        <v>735.33074411758344</v>
      </c>
      <c r="CB20" s="106">
        <v>0</v>
      </c>
      <c r="CC20" s="106">
        <v>0</v>
      </c>
      <c r="CD20" s="106">
        <v>3.4625997085137921</v>
      </c>
      <c r="CE20" s="106">
        <v>993.07359640175559</v>
      </c>
      <c r="CF20" s="106">
        <v>0</v>
      </c>
      <c r="CG20" s="106">
        <v>0</v>
      </c>
      <c r="CH20" s="106">
        <v>0</v>
      </c>
      <c r="CI20" s="106">
        <v>0</v>
      </c>
      <c r="CJ20" s="106">
        <v>4.2688164802413731</v>
      </c>
      <c r="CK20" s="106">
        <v>1224.2965665332258</v>
      </c>
      <c r="CL20" s="106">
        <v>1.7643457768400148</v>
      </c>
      <c r="CM20" s="106">
        <v>506.01436879771626</v>
      </c>
      <c r="CN20" s="106">
        <v>3.1544363888957845</v>
      </c>
      <c r="CO20" s="106">
        <v>904.69235633531105</v>
      </c>
      <c r="CP20" s="106">
        <v>0</v>
      </c>
      <c r="CQ20" s="106">
        <v>0</v>
      </c>
      <c r="CR20" s="106">
        <v>0</v>
      </c>
      <c r="CS20" s="106">
        <v>0</v>
      </c>
      <c r="CT20" s="106">
        <v>3.0970262719377217</v>
      </c>
      <c r="CU20" s="106">
        <v>888.22713479173865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3.2336732906657262</v>
      </c>
      <c r="M21" s="106">
        <v>201.78121333754132</v>
      </c>
      <c r="N21" s="106">
        <v>1.1542714168551689</v>
      </c>
      <c r="O21" s="106">
        <v>72.026536411762535</v>
      </c>
      <c r="P21" s="106">
        <v>0.76780064748749255</v>
      </c>
      <c r="Q21" s="106">
        <v>47.910760403219534</v>
      </c>
      <c r="R21" s="106">
        <v>0.77231883049947314</v>
      </c>
      <c r="S21" s="106">
        <v>48.192695023167126</v>
      </c>
      <c r="T21" s="106">
        <v>0</v>
      </c>
      <c r="U21" s="106">
        <v>0</v>
      </c>
      <c r="V21" s="106">
        <v>0.99807259278729699</v>
      </c>
      <c r="W21" s="106">
        <v>62.27972978992733</v>
      </c>
      <c r="X21" s="106">
        <v>0.32912675740928449</v>
      </c>
      <c r="Y21" s="106">
        <v>20.537509662339353</v>
      </c>
      <c r="Z21" s="106">
        <v>0.35477962570445254</v>
      </c>
      <c r="AA21" s="106">
        <v>22.138248643957837</v>
      </c>
      <c r="AB21" s="106">
        <v>0</v>
      </c>
      <c r="AC21" s="106">
        <v>0</v>
      </c>
      <c r="AD21" s="106">
        <v>0.44391652488621658</v>
      </c>
      <c r="AE21" s="106">
        <v>27.700391152899915</v>
      </c>
      <c r="AF21" s="106">
        <v>5.1557708488364398</v>
      </c>
      <c r="AG21" s="106">
        <v>321.72010096739382</v>
      </c>
      <c r="AH21" s="106">
        <v>0.42568243041389925</v>
      </c>
      <c r="AI21" s="106">
        <v>26.562583657827311</v>
      </c>
      <c r="AJ21" s="106">
        <v>0</v>
      </c>
      <c r="AK21" s="106">
        <v>0</v>
      </c>
      <c r="AL21" s="106">
        <v>10.080694464305541</v>
      </c>
      <c r="AM21" s="106">
        <v>629.03533457266576</v>
      </c>
      <c r="AN21" s="106">
        <v>3.1269769137757923</v>
      </c>
      <c r="AO21" s="106">
        <v>195.12335941960944</v>
      </c>
      <c r="AP21" s="106">
        <v>0</v>
      </c>
      <c r="AQ21" s="106">
        <v>0</v>
      </c>
      <c r="AR21" s="106">
        <v>9.0190411754950901</v>
      </c>
      <c r="AS21" s="106">
        <v>562.78816935089355</v>
      </c>
      <c r="AT21" s="106">
        <v>0</v>
      </c>
      <c r="AU21" s="106">
        <v>0</v>
      </c>
      <c r="AV21" s="106">
        <v>9.1381882218362378</v>
      </c>
      <c r="AW21" s="106">
        <v>570.22294504258127</v>
      </c>
      <c r="AX21" s="106">
        <v>3.9112609867930752</v>
      </c>
      <c r="AY21" s="106">
        <v>244.06268557588788</v>
      </c>
      <c r="AZ21" s="106">
        <v>3.6284860471561537</v>
      </c>
      <c r="BA21" s="106">
        <v>226.41752934254399</v>
      </c>
      <c r="BB21" s="106">
        <v>0</v>
      </c>
      <c r="BC21" s="106">
        <v>0</v>
      </c>
      <c r="BD21" s="106">
        <v>2.9876866727929614</v>
      </c>
      <c r="BE21" s="106">
        <v>186.4316483822808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4.7465469951602479</v>
      </c>
      <c r="BM21" s="106">
        <v>296.18453249799944</v>
      </c>
      <c r="BN21" s="106">
        <v>2.7111421196682799</v>
      </c>
      <c r="BO21" s="106">
        <v>169.17526826730065</v>
      </c>
      <c r="BP21" s="106">
        <v>4.0857903650622278</v>
      </c>
      <c r="BQ21" s="106">
        <v>254.95331877988301</v>
      </c>
      <c r="BR21" s="106">
        <v>4.1842917654790313</v>
      </c>
      <c r="BS21" s="106">
        <v>261.09980616589155</v>
      </c>
      <c r="BT21" s="106">
        <v>5.4170022643656068</v>
      </c>
      <c r="BU21" s="106">
        <v>338.02094129641387</v>
      </c>
      <c r="BV21" s="106">
        <v>0</v>
      </c>
      <c r="BW21" s="106">
        <v>0</v>
      </c>
      <c r="BX21" s="106">
        <v>4.5887310142137414</v>
      </c>
      <c r="BY21" s="106">
        <v>286.33681528693745</v>
      </c>
      <c r="BZ21" s="106">
        <v>2.6685643091962508</v>
      </c>
      <c r="CA21" s="106">
        <v>166.51841289384603</v>
      </c>
      <c r="CB21" s="106">
        <v>0</v>
      </c>
      <c r="CC21" s="106">
        <v>0</v>
      </c>
      <c r="CD21" s="106">
        <v>3.1275094141414899</v>
      </c>
      <c r="CE21" s="106">
        <v>195.15658744242896</v>
      </c>
      <c r="CF21" s="106">
        <v>0</v>
      </c>
      <c r="CG21" s="106">
        <v>0</v>
      </c>
      <c r="CH21" s="106">
        <v>0</v>
      </c>
      <c r="CI21" s="106">
        <v>0</v>
      </c>
      <c r="CJ21" s="106">
        <v>4.9255574772015844</v>
      </c>
      <c r="CK21" s="106">
        <v>307.35478657737889</v>
      </c>
      <c r="CL21" s="106">
        <v>1.617316962103347</v>
      </c>
      <c r="CM21" s="106">
        <v>100.92057843524884</v>
      </c>
      <c r="CN21" s="106">
        <v>3.1544363888957845</v>
      </c>
      <c r="CO21" s="106">
        <v>196.83683066709693</v>
      </c>
      <c r="CP21" s="106">
        <v>0</v>
      </c>
      <c r="CQ21" s="106">
        <v>0</v>
      </c>
      <c r="CR21" s="106">
        <v>0</v>
      </c>
      <c r="CS21" s="106">
        <v>0</v>
      </c>
      <c r="CT21" s="106">
        <v>3.6658678320895484</v>
      </c>
      <c r="CU21" s="106">
        <v>228.75015272238781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3.3999764884713919</v>
      </c>
      <c r="M22" s="106">
        <v>636.4755986418445</v>
      </c>
      <c r="N22" s="106">
        <v>0.97831540818822249</v>
      </c>
      <c r="O22" s="106">
        <v>183.14064441283523</v>
      </c>
      <c r="P22" s="106">
        <v>0.80868943936552473</v>
      </c>
      <c r="Q22" s="106">
        <v>151.38666304922623</v>
      </c>
      <c r="R22" s="106">
        <v>0.73675151593699739</v>
      </c>
      <c r="S22" s="106">
        <v>137.91988378340591</v>
      </c>
      <c r="T22" s="106">
        <v>0</v>
      </c>
      <c r="U22" s="106">
        <v>0</v>
      </c>
      <c r="V22" s="106">
        <v>1.139810712473067</v>
      </c>
      <c r="W22" s="106">
        <v>213.37256537495813</v>
      </c>
      <c r="X22" s="106">
        <v>0.30039346906402947</v>
      </c>
      <c r="Y22" s="106">
        <v>56.233657408786314</v>
      </c>
      <c r="Z22" s="106">
        <v>0.35477962570445254</v>
      </c>
      <c r="AA22" s="106">
        <v>66.414745931873512</v>
      </c>
      <c r="AB22" s="106">
        <v>0</v>
      </c>
      <c r="AC22" s="106">
        <v>0</v>
      </c>
      <c r="AD22" s="106">
        <v>0.44391652488621658</v>
      </c>
      <c r="AE22" s="106">
        <v>83.101173458699733</v>
      </c>
      <c r="AF22" s="106">
        <v>5.0572529345274626</v>
      </c>
      <c r="AG22" s="106">
        <v>946.71774934354096</v>
      </c>
      <c r="AH22" s="106">
        <v>0.4047900411911311</v>
      </c>
      <c r="AI22" s="106">
        <v>75.776695710979737</v>
      </c>
      <c r="AJ22" s="106">
        <v>0</v>
      </c>
      <c r="AK22" s="106">
        <v>0</v>
      </c>
      <c r="AL22" s="106">
        <v>9.0972120775440253</v>
      </c>
      <c r="AM22" s="106">
        <v>1702.9981009162414</v>
      </c>
      <c r="AN22" s="106">
        <v>3.0191501236455927</v>
      </c>
      <c r="AO22" s="106">
        <v>565.18490314645487</v>
      </c>
      <c r="AP22" s="106">
        <v>0</v>
      </c>
      <c r="AQ22" s="106">
        <v>0</v>
      </c>
      <c r="AR22" s="106">
        <v>9.2627990451030655</v>
      </c>
      <c r="AS22" s="106">
        <v>1733.9959812432937</v>
      </c>
      <c r="AT22" s="106">
        <v>0</v>
      </c>
      <c r="AU22" s="106">
        <v>0</v>
      </c>
      <c r="AV22" s="106">
        <v>8.9153055822792577</v>
      </c>
      <c r="AW22" s="106">
        <v>1668.9452050026769</v>
      </c>
      <c r="AX22" s="106">
        <v>3.8055512303932626</v>
      </c>
      <c r="AY22" s="106">
        <v>712.3991903296187</v>
      </c>
      <c r="AZ22" s="106">
        <v>3.5314677036493043</v>
      </c>
      <c r="BA22" s="106">
        <v>661.09075412314974</v>
      </c>
      <c r="BB22" s="106">
        <v>0</v>
      </c>
      <c r="BC22" s="106">
        <v>0</v>
      </c>
      <c r="BD22" s="106">
        <v>3.2082541452810327</v>
      </c>
      <c r="BE22" s="106">
        <v>600.58517599660934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4.6216378637086626</v>
      </c>
      <c r="BM22" s="106">
        <v>865.17060808626161</v>
      </c>
      <c r="BN22" s="106">
        <v>2.4227227452354838</v>
      </c>
      <c r="BO22" s="106">
        <v>453.53369790808256</v>
      </c>
      <c r="BP22" s="106">
        <v>3.4448820725034466</v>
      </c>
      <c r="BQ22" s="106">
        <v>644.88192397264515</v>
      </c>
      <c r="BR22" s="106">
        <v>4.4886038938775057</v>
      </c>
      <c r="BS22" s="106">
        <v>840.26664893386896</v>
      </c>
      <c r="BT22" s="106">
        <v>5.1559419142756973</v>
      </c>
      <c r="BU22" s="106">
        <v>965.19232635241042</v>
      </c>
      <c r="BV22" s="106">
        <v>0</v>
      </c>
      <c r="BW22" s="106">
        <v>0</v>
      </c>
      <c r="BX22" s="106">
        <v>4.380152331749481</v>
      </c>
      <c r="BY22" s="106">
        <v>819.96451650350275</v>
      </c>
      <c r="BZ22" s="106">
        <v>2.4592651476906626</v>
      </c>
      <c r="CA22" s="106">
        <v>460.374435647692</v>
      </c>
      <c r="CB22" s="106">
        <v>0</v>
      </c>
      <c r="CC22" s="106">
        <v>0</v>
      </c>
      <c r="CD22" s="106">
        <v>3.1275094141414899</v>
      </c>
      <c r="CE22" s="106">
        <v>585.46976232728684</v>
      </c>
      <c r="CF22" s="106">
        <v>0</v>
      </c>
      <c r="CG22" s="106">
        <v>0</v>
      </c>
      <c r="CH22" s="106">
        <v>0</v>
      </c>
      <c r="CI22" s="106">
        <v>0</v>
      </c>
      <c r="CJ22" s="106">
        <v>4.1867238556213469</v>
      </c>
      <c r="CK22" s="106">
        <v>783.75470577231613</v>
      </c>
      <c r="CL22" s="106">
        <v>1.690831369471681</v>
      </c>
      <c r="CM22" s="106">
        <v>316.52363236509865</v>
      </c>
      <c r="CN22" s="106">
        <v>3.1544363888957845</v>
      </c>
      <c r="CO22" s="106">
        <v>590.5104920012908</v>
      </c>
      <c r="CP22" s="106">
        <v>0</v>
      </c>
      <c r="CQ22" s="106">
        <v>0</v>
      </c>
      <c r="CR22" s="106">
        <v>0</v>
      </c>
      <c r="CS22" s="106">
        <v>0</v>
      </c>
      <c r="CT22" s="106">
        <v>3.3498447431163112</v>
      </c>
      <c r="CU22" s="106">
        <v>627.09093591137344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3.4184546215609104</v>
      </c>
      <c r="M23" s="106">
        <v>1005.0256587389076</v>
      </c>
      <c r="N23" s="106">
        <v>1.1331566958151353</v>
      </c>
      <c r="O23" s="106">
        <v>333.14806856964981</v>
      </c>
      <c r="P23" s="106">
        <v>0.77234384658505162</v>
      </c>
      <c r="Q23" s="106">
        <v>227.06909089600518</v>
      </c>
      <c r="R23" s="106">
        <v>0.77739987543696965</v>
      </c>
      <c r="S23" s="106">
        <v>228.55556337846909</v>
      </c>
      <c r="T23" s="106">
        <v>0</v>
      </c>
      <c r="U23" s="106">
        <v>0</v>
      </c>
      <c r="V23" s="106">
        <v>0.99216683780038994</v>
      </c>
      <c r="W23" s="106">
        <v>291.69705031331466</v>
      </c>
      <c r="X23" s="106">
        <v>0.29516923481943769</v>
      </c>
      <c r="Y23" s="106">
        <v>86.779755036914679</v>
      </c>
      <c r="Z23" s="106">
        <v>0.31504430762555385</v>
      </c>
      <c r="AA23" s="106">
        <v>92.623026441912828</v>
      </c>
      <c r="AB23" s="106">
        <v>0</v>
      </c>
      <c r="AC23" s="106">
        <v>0</v>
      </c>
      <c r="AD23" s="106">
        <v>0.40095686118755047</v>
      </c>
      <c r="AE23" s="106">
        <v>117.88131718913984</v>
      </c>
      <c r="AF23" s="106">
        <v>5.7140390299206407</v>
      </c>
      <c r="AG23" s="106">
        <v>1679.9274747966683</v>
      </c>
      <c r="AH23" s="106">
        <v>0.39956694388543912</v>
      </c>
      <c r="AI23" s="106">
        <v>117.47268150231911</v>
      </c>
      <c r="AJ23" s="106">
        <v>0</v>
      </c>
      <c r="AK23" s="106">
        <v>0</v>
      </c>
      <c r="AL23" s="106">
        <v>9.0972120775440253</v>
      </c>
      <c r="AM23" s="106">
        <v>2674.5803507979435</v>
      </c>
      <c r="AN23" s="106">
        <v>3.0191501236455927</v>
      </c>
      <c r="AO23" s="106">
        <v>887.63013635180425</v>
      </c>
      <c r="AP23" s="106">
        <v>0</v>
      </c>
      <c r="AQ23" s="106">
        <v>0</v>
      </c>
      <c r="AR23" s="106">
        <v>9.2627990451030655</v>
      </c>
      <c r="AS23" s="106">
        <v>2723.2629192603013</v>
      </c>
      <c r="AT23" s="106">
        <v>0</v>
      </c>
      <c r="AU23" s="106">
        <v>0</v>
      </c>
      <c r="AV23" s="106">
        <v>8.9153055822792577</v>
      </c>
      <c r="AW23" s="106">
        <v>2621.0998411901019</v>
      </c>
      <c r="AX23" s="106">
        <v>4.1226804995927004</v>
      </c>
      <c r="AY23" s="106">
        <v>1212.068066880254</v>
      </c>
      <c r="AZ23" s="106">
        <v>3.1433943296219082</v>
      </c>
      <c r="BA23" s="106">
        <v>924.15793290884108</v>
      </c>
      <c r="BB23" s="106">
        <v>0</v>
      </c>
      <c r="BC23" s="106">
        <v>0</v>
      </c>
      <c r="BD23" s="106">
        <v>3.1280477916490064</v>
      </c>
      <c r="BE23" s="106">
        <v>919.64605074480789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4.6216378637086626</v>
      </c>
      <c r="BM23" s="106">
        <v>1358.7615319303468</v>
      </c>
      <c r="BN23" s="106">
        <v>2.4227227452354838</v>
      </c>
      <c r="BO23" s="106">
        <v>712.28048709923223</v>
      </c>
      <c r="BP23" s="106">
        <v>3.4448820725034466</v>
      </c>
      <c r="BQ23" s="106">
        <v>1012.7953293160133</v>
      </c>
      <c r="BR23" s="106">
        <v>4.4886038938775057</v>
      </c>
      <c r="BS23" s="106">
        <v>1319.6495447999866</v>
      </c>
      <c r="BT23" s="106">
        <v>5.0906768267532199</v>
      </c>
      <c r="BU23" s="106">
        <v>1496.6589870654466</v>
      </c>
      <c r="BV23" s="106">
        <v>0</v>
      </c>
      <c r="BW23" s="106">
        <v>0</v>
      </c>
      <c r="BX23" s="106">
        <v>4.380152331749481</v>
      </c>
      <c r="BY23" s="106">
        <v>1287.7647855343475</v>
      </c>
      <c r="BZ23" s="106">
        <v>2.4592651476906626</v>
      </c>
      <c r="CA23" s="106">
        <v>723.02395342105478</v>
      </c>
      <c r="CB23" s="106">
        <v>0</v>
      </c>
      <c r="CC23" s="106">
        <v>0</v>
      </c>
      <c r="CD23" s="106">
        <v>3.1275094141414899</v>
      </c>
      <c r="CE23" s="106">
        <v>919.48776775759802</v>
      </c>
      <c r="CF23" s="106">
        <v>0</v>
      </c>
      <c r="CG23" s="106">
        <v>0</v>
      </c>
      <c r="CH23" s="106">
        <v>0</v>
      </c>
      <c r="CI23" s="106">
        <v>0</v>
      </c>
      <c r="CJ23" s="106">
        <v>4.8434648525815582</v>
      </c>
      <c r="CK23" s="106">
        <v>1423.9786666589782</v>
      </c>
      <c r="CL23" s="106">
        <v>1.6540741657875138</v>
      </c>
      <c r="CM23" s="106">
        <v>486.29780474152903</v>
      </c>
      <c r="CN23" s="106">
        <v>2.8115628683636333</v>
      </c>
      <c r="CO23" s="106">
        <v>826.59948329890824</v>
      </c>
      <c r="CP23" s="106">
        <v>0</v>
      </c>
      <c r="CQ23" s="106">
        <v>0</v>
      </c>
      <c r="CR23" s="106">
        <v>0</v>
      </c>
      <c r="CS23" s="106">
        <v>0</v>
      </c>
      <c r="CT23" s="106">
        <v>3.0970262719377217</v>
      </c>
      <c r="CU23" s="106">
        <v>910.52572394969025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3.1412826252181341</v>
      </c>
      <c r="M24" s="106">
        <v>1153.4789799800988</v>
      </c>
      <c r="N24" s="106">
        <v>1.055736052001679</v>
      </c>
      <c r="O24" s="106">
        <v>387.66627829501653</v>
      </c>
      <c r="P24" s="106">
        <v>0.69056626282898737</v>
      </c>
      <c r="Q24" s="106">
        <v>253.57593171080416</v>
      </c>
      <c r="R24" s="106">
        <v>0.76215674062448013</v>
      </c>
      <c r="S24" s="106">
        <v>279.86395515730908</v>
      </c>
      <c r="T24" s="106">
        <v>0</v>
      </c>
      <c r="U24" s="106">
        <v>0</v>
      </c>
      <c r="V24" s="106">
        <v>1.0157898577480182</v>
      </c>
      <c r="W24" s="106">
        <v>372.9980357650723</v>
      </c>
      <c r="X24" s="106">
        <v>0.29778135194173355</v>
      </c>
      <c r="Y24" s="106">
        <v>109.34531243300455</v>
      </c>
      <c r="Z24" s="106">
        <v>0.31220607061991829</v>
      </c>
      <c r="AA24" s="106">
        <v>114.64206913163399</v>
      </c>
      <c r="AB24" s="106">
        <v>0</v>
      </c>
      <c r="AC24" s="106">
        <v>0</v>
      </c>
      <c r="AD24" s="106">
        <v>0.37947702933821736</v>
      </c>
      <c r="AE24" s="106">
        <v>139.34396517299342</v>
      </c>
      <c r="AF24" s="106">
        <v>5.254288763145416</v>
      </c>
      <c r="AG24" s="106">
        <v>1929.3748338269968</v>
      </c>
      <c r="AH24" s="106">
        <v>0.3969553952325931</v>
      </c>
      <c r="AI24" s="106">
        <v>145.76202112940817</v>
      </c>
      <c r="AJ24" s="106">
        <v>0</v>
      </c>
      <c r="AK24" s="106">
        <v>0</v>
      </c>
      <c r="AL24" s="106">
        <v>10.080694464305541</v>
      </c>
      <c r="AM24" s="106">
        <v>3701.6310072929946</v>
      </c>
      <c r="AN24" s="106">
        <v>2.4800161729945938</v>
      </c>
      <c r="AO24" s="106">
        <v>910.66193872361475</v>
      </c>
      <c r="AP24" s="106">
        <v>0</v>
      </c>
      <c r="AQ24" s="106">
        <v>0</v>
      </c>
      <c r="AR24" s="106">
        <v>9.2627990451030655</v>
      </c>
      <c r="AS24" s="106">
        <v>3401.2998093618457</v>
      </c>
      <c r="AT24" s="106">
        <v>0</v>
      </c>
      <c r="AU24" s="106">
        <v>0</v>
      </c>
      <c r="AV24" s="106">
        <v>8.2466576636083122</v>
      </c>
      <c r="AW24" s="106">
        <v>3028.1726940769722</v>
      </c>
      <c r="AX24" s="106">
        <v>3.5941317175936365</v>
      </c>
      <c r="AY24" s="106">
        <v>1319.7651667003834</v>
      </c>
      <c r="AZ24" s="106">
        <v>3.4926603662465645</v>
      </c>
      <c r="BA24" s="106">
        <v>1282.5048864857386</v>
      </c>
      <c r="BB24" s="106">
        <v>0</v>
      </c>
      <c r="BC24" s="106">
        <v>0</v>
      </c>
      <c r="BD24" s="106">
        <v>3.0277898496089746</v>
      </c>
      <c r="BE24" s="106">
        <v>1111.8044327764155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4.6840924294344548</v>
      </c>
      <c r="BM24" s="106">
        <v>1719.9987400883317</v>
      </c>
      <c r="BN24" s="106">
        <v>2.307354995462366</v>
      </c>
      <c r="BO24" s="106">
        <v>847.26075433378082</v>
      </c>
      <c r="BP24" s="106">
        <v>3.5249956090732941</v>
      </c>
      <c r="BQ24" s="106">
        <v>1294.3783876517136</v>
      </c>
      <c r="BR24" s="106">
        <v>4.1842917654790313</v>
      </c>
      <c r="BS24" s="106">
        <v>1536.4719362839003</v>
      </c>
      <c r="BT24" s="106">
        <v>4.8948815641857886</v>
      </c>
      <c r="BU24" s="106">
        <v>1797.4005103690215</v>
      </c>
      <c r="BV24" s="106">
        <v>0</v>
      </c>
      <c r="BW24" s="106">
        <v>0</v>
      </c>
      <c r="BX24" s="106">
        <v>4.380152331749481</v>
      </c>
      <c r="BY24" s="106">
        <v>1608.3919362184095</v>
      </c>
      <c r="BZ24" s="106">
        <v>2.720889099572648</v>
      </c>
      <c r="CA24" s="106">
        <v>999.11047736307637</v>
      </c>
      <c r="CB24" s="106">
        <v>0</v>
      </c>
      <c r="CC24" s="106">
        <v>0</v>
      </c>
      <c r="CD24" s="106">
        <v>3.2392061789322568</v>
      </c>
      <c r="CE24" s="106">
        <v>1189.4365089039247</v>
      </c>
      <c r="CF24" s="106">
        <v>0</v>
      </c>
      <c r="CG24" s="106">
        <v>0</v>
      </c>
      <c r="CH24" s="106">
        <v>0</v>
      </c>
      <c r="CI24" s="106">
        <v>0</v>
      </c>
      <c r="CJ24" s="106">
        <v>4.8434648525815582</v>
      </c>
      <c r="CK24" s="106">
        <v>1778.5202938679481</v>
      </c>
      <c r="CL24" s="106">
        <v>1.8378601842083486</v>
      </c>
      <c r="CM24" s="106">
        <v>674.86225964130563</v>
      </c>
      <c r="CN24" s="106">
        <v>3.1544363888957845</v>
      </c>
      <c r="CO24" s="106">
        <v>1158.3090420025321</v>
      </c>
      <c r="CP24" s="106">
        <v>0</v>
      </c>
      <c r="CQ24" s="106">
        <v>0</v>
      </c>
      <c r="CR24" s="106">
        <v>0</v>
      </c>
      <c r="CS24" s="106">
        <v>0</v>
      </c>
      <c r="CT24" s="106">
        <v>3.2866401253216639</v>
      </c>
      <c r="CU24" s="106">
        <v>1206.8542540181149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3.085848225949579</v>
      </c>
      <c r="M25" s="106">
        <v>1636.7338990436567</v>
      </c>
      <c r="N25" s="106">
        <v>1.0838890133883903</v>
      </c>
      <c r="O25" s="106">
        <v>574.8947327012022</v>
      </c>
      <c r="P25" s="106">
        <v>0.63150467456071879</v>
      </c>
      <c r="Q25" s="106">
        <v>334.95007938700525</v>
      </c>
      <c r="R25" s="106">
        <v>0.78756196531196276</v>
      </c>
      <c r="S25" s="106">
        <v>417.72286640146501</v>
      </c>
      <c r="T25" s="106">
        <v>0</v>
      </c>
      <c r="U25" s="106">
        <v>0</v>
      </c>
      <c r="V25" s="106">
        <v>1.0098841027611112</v>
      </c>
      <c r="W25" s="106">
        <v>535.64252810449329</v>
      </c>
      <c r="X25" s="106">
        <v>0.27949653208566222</v>
      </c>
      <c r="Y25" s="106">
        <v>148.24496061823524</v>
      </c>
      <c r="Z25" s="106">
        <v>0.3434266776819101</v>
      </c>
      <c r="AA25" s="106">
        <v>182.15350984248511</v>
      </c>
      <c r="AB25" s="106">
        <v>0</v>
      </c>
      <c r="AC25" s="106">
        <v>0</v>
      </c>
      <c r="AD25" s="106">
        <v>0.42959663698666123</v>
      </c>
      <c r="AE25" s="106">
        <v>227.85805625772511</v>
      </c>
      <c r="AF25" s="106">
        <v>5.4513245917633686</v>
      </c>
      <c r="AG25" s="106">
        <v>2891.3825634712907</v>
      </c>
      <c r="AH25" s="106">
        <v>0.36561681139844104</v>
      </c>
      <c r="AI25" s="106">
        <v>193.92315676573313</v>
      </c>
      <c r="AJ25" s="106">
        <v>0</v>
      </c>
      <c r="AK25" s="106">
        <v>0</v>
      </c>
      <c r="AL25" s="106">
        <v>9.3430826742344042</v>
      </c>
      <c r="AM25" s="106">
        <v>4955.5710504139279</v>
      </c>
      <c r="AN25" s="106">
        <v>2.5878429631247934</v>
      </c>
      <c r="AO25" s="106">
        <v>1372.5919076413904</v>
      </c>
      <c r="AP25" s="106">
        <v>0</v>
      </c>
      <c r="AQ25" s="106">
        <v>0</v>
      </c>
      <c r="AR25" s="106">
        <v>9.5065569147110409</v>
      </c>
      <c r="AS25" s="106">
        <v>5042.2777875627362</v>
      </c>
      <c r="AT25" s="106">
        <v>0</v>
      </c>
      <c r="AU25" s="106">
        <v>0</v>
      </c>
      <c r="AV25" s="106">
        <v>7.8008923844943503</v>
      </c>
      <c r="AW25" s="106">
        <v>4137.593320735803</v>
      </c>
      <c r="AX25" s="106">
        <v>4.1226804995927004</v>
      </c>
      <c r="AY25" s="106">
        <v>2186.6697369839681</v>
      </c>
      <c r="AZ25" s="106">
        <v>3.1045869922191689</v>
      </c>
      <c r="BA25" s="106">
        <v>1646.6729406730472</v>
      </c>
      <c r="BB25" s="106">
        <v>0</v>
      </c>
      <c r="BC25" s="106">
        <v>0</v>
      </c>
      <c r="BD25" s="106">
        <v>3.0478414380169809</v>
      </c>
      <c r="BE25" s="106">
        <v>1616.5750987242066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4.5591832979828695</v>
      </c>
      <c r="BM25" s="106">
        <v>2418.1908212501139</v>
      </c>
      <c r="BN25" s="106">
        <v>2.3650388703489251</v>
      </c>
      <c r="BO25" s="106">
        <v>1254.4166168330698</v>
      </c>
      <c r="BP25" s="106">
        <v>3.6852226822129897</v>
      </c>
      <c r="BQ25" s="106">
        <v>1954.6421106457697</v>
      </c>
      <c r="BR25" s="106">
        <v>4.2603697975786501</v>
      </c>
      <c r="BS25" s="106">
        <v>2259.7001406357158</v>
      </c>
      <c r="BT25" s="106">
        <v>5.1559419142756973</v>
      </c>
      <c r="BU25" s="106">
        <v>2734.7115913318298</v>
      </c>
      <c r="BV25" s="106">
        <v>0</v>
      </c>
      <c r="BW25" s="106">
        <v>0</v>
      </c>
      <c r="BX25" s="106">
        <v>4.5887310142137414</v>
      </c>
      <c r="BY25" s="106">
        <v>2433.8629299389681</v>
      </c>
      <c r="BZ25" s="106">
        <v>2.6162395188198539</v>
      </c>
      <c r="CA25" s="106">
        <v>1387.6534407820504</v>
      </c>
      <c r="CB25" s="106">
        <v>0</v>
      </c>
      <c r="CC25" s="106">
        <v>0</v>
      </c>
      <c r="CD25" s="106">
        <v>3.0716610317461059</v>
      </c>
      <c r="CE25" s="106">
        <v>1629.2090112381345</v>
      </c>
      <c r="CF25" s="106">
        <v>0</v>
      </c>
      <c r="CG25" s="106">
        <v>0</v>
      </c>
      <c r="CH25" s="106">
        <v>0</v>
      </c>
      <c r="CI25" s="106">
        <v>0</v>
      </c>
      <c r="CJ25" s="106">
        <v>4.1046312310013207</v>
      </c>
      <c r="CK25" s="106">
        <v>2177.0964049231002</v>
      </c>
      <c r="CL25" s="106">
        <v>1.7643457768400148</v>
      </c>
      <c r="CM25" s="106">
        <v>935.80900003594377</v>
      </c>
      <c r="CN25" s="106">
        <v>3.1544363888957845</v>
      </c>
      <c r="CO25" s="106">
        <v>1673.1130606703241</v>
      </c>
      <c r="CP25" s="106">
        <v>0</v>
      </c>
      <c r="CQ25" s="106">
        <v>0</v>
      </c>
      <c r="CR25" s="106">
        <v>0</v>
      </c>
      <c r="CS25" s="106">
        <v>0</v>
      </c>
      <c r="CT25" s="106">
        <v>3.1602308897323694</v>
      </c>
      <c r="CU25" s="106">
        <v>1676.1864639140488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3.2706295568447632</v>
      </c>
      <c r="M26" s="106">
        <v>1589.5259646265549</v>
      </c>
      <c r="N26" s="106">
        <v>1.097965494081746</v>
      </c>
      <c r="O26" s="106">
        <v>533.61123012372855</v>
      </c>
      <c r="P26" s="106">
        <v>0.64059107275583704</v>
      </c>
      <c r="Q26" s="106">
        <v>311.32726135933683</v>
      </c>
      <c r="R26" s="106">
        <v>0.75199465074948701</v>
      </c>
      <c r="S26" s="106">
        <v>365.46940026425068</v>
      </c>
      <c r="T26" s="106">
        <v>0</v>
      </c>
      <c r="U26" s="106">
        <v>0</v>
      </c>
      <c r="V26" s="106">
        <v>0.96263806286585452</v>
      </c>
      <c r="W26" s="106">
        <v>467.84209855280528</v>
      </c>
      <c r="X26" s="106">
        <v>0.33435099165387627</v>
      </c>
      <c r="Y26" s="106">
        <v>162.49458194378386</v>
      </c>
      <c r="Z26" s="106">
        <v>0.31788254463118948</v>
      </c>
      <c r="AA26" s="106">
        <v>154.4909166907581</v>
      </c>
      <c r="AB26" s="106">
        <v>0</v>
      </c>
      <c r="AC26" s="106">
        <v>0</v>
      </c>
      <c r="AD26" s="106">
        <v>0.36515714143866207</v>
      </c>
      <c r="AE26" s="106">
        <v>177.46637073918976</v>
      </c>
      <c r="AF26" s="106">
        <v>4.6303419725218982</v>
      </c>
      <c r="AG26" s="106">
        <v>2250.3461986456423</v>
      </c>
      <c r="AH26" s="106">
        <v>0.40740158984397712</v>
      </c>
      <c r="AI26" s="106">
        <v>197.99717266417289</v>
      </c>
      <c r="AJ26" s="106">
        <v>0</v>
      </c>
      <c r="AK26" s="106">
        <v>0</v>
      </c>
      <c r="AL26" s="106">
        <v>10.080694464305541</v>
      </c>
      <c r="AM26" s="106">
        <v>4899.2175096524925</v>
      </c>
      <c r="AN26" s="106">
        <v>2.6956697532549931</v>
      </c>
      <c r="AO26" s="106">
        <v>1310.0955000819267</v>
      </c>
      <c r="AP26" s="106">
        <v>0</v>
      </c>
      <c r="AQ26" s="106">
        <v>0</v>
      </c>
      <c r="AR26" s="106">
        <v>8.5315254362791393</v>
      </c>
      <c r="AS26" s="106">
        <v>4146.3213620316619</v>
      </c>
      <c r="AT26" s="106">
        <v>0</v>
      </c>
      <c r="AU26" s="106">
        <v>0</v>
      </c>
      <c r="AV26" s="106">
        <v>7.5780097449373685</v>
      </c>
      <c r="AW26" s="106">
        <v>3682.912736039561</v>
      </c>
      <c r="AX26" s="106">
        <v>3.5941317175936365</v>
      </c>
      <c r="AY26" s="106">
        <v>1746.7480147505073</v>
      </c>
      <c r="AZ26" s="106">
        <v>3.4538530288438252</v>
      </c>
      <c r="BA26" s="106">
        <v>1678.572572018099</v>
      </c>
      <c r="BB26" s="106">
        <v>0</v>
      </c>
      <c r="BC26" s="106">
        <v>0</v>
      </c>
      <c r="BD26" s="106">
        <v>2.6869128466728647</v>
      </c>
      <c r="BE26" s="106">
        <v>1305.8396434830122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4.0595467721765273</v>
      </c>
      <c r="BM26" s="106">
        <v>1972.9397312777924</v>
      </c>
      <c r="BN26" s="106">
        <v>2.5380904950086025</v>
      </c>
      <c r="BO26" s="106">
        <v>1233.5119805741808</v>
      </c>
      <c r="BP26" s="106">
        <v>4.0056768284923798</v>
      </c>
      <c r="BQ26" s="106">
        <v>1946.7589386472966</v>
      </c>
      <c r="BR26" s="106">
        <v>4.2603697975786501</v>
      </c>
      <c r="BS26" s="106">
        <v>2070.5397216232241</v>
      </c>
      <c r="BT26" s="106">
        <v>5.2212070017981747</v>
      </c>
      <c r="BU26" s="106">
        <v>2537.5066028739129</v>
      </c>
      <c r="BV26" s="106">
        <v>0</v>
      </c>
      <c r="BW26" s="106">
        <v>0</v>
      </c>
      <c r="BX26" s="106">
        <v>4.380152331749481</v>
      </c>
      <c r="BY26" s="106">
        <v>2128.7540332302478</v>
      </c>
      <c r="BZ26" s="106">
        <v>2.720889099572648</v>
      </c>
      <c r="CA26" s="106">
        <v>1322.352102392307</v>
      </c>
      <c r="CB26" s="106">
        <v>0</v>
      </c>
      <c r="CC26" s="106">
        <v>0</v>
      </c>
      <c r="CD26" s="106">
        <v>2.9041158845599546</v>
      </c>
      <c r="CE26" s="106">
        <v>1411.4003198961379</v>
      </c>
      <c r="CF26" s="106">
        <v>0</v>
      </c>
      <c r="CG26" s="106">
        <v>0</v>
      </c>
      <c r="CH26" s="106">
        <v>0</v>
      </c>
      <c r="CI26" s="106">
        <v>0</v>
      </c>
      <c r="CJ26" s="106">
        <v>4.6792796033415058</v>
      </c>
      <c r="CK26" s="106">
        <v>2274.1298872239718</v>
      </c>
      <c r="CL26" s="106">
        <v>1.690831369471681</v>
      </c>
      <c r="CM26" s="106">
        <v>821.74404556323702</v>
      </c>
      <c r="CN26" s="106">
        <v>3.2915857971086444</v>
      </c>
      <c r="CO26" s="106">
        <v>1599.7106973948012</v>
      </c>
      <c r="CP26" s="106">
        <v>0</v>
      </c>
      <c r="CQ26" s="106">
        <v>0</v>
      </c>
      <c r="CR26" s="106">
        <v>0</v>
      </c>
      <c r="CS26" s="106">
        <v>0</v>
      </c>
      <c r="CT26" s="106">
        <v>3.2234355075270167</v>
      </c>
      <c r="CU26" s="106">
        <v>1566.58965665813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2.9380231612334313</v>
      </c>
      <c r="M27" s="106">
        <v>1255.1234944789219</v>
      </c>
      <c r="N27" s="106">
        <v>0.97831540818822249</v>
      </c>
      <c r="O27" s="106">
        <v>417.93634237800865</v>
      </c>
      <c r="P27" s="106">
        <v>0.69965266102410573</v>
      </c>
      <c r="Q27" s="106">
        <v>298.89161678949796</v>
      </c>
      <c r="R27" s="106">
        <v>0.83837241468692814</v>
      </c>
      <c r="S27" s="106">
        <v>358.15269555425567</v>
      </c>
      <c r="T27" s="106">
        <v>0</v>
      </c>
      <c r="U27" s="106">
        <v>0</v>
      </c>
      <c r="V27" s="106">
        <v>0.9744495728396686</v>
      </c>
      <c r="W27" s="106">
        <v>416.28485751710639</v>
      </c>
      <c r="X27" s="106">
        <v>0.34218734302076403</v>
      </c>
      <c r="Y27" s="106">
        <v>146.18243293847038</v>
      </c>
      <c r="Z27" s="106">
        <v>0.29233841158046892</v>
      </c>
      <c r="AA27" s="106">
        <v>124.88696942717631</v>
      </c>
      <c r="AB27" s="106">
        <v>0</v>
      </c>
      <c r="AC27" s="106">
        <v>0</v>
      </c>
      <c r="AD27" s="106">
        <v>0.41527674908710582</v>
      </c>
      <c r="AE27" s="106">
        <v>177.40622721001159</v>
      </c>
      <c r="AF27" s="106">
        <v>5.4841638965330279</v>
      </c>
      <c r="AG27" s="106">
        <v>2342.8348165989096</v>
      </c>
      <c r="AH27" s="106">
        <v>0.41784778445536119</v>
      </c>
      <c r="AI27" s="106">
        <v>178.50457351933031</v>
      </c>
      <c r="AJ27" s="106">
        <v>0</v>
      </c>
      <c r="AK27" s="106">
        <v>0</v>
      </c>
      <c r="AL27" s="106">
        <v>8.6054708841632674</v>
      </c>
      <c r="AM27" s="106">
        <v>3676.2571617145477</v>
      </c>
      <c r="AN27" s="106">
        <v>3.0191501236455927</v>
      </c>
      <c r="AO27" s="106">
        <v>1289.7809328213971</v>
      </c>
      <c r="AP27" s="106">
        <v>0</v>
      </c>
      <c r="AQ27" s="106">
        <v>0</v>
      </c>
      <c r="AR27" s="106">
        <v>9.7503147843190163</v>
      </c>
      <c r="AS27" s="106">
        <v>4165.3344758610838</v>
      </c>
      <c r="AT27" s="106">
        <v>0</v>
      </c>
      <c r="AU27" s="106">
        <v>0</v>
      </c>
      <c r="AV27" s="106">
        <v>9.1381882218362378</v>
      </c>
      <c r="AW27" s="106">
        <v>3903.8340083684407</v>
      </c>
      <c r="AX27" s="106">
        <v>3.8055512303932626</v>
      </c>
      <c r="AY27" s="106">
        <v>1625.7314856240018</v>
      </c>
      <c r="AZ27" s="106">
        <v>3.0269723174136893</v>
      </c>
      <c r="BA27" s="106">
        <v>1293.122573999128</v>
      </c>
      <c r="BB27" s="106">
        <v>0</v>
      </c>
      <c r="BC27" s="106">
        <v>0</v>
      </c>
      <c r="BD27" s="106">
        <v>2.7671192003048906</v>
      </c>
      <c r="BE27" s="106">
        <v>1182.1133223702493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4.2469104693539057</v>
      </c>
      <c r="BM27" s="106">
        <v>1814.2801525079885</v>
      </c>
      <c r="BN27" s="106">
        <v>2.3650388703489251</v>
      </c>
      <c r="BO27" s="106">
        <v>1010.3446054130608</v>
      </c>
      <c r="BP27" s="106">
        <v>3.6051091456431417</v>
      </c>
      <c r="BQ27" s="106">
        <v>1540.1026270187501</v>
      </c>
      <c r="BR27" s="106">
        <v>4.1842917654790313</v>
      </c>
      <c r="BS27" s="106">
        <v>1787.5294422126422</v>
      </c>
      <c r="BT27" s="106">
        <v>4.7643513891408338</v>
      </c>
      <c r="BU27" s="106">
        <v>2035.3309134409642</v>
      </c>
      <c r="BV27" s="106">
        <v>0</v>
      </c>
      <c r="BW27" s="106">
        <v>0</v>
      </c>
      <c r="BX27" s="106">
        <v>4.7973096966780018</v>
      </c>
      <c r="BY27" s="106">
        <v>2049.4107024208424</v>
      </c>
      <c r="BZ27" s="106">
        <v>2.6685643091962508</v>
      </c>
      <c r="CA27" s="106">
        <v>1140.0106728886383</v>
      </c>
      <c r="CB27" s="106">
        <v>0</v>
      </c>
      <c r="CC27" s="106">
        <v>0</v>
      </c>
      <c r="CD27" s="106">
        <v>3.1833577965368738</v>
      </c>
      <c r="CE27" s="106">
        <v>1359.9304506805524</v>
      </c>
      <c r="CF27" s="106">
        <v>0</v>
      </c>
      <c r="CG27" s="106">
        <v>0</v>
      </c>
      <c r="CH27" s="106">
        <v>0</v>
      </c>
      <c r="CI27" s="106">
        <v>0</v>
      </c>
      <c r="CJ27" s="106">
        <v>4.1867238556213469</v>
      </c>
      <c r="CK27" s="106">
        <v>1788.5684311214393</v>
      </c>
      <c r="CL27" s="106">
        <v>1.5438025547350132</v>
      </c>
      <c r="CM27" s="106">
        <v>659.51245138279762</v>
      </c>
      <c r="CN27" s="106">
        <v>2.9487122765764942</v>
      </c>
      <c r="CO27" s="106">
        <v>1259.6898845534784</v>
      </c>
      <c r="CP27" s="106">
        <v>0</v>
      </c>
      <c r="CQ27" s="106">
        <v>0</v>
      </c>
      <c r="CR27" s="106">
        <v>0</v>
      </c>
      <c r="CS27" s="106">
        <v>0</v>
      </c>
      <c r="CT27" s="106">
        <v>3.0970262719377217</v>
      </c>
      <c r="CU27" s="106">
        <v>1323.0496233717947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2.6423730318011365</v>
      </c>
      <c r="M28" s="106">
        <v>1950.0712974692387</v>
      </c>
      <c r="N28" s="106">
        <v>0.94312420645483308</v>
      </c>
      <c r="O28" s="106">
        <v>696.02566436366681</v>
      </c>
      <c r="P28" s="106">
        <v>0.62696147546315961</v>
      </c>
      <c r="Q28" s="106">
        <v>462.69756889181178</v>
      </c>
      <c r="R28" s="106">
        <v>0.69102211149952864</v>
      </c>
      <c r="S28" s="106">
        <v>509.97431828665214</v>
      </c>
      <c r="T28" s="106">
        <v>0</v>
      </c>
      <c r="U28" s="106">
        <v>0</v>
      </c>
      <c r="V28" s="106">
        <v>0.88586324803606242</v>
      </c>
      <c r="W28" s="106">
        <v>653.76707705061403</v>
      </c>
      <c r="X28" s="106">
        <v>0.27949653208566222</v>
      </c>
      <c r="Y28" s="106">
        <v>206.26844067921871</v>
      </c>
      <c r="Z28" s="106">
        <v>0.31220607061991829</v>
      </c>
      <c r="AA28" s="106">
        <v>230.40808011749971</v>
      </c>
      <c r="AB28" s="106">
        <v>0</v>
      </c>
      <c r="AC28" s="106">
        <v>0</v>
      </c>
      <c r="AD28" s="106">
        <v>0.35799719748888437</v>
      </c>
      <c r="AE28" s="106">
        <v>264.20193174679667</v>
      </c>
      <c r="AF28" s="106">
        <v>5.254288763145416</v>
      </c>
      <c r="AG28" s="106">
        <v>3877.6651072013169</v>
      </c>
      <c r="AH28" s="106">
        <v>0.41784778445536119</v>
      </c>
      <c r="AI28" s="106">
        <v>308.37166492805659</v>
      </c>
      <c r="AJ28" s="106">
        <v>0</v>
      </c>
      <c r="AK28" s="106">
        <v>0</v>
      </c>
      <c r="AL28" s="106">
        <v>10.080694464305541</v>
      </c>
      <c r="AM28" s="106">
        <v>7439.5525146574892</v>
      </c>
      <c r="AN28" s="106">
        <v>2.4800161729945938</v>
      </c>
      <c r="AO28" s="106">
        <v>1830.2519356700102</v>
      </c>
      <c r="AP28" s="106">
        <v>0</v>
      </c>
      <c r="AQ28" s="106">
        <v>0</v>
      </c>
      <c r="AR28" s="106">
        <v>9.0190411754950901</v>
      </c>
      <c r="AS28" s="106">
        <v>6656.0523875153767</v>
      </c>
      <c r="AT28" s="106">
        <v>0</v>
      </c>
      <c r="AU28" s="106">
        <v>0</v>
      </c>
      <c r="AV28" s="106">
        <v>8.469540303165294</v>
      </c>
      <c r="AW28" s="106">
        <v>6250.5207437359868</v>
      </c>
      <c r="AX28" s="106">
        <v>3.4884219611938239</v>
      </c>
      <c r="AY28" s="106">
        <v>2574.455407361042</v>
      </c>
      <c r="AZ28" s="106">
        <v>3.0463759861150592</v>
      </c>
      <c r="BA28" s="106">
        <v>2248.2254777529138</v>
      </c>
      <c r="BB28" s="106">
        <v>0</v>
      </c>
      <c r="BC28" s="106">
        <v>0</v>
      </c>
      <c r="BD28" s="106">
        <v>2.4663453741847934</v>
      </c>
      <c r="BE28" s="106">
        <v>1820.1628861483775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4.3093650350796988</v>
      </c>
      <c r="BM28" s="106">
        <v>3180.3113958888175</v>
      </c>
      <c r="BN28" s="106">
        <v>2.5380904950086025</v>
      </c>
      <c r="BO28" s="106">
        <v>1873.1107853163487</v>
      </c>
      <c r="BP28" s="106">
        <v>3.3647685359335995</v>
      </c>
      <c r="BQ28" s="106">
        <v>2483.1991795189965</v>
      </c>
      <c r="BR28" s="106">
        <v>3.7278235728813187</v>
      </c>
      <c r="BS28" s="106">
        <v>2751.1337967864133</v>
      </c>
      <c r="BT28" s="106">
        <v>4.4380259515284486</v>
      </c>
      <c r="BU28" s="106">
        <v>3275.2631522279949</v>
      </c>
      <c r="BV28" s="106">
        <v>0</v>
      </c>
      <c r="BW28" s="106">
        <v>0</v>
      </c>
      <c r="BX28" s="106">
        <v>4.0672843080530896</v>
      </c>
      <c r="BY28" s="106">
        <v>3001.6558193431802</v>
      </c>
      <c r="BZ28" s="106">
        <v>2.3546155669378686</v>
      </c>
      <c r="CA28" s="106">
        <v>1737.7062884001471</v>
      </c>
      <c r="CB28" s="106">
        <v>0</v>
      </c>
      <c r="CC28" s="106">
        <v>0</v>
      </c>
      <c r="CD28" s="106">
        <v>3.2392061789322568</v>
      </c>
      <c r="CE28" s="106">
        <v>2390.5341600520055</v>
      </c>
      <c r="CF28" s="106">
        <v>0</v>
      </c>
      <c r="CG28" s="106">
        <v>0</v>
      </c>
      <c r="CH28" s="106">
        <v>0</v>
      </c>
      <c r="CI28" s="106">
        <v>0</v>
      </c>
      <c r="CJ28" s="106">
        <v>3.9404459817612678</v>
      </c>
      <c r="CK28" s="106">
        <v>2908.0491345398154</v>
      </c>
      <c r="CL28" s="106">
        <v>1.7275885731558478</v>
      </c>
      <c r="CM28" s="106">
        <v>1274.9603669890157</v>
      </c>
      <c r="CN28" s="106">
        <v>3.0858616847893541</v>
      </c>
      <c r="CO28" s="106">
        <v>2277.3659233745434</v>
      </c>
      <c r="CP28" s="106">
        <v>0</v>
      </c>
      <c r="CQ28" s="106">
        <v>0</v>
      </c>
      <c r="CR28" s="106">
        <v>0</v>
      </c>
      <c r="CS28" s="106">
        <v>0</v>
      </c>
      <c r="CT28" s="106">
        <v>3.4130493609109585</v>
      </c>
      <c r="CU28" s="106">
        <v>2518.8304283522875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3.2891076899342817</v>
      </c>
      <c r="M29" s="106">
        <v>1113.0340422737609</v>
      </c>
      <c r="N29" s="106">
        <v>1.0064683695749339</v>
      </c>
      <c r="O29" s="106">
        <v>340.5888962641576</v>
      </c>
      <c r="P29" s="106">
        <v>0.78597344387772905</v>
      </c>
      <c r="Q29" s="106">
        <v>265.97341340822351</v>
      </c>
      <c r="R29" s="106">
        <v>0.74183256087449401</v>
      </c>
      <c r="S29" s="106">
        <v>251.03613859992876</v>
      </c>
      <c r="T29" s="106">
        <v>0</v>
      </c>
      <c r="U29" s="106">
        <v>0</v>
      </c>
      <c r="V29" s="106">
        <v>1.0925646725778104</v>
      </c>
      <c r="W29" s="106">
        <v>369.72388520033104</v>
      </c>
      <c r="X29" s="106">
        <v>0.32651464028698857</v>
      </c>
      <c r="Y29" s="106">
        <v>110.49255427311692</v>
      </c>
      <c r="Z29" s="106">
        <v>0.3207207816368251</v>
      </c>
      <c r="AA29" s="106">
        <v>108.5319125059016</v>
      </c>
      <c r="AB29" s="106">
        <v>0</v>
      </c>
      <c r="AC29" s="106">
        <v>0</v>
      </c>
      <c r="AD29" s="106">
        <v>0.39737688921266162</v>
      </c>
      <c r="AE29" s="106">
        <v>134.47233930956469</v>
      </c>
      <c r="AF29" s="106">
        <v>4.7288598868308744</v>
      </c>
      <c r="AG29" s="106">
        <v>1600.2461857035678</v>
      </c>
      <c r="AH29" s="106">
        <v>0.45440946559520529</v>
      </c>
      <c r="AI29" s="106">
        <v>153.77216315741745</v>
      </c>
      <c r="AJ29" s="106">
        <v>0</v>
      </c>
      <c r="AK29" s="106">
        <v>0</v>
      </c>
      <c r="AL29" s="106">
        <v>8.8513414808536464</v>
      </c>
      <c r="AM29" s="106">
        <v>2995.2939571208735</v>
      </c>
      <c r="AN29" s="106">
        <v>2.5878429631247934</v>
      </c>
      <c r="AO29" s="106">
        <v>875.72605872143004</v>
      </c>
      <c r="AP29" s="106">
        <v>0</v>
      </c>
      <c r="AQ29" s="106">
        <v>0</v>
      </c>
      <c r="AR29" s="106">
        <v>9.5065569147110409</v>
      </c>
      <c r="AS29" s="106">
        <v>3217.0188599382159</v>
      </c>
      <c r="AT29" s="106">
        <v>0</v>
      </c>
      <c r="AU29" s="106">
        <v>0</v>
      </c>
      <c r="AV29" s="106">
        <v>8.2466576636083122</v>
      </c>
      <c r="AW29" s="106">
        <v>2790.6689533650529</v>
      </c>
      <c r="AX29" s="106">
        <v>3.5941317175936365</v>
      </c>
      <c r="AY29" s="106">
        <v>1216.2541732336865</v>
      </c>
      <c r="AZ29" s="106">
        <v>3.6090823784547834</v>
      </c>
      <c r="BA29" s="106">
        <v>1221.3134768690986</v>
      </c>
      <c r="BB29" s="106">
        <v>0</v>
      </c>
      <c r="BC29" s="106">
        <v>0</v>
      </c>
      <c r="BD29" s="106">
        <v>2.8874287307529296</v>
      </c>
      <c r="BE29" s="106">
        <v>977.1058824867913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4.4967287322570773</v>
      </c>
      <c r="BM29" s="106">
        <v>1521.6930029957948</v>
      </c>
      <c r="BN29" s="106">
        <v>2.5957743698951616</v>
      </c>
      <c r="BO29" s="106">
        <v>878.41004677252261</v>
      </c>
      <c r="BP29" s="106">
        <v>3.8454497553526843</v>
      </c>
      <c r="BQ29" s="106">
        <v>1301.3001972113482</v>
      </c>
      <c r="BR29" s="106">
        <v>4.1082137333794124</v>
      </c>
      <c r="BS29" s="106">
        <v>1390.2195273755931</v>
      </c>
      <c r="BT29" s="106">
        <v>4.5032910390509251</v>
      </c>
      <c r="BU29" s="106">
        <v>1523.913687614833</v>
      </c>
      <c r="BV29" s="106">
        <v>0</v>
      </c>
      <c r="BW29" s="106">
        <v>0</v>
      </c>
      <c r="BX29" s="106">
        <v>4.0672843080530896</v>
      </c>
      <c r="BY29" s="106">
        <v>1376.3690098451655</v>
      </c>
      <c r="BZ29" s="106">
        <v>2.5115899380670594</v>
      </c>
      <c r="CA29" s="106">
        <v>849.92203504189285</v>
      </c>
      <c r="CB29" s="106">
        <v>0</v>
      </c>
      <c r="CC29" s="106">
        <v>0</v>
      </c>
      <c r="CD29" s="106">
        <v>3.2392061789322568</v>
      </c>
      <c r="CE29" s="106">
        <v>1096.1473709506756</v>
      </c>
      <c r="CF29" s="106">
        <v>0</v>
      </c>
      <c r="CG29" s="106">
        <v>0</v>
      </c>
      <c r="CH29" s="106">
        <v>0</v>
      </c>
      <c r="CI29" s="106">
        <v>0</v>
      </c>
      <c r="CJ29" s="106">
        <v>4.2688164802413731</v>
      </c>
      <c r="CK29" s="106">
        <v>1444.5674969136805</v>
      </c>
      <c r="CL29" s="106">
        <v>1.8378601842083486</v>
      </c>
      <c r="CM29" s="106">
        <v>621.93188633610509</v>
      </c>
      <c r="CN29" s="106">
        <v>2.8801375724700637</v>
      </c>
      <c r="CO29" s="106">
        <v>974.63855452386952</v>
      </c>
      <c r="CP29" s="106">
        <v>0</v>
      </c>
      <c r="CQ29" s="106">
        <v>0</v>
      </c>
      <c r="CR29" s="106">
        <v>0</v>
      </c>
      <c r="CS29" s="106">
        <v>0</v>
      </c>
      <c r="CT29" s="106">
        <v>3.1602308897323694</v>
      </c>
      <c r="CU29" s="106">
        <v>1069.4221330854336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3.4184546215609104</v>
      </c>
      <c r="M30" s="106">
        <v>475.84888332127866</v>
      </c>
      <c r="N30" s="106">
        <v>1.0838890133883903</v>
      </c>
      <c r="O30" s="106">
        <v>150.87735066366392</v>
      </c>
      <c r="P30" s="106">
        <v>0.71328225831678294</v>
      </c>
      <c r="Q30" s="106">
        <v>99.288890357696175</v>
      </c>
      <c r="R30" s="106">
        <v>0.74183256087449401</v>
      </c>
      <c r="S30" s="106">
        <v>103.26309247372956</v>
      </c>
      <c r="T30" s="106">
        <v>0</v>
      </c>
      <c r="U30" s="106">
        <v>0</v>
      </c>
      <c r="V30" s="106">
        <v>1.0748474076170891</v>
      </c>
      <c r="W30" s="106">
        <v>149.61875914029878</v>
      </c>
      <c r="X30" s="106">
        <v>0.33696310877617219</v>
      </c>
      <c r="Y30" s="106">
        <v>46.905264741643165</v>
      </c>
      <c r="Z30" s="106">
        <v>0.36613257372699504</v>
      </c>
      <c r="AA30" s="106">
        <v>50.965654262797706</v>
      </c>
      <c r="AB30" s="106">
        <v>0</v>
      </c>
      <c r="AC30" s="106">
        <v>0</v>
      </c>
      <c r="AD30" s="106">
        <v>0.42243669303688358</v>
      </c>
      <c r="AE30" s="106">
        <v>58.803187670734189</v>
      </c>
      <c r="AF30" s="106">
        <v>5.5170032013026873</v>
      </c>
      <c r="AG30" s="106">
        <v>767.96684562133396</v>
      </c>
      <c r="AH30" s="106">
        <v>0.42829397906674527</v>
      </c>
      <c r="AI30" s="106">
        <v>59.618521886090939</v>
      </c>
      <c r="AJ30" s="106">
        <v>0</v>
      </c>
      <c r="AK30" s="106">
        <v>0</v>
      </c>
      <c r="AL30" s="106">
        <v>8.8513414808536464</v>
      </c>
      <c r="AM30" s="106">
        <v>1232.1067341348275</v>
      </c>
      <c r="AN30" s="106">
        <v>3.1269769137757923</v>
      </c>
      <c r="AO30" s="106">
        <v>435.27518639759023</v>
      </c>
      <c r="AP30" s="106">
        <v>0</v>
      </c>
      <c r="AQ30" s="106">
        <v>0</v>
      </c>
      <c r="AR30" s="106">
        <v>8.7752833058871147</v>
      </c>
      <c r="AS30" s="106">
        <v>1221.5194361794863</v>
      </c>
      <c r="AT30" s="106">
        <v>0</v>
      </c>
      <c r="AU30" s="106">
        <v>0</v>
      </c>
      <c r="AV30" s="106">
        <v>8.469540303165294</v>
      </c>
      <c r="AW30" s="106">
        <v>1178.9600102006088</v>
      </c>
      <c r="AX30" s="106">
        <v>4.0169707431928874</v>
      </c>
      <c r="AY30" s="106">
        <v>559.16232745244986</v>
      </c>
      <c r="AZ30" s="106">
        <v>3.5508713723506742</v>
      </c>
      <c r="BA30" s="106">
        <v>494.2812950312138</v>
      </c>
      <c r="BB30" s="106">
        <v>0</v>
      </c>
      <c r="BC30" s="106">
        <v>0</v>
      </c>
      <c r="BD30" s="106">
        <v>2.9475834959769487</v>
      </c>
      <c r="BE30" s="106">
        <v>410.3036226399912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4.8714561266118332</v>
      </c>
      <c r="BM30" s="106">
        <v>678.10669282436709</v>
      </c>
      <c r="BN30" s="106">
        <v>2.5957743698951616</v>
      </c>
      <c r="BO30" s="106">
        <v>361.33179228940645</v>
      </c>
      <c r="BP30" s="106">
        <v>3.6852226822129897</v>
      </c>
      <c r="BQ30" s="106">
        <v>512.98299736404817</v>
      </c>
      <c r="BR30" s="106">
        <v>4.336447829678268</v>
      </c>
      <c r="BS30" s="106">
        <v>603.63353789121481</v>
      </c>
      <c r="BT30" s="106">
        <v>4.960146651708266</v>
      </c>
      <c r="BU30" s="106">
        <v>690.45241391779052</v>
      </c>
      <c r="BV30" s="106">
        <v>0</v>
      </c>
      <c r="BW30" s="106">
        <v>0</v>
      </c>
      <c r="BX30" s="106">
        <v>4.5887310142137414</v>
      </c>
      <c r="BY30" s="106">
        <v>638.75135717855278</v>
      </c>
      <c r="BZ30" s="106">
        <v>2.6162395188198539</v>
      </c>
      <c r="CA30" s="106">
        <v>364.18054101972365</v>
      </c>
      <c r="CB30" s="106">
        <v>0</v>
      </c>
      <c r="CC30" s="106">
        <v>0</v>
      </c>
      <c r="CD30" s="106">
        <v>3.3509029437230247</v>
      </c>
      <c r="CE30" s="106">
        <v>466.44568976624498</v>
      </c>
      <c r="CF30" s="106">
        <v>0</v>
      </c>
      <c r="CG30" s="106">
        <v>0</v>
      </c>
      <c r="CH30" s="106">
        <v>0</v>
      </c>
      <c r="CI30" s="106">
        <v>0</v>
      </c>
      <c r="CJ30" s="106">
        <v>4.4330017294814263</v>
      </c>
      <c r="CK30" s="106">
        <v>617.07384074381446</v>
      </c>
      <c r="CL30" s="106">
        <v>1.7643457768400148</v>
      </c>
      <c r="CM30" s="106">
        <v>245.59693213613005</v>
      </c>
      <c r="CN30" s="106">
        <v>3.0172869806829237</v>
      </c>
      <c r="CO30" s="106">
        <v>420.00634771106292</v>
      </c>
      <c r="CP30" s="106">
        <v>0</v>
      </c>
      <c r="CQ30" s="106">
        <v>0</v>
      </c>
      <c r="CR30" s="106">
        <v>0</v>
      </c>
      <c r="CS30" s="106">
        <v>0</v>
      </c>
      <c r="CT30" s="106">
        <v>3.1602308897323694</v>
      </c>
      <c r="CU30" s="106">
        <v>439.90413985074576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3.1412826252181341</v>
      </c>
      <c r="M31" s="106">
        <v>1070.5491186743402</v>
      </c>
      <c r="N31" s="106">
        <v>1.0838890133883903</v>
      </c>
      <c r="O31" s="106">
        <v>369.38937576276339</v>
      </c>
      <c r="P31" s="106">
        <v>0.77234384658505162</v>
      </c>
      <c r="Q31" s="106">
        <v>263.21478291618558</v>
      </c>
      <c r="R31" s="106">
        <v>0.76215674062448013</v>
      </c>
      <c r="S31" s="106">
        <v>259.74301720482282</v>
      </c>
      <c r="T31" s="106">
        <v>0</v>
      </c>
      <c r="U31" s="106">
        <v>0</v>
      </c>
      <c r="V31" s="106">
        <v>0.92129777795750489</v>
      </c>
      <c r="W31" s="106">
        <v>313.9782827279177</v>
      </c>
      <c r="X31" s="106">
        <v>0.33435099165387627</v>
      </c>
      <c r="Y31" s="106">
        <v>113.94681795564104</v>
      </c>
      <c r="Z31" s="106">
        <v>0.33491196666500322</v>
      </c>
      <c r="AA31" s="106">
        <v>114.1379982394331</v>
      </c>
      <c r="AB31" s="106">
        <v>0</v>
      </c>
      <c r="AC31" s="106">
        <v>0</v>
      </c>
      <c r="AD31" s="106">
        <v>0.40095686118755047</v>
      </c>
      <c r="AE31" s="106">
        <v>136.6460982927172</v>
      </c>
      <c r="AF31" s="106">
        <v>5.4513245917633686</v>
      </c>
      <c r="AG31" s="106">
        <v>1857.811420872956</v>
      </c>
      <c r="AH31" s="106">
        <v>0.38389765196836312</v>
      </c>
      <c r="AI31" s="106">
        <v>130.83231979081816</v>
      </c>
      <c r="AJ31" s="106">
        <v>0</v>
      </c>
      <c r="AK31" s="106">
        <v>0</v>
      </c>
      <c r="AL31" s="106">
        <v>9.8348238676151638</v>
      </c>
      <c r="AM31" s="106">
        <v>3351.7079740832478</v>
      </c>
      <c r="AN31" s="106">
        <v>3.1269769137757923</v>
      </c>
      <c r="AO31" s="106">
        <v>1065.6737322147901</v>
      </c>
      <c r="AP31" s="106">
        <v>0</v>
      </c>
      <c r="AQ31" s="106">
        <v>0</v>
      </c>
      <c r="AR31" s="106">
        <v>9.2627990451030655</v>
      </c>
      <c r="AS31" s="106">
        <v>3156.7619145711246</v>
      </c>
      <c r="AT31" s="106">
        <v>0</v>
      </c>
      <c r="AU31" s="106">
        <v>0</v>
      </c>
      <c r="AV31" s="106">
        <v>8.6924229427222741</v>
      </c>
      <c r="AW31" s="106">
        <v>2962.3777388797512</v>
      </c>
      <c r="AX31" s="106">
        <v>4.1226804995927004</v>
      </c>
      <c r="AY31" s="106">
        <v>1405.0095142611924</v>
      </c>
      <c r="AZ31" s="106">
        <v>3.2598163418301271</v>
      </c>
      <c r="BA31" s="106">
        <v>1110.9454092957073</v>
      </c>
      <c r="BB31" s="106">
        <v>0</v>
      </c>
      <c r="BC31" s="106">
        <v>0</v>
      </c>
      <c r="BD31" s="106">
        <v>2.7871707887128969</v>
      </c>
      <c r="BE31" s="106">
        <v>949.86780479335528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4.1844559036281126</v>
      </c>
      <c r="BM31" s="106">
        <v>1426.0625719564607</v>
      </c>
      <c r="BN31" s="106">
        <v>2.5957743698951616</v>
      </c>
      <c r="BO31" s="106">
        <v>884.63990526027112</v>
      </c>
      <c r="BP31" s="106">
        <v>3.7653362187828372</v>
      </c>
      <c r="BQ31" s="106">
        <v>1283.2265833611909</v>
      </c>
      <c r="BR31" s="106">
        <v>4.1082137333794124</v>
      </c>
      <c r="BS31" s="106">
        <v>1400.0792403357038</v>
      </c>
      <c r="BT31" s="106">
        <v>4.960146651708266</v>
      </c>
      <c r="BU31" s="106">
        <v>1690.4179789021771</v>
      </c>
      <c r="BV31" s="106">
        <v>0</v>
      </c>
      <c r="BW31" s="106">
        <v>0</v>
      </c>
      <c r="BX31" s="106">
        <v>4.380152331749481</v>
      </c>
      <c r="BY31" s="106">
        <v>1492.7559146602232</v>
      </c>
      <c r="BZ31" s="106">
        <v>2.6162395188198539</v>
      </c>
      <c r="CA31" s="106">
        <v>891.61442801380622</v>
      </c>
      <c r="CB31" s="106">
        <v>0</v>
      </c>
      <c r="CC31" s="106">
        <v>0</v>
      </c>
      <c r="CD31" s="106">
        <v>3.2950545613276407</v>
      </c>
      <c r="CE31" s="106">
        <v>1122.95459450046</v>
      </c>
      <c r="CF31" s="106">
        <v>0</v>
      </c>
      <c r="CG31" s="106">
        <v>0</v>
      </c>
      <c r="CH31" s="106">
        <v>0</v>
      </c>
      <c r="CI31" s="106">
        <v>0</v>
      </c>
      <c r="CJ31" s="106">
        <v>4.8434648525815582</v>
      </c>
      <c r="CK31" s="106">
        <v>1650.6528217597952</v>
      </c>
      <c r="CL31" s="106">
        <v>1.5438025547350132</v>
      </c>
      <c r="CM31" s="106">
        <v>526.12791065369254</v>
      </c>
      <c r="CN31" s="106">
        <v>2.8801375724700637</v>
      </c>
      <c r="CO31" s="106">
        <v>981.55088469779776</v>
      </c>
      <c r="CP31" s="106">
        <v>0</v>
      </c>
      <c r="CQ31" s="106">
        <v>0</v>
      </c>
      <c r="CR31" s="106">
        <v>0</v>
      </c>
      <c r="CS31" s="106">
        <v>0</v>
      </c>
      <c r="CT31" s="106">
        <v>3.6026632142949002</v>
      </c>
      <c r="CU31" s="106">
        <v>1227.7876234317021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2.9565012943229494</v>
      </c>
      <c r="M32" s="106">
        <v>2483.4610872312774</v>
      </c>
      <c r="N32" s="106">
        <v>0.89385652402808813</v>
      </c>
      <c r="O32" s="106">
        <v>750.83948018359399</v>
      </c>
      <c r="P32" s="106">
        <v>0.6860230637314283</v>
      </c>
      <c r="Q32" s="106">
        <v>576.25937353439974</v>
      </c>
      <c r="R32" s="106">
        <v>0.65037375199955638</v>
      </c>
      <c r="S32" s="106">
        <v>546.31395167962739</v>
      </c>
      <c r="T32" s="106">
        <v>0</v>
      </c>
      <c r="U32" s="106">
        <v>0</v>
      </c>
      <c r="V32" s="106">
        <v>0.87405173806224823</v>
      </c>
      <c r="W32" s="106">
        <v>734.20345997228856</v>
      </c>
      <c r="X32" s="106">
        <v>0.27949653208566222</v>
      </c>
      <c r="Y32" s="106">
        <v>234.77708695195628</v>
      </c>
      <c r="Z32" s="106">
        <v>0.30369135960301141</v>
      </c>
      <c r="AA32" s="106">
        <v>255.10074206652959</v>
      </c>
      <c r="AB32" s="106">
        <v>0</v>
      </c>
      <c r="AC32" s="106">
        <v>0</v>
      </c>
      <c r="AD32" s="106">
        <v>0.34367730958932902</v>
      </c>
      <c r="AE32" s="106">
        <v>288.68894005503637</v>
      </c>
      <c r="AF32" s="106">
        <v>5.1886101536060982</v>
      </c>
      <c r="AG32" s="106">
        <v>4358.4325290291226</v>
      </c>
      <c r="AH32" s="106">
        <v>0.37606300600982506</v>
      </c>
      <c r="AI32" s="106">
        <v>315.89292504825306</v>
      </c>
      <c r="AJ32" s="106">
        <v>0</v>
      </c>
      <c r="AK32" s="106">
        <v>0</v>
      </c>
      <c r="AL32" s="106">
        <v>9.3430826742344042</v>
      </c>
      <c r="AM32" s="106">
        <v>7848.1894463568997</v>
      </c>
      <c r="AN32" s="106">
        <v>2.4800161729945938</v>
      </c>
      <c r="AO32" s="106">
        <v>2083.2135853154587</v>
      </c>
      <c r="AP32" s="106">
        <v>0</v>
      </c>
      <c r="AQ32" s="106">
        <v>0</v>
      </c>
      <c r="AR32" s="106">
        <v>9.2627990451030655</v>
      </c>
      <c r="AS32" s="106">
        <v>7780.751197886575</v>
      </c>
      <c r="AT32" s="106">
        <v>0</v>
      </c>
      <c r="AU32" s="106">
        <v>0</v>
      </c>
      <c r="AV32" s="106">
        <v>7.3551271053803875</v>
      </c>
      <c r="AW32" s="106">
        <v>6178.3067685195256</v>
      </c>
      <c r="AX32" s="106">
        <v>3.6998414739934491</v>
      </c>
      <c r="AY32" s="106">
        <v>3107.8668381544971</v>
      </c>
      <c r="AZ32" s="106">
        <v>3.2986236792328665</v>
      </c>
      <c r="BA32" s="106">
        <v>2770.8438905556077</v>
      </c>
      <c r="BB32" s="106">
        <v>0</v>
      </c>
      <c r="BC32" s="106">
        <v>0</v>
      </c>
      <c r="BD32" s="106">
        <v>2.8272739655289101</v>
      </c>
      <c r="BE32" s="106">
        <v>2374.9101310442843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3.8097285092733566</v>
      </c>
      <c r="BM32" s="106">
        <v>3200.1719477896195</v>
      </c>
      <c r="BN32" s="106">
        <v>2.4227227452354838</v>
      </c>
      <c r="BO32" s="106">
        <v>2035.0871059978065</v>
      </c>
      <c r="BP32" s="106">
        <v>3.6051091456431417</v>
      </c>
      <c r="BQ32" s="106">
        <v>3028.2916823402388</v>
      </c>
      <c r="BR32" s="106">
        <v>3.6517455407816999</v>
      </c>
      <c r="BS32" s="106">
        <v>3067.466254256628</v>
      </c>
      <c r="BT32" s="106">
        <v>5.0254117392307434</v>
      </c>
      <c r="BU32" s="106">
        <v>4221.3458609538247</v>
      </c>
      <c r="BV32" s="106">
        <v>0</v>
      </c>
      <c r="BW32" s="106">
        <v>0</v>
      </c>
      <c r="BX32" s="106">
        <v>4.1715736492852198</v>
      </c>
      <c r="BY32" s="106">
        <v>3504.1218653995847</v>
      </c>
      <c r="BZ32" s="106">
        <v>2.3022907765614713</v>
      </c>
      <c r="CA32" s="106">
        <v>1933.9242523116359</v>
      </c>
      <c r="CB32" s="106">
        <v>0</v>
      </c>
      <c r="CC32" s="106">
        <v>0</v>
      </c>
      <c r="CD32" s="106">
        <v>3.2950545613276407</v>
      </c>
      <c r="CE32" s="106">
        <v>2767.8458315152184</v>
      </c>
      <c r="CF32" s="106">
        <v>0</v>
      </c>
      <c r="CG32" s="106">
        <v>0</v>
      </c>
      <c r="CH32" s="106">
        <v>0</v>
      </c>
      <c r="CI32" s="106">
        <v>0</v>
      </c>
      <c r="CJ32" s="106">
        <v>4.3509091048614001</v>
      </c>
      <c r="CK32" s="106">
        <v>3654.7636480835763</v>
      </c>
      <c r="CL32" s="106">
        <v>1.690831369471681</v>
      </c>
      <c r="CM32" s="106">
        <v>1420.298350356212</v>
      </c>
      <c r="CN32" s="106">
        <v>3.1544363888957845</v>
      </c>
      <c r="CO32" s="106">
        <v>2649.7265666724588</v>
      </c>
      <c r="CP32" s="106">
        <v>0</v>
      </c>
      <c r="CQ32" s="106">
        <v>0</v>
      </c>
      <c r="CR32" s="106">
        <v>0</v>
      </c>
      <c r="CS32" s="106">
        <v>0</v>
      </c>
      <c r="CT32" s="106">
        <v>3.1602308897323694</v>
      </c>
      <c r="CU32" s="106">
        <v>2654.5939473751905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2.9010668950543943</v>
      </c>
      <c r="M33" s="106">
        <v>1375.1057082557829</v>
      </c>
      <c r="N33" s="106">
        <v>1.0416595713083232</v>
      </c>
      <c r="O33" s="106">
        <v>493.74663680014521</v>
      </c>
      <c r="P33" s="106">
        <v>0.64059107275583704</v>
      </c>
      <c r="Q33" s="106">
        <v>303.64016848626676</v>
      </c>
      <c r="R33" s="106">
        <v>0.79772405518695588</v>
      </c>
      <c r="S33" s="106">
        <v>378.12120215861711</v>
      </c>
      <c r="T33" s="106">
        <v>0</v>
      </c>
      <c r="U33" s="106">
        <v>0</v>
      </c>
      <c r="V33" s="106">
        <v>0.90358051299678366</v>
      </c>
      <c r="W33" s="106">
        <v>428.29716316047546</v>
      </c>
      <c r="X33" s="106">
        <v>0.29516923481943769</v>
      </c>
      <c r="Y33" s="106">
        <v>139.91021730441346</v>
      </c>
      <c r="Z33" s="106">
        <v>0.32923549265373198</v>
      </c>
      <c r="AA33" s="106">
        <v>156.05762351786896</v>
      </c>
      <c r="AB33" s="106">
        <v>0</v>
      </c>
      <c r="AC33" s="106">
        <v>0</v>
      </c>
      <c r="AD33" s="106">
        <v>0.41169677711221697</v>
      </c>
      <c r="AE33" s="106">
        <v>195.14427235119084</v>
      </c>
      <c r="AF33" s="106">
        <v>4.7945384963701922</v>
      </c>
      <c r="AG33" s="106">
        <v>2272.6112472794712</v>
      </c>
      <c r="AH33" s="106">
        <v>0.37345145735697904</v>
      </c>
      <c r="AI33" s="106">
        <v>177.01599078720807</v>
      </c>
      <c r="AJ33" s="106">
        <v>0</v>
      </c>
      <c r="AK33" s="106">
        <v>0</v>
      </c>
      <c r="AL33" s="106">
        <v>9.3430826742344042</v>
      </c>
      <c r="AM33" s="106">
        <v>4428.6211875871077</v>
      </c>
      <c r="AN33" s="106">
        <v>3.0191501236455927</v>
      </c>
      <c r="AO33" s="106">
        <v>1431.0771586080109</v>
      </c>
      <c r="AP33" s="106">
        <v>0</v>
      </c>
      <c r="AQ33" s="106">
        <v>0</v>
      </c>
      <c r="AR33" s="106">
        <v>8.0440096970631885</v>
      </c>
      <c r="AS33" s="106">
        <v>3812.8605964079516</v>
      </c>
      <c r="AT33" s="106">
        <v>0</v>
      </c>
      <c r="AU33" s="106">
        <v>0</v>
      </c>
      <c r="AV33" s="106">
        <v>8.469540303165294</v>
      </c>
      <c r="AW33" s="106">
        <v>4014.5621037003493</v>
      </c>
      <c r="AX33" s="106">
        <v>3.6998414739934491</v>
      </c>
      <c r="AY33" s="106">
        <v>1753.7248586728949</v>
      </c>
      <c r="AZ33" s="106">
        <v>3.4926603662465645</v>
      </c>
      <c r="BA33" s="106">
        <v>1655.5210136008716</v>
      </c>
      <c r="BB33" s="106">
        <v>0</v>
      </c>
      <c r="BC33" s="106">
        <v>0</v>
      </c>
      <c r="BD33" s="106">
        <v>2.8874287307529296</v>
      </c>
      <c r="BE33" s="106">
        <v>1368.6412183768887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4.4967287322570773</v>
      </c>
      <c r="BM33" s="106">
        <v>2131.4494190898545</v>
      </c>
      <c r="BN33" s="106">
        <v>2.5380904950086025</v>
      </c>
      <c r="BO33" s="106">
        <v>1203.0548946340775</v>
      </c>
      <c r="BP33" s="106">
        <v>3.9255632919225323</v>
      </c>
      <c r="BQ33" s="106">
        <v>1860.7170003712804</v>
      </c>
      <c r="BR33" s="106">
        <v>3.7278235728813187</v>
      </c>
      <c r="BS33" s="106">
        <v>1766.9883735457452</v>
      </c>
      <c r="BT33" s="106">
        <v>4.6338212140958799</v>
      </c>
      <c r="BU33" s="106">
        <v>2196.4312554814469</v>
      </c>
      <c r="BV33" s="106">
        <v>0</v>
      </c>
      <c r="BW33" s="106">
        <v>0</v>
      </c>
      <c r="BX33" s="106">
        <v>4.27586299051735</v>
      </c>
      <c r="BY33" s="106">
        <v>2026.7590575052238</v>
      </c>
      <c r="BZ33" s="106">
        <v>2.5115899380670594</v>
      </c>
      <c r="CA33" s="106">
        <v>1190.4936306437862</v>
      </c>
      <c r="CB33" s="106">
        <v>0</v>
      </c>
      <c r="CC33" s="106">
        <v>0</v>
      </c>
      <c r="CD33" s="106">
        <v>3.015812649350722</v>
      </c>
      <c r="CE33" s="106">
        <v>1429.4951957922422</v>
      </c>
      <c r="CF33" s="106">
        <v>0</v>
      </c>
      <c r="CG33" s="106">
        <v>0</v>
      </c>
      <c r="CH33" s="106">
        <v>0</v>
      </c>
      <c r="CI33" s="106">
        <v>0</v>
      </c>
      <c r="CJ33" s="106">
        <v>4.5150943541014525</v>
      </c>
      <c r="CK33" s="106">
        <v>2140.1547238440885</v>
      </c>
      <c r="CL33" s="106">
        <v>1.5438025547350132</v>
      </c>
      <c r="CM33" s="106">
        <v>731.76241094439627</v>
      </c>
      <c r="CN33" s="106">
        <v>3.0858616847893541</v>
      </c>
      <c r="CO33" s="106">
        <v>1462.6984385901537</v>
      </c>
      <c r="CP33" s="106">
        <v>0</v>
      </c>
      <c r="CQ33" s="106">
        <v>0</v>
      </c>
      <c r="CR33" s="106">
        <v>0</v>
      </c>
      <c r="CS33" s="106">
        <v>0</v>
      </c>
      <c r="CT33" s="106">
        <v>3.2234355075270167</v>
      </c>
      <c r="CU33" s="106">
        <v>1527.9084305678059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3.1412826252181341</v>
      </c>
      <c r="M34" s="106">
        <v>1722.6793916696247</v>
      </c>
      <c r="N34" s="106">
        <v>1.0627742923483567</v>
      </c>
      <c r="O34" s="106">
        <v>582.8254219238388</v>
      </c>
      <c r="P34" s="106">
        <v>0.65876386914607343</v>
      </c>
      <c r="Q34" s="106">
        <v>361.26610583970665</v>
      </c>
      <c r="R34" s="106">
        <v>0.71134629124951476</v>
      </c>
      <c r="S34" s="106">
        <v>390.10230612123388</v>
      </c>
      <c r="T34" s="106">
        <v>0</v>
      </c>
      <c r="U34" s="106">
        <v>0</v>
      </c>
      <c r="V34" s="106">
        <v>0.98626108281348279</v>
      </c>
      <c r="W34" s="106">
        <v>540.86557781491399</v>
      </c>
      <c r="X34" s="106">
        <v>0.3108419375532131</v>
      </c>
      <c r="Y34" s="106">
        <v>170.46571855418205</v>
      </c>
      <c r="Z34" s="106">
        <v>0.28666193756919767</v>
      </c>
      <c r="AA34" s="106">
        <v>157.20540656294799</v>
      </c>
      <c r="AB34" s="106">
        <v>0</v>
      </c>
      <c r="AC34" s="106">
        <v>0</v>
      </c>
      <c r="AD34" s="106">
        <v>0.39021694526288397</v>
      </c>
      <c r="AE34" s="106">
        <v>213.99497278216558</v>
      </c>
      <c r="AF34" s="106">
        <v>5.0572529345274626</v>
      </c>
      <c r="AG34" s="106">
        <v>2773.3975092948604</v>
      </c>
      <c r="AH34" s="106">
        <v>0.42568243041389925</v>
      </c>
      <c r="AI34" s="106">
        <v>233.44424483898234</v>
      </c>
      <c r="AJ34" s="106">
        <v>0</v>
      </c>
      <c r="AK34" s="106">
        <v>0</v>
      </c>
      <c r="AL34" s="106">
        <v>8.3596002874728885</v>
      </c>
      <c r="AM34" s="106">
        <v>4584.4047976501315</v>
      </c>
      <c r="AN34" s="106">
        <v>3.0191501236455927</v>
      </c>
      <c r="AO34" s="106">
        <v>1655.701927807243</v>
      </c>
      <c r="AP34" s="106">
        <v>0</v>
      </c>
      <c r="AQ34" s="106">
        <v>0</v>
      </c>
      <c r="AR34" s="106">
        <v>9.5065569147110409</v>
      </c>
      <c r="AS34" s="106">
        <v>5213.3958120275347</v>
      </c>
      <c r="AT34" s="106">
        <v>0</v>
      </c>
      <c r="AU34" s="106">
        <v>0</v>
      </c>
      <c r="AV34" s="106">
        <v>7.5780097449373685</v>
      </c>
      <c r="AW34" s="106">
        <v>4155.7805441236524</v>
      </c>
      <c r="AX34" s="106">
        <v>3.8055512303932626</v>
      </c>
      <c r="AY34" s="106">
        <v>2086.964294747665</v>
      </c>
      <c r="AZ34" s="106">
        <v>3.2986236792328665</v>
      </c>
      <c r="BA34" s="106">
        <v>1808.9652256913039</v>
      </c>
      <c r="BB34" s="106">
        <v>0</v>
      </c>
      <c r="BC34" s="106">
        <v>0</v>
      </c>
      <c r="BD34" s="106">
        <v>2.9074803191609355</v>
      </c>
      <c r="BE34" s="106">
        <v>1594.4622070278569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4.3093650350796988</v>
      </c>
      <c r="BM34" s="106">
        <v>2363.2557852377067</v>
      </c>
      <c r="BN34" s="106">
        <v>2.4227227452354838</v>
      </c>
      <c r="BO34" s="106">
        <v>1328.6211534871393</v>
      </c>
      <c r="BP34" s="106">
        <v>3.3647685359335995</v>
      </c>
      <c r="BQ34" s="106">
        <v>1845.2390651059859</v>
      </c>
      <c r="BR34" s="106">
        <v>4.1842917654790313</v>
      </c>
      <c r="BS34" s="106">
        <v>2294.6656041887009</v>
      </c>
      <c r="BT34" s="106">
        <v>4.6990863016183573</v>
      </c>
      <c r="BU34" s="106">
        <v>2576.9789278075068</v>
      </c>
      <c r="BV34" s="106">
        <v>0</v>
      </c>
      <c r="BW34" s="106">
        <v>0</v>
      </c>
      <c r="BX34" s="106">
        <v>4.1715736492852198</v>
      </c>
      <c r="BY34" s="106">
        <v>2287.6909892680146</v>
      </c>
      <c r="BZ34" s="106">
        <v>2.4069403573142654</v>
      </c>
      <c r="CA34" s="106">
        <v>1319.966091951143</v>
      </c>
      <c r="CB34" s="106">
        <v>0</v>
      </c>
      <c r="CC34" s="106">
        <v>0</v>
      </c>
      <c r="CD34" s="106">
        <v>3.1833577965368738</v>
      </c>
      <c r="CE34" s="106">
        <v>1745.7534156208214</v>
      </c>
      <c r="CF34" s="106">
        <v>0</v>
      </c>
      <c r="CG34" s="106">
        <v>0</v>
      </c>
      <c r="CH34" s="106">
        <v>0</v>
      </c>
      <c r="CI34" s="106">
        <v>0</v>
      </c>
      <c r="CJ34" s="106">
        <v>4.761372227961532</v>
      </c>
      <c r="CK34" s="106">
        <v>2611.1365298141041</v>
      </c>
      <c r="CL34" s="106">
        <v>1.7643457768400148</v>
      </c>
      <c r="CM34" s="106">
        <v>967.56722401906404</v>
      </c>
      <c r="CN34" s="106">
        <v>2.9487122765764942</v>
      </c>
      <c r="CO34" s="106">
        <v>1617.0738124745494</v>
      </c>
      <c r="CP34" s="106">
        <v>0</v>
      </c>
      <c r="CQ34" s="106">
        <v>0</v>
      </c>
      <c r="CR34" s="106">
        <v>0</v>
      </c>
      <c r="CS34" s="106">
        <v>0</v>
      </c>
      <c r="CT34" s="106">
        <v>3.539458596500253</v>
      </c>
      <c r="CU34" s="106">
        <v>1941.0390943207387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3.3075858230237998</v>
      </c>
      <c r="M35" s="106">
        <v>1663.0541518163661</v>
      </c>
      <c r="N35" s="106">
        <v>1.1050037344284238</v>
      </c>
      <c r="O35" s="106">
        <v>555.59587767061134</v>
      </c>
      <c r="P35" s="106">
        <v>0.72691185560946037</v>
      </c>
      <c r="Q35" s="106">
        <v>365.49128100043657</v>
      </c>
      <c r="R35" s="106">
        <v>0.79264301024945938</v>
      </c>
      <c r="S35" s="106">
        <v>398.5409055534281</v>
      </c>
      <c r="T35" s="106">
        <v>0</v>
      </c>
      <c r="U35" s="106">
        <v>0</v>
      </c>
      <c r="V35" s="106">
        <v>1.0807531626039961</v>
      </c>
      <c r="W35" s="106">
        <v>543.40269015728916</v>
      </c>
      <c r="X35" s="106">
        <v>0.33173887453158041</v>
      </c>
      <c r="Y35" s="106">
        <v>166.79830611447861</v>
      </c>
      <c r="Z35" s="106">
        <v>0.32639725564809635</v>
      </c>
      <c r="AA35" s="106">
        <v>164.1125401398628</v>
      </c>
      <c r="AB35" s="106">
        <v>0</v>
      </c>
      <c r="AC35" s="106">
        <v>0</v>
      </c>
      <c r="AD35" s="106">
        <v>0.41169677711221697</v>
      </c>
      <c r="AE35" s="106">
        <v>207.00113953202265</v>
      </c>
      <c r="AF35" s="106">
        <v>5.5498425060723457</v>
      </c>
      <c r="AG35" s="106">
        <v>2790.4608120531748</v>
      </c>
      <c r="AH35" s="106">
        <v>0.38650920062120908</v>
      </c>
      <c r="AI35" s="106">
        <v>194.33682607234388</v>
      </c>
      <c r="AJ35" s="106">
        <v>0</v>
      </c>
      <c r="AK35" s="106">
        <v>0</v>
      </c>
      <c r="AL35" s="106">
        <v>9.8348238676151638</v>
      </c>
      <c r="AM35" s="106">
        <v>4944.9494406369031</v>
      </c>
      <c r="AN35" s="106">
        <v>2.8034965433851928</v>
      </c>
      <c r="AO35" s="106">
        <v>1409.5980620140747</v>
      </c>
      <c r="AP35" s="106">
        <v>0</v>
      </c>
      <c r="AQ35" s="106">
        <v>0</v>
      </c>
      <c r="AR35" s="106">
        <v>9.5065569147110409</v>
      </c>
      <c r="AS35" s="106">
        <v>4779.8968167167104</v>
      </c>
      <c r="AT35" s="106">
        <v>0</v>
      </c>
      <c r="AU35" s="106">
        <v>0</v>
      </c>
      <c r="AV35" s="106">
        <v>8.2466576636083122</v>
      </c>
      <c r="AW35" s="106">
        <v>4146.4194732622582</v>
      </c>
      <c r="AX35" s="106">
        <v>4.2283902559925135</v>
      </c>
      <c r="AY35" s="106">
        <v>2126.0346207130356</v>
      </c>
      <c r="AZ35" s="106">
        <v>3.5314677036493043</v>
      </c>
      <c r="BA35" s="106">
        <v>1775.6219613948699</v>
      </c>
      <c r="BB35" s="106">
        <v>0</v>
      </c>
      <c r="BC35" s="106">
        <v>0</v>
      </c>
      <c r="BD35" s="106">
        <v>2.6869128466728647</v>
      </c>
      <c r="BE35" s="106">
        <v>1350.9797793071161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4.4342741665312841</v>
      </c>
      <c r="BM35" s="106">
        <v>2229.5530509319292</v>
      </c>
      <c r="BN35" s="106">
        <v>2.5957743698951616</v>
      </c>
      <c r="BO35" s="106">
        <v>1305.1553531832869</v>
      </c>
      <c r="BP35" s="106">
        <v>3.4448820725034466</v>
      </c>
      <c r="BQ35" s="106">
        <v>1732.0867060547325</v>
      </c>
      <c r="BR35" s="106">
        <v>4.0321357012797936</v>
      </c>
      <c r="BS35" s="106">
        <v>2027.3578306034799</v>
      </c>
      <c r="BT35" s="106">
        <v>5.2212070017981747</v>
      </c>
      <c r="BU35" s="106">
        <v>2625.2228805041218</v>
      </c>
      <c r="BV35" s="106">
        <v>0</v>
      </c>
      <c r="BW35" s="106">
        <v>0</v>
      </c>
      <c r="BX35" s="106">
        <v>4.4844416729816112</v>
      </c>
      <c r="BY35" s="106">
        <v>2254.7772731751538</v>
      </c>
      <c r="BZ35" s="106">
        <v>2.6685643091962508</v>
      </c>
      <c r="CA35" s="106">
        <v>1341.7541346638745</v>
      </c>
      <c r="CB35" s="106">
        <v>0</v>
      </c>
      <c r="CC35" s="106">
        <v>0</v>
      </c>
      <c r="CD35" s="106">
        <v>3.2392061789322568</v>
      </c>
      <c r="CE35" s="106">
        <v>1628.6728667671384</v>
      </c>
      <c r="CF35" s="106">
        <v>0</v>
      </c>
      <c r="CG35" s="106">
        <v>0</v>
      </c>
      <c r="CH35" s="106">
        <v>0</v>
      </c>
      <c r="CI35" s="106">
        <v>0</v>
      </c>
      <c r="CJ35" s="106">
        <v>4.1046312310013207</v>
      </c>
      <c r="CK35" s="106">
        <v>2063.8085829474635</v>
      </c>
      <c r="CL35" s="106">
        <v>1.5805597584191799</v>
      </c>
      <c r="CM35" s="106">
        <v>794.70544653316347</v>
      </c>
      <c r="CN35" s="106">
        <v>3.0858616847893541</v>
      </c>
      <c r="CO35" s="106">
        <v>1551.5712551120869</v>
      </c>
      <c r="CP35" s="106">
        <v>0</v>
      </c>
      <c r="CQ35" s="106">
        <v>0</v>
      </c>
      <c r="CR35" s="106">
        <v>0</v>
      </c>
      <c r="CS35" s="106">
        <v>0</v>
      </c>
      <c r="CT35" s="106">
        <v>3.3498447431163112</v>
      </c>
      <c r="CU35" s="106">
        <v>1684.3019368388809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2.6423730318011365</v>
      </c>
      <c r="M36" s="106">
        <v>2010.3174025943044</v>
      </c>
      <c r="N36" s="106">
        <v>1.0135066099216117</v>
      </c>
      <c r="O36" s="106">
        <v>771.07582882836209</v>
      </c>
      <c r="P36" s="106">
        <v>0.64967747095095518</v>
      </c>
      <c r="Q36" s="106">
        <v>494.27461989948665</v>
      </c>
      <c r="R36" s="106">
        <v>0.68086002162453552</v>
      </c>
      <c r="S36" s="106">
        <v>517.99830445194664</v>
      </c>
      <c r="T36" s="106">
        <v>0</v>
      </c>
      <c r="U36" s="106">
        <v>0</v>
      </c>
      <c r="V36" s="106">
        <v>0.94492079790513328</v>
      </c>
      <c r="W36" s="106">
        <v>718.89574304622533</v>
      </c>
      <c r="X36" s="106">
        <v>0.29516923481943769</v>
      </c>
      <c r="Y36" s="106">
        <v>224.56475385062816</v>
      </c>
      <c r="Z36" s="106">
        <v>0.31788254463118948</v>
      </c>
      <c r="AA36" s="106">
        <v>241.84503995540894</v>
      </c>
      <c r="AB36" s="106">
        <v>0</v>
      </c>
      <c r="AC36" s="106">
        <v>0</v>
      </c>
      <c r="AD36" s="106">
        <v>0.38305700131310622</v>
      </c>
      <c r="AE36" s="106">
        <v>291.4297665990112</v>
      </c>
      <c r="AF36" s="106">
        <v>4.9258957154488279</v>
      </c>
      <c r="AG36" s="106">
        <v>3747.6214603134681</v>
      </c>
      <c r="AH36" s="106">
        <v>0.42307088176105323</v>
      </c>
      <c r="AI36" s="106">
        <v>321.87232684380928</v>
      </c>
      <c r="AJ36" s="106">
        <v>0</v>
      </c>
      <c r="AK36" s="106">
        <v>0</v>
      </c>
      <c r="AL36" s="106">
        <v>8.3596002874728885</v>
      </c>
      <c r="AM36" s="106">
        <v>6359.9838987093735</v>
      </c>
      <c r="AN36" s="106">
        <v>2.4800161729945938</v>
      </c>
      <c r="AO36" s="106">
        <v>1886.7963044142869</v>
      </c>
      <c r="AP36" s="106">
        <v>0</v>
      </c>
      <c r="AQ36" s="106">
        <v>0</v>
      </c>
      <c r="AR36" s="106">
        <v>9.2627990451030655</v>
      </c>
      <c r="AS36" s="106">
        <v>7047.1375135144117</v>
      </c>
      <c r="AT36" s="106">
        <v>0</v>
      </c>
      <c r="AU36" s="106">
        <v>0</v>
      </c>
      <c r="AV36" s="106">
        <v>8.2466576636083122</v>
      </c>
      <c r="AW36" s="106">
        <v>6274.0571504732034</v>
      </c>
      <c r="AX36" s="106">
        <v>3.9112609867930752</v>
      </c>
      <c r="AY36" s="106">
        <v>2975.6873587521713</v>
      </c>
      <c r="AZ36" s="106">
        <v>3.2598163418301271</v>
      </c>
      <c r="BA36" s="106">
        <v>2480.0682728643606</v>
      </c>
      <c r="BB36" s="106">
        <v>0</v>
      </c>
      <c r="BC36" s="106">
        <v>0</v>
      </c>
      <c r="BD36" s="106">
        <v>2.5465517278168197</v>
      </c>
      <c r="BE36" s="106">
        <v>1937.4165545230362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4.0595467721765273</v>
      </c>
      <c r="BM36" s="106">
        <v>3088.5031842719018</v>
      </c>
      <c r="BN36" s="106">
        <v>2.1343033708026886</v>
      </c>
      <c r="BO36" s="106">
        <v>1623.7780045066854</v>
      </c>
      <c r="BP36" s="106">
        <v>3.2846549993637515</v>
      </c>
      <c r="BQ36" s="106">
        <v>2498.9655235159421</v>
      </c>
      <c r="BR36" s="106">
        <v>3.9560576691801748</v>
      </c>
      <c r="BS36" s="106">
        <v>3009.7686747122766</v>
      </c>
      <c r="BT36" s="106">
        <v>5.0254117392307434</v>
      </c>
      <c r="BU36" s="106">
        <v>3823.3332512067495</v>
      </c>
      <c r="BV36" s="106">
        <v>0</v>
      </c>
      <c r="BW36" s="106">
        <v>0</v>
      </c>
      <c r="BX36" s="106">
        <v>4.27586299051735</v>
      </c>
      <c r="BY36" s="106">
        <v>3253.0765631855998</v>
      </c>
      <c r="BZ36" s="106">
        <v>2.5115899380670594</v>
      </c>
      <c r="CA36" s="106">
        <v>1910.8176248814186</v>
      </c>
      <c r="CB36" s="106">
        <v>0</v>
      </c>
      <c r="CC36" s="106">
        <v>0</v>
      </c>
      <c r="CD36" s="106">
        <v>2.9041158845599546</v>
      </c>
      <c r="CE36" s="106">
        <v>2209.4513649732135</v>
      </c>
      <c r="CF36" s="106">
        <v>0</v>
      </c>
      <c r="CG36" s="106">
        <v>0</v>
      </c>
      <c r="CH36" s="106">
        <v>0</v>
      </c>
      <c r="CI36" s="106">
        <v>0</v>
      </c>
      <c r="CJ36" s="106">
        <v>4.0225386063812945</v>
      </c>
      <c r="CK36" s="106">
        <v>3060.3473717348888</v>
      </c>
      <c r="CL36" s="106">
        <v>1.5438025547350132</v>
      </c>
      <c r="CM36" s="106">
        <v>1174.524983642398</v>
      </c>
      <c r="CN36" s="106">
        <v>3.0172869806829237</v>
      </c>
      <c r="CO36" s="106">
        <v>2295.5519349035681</v>
      </c>
      <c r="CP36" s="106">
        <v>0</v>
      </c>
      <c r="CQ36" s="106">
        <v>0</v>
      </c>
      <c r="CR36" s="106">
        <v>0</v>
      </c>
      <c r="CS36" s="106">
        <v>0</v>
      </c>
      <c r="CT36" s="106">
        <v>3.1602308897323694</v>
      </c>
      <c r="CU36" s="106">
        <v>2404.3036609083865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0.49890959341699775</v>
      </c>
      <c r="M37" s="106">
        <v>429.26181417598485</v>
      </c>
      <c r="N37" s="106">
        <v>0.1548412876269129</v>
      </c>
      <c r="O37" s="106">
        <v>133.22544387419586</v>
      </c>
      <c r="P37" s="106">
        <v>0.17264156570724684</v>
      </c>
      <c r="Q37" s="106">
        <v>148.54080313451519</v>
      </c>
      <c r="R37" s="106">
        <v>0.11686403356242028</v>
      </c>
      <c r="S37" s="106">
        <v>100.54981447710641</v>
      </c>
      <c r="T37" s="106">
        <v>0</v>
      </c>
      <c r="U37" s="106">
        <v>0</v>
      </c>
      <c r="V37" s="106">
        <v>0.63191578359905787</v>
      </c>
      <c r="W37" s="106">
        <v>543.70034020862943</v>
      </c>
      <c r="X37" s="106">
        <v>0.22464207251744814</v>
      </c>
      <c r="Y37" s="106">
        <v>193.28203919401238</v>
      </c>
      <c r="Z37" s="106">
        <v>0.15894127231559474</v>
      </c>
      <c r="AA37" s="106">
        <v>136.7530707003377</v>
      </c>
      <c r="AB37" s="106">
        <v>0</v>
      </c>
      <c r="AC37" s="106">
        <v>0</v>
      </c>
      <c r="AD37" s="106">
        <v>0.21121834651844179</v>
      </c>
      <c r="AE37" s="106">
        <v>181.73226534446732</v>
      </c>
      <c r="AF37" s="106">
        <v>2.8241802101906615</v>
      </c>
      <c r="AG37" s="106">
        <v>2429.9246528480448</v>
      </c>
      <c r="AH37" s="106">
        <v>0.26376641393744676</v>
      </c>
      <c r="AI37" s="106">
        <v>226.94462255177919</v>
      </c>
      <c r="AJ37" s="106">
        <v>0</v>
      </c>
      <c r="AK37" s="106">
        <v>0</v>
      </c>
      <c r="AL37" s="106">
        <v>15.2439769948035</v>
      </c>
      <c r="AM37" s="106">
        <v>13115.917806328931</v>
      </c>
      <c r="AN37" s="106">
        <v>3.9895912348173899</v>
      </c>
      <c r="AO37" s="106">
        <v>3432.6442984368823</v>
      </c>
      <c r="AP37" s="106">
        <v>0</v>
      </c>
      <c r="AQ37" s="106">
        <v>0</v>
      </c>
      <c r="AR37" s="106">
        <v>1.7063050872558281</v>
      </c>
      <c r="AS37" s="106">
        <v>1468.1048970749143</v>
      </c>
      <c r="AT37" s="106">
        <v>0</v>
      </c>
      <c r="AU37" s="106">
        <v>0</v>
      </c>
      <c r="AV37" s="106">
        <v>2.2288263955698144</v>
      </c>
      <c r="AW37" s="106">
        <v>1917.6822307482682</v>
      </c>
      <c r="AX37" s="106">
        <v>0.8456780511985027</v>
      </c>
      <c r="AY37" s="106">
        <v>727.62139525119176</v>
      </c>
      <c r="AZ37" s="106">
        <v>0.19403668701369806</v>
      </c>
      <c r="BA37" s="106">
        <v>166.94916550658581</v>
      </c>
      <c r="BB37" s="106">
        <v>0</v>
      </c>
      <c r="BC37" s="106">
        <v>0</v>
      </c>
      <c r="BD37" s="106">
        <v>0.20051588408006454</v>
      </c>
      <c r="BE37" s="106">
        <v>172.52386666248753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3.1851828520154291</v>
      </c>
      <c r="BM37" s="106">
        <v>2740.5313258740753</v>
      </c>
      <c r="BN37" s="106">
        <v>2.1919872456892477</v>
      </c>
      <c r="BO37" s="106">
        <v>1885.9858261910288</v>
      </c>
      <c r="BP37" s="106">
        <v>4.0056768284923798</v>
      </c>
      <c r="BQ37" s="106">
        <v>3446.4843432348434</v>
      </c>
      <c r="BR37" s="106">
        <v>4.2603697975786501</v>
      </c>
      <c r="BS37" s="106">
        <v>3665.6221738366703</v>
      </c>
      <c r="BT37" s="106">
        <v>2.1537478882417469</v>
      </c>
      <c r="BU37" s="106">
        <v>1853.084683043199</v>
      </c>
      <c r="BV37" s="106">
        <v>0</v>
      </c>
      <c r="BW37" s="106">
        <v>0</v>
      </c>
      <c r="BX37" s="106">
        <v>10.741802146909441</v>
      </c>
      <c r="BY37" s="106">
        <v>9242.2465672008821</v>
      </c>
      <c r="BZ37" s="106">
        <v>6.2266500547912518</v>
      </c>
      <c r="CA37" s="106">
        <v>5357.409707142393</v>
      </c>
      <c r="CB37" s="106">
        <v>0</v>
      </c>
      <c r="CC37" s="106">
        <v>0</v>
      </c>
      <c r="CD37" s="106">
        <v>6.4225639754691297</v>
      </c>
      <c r="CE37" s="106">
        <v>5525.9740444936388</v>
      </c>
      <c r="CF37" s="106">
        <v>0</v>
      </c>
      <c r="CG37" s="106">
        <v>0</v>
      </c>
      <c r="CH37" s="106">
        <v>0</v>
      </c>
      <c r="CI37" s="106">
        <v>0</v>
      </c>
      <c r="CJ37" s="106">
        <v>2.9553344863209507</v>
      </c>
      <c r="CK37" s="106">
        <v>2542.7697920305459</v>
      </c>
      <c r="CL37" s="106">
        <v>1.1762305178933432</v>
      </c>
      <c r="CM37" s="106">
        <v>1012.0287375954325</v>
      </c>
      <c r="CN37" s="106">
        <v>2.4686893478314831</v>
      </c>
      <c r="CO37" s="106">
        <v>2124.060314874208</v>
      </c>
      <c r="CP37" s="106">
        <v>0</v>
      </c>
      <c r="CQ37" s="106">
        <v>0</v>
      </c>
      <c r="CR37" s="106">
        <v>0</v>
      </c>
      <c r="CS37" s="106">
        <v>0</v>
      </c>
      <c r="CT37" s="106">
        <v>2.1489570050180111</v>
      </c>
      <c r="CU37" s="106">
        <v>1848.9626071174966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0.48043146032747935</v>
      </c>
      <c r="M38" s="106">
        <v>596.69587372672936</v>
      </c>
      <c r="N38" s="106">
        <v>0.1548412876269129</v>
      </c>
      <c r="O38" s="106">
        <v>192.31287923262582</v>
      </c>
      <c r="P38" s="106">
        <v>0.14992557021945122</v>
      </c>
      <c r="Q38" s="106">
        <v>186.20755821255841</v>
      </c>
      <c r="R38" s="106">
        <v>0.10670194368742722</v>
      </c>
      <c r="S38" s="106">
        <v>132.5238140597846</v>
      </c>
      <c r="T38" s="106">
        <v>0</v>
      </c>
      <c r="U38" s="106">
        <v>0</v>
      </c>
      <c r="V38" s="106">
        <v>0.6496330485597791</v>
      </c>
      <c r="W38" s="106">
        <v>806.84424631124568</v>
      </c>
      <c r="X38" s="106">
        <v>0.21158148690596856</v>
      </c>
      <c r="Y38" s="106">
        <v>262.78420673721297</v>
      </c>
      <c r="Z38" s="106">
        <v>0.17597069434940846</v>
      </c>
      <c r="AA38" s="106">
        <v>218.55560238196531</v>
      </c>
      <c r="AB38" s="106">
        <v>0</v>
      </c>
      <c r="AC38" s="106">
        <v>0</v>
      </c>
      <c r="AD38" s="106">
        <v>0.22195826244310829</v>
      </c>
      <c r="AE38" s="106">
        <v>275.67216195434048</v>
      </c>
      <c r="AF38" s="106">
        <v>2.6928229911120263</v>
      </c>
      <c r="AG38" s="106">
        <v>3344.4861549611364</v>
      </c>
      <c r="AH38" s="106">
        <v>0.24026247606183268</v>
      </c>
      <c r="AI38" s="106">
        <v>298.40599526879618</v>
      </c>
      <c r="AJ38" s="106">
        <v>0</v>
      </c>
      <c r="AK38" s="106">
        <v>0</v>
      </c>
      <c r="AL38" s="106">
        <v>15.489847591493881</v>
      </c>
      <c r="AM38" s="106">
        <v>19238.390708635401</v>
      </c>
      <c r="AN38" s="106">
        <v>3.8817644446871902</v>
      </c>
      <c r="AO38" s="106">
        <v>4821.1514403014899</v>
      </c>
      <c r="AP38" s="106">
        <v>0</v>
      </c>
      <c r="AQ38" s="106">
        <v>0</v>
      </c>
      <c r="AR38" s="106">
        <v>1.7063050872558281</v>
      </c>
      <c r="AS38" s="106">
        <v>2119.2309183717384</v>
      </c>
      <c r="AT38" s="106">
        <v>0</v>
      </c>
      <c r="AU38" s="106">
        <v>0</v>
      </c>
      <c r="AV38" s="106">
        <v>2.2288263955698144</v>
      </c>
      <c r="AW38" s="106">
        <v>2768.2023832977097</v>
      </c>
      <c r="AX38" s="106">
        <v>0.63425853839887703</v>
      </c>
      <c r="AY38" s="106">
        <v>787.74910469140525</v>
      </c>
      <c r="AZ38" s="106">
        <v>0.19403668701369806</v>
      </c>
      <c r="BA38" s="106">
        <v>240.99356527101298</v>
      </c>
      <c r="BB38" s="106">
        <v>0</v>
      </c>
      <c r="BC38" s="106">
        <v>0</v>
      </c>
      <c r="BD38" s="106">
        <v>0.1804642956720581</v>
      </c>
      <c r="BE38" s="106">
        <v>224.13665522469617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2.9978191548380511</v>
      </c>
      <c r="BM38" s="106">
        <v>3723.2913903088593</v>
      </c>
      <c r="BN38" s="106">
        <v>2.076619495916129</v>
      </c>
      <c r="BO38" s="106">
        <v>2579.1614139278322</v>
      </c>
      <c r="BP38" s="106">
        <v>4.5664715844813131</v>
      </c>
      <c r="BQ38" s="106">
        <v>5671.557707925791</v>
      </c>
      <c r="BR38" s="106">
        <v>3.5756675086820811</v>
      </c>
      <c r="BS38" s="106">
        <v>4440.979045783145</v>
      </c>
      <c r="BT38" s="106">
        <v>2.1537478882417469</v>
      </c>
      <c r="BU38" s="106">
        <v>2674.9548771962495</v>
      </c>
      <c r="BV38" s="106">
        <v>0</v>
      </c>
      <c r="BW38" s="106">
        <v>0</v>
      </c>
      <c r="BX38" s="106">
        <v>10.741802146909441</v>
      </c>
      <c r="BY38" s="106">
        <v>13341.318266461525</v>
      </c>
      <c r="BZ38" s="106">
        <v>5.5464277798980897</v>
      </c>
      <c r="CA38" s="106">
        <v>6888.6633026334275</v>
      </c>
      <c r="CB38" s="106">
        <v>0</v>
      </c>
      <c r="CC38" s="106">
        <v>0</v>
      </c>
      <c r="CD38" s="106">
        <v>5.9757769163060601</v>
      </c>
      <c r="CE38" s="106">
        <v>7421.9149300521267</v>
      </c>
      <c r="CF38" s="106">
        <v>0</v>
      </c>
      <c r="CG38" s="106">
        <v>0</v>
      </c>
      <c r="CH38" s="106">
        <v>0</v>
      </c>
      <c r="CI38" s="106">
        <v>0</v>
      </c>
      <c r="CJ38" s="106">
        <v>2.5448713632208189</v>
      </c>
      <c r="CK38" s="106">
        <v>3160.7302331202568</v>
      </c>
      <c r="CL38" s="106">
        <v>1.1762305178933432</v>
      </c>
      <c r="CM38" s="106">
        <v>1460.8783032235322</v>
      </c>
      <c r="CN38" s="106">
        <v>2.1258158272993328</v>
      </c>
      <c r="CO38" s="106">
        <v>2640.2632575057714</v>
      </c>
      <c r="CP38" s="106">
        <v>0</v>
      </c>
      <c r="CQ38" s="106">
        <v>0</v>
      </c>
      <c r="CR38" s="106">
        <v>0</v>
      </c>
      <c r="CS38" s="106">
        <v>0</v>
      </c>
      <c r="CT38" s="106">
        <v>1.8961385338394214</v>
      </c>
      <c r="CU38" s="106">
        <v>2355.0040590285616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0.4619533272379609</v>
      </c>
      <c r="M39" s="106">
        <v>657.45197532506597</v>
      </c>
      <c r="N39" s="106">
        <v>0.1407648069335572</v>
      </c>
      <c r="O39" s="106">
        <v>200.33647322783861</v>
      </c>
      <c r="P39" s="106">
        <v>0.14083917202433296</v>
      </c>
      <c r="Q39" s="106">
        <v>200.44230962503067</v>
      </c>
      <c r="R39" s="106">
        <v>0.11686403356242028</v>
      </c>
      <c r="S39" s="106">
        <v>166.32089256603655</v>
      </c>
      <c r="T39" s="106">
        <v>0</v>
      </c>
      <c r="U39" s="106">
        <v>0</v>
      </c>
      <c r="V39" s="106">
        <v>0.69097333346812861</v>
      </c>
      <c r="W39" s="106">
        <v>983.39324819184071</v>
      </c>
      <c r="X39" s="106">
        <v>0.19329666704989723</v>
      </c>
      <c r="Y39" s="106">
        <v>275.09981654541377</v>
      </c>
      <c r="Z39" s="106">
        <v>0.16177950932123036</v>
      </c>
      <c r="AA39" s="106">
        <v>230.24459766597505</v>
      </c>
      <c r="AB39" s="106">
        <v>0</v>
      </c>
      <c r="AC39" s="106">
        <v>0</v>
      </c>
      <c r="AD39" s="106">
        <v>0.20405840256866409</v>
      </c>
      <c r="AE39" s="106">
        <v>290.41591853572277</v>
      </c>
      <c r="AF39" s="106">
        <v>2.627144381572708</v>
      </c>
      <c r="AG39" s="106">
        <v>3738.9518838542781</v>
      </c>
      <c r="AH39" s="106">
        <v>0.25593176797890871</v>
      </c>
      <c r="AI39" s="106">
        <v>364.2420921875829</v>
      </c>
      <c r="AJ39" s="106">
        <v>0</v>
      </c>
      <c r="AK39" s="106">
        <v>0</v>
      </c>
      <c r="AL39" s="106">
        <v>13.768753414661228</v>
      </c>
      <c r="AM39" s="106">
        <v>19595.68985974586</v>
      </c>
      <c r="AN39" s="106">
        <v>3.3426304940361917</v>
      </c>
      <c r="AO39" s="106">
        <v>4757.2317191123084</v>
      </c>
      <c r="AP39" s="106">
        <v>0</v>
      </c>
      <c r="AQ39" s="106">
        <v>0</v>
      </c>
      <c r="AR39" s="106">
        <v>1.950062956863803</v>
      </c>
      <c r="AS39" s="106">
        <v>2775.3296002085644</v>
      </c>
      <c r="AT39" s="106">
        <v>0</v>
      </c>
      <c r="AU39" s="106">
        <v>0</v>
      </c>
      <c r="AV39" s="106">
        <v>2.2288263955698144</v>
      </c>
      <c r="AW39" s="106">
        <v>3172.0657261749602</v>
      </c>
      <c r="AX39" s="106">
        <v>0.73996829479868986</v>
      </c>
      <c r="AY39" s="106">
        <v>1053.1228771574954</v>
      </c>
      <c r="AZ39" s="106">
        <v>0.19403668701369806</v>
      </c>
      <c r="BA39" s="106">
        <v>276.1530129578951</v>
      </c>
      <c r="BB39" s="106">
        <v>0</v>
      </c>
      <c r="BC39" s="106">
        <v>0</v>
      </c>
      <c r="BD39" s="106">
        <v>0.1804642956720581</v>
      </c>
      <c r="BE39" s="106">
        <v>256.83678560047309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2.6230917604832951</v>
      </c>
      <c r="BM39" s="106">
        <v>3733.1841935198258</v>
      </c>
      <c r="BN39" s="106">
        <v>2.076619495916129</v>
      </c>
      <c r="BO39" s="106">
        <v>2955.4448665878349</v>
      </c>
      <c r="BP39" s="106">
        <v>3.7653362187828372</v>
      </c>
      <c r="BQ39" s="106">
        <v>5358.8265065717342</v>
      </c>
      <c r="BR39" s="106">
        <v>4.1082137333794124</v>
      </c>
      <c r="BS39" s="106">
        <v>5846.8097853455802</v>
      </c>
      <c r="BT39" s="106">
        <v>1.9579526256743154</v>
      </c>
      <c r="BU39" s="106">
        <v>2786.5581768596858</v>
      </c>
      <c r="BV39" s="106">
        <v>0</v>
      </c>
      <c r="BW39" s="106">
        <v>0</v>
      </c>
      <c r="BX39" s="106">
        <v>9.9074874170523977</v>
      </c>
      <c r="BY39" s="106">
        <v>14100.336091948973</v>
      </c>
      <c r="BZ39" s="106">
        <v>5.2324790376397079</v>
      </c>
      <c r="CA39" s="106">
        <v>7446.8641663688322</v>
      </c>
      <c r="CB39" s="106">
        <v>0</v>
      </c>
      <c r="CC39" s="106">
        <v>0</v>
      </c>
      <c r="CD39" s="106">
        <v>5.6965350043291414</v>
      </c>
      <c r="CE39" s="106">
        <v>8107.3086181612343</v>
      </c>
      <c r="CF39" s="106">
        <v>0</v>
      </c>
      <c r="CG39" s="106">
        <v>0</v>
      </c>
      <c r="CH39" s="106">
        <v>0</v>
      </c>
      <c r="CI39" s="106">
        <v>0</v>
      </c>
      <c r="CJ39" s="106">
        <v>2.5448713632208189</v>
      </c>
      <c r="CK39" s="106">
        <v>3621.8609241358695</v>
      </c>
      <c r="CL39" s="106">
        <v>1.0659589068408424</v>
      </c>
      <c r="CM39" s="106">
        <v>1517.0727162158869</v>
      </c>
      <c r="CN39" s="106">
        <v>2.1258158272993328</v>
      </c>
      <c r="CO39" s="106">
        <v>3025.4610854124107</v>
      </c>
      <c r="CP39" s="106">
        <v>0</v>
      </c>
      <c r="CQ39" s="106">
        <v>0</v>
      </c>
      <c r="CR39" s="106">
        <v>0</v>
      </c>
      <c r="CS39" s="106">
        <v>0</v>
      </c>
      <c r="CT39" s="106">
        <v>1.8961385338394214</v>
      </c>
      <c r="CU39" s="106">
        <v>2698.5843613602647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0.49890959341699775</v>
      </c>
      <c r="M40" s="106">
        <v>361.60967330863997</v>
      </c>
      <c r="N40" s="106">
        <v>0.1407648069335572</v>
      </c>
      <c r="O40" s="106">
        <v>102.02633206544225</v>
      </c>
      <c r="P40" s="106">
        <v>0.15901196841456947</v>
      </c>
      <c r="Q40" s="106">
        <v>115.25187470687995</v>
      </c>
      <c r="R40" s="106">
        <v>0.13210716837490991</v>
      </c>
      <c r="S40" s="106">
        <v>95.7512756381347</v>
      </c>
      <c r="T40" s="106">
        <v>0</v>
      </c>
      <c r="U40" s="106">
        <v>0</v>
      </c>
      <c r="V40" s="106">
        <v>0.76184239331101367</v>
      </c>
      <c r="W40" s="106">
        <v>552.18336667182268</v>
      </c>
      <c r="X40" s="106">
        <v>0.21419360402826451</v>
      </c>
      <c r="Y40" s="106">
        <v>155.2475241996861</v>
      </c>
      <c r="Z40" s="106">
        <v>0.18164716836067971</v>
      </c>
      <c r="AA40" s="106">
        <v>131.65786762782065</v>
      </c>
      <c r="AB40" s="106">
        <v>0</v>
      </c>
      <c r="AC40" s="106">
        <v>0</v>
      </c>
      <c r="AD40" s="106">
        <v>0.23627815034266367</v>
      </c>
      <c r="AE40" s="106">
        <v>171.2544033683626</v>
      </c>
      <c r="AF40" s="106">
        <v>3.382448391274862</v>
      </c>
      <c r="AG40" s="106">
        <v>2451.5985939960196</v>
      </c>
      <c r="AH40" s="106">
        <v>0.27421260854883078</v>
      </c>
      <c r="AI40" s="106">
        <v>198.74929867619255</v>
      </c>
      <c r="AJ40" s="106">
        <v>0</v>
      </c>
      <c r="AK40" s="106">
        <v>0</v>
      </c>
      <c r="AL40" s="106">
        <v>14.998106398113123</v>
      </c>
      <c r="AM40" s="106">
        <v>10870.62751735239</v>
      </c>
      <c r="AN40" s="106">
        <v>3.4504572841663914</v>
      </c>
      <c r="AO40" s="106">
        <v>2500.8914395638003</v>
      </c>
      <c r="AP40" s="106">
        <v>0</v>
      </c>
      <c r="AQ40" s="106">
        <v>0</v>
      </c>
      <c r="AR40" s="106">
        <v>1.7063050872558281</v>
      </c>
      <c r="AS40" s="106">
        <v>1236.7299272430241</v>
      </c>
      <c r="AT40" s="106">
        <v>0</v>
      </c>
      <c r="AU40" s="106">
        <v>0</v>
      </c>
      <c r="AV40" s="106">
        <v>2.005943756012833</v>
      </c>
      <c r="AW40" s="106">
        <v>1453.9080343581013</v>
      </c>
      <c r="AX40" s="106">
        <v>0.8456780511985027</v>
      </c>
      <c r="AY40" s="106">
        <v>612.9474515086747</v>
      </c>
      <c r="AZ40" s="106">
        <v>0.17463301831232825</v>
      </c>
      <c r="BA40" s="106">
        <v>126.57401167277551</v>
      </c>
      <c r="BB40" s="106">
        <v>0</v>
      </c>
      <c r="BC40" s="106">
        <v>0</v>
      </c>
      <c r="BD40" s="106">
        <v>0.20051588408006454</v>
      </c>
      <c r="BE40" s="106">
        <v>145.33391278123077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3.2476374177412222</v>
      </c>
      <c r="BM40" s="106">
        <v>2353.8876003788378</v>
      </c>
      <c r="BN40" s="106">
        <v>2.5380904950086025</v>
      </c>
      <c r="BO40" s="106">
        <v>1839.607990782235</v>
      </c>
      <c r="BP40" s="106">
        <v>4.406244511341618</v>
      </c>
      <c r="BQ40" s="106">
        <v>3193.6460218204047</v>
      </c>
      <c r="BR40" s="106">
        <v>3.8799796370805559</v>
      </c>
      <c r="BS40" s="106">
        <v>2812.2092409559868</v>
      </c>
      <c r="BT40" s="106">
        <v>1.9579526256743154</v>
      </c>
      <c r="BU40" s="106">
        <v>1419.1240630887437</v>
      </c>
      <c r="BV40" s="106">
        <v>0</v>
      </c>
      <c r="BW40" s="106">
        <v>0</v>
      </c>
      <c r="BX40" s="106">
        <v>10.324644781980918</v>
      </c>
      <c r="BY40" s="106">
        <v>7483.3025379797691</v>
      </c>
      <c r="BZ40" s="106">
        <v>6.8022227489316203</v>
      </c>
      <c r="CA40" s="106">
        <v>4930.2510484256381</v>
      </c>
      <c r="CB40" s="106">
        <v>0</v>
      </c>
      <c r="CC40" s="106">
        <v>0</v>
      </c>
      <c r="CD40" s="106">
        <v>7.7070767705629573</v>
      </c>
      <c r="CE40" s="106">
        <v>5586.0892433040308</v>
      </c>
      <c r="CF40" s="106">
        <v>0</v>
      </c>
      <c r="CG40" s="106">
        <v>0</v>
      </c>
      <c r="CH40" s="106">
        <v>0</v>
      </c>
      <c r="CI40" s="106">
        <v>0</v>
      </c>
      <c r="CJ40" s="106">
        <v>2.7090566124608713</v>
      </c>
      <c r="CK40" s="106">
        <v>1963.5242327116393</v>
      </c>
      <c r="CL40" s="106">
        <v>1.286502128945844</v>
      </c>
      <c r="CM40" s="106">
        <v>932.45674305994771</v>
      </c>
      <c r="CN40" s="106">
        <v>2.4001146437250531</v>
      </c>
      <c r="CO40" s="106">
        <v>1739.6030937719183</v>
      </c>
      <c r="CP40" s="106">
        <v>0</v>
      </c>
      <c r="CQ40" s="106">
        <v>0</v>
      </c>
      <c r="CR40" s="106">
        <v>0</v>
      </c>
      <c r="CS40" s="106">
        <v>0</v>
      </c>
      <c r="CT40" s="106">
        <v>1.8329339160447742</v>
      </c>
      <c r="CU40" s="106">
        <v>1328.5105023492522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0.42499706105892399</v>
      </c>
      <c r="M41" s="106">
        <v>280.49806029888981</v>
      </c>
      <c r="N41" s="106">
        <v>0.16187952797359076</v>
      </c>
      <c r="O41" s="106">
        <v>106.84048846256989</v>
      </c>
      <c r="P41" s="106">
        <v>0.15901196841456947</v>
      </c>
      <c r="Q41" s="106">
        <v>104.94789915361585</v>
      </c>
      <c r="R41" s="106">
        <v>0.12702612343741335</v>
      </c>
      <c r="S41" s="106">
        <v>83.83724146869281</v>
      </c>
      <c r="T41" s="106">
        <v>0</v>
      </c>
      <c r="U41" s="106">
        <v>0</v>
      </c>
      <c r="V41" s="106">
        <v>0.65553880354668614</v>
      </c>
      <c r="W41" s="106">
        <v>432.65561034081287</v>
      </c>
      <c r="X41" s="106">
        <v>0.24815112661811134</v>
      </c>
      <c r="Y41" s="106">
        <v>163.77974356795349</v>
      </c>
      <c r="Z41" s="106">
        <v>0.18732364237195095</v>
      </c>
      <c r="AA41" s="106">
        <v>123.63360396548762</v>
      </c>
      <c r="AB41" s="106">
        <v>0</v>
      </c>
      <c r="AC41" s="106">
        <v>0</v>
      </c>
      <c r="AD41" s="106">
        <v>0.22553823441799717</v>
      </c>
      <c r="AE41" s="106">
        <v>148.85523471587814</v>
      </c>
      <c r="AF41" s="106">
        <v>3.0212160388086144</v>
      </c>
      <c r="AG41" s="106">
        <v>1994.0025856136856</v>
      </c>
      <c r="AH41" s="106">
        <v>0.25593176797890871</v>
      </c>
      <c r="AI41" s="106">
        <v>168.91496686607974</v>
      </c>
      <c r="AJ41" s="106">
        <v>0</v>
      </c>
      <c r="AK41" s="106">
        <v>0</v>
      </c>
      <c r="AL41" s="106">
        <v>15.981588784874639</v>
      </c>
      <c r="AM41" s="106">
        <v>10547.848598017261</v>
      </c>
      <c r="AN41" s="106">
        <v>4.2052448150777897</v>
      </c>
      <c r="AO41" s="106">
        <v>2775.461577951341</v>
      </c>
      <c r="AP41" s="106">
        <v>0</v>
      </c>
      <c r="AQ41" s="106">
        <v>0</v>
      </c>
      <c r="AR41" s="106">
        <v>1.7063050872558281</v>
      </c>
      <c r="AS41" s="106">
        <v>1126.1613575888466</v>
      </c>
      <c r="AT41" s="106">
        <v>0</v>
      </c>
      <c r="AU41" s="106">
        <v>0</v>
      </c>
      <c r="AV41" s="106">
        <v>2.2288263955698144</v>
      </c>
      <c r="AW41" s="106">
        <v>1471.0254210760775</v>
      </c>
      <c r="AX41" s="106">
        <v>0.73996829479868986</v>
      </c>
      <c r="AY41" s="106">
        <v>488.37907456713532</v>
      </c>
      <c r="AZ41" s="106">
        <v>0.19403668701369806</v>
      </c>
      <c r="BA41" s="106">
        <v>128.06421342904071</v>
      </c>
      <c r="BB41" s="106">
        <v>0</v>
      </c>
      <c r="BC41" s="106">
        <v>0</v>
      </c>
      <c r="BD41" s="106">
        <v>0.20051588408006454</v>
      </c>
      <c r="BE41" s="106">
        <v>132.34048349284259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3.1851828520154291</v>
      </c>
      <c r="BM41" s="106">
        <v>2102.2206823301831</v>
      </c>
      <c r="BN41" s="106">
        <v>2.3650388703489251</v>
      </c>
      <c r="BO41" s="106">
        <v>1560.9256544302905</v>
      </c>
      <c r="BP41" s="106">
        <v>4.8068121941908561</v>
      </c>
      <c r="BQ41" s="106">
        <v>3172.496048165965</v>
      </c>
      <c r="BR41" s="106">
        <v>3.7278235728813187</v>
      </c>
      <c r="BS41" s="106">
        <v>2460.3635581016702</v>
      </c>
      <c r="BT41" s="106">
        <v>2.3495431508091786</v>
      </c>
      <c r="BU41" s="106">
        <v>1550.6984795340579</v>
      </c>
      <c r="BV41" s="106">
        <v>0</v>
      </c>
      <c r="BW41" s="106">
        <v>0</v>
      </c>
      <c r="BX41" s="106">
        <v>12.306142265391397</v>
      </c>
      <c r="BY41" s="106">
        <v>8122.0538951583221</v>
      </c>
      <c r="BZ41" s="106">
        <v>6.9068723296844139</v>
      </c>
      <c r="CA41" s="106">
        <v>4558.5357375917129</v>
      </c>
      <c r="CB41" s="106">
        <v>0</v>
      </c>
      <c r="CC41" s="106">
        <v>0</v>
      </c>
      <c r="CD41" s="106">
        <v>7.5953800057721894</v>
      </c>
      <c r="CE41" s="106">
        <v>5012.9508038096446</v>
      </c>
      <c r="CF41" s="106">
        <v>0</v>
      </c>
      <c r="CG41" s="106">
        <v>0</v>
      </c>
      <c r="CH41" s="106">
        <v>0</v>
      </c>
      <c r="CI41" s="106">
        <v>0</v>
      </c>
      <c r="CJ41" s="106">
        <v>3.0374271109409774</v>
      </c>
      <c r="CK41" s="106">
        <v>2004.7018932210451</v>
      </c>
      <c r="CL41" s="106">
        <v>1.2497449252616772</v>
      </c>
      <c r="CM41" s="106">
        <v>824.83165067270693</v>
      </c>
      <c r="CN41" s="106">
        <v>2.5372640519379135</v>
      </c>
      <c r="CO41" s="106">
        <v>1674.594274279023</v>
      </c>
      <c r="CP41" s="106">
        <v>0</v>
      </c>
      <c r="CQ41" s="106">
        <v>0</v>
      </c>
      <c r="CR41" s="106">
        <v>0</v>
      </c>
      <c r="CS41" s="106">
        <v>0</v>
      </c>
      <c r="CT41" s="106">
        <v>2.2121616228126584</v>
      </c>
      <c r="CU41" s="106">
        <v>1460.0266710563546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0.4434751941484425</v>
      </c>
      <c r="M42" s="106">
        <v>375.18001424958237</v>
      </c>
      <c r="N42" s="106">
        <v>0.1548412876269129</v>
      </c>
      <c r="O42" s="106">
        <v>130.99572933236831</v>
      </c>
      <c r="P42" s="106">
        <v>0.17264156570724684</v>
      </c>
      <c r="Q42" s="106">
        <v>146.05476458833084</v>
      </c>
      <c r="R42" s="106">
        <v>0.11178298862492375</v>
      </c>
      <c r="S42" s="106">
        <v>94.568408376685497</v>
      </c>
      <c r="T42" s="106">
        <v>0</v>
      </c>
      <c r="U42" s="106">
        <v>0</v>
      </c>
      <c r="V42" s="106">
        <v>0.76184239331101367</v>
      </c>
      <c r="W42" s="106">
        <v>644.51866474111762</v>
      </c>
      <c r="X42" s="106">
        <v>0.21941783827285632</v>
      </c>
      <c r="Y42" s="106">
        <v>185.62749117883646</v>
      </c>
      <c r="Z42" s="106">
        <v>0.15894127231559474</v>
      </c>
      <c r="AA42" s="106">
        <v>134.46431637899315</v>
      </c>
      <c r="AB42" s="106">
        <v>0</v>
      </c>
      <c r="AC42" s="106">
        <v>0</v>
      </c>
      <c r="AD42" s="106">
        <v>0.21837829046821947</v>
      </c>
      <c r="AE42" s="106">
        <v>184.74803373611365</v>
      </c>
      <c r="AF42" s="106">
        <v>3.0540553435782729</v>
      </c>
      <c r="AG42" s="106">
        <v>2583.7308206672187</v>
      </c>
      <c r="AH42" s="106">
        <v>0.26376641393744676</v>
      </c>
      <c r="AI42" s="106">
        <v>223.14638619107996</v>
      </c>
      <c r="AJ42" s="106">
        <v>0</v>
      </c>
      <c r="AK42" s="106">
        <v>0</v>
      </c>
      <c r="AL42" s="106">
        <v>17.210941768326535</v>
      </c>
      <c r="AM42" s="106">
        <v>14560.456736004249</v>
      </c>
      <c r="AN42" s="106">
        <v>3.4504572841663914</v>
      </c>
      <c r="AO42" s="106">
        <v>2919.0868624047671</v>
      </c>
      <c r="AP42" s="106">
        <v>0</v>
      </c>
      <c r="AQ42" s="106">
        <v>0</v>
      </c>
      <c r="AR42" s="106">
        <v>1.7063050872558281</v>
      </c>
      <c r="AS42" s="106">
        <v>1443.5341038184306</v>
      </c>
      <c r="AT42" s="106">
        <v>0</v>
      </c>
      <c r="AU42" s="106">
        <v>0</v>
      </c>
      <c r="AV42" s="106">
        <v>2.2288263955698144</v>
      </c>
      <c r="AW42" s="106">
        <v>1885.587130652063</v>
      </c>
      <c r="AX42" s="106">
        <v>0.73996829479868986</v>
      </c>
      <c r="AY42" s="106">
        <v>626.01317739969159</v>
      </c>
      <c r="AZ42" s="106">
        <v>0.21344035571506784</v>
      </c>
      <c r="BA42" s="106">
        <v>180.57054093494739</v>
      </c>
      <c r="BB42" s="106">
        <v>0</v>
      </c>
      <c r="BC42" s="106">
        <v>0</v>
      </c>
      <c r="BD42" s="106">
        <v>0.1804642956720581</v>
      </c>
      <c r="BE42" s="106">
        <v>152.67279413856116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3.1851828520154291</v>
      </c>
      <c r="BM42" s="106">
        <v>2694.6646928050532</v>
      </c>
      <c r="BN42" s="106">
        <v>2.3650388703489251</v>
      </c>
      <c r="BO42" s="106">
        <v>2000.8228843151905</v>
      </c>
      <c r="BP42" s="106">
        <v>4.32613097477177</v>
      </c>
      <c r="BQ42" s="106">
        <v>3659.9068046569173</v>
      </c>
      <c r="BR42" s="106">
        <v>4.1842917654790313</v>
      </c>
      <c r="BS42" s="106">
        <v>3539.9108335952606</v>
      </c>
      <c r="BT42" s="106">
        <v>2.0232177131967926</v>
      </c>
      <c r="BU42" s="106">
        <v>1711.6421853644865</v>
      </c>
      <c r="BV42" s="106">
        <v>0</v>
      </c>
      <c r="BW42" s="106">
        <v>0</v>
      </c>
      <c r="BX42" s="106">
        <v>11.367538194302222</v>
      </c>
      <c r="BY42" s="106">
        <v>9616.9373123796795</v>
      </c>
      <c r="BZ42" s="106">
        <v>5.8603765221564723</v>
      </c>
      <c r="CA42" s="106">
        <v>4957.8785377443755</v>
      </c>
      <c r="CB42" s="106">
        <v>0</v>
      </c>
      <c r="CC42" s="106">
        <v>0</v>
      </c>
      <c r="CD42" s="106">
        <v>6.4784123578645136</v>
      </c>
      <c r="CE42" s="106">
        <v>5480.7368547533788</v>
      </c>
      <c r="CF42" s="106">
        <v>0</v>
      </c>
      <c r="CG42" s="106">
        <v>0</v>
      </c>
      <c r="CH42" s="106">
        <v>0</v>
      </c>
      <c r="CI42" s="106">
        <v>0</v>
      </c>
      <c r="CJ42" s="106">
        <v>2.9553344863209507</v>
      </c>
      <c r="CK42" s="106">
        <v>2500.2129754275243</v>
      </c>
      <c r="CL42" s="106">
        <v>1.2129877215775102</v>
      </c>
      <c r="CM42" s="106">
        <v>1026.1876124545736</v>
      </c>
      <c r="CN42" s="106">
        <v>2.4686893478314831</v>
      </c>
      <c r="CO42" s="106">
        <v>2088.5111882654346</v>
      </c>
      <c r="CP42" s="106">
        <v>0</v>
      </c>
      <c r="CQ42" s="106">
        <v>0</v>
      </c>
      <c r="CR42" s="106">
        <v>0</v>
      </c>
      <c r="CS42" s="106">
        <v>0</v>
      </c>
      <c r="CT42" s="106">
        <v>1.8961385338394214</v>
      </c>
      <c r="CU42" s="106">
        <v>1604.1331996281506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0.48043146032747935</v>
      </c>
      <c r="M43" s="106">
        <v>491.19312503881486</v>
      </c>
      <c r="N43" s="106">
        <v>0.1548412876269129</v>
      </c>
      <c r="O43" s="106">
        <v>158.30973246975574</v>
      </c>
      <c r="P43" s="106">
        <v>0.15901196841456947</v>
      </c>
      <c r="Q43" s="106">
        <v>162.57383650705583</v>
      </c>
      <c r="R43" s="106">
        <v>0.12194507849991681</v>
      </c>
      <c r="S43" s="106">
        <v>124.67664825831496</v>
      </c>
      <c r="T43" s="106">
        <v>0</v>
      </c>
      <c r="U43" s="106">
        <v>0</v>
      </c>
      <c r="V43" s="106">
        <v>0.64372729357287206</v>
      </c>
      <c r="W43" s="106">
        <v>658.14678494890438</v>
      </c>
      <c r="X43" s="106">
        <v>0.20374513553908088</v>
      </c>
      <c r="Y43" s="106">
        <v>208.30902657515628</v>
      </c>
      <c r="Z43" s="106">
        <v>0.16177950932123036</v>
      </c>
      <c r="AA43" s="106">
        <v>165.40337033002592</v>
      </c>
      <c r="AB43" s="106">
        <v>0</v>
      </c>
      <c r="AC43" s="106">
        <v>0</v>
      </c>
      <c r="AD43" s="106">
        <v>0.21479831849333061</v>
      </c>
      <c r="AE43" s="106">
        <v>219.60980082758121</v>
      </c>
      <c r="AF43" s="106">
        <v>2.8241802101906615</v>
      </c>
      <c r="AG43" s="106">
        <v>2887.441846898932</v>
      </c>
      <c r="AH43" s="106">
        <v>0.24026247606183268</v>
      </c>
      <c r="AI43" s="106">
        <v>245.64435552561773</v>
      </c>
      <c r="AJ43" s="106">
        <v>0</v>
      </c>
      <c r="AK43" s="106">
        <v>0</v>
      </c>
      <c r="AL43" s="106">
        <v>14.752235801422742</v>
      </c>
      <c r="AM43" s="106">
        <v>15082.685883374612</v>
      </c>
      <c r="AN43" s="106">
        <v>3.7739376545569905</v>
      </c>
      <c r="AO43" s="106">
        <v>3858.4738580190669</v>
      </c>
      <c r="AP43" s="106">
        <v>0</v>
      </c>
      <c r="AQ43" s="106">
        <v>0</v>
      </c>
      <c r="AR43" s="106">
        <v>1.7063050872558281</v>
      </c>
      <c r="AS43" s="106">
        <v>1744.5263212103587</v>
      </c>
      <c r="AT43" s="106">
        <v>0</v>
      </c>
      <c r="AU43" s="106">
        <v>0</v>
      </c>
      <c r="AV43" s="106">
        <v>2.2288263955698144</v>
      </c>
      <c r="AW43" s="106">
        <v>2278.7521068305782</v>
      </c>
      <c r="AX43" s="106">
        <v>0.73996829479868986</v>
      </c>
      <c r="AY43" s="106">
        <v>756.54358460218054</v>
      </c>
      <c r="AZ43" s="106">
        <v>0.19403668701369806</v>
      </c>
      <c r="BA43" s="106">
        <v>198.38310880280488</v>
      </c>
      <c r="BB43" s="106">
        <v>0</v>
      </c>
      <c r="BC43" s="106">
        <v>0</v>
      </c>
      <c r="BD43" s="106">
        <v>0.1804642956720581</v>
      </c>
      <c r="BE43" s="106">
        <v>184.50669589511219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2.8729100233864657</v>
      </c>
      <c r="BM43" s="106">
        <v>2937.2632079103223</v>
      </c>
      <c r="BN43" s="106">
        <v>2.307354995462366</v>
      </c>
      <c r="BO43" s="106">
        <v>2359.0397473607231</v>
      </c>
      <c r="BP43" s="106">
        <v>4.8068121941908561</v>
      </c>
      <c r="BQ43" s="106">
        <v>4914.4847873407316</v>
      </c>
      <c r="BR43" s="106">
        <v>3.8799796370805559</v>
      </c>
      <c r="BS43" s="106">
        <v>3966.8911809511601</v>
      </c>
      <c r="BT43" s="106">
        <v>2.1537478882417469</v>
      </c>
      <c r="BU43" s="106">
        <v>2201.9918409383622</v>
      </c>
      <c r="BV43" s="106">
        <v>0</v>
      </c>
      <c r="BW43" s="106">
        <v>0</v>
      </c>
      <c r="BX43" s="106">
        <v>10.950380829373701</v>
      </c>
      <c r="BY43" s="106">
        <v>11195.669359951671</v>
      </c>
      <c r="BZ43" s="106">
        <v>5.703402151027281</v>
      </c>
      <c r="CA43" s="106">
        <v>5831.1583592102916</v>
      </c>
      <c r="CB43" s="106">
        <v>0</v>
      </c>
      <c r="CC43" s="106">
        <v>0</v>
      </c>
      <c r="CD43" s="106">
        <v>7.3719864761906537</v>
      </c>
      <c r="CE43" s="106">
        <v>7537.1189732573239</v>
      </c>
      <c r="CF43" s="106">
        <v>0</v>
      </c>
      <c r="CG43" s="106">
        <v>0</v>
      </c>
      <c r="CH43" s="106">
        <v>0</v>
      </c>
      <c r="CI43" s="106">
        <v>0</v>
      </c>
      <c r="CJ43" s="106">
        <v>2.9553344863209507</v>
      </c>
      <c r="CK43" s="106">
        <v>3021.5339788145402</v>
      </c>
      <c r="CL43" s="106">
        <v>1.1762305178933432</v>
      </c>
      <c r="CM43" s="106">
        <v>1202.578081494154</v>
      </c>
      <c r="CN43" s="106">
        <v>2.4001146437250531</v>
      </c>
      <c r="CO43" s="106">
        <v>2453.8772117444942</v>
      </c>
      <c r="CP43" s="106">
        <v>0</v>
      </c>
      <c r="CQ43" s="106">
        <v>0</v>
      </c>
      <c r="CR43" s="106">
        <v>0</v>
      </c>
      <c r="CS43" s="106">
        <v>0</v>
      </c>
      <c r="CT43" s="106">
        <v>2.0225477694287162</v>
      </c>
      <c r="CU43" s="106">
        <v>2067.8528394639193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0.42499706105892399</v>
      </c>
      <c r="M44" s="106">
        <v>434.51699522664387</v>
      </c>
      <c r="N44" s="106">
        <v>0.13372656658687934</v>
      </c>
      <c r="O44" s="106">
        <v>136.72204167842543</v>
      </c>
      <c r="P44" s="106">
        <v>0.16355516751212859</v>
      </c>
      <c r="Q44" s="106">
        <v>167.21880326440026</v>
      </c>
      <c r="R44" s="106">
        <v>0.11178298862492375</v>
      </c>
      <c r="S44" s="106">
        <v>114.28692757012205</v>
      </c>
      <c r="T44" s="106">
        <v>0</v>
      </c>
      <c r="U44" s="106">
        <v>0</v>
      </c>
      <c r="V44" s="106">
        <v>0.61419851863833652</v>
      </c>
      <c r="W44" s="106">
        <v>627.95656545583529</v>
      </c>
      <c r="X44" s="106">
        <v>0.22202995539515222</v>
      </c>
      <c r="Y44" s="106">
        <v>227.00342639600362</v>
      </c>
      <c r="Z44" s="106">
        <v>0.15610303530995914</v>
      </c>
      <c r="AA44" s="106">
        <v>159.59974330090222</v>
      </c>
      <c r="AB44" s="106">
        <v>0</v>
      </c>
      <c r="AC44" s="106">
        <v>0</v>
      </c>
      <c r="AD44" s="106">
        <v>0.20047843059377524</v>
      </c>
      <c r="AE44" s="106">
        <v>204.96914743907578</v>
      </c>
      <c r="AF44" s="106">
        <v>2.8570195149603204</v>
      </c>
      <c r="AG44" s="106">
        <v>2921.0167520954315</v>
      </c>
      <c r="AH44" s="106">
        <v>0.26376641393744676</v>
      </c>
      <c r="AI44" s="106">
        <v>269.67478160964555</v>
      </c>
      <c r="AJ44" s="106">
        <v>0</v>
      </c>
      <c r="AK44" s="106">
        <v>0</v>
      </c>
      <c r="AL44" s="106">
        <v>14.752235801422742</v>
      </c>
      <c r="AM44" s="106">
        <v>15082.685883374612</v>
      </c>
      <c r="AN44" s="106">
        <v>3.5582840742965911</v>
      </c>
      <c r="AO44" s="106">
        <v>3637.9896375608346</v>
      </c>
      <c r="AP44" s="106">
        <v>0</v>
      </c>
      <c r="AQ44" s="106">
        <v>0</v>
      </c>
      <c r="AR44" s="106">
        <v>1.7063050872558281</v>
      </c>
      <c r="AS44" s="106">
        <v>1744.5263212103587</v>
      </c>
      <c r="AT44" s="106">
        <v>0</v>
      </c>
      <c r="AU44" s="106">
        <v>0</v>
      </c>
      <c r="AV44" s="106">
        <v>2.005943756012833</v>
      </c>
      <c r="AW44" s="106">
        <v>2050.8768961475203</v>
      </c>
      <c r="AX44" s="106">
        <v>0.73996829479868986</v>
      </c>
      <c r="AY44" s="106">
        <v>756.54358460218054</v>
      </c>
      <c r="AZ44" s="106">
        <v>0.19403668701369806</v>
      </c>
      <c r="BA44" s="106">
        <v>198.38310880280488</v>
      </c>
      <c r="BB44" s="106">
        <v>0</v>
      </c>
      <c r="BC44" s="106">
        <v>0</v>
      </c>
      <c r="BD44" s="106">
        <v>0.20051588408006454</v>
      </c>
      <c r="BE44" s="106">
        <v>205.00743988345798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3.3100919834670148</v>
      </c>
      <c r="BM44" s="106">
        <v>3384.2380438966757</v>
      </c>
      <c r="BN44" s="106">
        <v>2.0189356210295704</v>
      </c>
      <c r="BO44" s="106">
        <v>2064.1597789406328</v>
      </c>
      <c r="BP44" s="106">
        <v>4.1659039016320749</v>
      </c>
      <c r="BQ44" s="106">
        <v>4259.2201490286334</v>
      </c>
      <c r="BR44" s="106">
        <v>4.1842917654790313</v>
      </c>
      <c r="BS44" s="106">
        <v>4278.0199010257611</v>
      </c>
      <c r="BT44" s="106">
        <v>2.1537478882417469</v>
      </c>
      <c r="BU44" s="106">
        <v>2201.9918409383622</v>
      </c>
      <c r="BV44" s="106">
        <v>0</v>
      </c>
      <c r="BW44" s="106">
        <v>0</v>
      </c>
      <c r="BX44" s="106">
        <v>11.471827535534354</v>
      </c>
      <c r="BY44" s="106">
        <v>11728.796472330323</v>
      </c>
      <c r="BZ44" s="106">
        <v>6.5405987970496344</v>
      </c>
      <c r="CA44" s="106">
        <v>6687.1082101035463</v>
      </c>
      <c r="CB44" s="106">
        <v>0</v>
      </c>
      <c r="CC44" s="106">
        <v>0</v>
      </c>
      <c r="CD44" s="106">
        <v>7.1485929466091198</v>
      </c>
      <c r="CE44" s="106">
        <v>7308.7214286131639</v>
      </c>
      <c r="CF44" s="106">
        <v>0</v>
      </c>
      <c r="CG44" s="106">
        <v>0</v>
      </c>
      <c r="CH44" s="106">
        <v>0</v>
      </c>
      <c r="CI44" s="106">
        <v>0</v>
      </c>
      <c r="CJ44" s="106">
        <v>2.7911492370808979</v>
      </c>
      <c r="CK44" s="106">
        <v>2853.6709799915097</v>
      </c>
      <c r="CL44" s="106">
        <v>1.2129877215775102</v>
      </c>
      <c r="CM44" s="106">
        <v>1240.1586465408463</v>
      </c>
      <c r="CN44" s="106">
        <v>2.5372640519379135</v>
      </c>
      <c r="CO44" s="106">
        <v>2594.0987667013228</v>
      </c>
      <c r="CP44" s="106">
        <v>0</v>
      </c>
      <c r="CQ44" s="106">
        <v>0</v>
      </c>
      <c r="CR44" s="106">
        <v>0</v>
      </c>
      <c r="CS44" s="106">
        <v>0</v>
      </c>
      <c r="CT44" s="106">
        <v>1.8329339160447742</v>
      </c>
      <c r="CU44" s="106">
        <v>1873.9916357641771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0.42499706105892399</v>
      </c>
      <c r="M45" s="106">
        <v>530.90632867480781</v>
      </c>
      <c r="N45" s="106">
        <v>0.14780304728023505</v>
      </c>
      <c r="O45" s="106">
        <v>184.63556666246964</v>
      </c>
      <c r="P45" s="106">
        <v>0.15901196841456947</v>
      </c>
      <c r="Q45" s="106">
        <v>198.63775094348017</v>
      </c>
      <c r="R45" s="106">
        <v>0.10670194368742722</v>
      </c>
      <c r="S45" s="106">
        <v>133.29206805433409</v>
      </c>
      <c r="T45" s="106">
        <v>0</v>
      </c>
      <c r="U45" s="106">
        <v>0</v>
      </c>
      <c r="V45" s="106">
        <v>0.6614445585335933</v>
      </c>
      <c r="W45" s="106">
        <v>826.27654252016475</v>
      </c>
      <c r="X45" s="106">
        <v>0.2168057211505604</v>
      </c>
      <c r="Y45" s="106">
        <v>270.83370686128006</v>
      </c>
      <c r="Z45" s="106">
        <v>0.16745598333250161</v>
      </c>
      <c r="AA45" s="106">
        <v>209.18601437896103</v>
      </c>
      <c r="AB45" s="106">
        <v>0</v>
      </c>
      <c r="AC45" s="106">
        <v>0</v>
      </c>
      <c r="AD45" s="106">
        <v>0.22195826244310829</v>
      </c>
      <c r="AE45" s="106">
        <v>277.27026144393091</v>
      </c>
      <c r="AF45" s="106">
        <v>2.8241802101906615</v>
      </c>
      <c r="AG45" s="106">
        <v>3527.9659185701744</v>
      </c>
      <c r="AH45" s="106">
        <v>0.27160105989598476</v>
      </c>
      <c r="AI45" s="106">
        <v>339.28404402206417</v>
      </c>
      <c r="AJ45" s="106">
        <v>0</v>
      </c>
      <c r="AK45" s="106">
        <v>0</v>
      </c>
      <c r="AL45" s="106">
        <v>14.014624011351607</v>
      </c>
      <c r="AM45" s="106">
        <v>17507.068314980428</v>
      </c>
      <c r="AN45" s="106">
        <v>3.2348037039059916</v>
      </c>
      <c r="AO45" s="106">
        <v>4040.9167869193648</v>
      </c>
      <c r="AP45" s="106">
        <v>0</v>
      </c>
      <c r="AQ45" s="106">
        <v>0</v>
      </c>
      <c r="AR45" s="106">
        <v>1.950062956863803</v>
      </c>
      <c r="AS45" s="106">
        <v>2436.0186457142627</v>
      </c>
      <c r="AT45" s="106">
        <v>0</v>
      </c>
      <c r="AU45" s="106">
        <v>0</v>
      </c>
      <c r="AV45" s="106">
        <v>2.005943756012833</v>
      </c>
      <c r="AW45" s="106">
        <v>2505.8249400112313</v>
      </c>
      <c r="AX45" s="106">
        <v>0.73996829479868986</v>
      </c>
      <c r="AY45" s="106">
        <v>924.36839386252336</v>
      </c>
      <c r="AZ45" s="106">
        <v>0.19403668701369806</v>
      </c>
      <c r="BA45" s="106">
        <v>242.39062941751163</v>
      </c>
      <c r="BB45" s="106">
        <v>0</v>
      </c>
      <c r="BC45" s="106">
        <v>0</v>
      </c>
      <c r="BD45" s="106">
        <v>0.20051588408006454</v>
      </c>
      <c r="BE45" s="106">
        <v>250.48444239281665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2.9978191548380511</v>
      </c>
      <c r="BM45" s="106">
        <v>3744.8756882236935</v>
      </c>
      <c r="BN45" s="106">
        <v>2.2496711205758064</v>
      </c>
      <c r="BO45" s="106">
        <v>2810.2891638232977</v>
      </c>
      <c r="BP45" s="106">
        <v>4.0056768284923798</v>
      </c>
      <c r="BQ45" s="106">
        <v>5003.8914941526809</v>
      </c>
      <c r="BR45" s="106">
        <v>4.1842917654790313</v>
      </c>
      <c r="BS45" s="106">
        <v>5227.017273436406</v>
      </c>
      <c r="BT45" s="106">
        <v>1.9579526256743154</v>
      </c>
      <c r="BU45" s="106">
        <v>2445.8744199923549</v>
      </c>
      <c r="BV45" s="106">
        <v>0</v>
      </c>
      <c r="BW45" s="106">
        <v>0</v>
      </c>
      <c r="BX45" s="106">
        <v>11.054670170605831</v>
      </c>
      <c r="BY45" s="106">
        <v>13809.493977120805</v>
      </c>
      <c r="BZ45" s="106">
        <v>5.9650261029092668</v>
      </c>
      <c r="CA45" s="106">
        <v>7451.5106077542559</v>
      </c>
      <c r="CB45" s="106">
        <v>0</v>
      </c>
      <c r="CC45" s="106">
        <v>0</v>
      </c>
      <c r="CD45" s="106">
        <v>7.0927445642137359</v>
      </c>
      <c r="CE45" s="106">
        <v>8860.2565096157996</v>
      </c>
      <c r="CF45" s="106">
        <v>0</v>
      </c>
      <c r="CG45" s="106">
        <v>0</v>
      </c>
      <c r="CH45" s="106">
        <v>0</v>
      </c>
      <c r="CI45" s="106">
        <v>0</v>
      </c>
      <c r="CJ45" s="106">
        <v>2.7911492370808979</v>
      </c>
      <c r="CK45" s="106">
        <v>3486.7036269614578</v>
      </c>
      <c r="CL45" s="106">
        <v>1.1762305178933432</v>
      </c>
      <c r="CM45" s="106">
        <v>1469.3471629523644</v>
      </c>
      <c r="CN45" s="106">
        <v>2.4001146437250531</v>
      </c>
      <c r="CO45" s="106">
        <v>2998.2232129413364</v>
      </c>
      <c r="CP45" s="106">
        <v>0</v>
      </c>
      <c r="CQ45" s="106">
        <v>0</v>
      </c>
      <c r="CR45" s="106">
        <v>0</v>
      </c>
      <c r="CS45" s="106">
        <v>0</v>
      </c>
      <c r="CT45" s="106">
        <v>1.7697292982501265</v>
      </c>
      <c r="CU45" s="106">
        <v>2210.7458393740581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0.42499706105892399</v>
      </c>
      <c r="M46" s="106">
        <v>515.09643800341587</v>
      </c>
      <c r="N46" s="106">
        <v>0.14780304728023505</v>
      </c>
      <c r="O46" s="106">
        <v>179.13729330364487</v>
      </c>
      <c r="P46" s="106">
        <v>0.14992557021945122</v>
      </c>
      <c r="Q46" s="106">
        <v>181.70979110597489</v>
      </c>
      <c r="R46" s="106">
        <v>0.12194507849991681</v>
      </c>
      <c r="S46" s="106">
        <v>147.79743514189917</v>
      </c>
      <c r="T46" s="106">
        <v>0</v>
      </c>
      <c r="U46" s="106">
        <v>0</v>
      </c>
      <c r="V46" s="106">
        <v>0.63782153858596491</v>
      </c>
      <c r="W46" s="106">
        <v>773.03970476618952</v>
      </c>
      <c r="X46" s="106">
        <v>0.22202995539515222</v>
      </c>
      <c r="Y46" s="106">
        <v>269.10030593892446</v>
      </c>
      <c r="Z46" s="106">
        <v>0.16177950932123036</v>
      </c>
      <c r="AA46" s="106">
        <v>196.07676529733121</v>
      </c>
      <c r="AB46" s="106">
        <v>0</v>
      </c>
      <c r="AC46" s="106">
        <v>0</v>
      </c>
      <c r="AD46" s="106">
        <v>0.20763837454355291</v>
      </c>
      <c r="AE46" s="106">
        <v>251.65770994678613</v>
      </c>
      <c r="AF46" s="106">
        <v>2.7256622958816843</v>
      </c>
      <c r="AG46" s="106">
        <v>3303.5027026086013</v>
      </c>
      <c r="AH46" s="106">
        <v>0.25854331663175473</v>
      </c>
      <c r="AI46" s="106">
        <v>313.35449975768671</v>
      </c>
      <c r="AJ46" s="106">
        <v>0</v>
      </c>
      <c r="AK46" s="106">
        <v>0</v>
      </c>
      <c r="AL46" s="106">
        <v>13.768753414661228</v>
      </c>
      <c r="AM46" s="106">
        <v>16687.729138569408</v>
      </c>
      <c r="AN46" s="106">
        <v>3.4504572841663914</v>
      </c>
      <c r="AO46" s="106">
        <v>4181.954228409666</v>
      </c>
      <c r="AP46" s="106">
        <v>0</v>
      </c>
      <c r="AQ46" s="106">
        <v>0</v>
      </c>
      <c r="AR46" s="106">
        <v>1.7063050872558281</v>
      </c>
      <c r="AS46" s="106">
        <v>2068.0417657540638</v>
      </c>
      <c r="AT46" s="106">
        <v>0</v>
      </c>
      <c r="AU46" s="106">
        <v>0</v>
      </c>
      <c r="AV46" s="106">
        <v>2.2288263955698144</v>
      </c>
      <c r="AW46" s="106">
        <v>2701.3375914306152</v>
      </c>
      <c r="AX46" s="106">
        <v>0.73996829479868986</v>
      </c>
      <c r="AY46" s="106">
        <v>896.84157329601214</v>
      </c>
      <c r="AZ46" s="106">
        <v>0.19403668701369806</v>
      </c>
      <c r="BA46" s="106">
        <v>235.17246466060203</v>
      </c>
      <c r="BB46" s="106">
        <v>0</v>
      </c>
      <c r="BC46" s="106">
        <v>0</v>
      </c>
      <c r="BD46" s="106">
        <v>0.20051588408006454</v>
      </c>
      <c r="BE46" s="106">
        <v>243.02525150503823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2.7480008919348804</v>
      </c>
      <c r="BM46" s="106">
        <v>3330.5770810250751</v>
      </c>
      <c r="BN46" s="106">
        <v>2.2496711205758064</v>
      </c>
      <c r="BO46" s="106">
        <v>2726.6013981378774</v>
      </c>
      <c r="BP46" s="106">
        <v>4.0857903650622278</v>
      </c>
      <c r="BQ46" s="106">
        <v>4951.9779224554204</v>
      </c>
      <c r="BR46" s="106">
        <v>3.9560576691801748</v>
      </c>
      <c r="BS46" s="106">
        <v>4794.7418950463716</v>
      </c>
      <c r="BT46" s="106">
        <v>2.2190129757642243</v>
      </c>
      <c r="BU46" s="106">
        <v>2689.4437266262398</v>
      </c>
      <c r="BV46" s="106">
        <v>0</v>
      </c>
      <c r="BW46" s="106">
        <v>0</v>
      </c>
      <c r="BX46" s="106">
        <v>9.8031980758202657</v>
      </c>
      <c r="BY46" s="106">
        <v>11881.476067894162</v>
      </c>
      <c r="BZ46" s="106">
        <v>5.7557269414036787</v>
      </c>
      <c r="CA46" s="106">
        <v>6975.9410529812585</v>
      </c>
      <c r="CB46" s="106">
        <v>0</v>
      </c>
      <c r="CC46" s="106">
        <v>0</v>
      </c>
      <c r="CD46" s="106">
        <v>6.087473681096828</v>
      </c>
      <c r="CE46" s="106">
        <v>7378.0181014893551</v>
      </c>
      <c r="CF46" s="106">
        <v>0</v>
      </c>
      <c r="CG46" s="106">
        <v>0</v>
      </c>
      <c r="CH46" s="106">
        <v>0</v>
      </c>
      <c r="CI46" s="106">
        <v>0</v>
      </c>
      <c r="CJ46" s="106">
        <v>2.9553344863209507</v>
      </c>
      <c r="CK46" s="106">
        <v>3581.8653974209924</v>
      </c>
      <c r="CL46" s="106">
        <v>1.286502128945844</v>
      </c>
      <c r="CM46" s="106">
        <v>1559.240580282363</v>
      </c>
      <c r="CN46" s="106">
        <v>2.1258158272993328</v>
      </c>
      <c r="CO46" s="106">
        <v>2576.4887826867912</v>
      </c>
      <c r="CP46" s="106">
        <v>0</v>
      </c>
      <c r="CQ46" s="106">
        <v>0</v>
      </c>
      <c r="CR46" s="106">
        <v>0</v>
      </c>
      <c r="CS46" s="106">
        <v>0</v>
      </c>
      <c r="CT46" s="106">
        <v>2.0225477694287162</v>
      </c>
      <c r="CU46" s="106">
        <v>2451.3278965476038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0.4619533272379609</v>
      </c>
      <c r="M47" s="106">
        <v>705.67990268870903</v>
      </c>
      <c r="N47" s="106">
        <v>0.14780304728023505</v>
      </c>
      <c r="O47" s="106">
        <v>225.78393502528704</v>
      </c>
      <c r="P47" s="106">
        <v>0.15446876931701034</v>
      </c>
      <c r="Q47" s="106">
        <v>235.96649200866497</v>
      </c>
      <c r="R47" s="106">
        <v>0.11178298862492375</v>
      </c>
      <c r="S47" s="106">
        <v>170.7596934234335</v>
      </c>
      <c r="T47" s="106">
        <v>0</v>
      </c>
      <c r="U47" s="106">
        <v>0</v>
      </c>
      <c r="V47" s="106">
        <v>0.59057549869070824</v>
      </c>
      <c r="W47" s="106">
        <v>902.16313179992585</v>
      </c>
      <c r="X47" s="106">
        <v>0.21941783827285632</v>
      </c>
      <c r="Y47" s="106">
        <v>335.18268974561528</v>
      </c>
      <c r="Z47" s="106">
        <v>0.15326479830432352</v>
      </c>
      <c r="AA47" s="106">
        <v>234.12730588968461</v>
      </c>
      <c r="AB47" s="106">
        <v>0</v>
      </c>
      <c r="AC47" s="106">
        <v>0</v>
      </c>
      <c r="AD47" s="106">
        <v>0.19689845861888641</v>
      </c>
      <c r="AE47" s="106">
        <v>300.78208538621084</v>
      </c>
      <c r="AF47" s="106">
        <v>2.8898588197299788</v>
      </c>
      <c r="AG47" s="106">
        <v>4414.5483330195157</v>
      </c>
      <c r="AH47" s="106">
        <v>0.2167585381862186</v>
      </c>
      <c r="AI47" s="106">
        <v>331.12034293326752</v>
      </c>
      <c r="AJ47" s="106">
        <v>0</v>
      </c>
      <c r="AK47" s="106">
        <v>0</v>
      </c>
      <c r="AL47" s="106">
        <v>13.768753414661228</v>
      </c>
      <c r="AM47" s="106">
        <v>21033.14771623649</v>
      </c>
      <c r="AN47" s="106">
        <v>3.1269769137757923</v>
      </c>
      <c r="AO47" s="106">
        <v>4776.7699334838999</v>
      </c>
      <c r="AP47" s="106">
        <v>0</v>
      </c>
      <c r="AQ47" s="106">
        <v>0</v>
      </c>
      <c r="AR47" s="106">
        <v>1.950062956863803</v>
      </c>
      <c r="AS47" s="106">
        <v>2978.9161729051452</v>
      </c>
      <c r="AT47" s="106">
        <v>0</v>
      </c>
      <c r="AU47" s="106">
        <v>0</v>
      </c>
      <c r="AV47" s="106">
        <v>2.2288263955698144</v>
      </c>
      <c r="AW47" s="106">
        <v>3404.7552018724482</v>
      </c>
      <c r="AX47" s="106">
        <v>0.8456780511985027</v>
      </c>
      <c r="AY47" s="106">
        <v>1291.8577910108327</v>
      </c>
      <c r="AZ47" s="106">
        <v>0.17463301831232825</v>
      </c>
      <c r="BA47" s="106">
        <v>266.7693987739126</v>
      </c>
      <c r="BB47" s="106">
        <v>0</v>
      </c>
      <c r="BC47" s="106">
        <v>0</v>
      </c>
      <c r="BD47" s="106">
        <v>0.1804642956720581</v>
      </c>
      <c r="BE47" s="106">
        <v>275.67725806863592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3.0602737205638437</v>
      </c>
      <c r="BM47" s="106">
        <v>4674.8741355333277</v>
      </c>
      <c r="BN47" s="106">
        <v>2.1343033708026886</v>
      </c>
      <c r="BO47" s="106">
        <v>3260.3618292381871</v>
      </c>
      <c r="BP47" s="106">
        <v>3.8454497553526843</v>
      </c>
      <c r="BQ47" s="106">
        <v>5874.3090462767605</v>
      </c>
      <c r="BR47" s="106">
        <v>4.0321357012797936</v>
      </c>
      <c r="BS47" s="106">
        <v>6159.4904972750119</v>
      </c>
      <c r="BT47" s="106">
        <v>1.9579526256743154</v>
      </c>
      <c r="BU47" s="106">
        <v>2990.9684309800841</v>
      </c>
      <c r="BV47" s="106">
        <v>0</v>
      </c>
      <c r="BW47" s="106">
        <v>0</v>
      </c>
      <c r="BX47" s="106">
        <v>9.4903300521238751</v>
      </c>
      <c r="BY47" s="106">
        <v>14497.428187624431</v>
      </c>
      <c r="BZ47" s="106">
        <v>5.703402151027281</v>
      </c>
      <c r="CA47" s="106">
        <v>8712.5171259092731</v>
      </c>
      <c r="CB47" s="106">
        <v>0</v>
      </c>
      <c r="CC47" s="106">
        <v>0</v>
      </c>
      <c r="CD47" s="106">
        <v>6.3108672106783636</v>
      </c>
      <c r="CE47" s="106">
        <v>9640.480751032268</v>
      </c>
      <c r="CF47" s="106">
        <v>0</v>
      </c>
      <c r="CG47" s="106">
        <v>0</v>
      </c>
      <c r="CH47" s="106">
        <v>0</v>
      </c>
      <c r="CI47" s="106">
        <v>0</v>
      </c>
      <c r="CJ47" s="106">
        <v>2.6269639878408451</v>
      </c>
      <c r="CK47" s="106">
        <v>4012.9501878256747</v>
      </c>
      <c r="CL47" s="106">
        <v>1.2129877215775102</v>
      </c>
      <c r="CM47" s="106">
        <v>1852.9600434818044</v>
      </c>
      <c r="CN47" s="106">
        <v>2.1943905314057628</v>
      </c>
      <c r="CO47" s="106">
        <v>3352.1509757754429</v>
      </c>
      <c r="CP47" s="106">
        <v>0</v>
      </c>
      <c r="CQ47" s="106">
        <v>0</v>
      </c>
      <c r="CR47" s="106">
        <v>0</v>
      </c>
      <c r="CS47" s="106">
        <v>0</v>
      </c>
      <c r="CT47" s="106">
        <v>1.8329339160447742</v>
      </c>
      <c r="CU47" s="106">
        <v>2799.989850149997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0.4434751941484425</v>
      </c>
      <c r="M48" s="106">
        <v>384.75907844318874</v>
      </c>
      <c r="N48" s="106">
        <v>0.14780304728023505</v>
      </c>
      <c r="O48" s="106">
        <v>128.23392382033194</v>
      </c>
      <c r="P48" s="106">
        <v>0.15446876931701034</v>
      </c>
      <c r="Q48" s="106">
        <v>134.01710425943818</v>
      </c>
      <c r="R48" s="106">
        <v>0.12194507849991681</v>
      </c>
      <c r="S48" s="106">
        <v>105.79955010652783</v>
      </c>
      <c r="T48" s="106">
        <v>0</v>
      </c>
      <c r="U48" s="106">
        <v>0</v>
      </c>
      <c r="V48" s="106">
        <v>0.69097333346812861</v>
      </c>
      <c r="W48" s="106">
        <v>599.48846411694842</v>
      </c>
      <c r="X48" s="106">
        <v>0.21158148690596856</v>
      </c>
      <c r="Y48" s="106">
        <v>183.56809803961832</v>
      </c>
      <c r="Z48" s="106">
        <v>0.18164716836067971</v>
      </c>
      <c r="AA48" s="106">
        <v>157.59708326972572</v>
      </c>
      <c r="AB48" s="106">
        <v>0</v>
      </c>
      <c r="AC48" s="106">
        <v>0</v>
      </c>
      <c r="AD48" s="106">
        <v>0.19689845861888641</v>
      </c>
      <c r="AE48" s="106">
        <v>170.82910269774587</v>
      </c>
      <c r="AF48" s="106">
        <v>3.3167697817355442</v>
      </c>
      <c r="AG48" s="106">
        <v>2877.6294626337581</v>
      </c>
      <c r="AH48" s="106">
        <v>0.26898951124313875</v>
      </c>
      <c r="AI48" s="106">
        <v>233.37529995454719</v>
      </c>
      <c r="AJ48" s="106">
        <v>0</v>
      </c>
      <c r="AK48" s="106">
        <v>0</v>
      </c>
      <c r="AL48" s="106">
        <v>16.227459381565019</v>
      </c>
      <c r="AM48" s="106">
        <v>14078.94375944581</v>
      </c>
      <c r="AN48" s="106">
        <v>3.6661108644267908</v>
      </c>
      <c r="AO48" s="106">
        <v>3180.7177859766839</v>
      </c>
      <c r="AP48" s="106">
        <v>0</v>
      </c>
      <c r="AQ48" s="106">
        <v>0</v>
      </c>
      <c r="AR48" s="106">
        <v>1.7063050872558281</v>
      </c>
      <c r="AS48" s="106">
        <v>1480.3902937031564</v>
      </c>
      <c r="AT48" s="106">
        <v>0</v>
      </c>
      <c r="AU48" s="106">
        <v>0</v>
      </c>
      <c r="AV48" s="106">
        <v>2.2288263955698144</v>
      </c>
      <c r="AW48" s="106">
        <v>1933.729780796371</v>
      </c>
      <c r="AX48" s="106">
        <v>0.8456780511985027</v>
      </c>
      <c r="AY48" s="106">
        <v>733.71027721982091</v>
      </c>
      <c r="AZ48" s="106">
        <v>0.17463301831232825</v>
      </c>
      <c r="BA48" s="106">
        <v>151.51160668777598</v>
      </c>
      <c r="BB48" s="106">
        <v>0</v>
      </c>
      <c r="BC48" s="106">
        <v>0</v>
      </c>
      <c r="BD48" s="106">
        <v>0.20051588408006454</v>
      </c>
      <c r="BE48" s="106">
        <v>173.96758102786401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3.3100919834670148</v>
      </c>
      <c r="BM48" s="106">
        <v>2871.8358048559821</v>
      </c>
      <c r="BN48" s="106">
        <v>2.4804066201220434</v>
      </c>
      <c r="BO48" s="106">
        <v>2152.0007836178847</v>
      </c>
      <c r="BP48" s="106">
        <v>4.406244511341618</v>
      </c>
      <c r="BQ48" s="106">
        <v>3822.8577380399879</v>
      </c>
      <c r="BR48" s="106">
        <v>4.1082137333794124</v>
      </c>
      <c r="BS48" s="106">
        <v>3564.2862350799783</v>
      </c>
      <c r="BT48" s="106">
        <v>1.9579526256743154</v>
      </c>
      <c r="BU48" s="106">
        <v>1698.7196980350361</v>
      </c>
      <c r="BV48" s="106">
        <v>0</v>
      </c>
      <c r="BW48" s="106">
        <v>0</v>
      </c>
      <c r="BX48" s="106">
        <v>11.158959511837963</v>
      </c>
      <c r="BY48" s="106">
        <v>9681.5132724706182</v>
      </c>
      <c r="BZ48" s="106">
        <v>6.6452483778024289</v>
      </c>
      <c r="CA48" s="106">
        <v>5765.4174925813877</v>
      </c>
      <c r="CB48" s="106">
        <v>0</v>
      </c>
      <c r="CC48" s="106">
        <v>0</v>
      </c>
      <c r="CD48" s="106">
        <v>6.8135026522368172</v>
      </c>
      <c r="CE48" s="106">
        <v>5911.3949010806627</v>
      </c>
      <c r="CF48" s="106">
        <v>0</v>
      </c>
      <c r="CG48" s="106">
        <v>0</v>
      </c>
      <c r="CH48" s="106">
        <v>0</v>
      </c>
      <c r="CI48" s="106">
        <v>0</v>
      </c>
      <c r="CJ48" s="106">
        <v>2.9553344863209507</v>
      </c>
      <c r="CK48" s="106">
        <v>2564.0482003320571</v>
      </c>
      <c r="CL48" s="106">
        <v>1.1762305178933432</v>
      </c>
      <c r="CM48" s="106">
        <v>1020.4975973242646</v>
      </c>
      <c r="CN48" s="106">
        <v>2.1943905314057628</v>
      </c>
      <c r="CO48" s="106">
        <v>1903.8532250476399</v>
      </c>
      <c r="CP48" s="106">
        <v>0</v>
      </c>
      <c r="CQ48" s="106">
        <v>0</v>
      </c>
      <c r="CR48" s="106">
        <v>0</v>
      </c>
      <c r="CS48" s="106">
        <v>0</v>
      </c>
      <c r="CT48" s="106">
        <v>1.8329339160447742</v>
      </c>
      <c r="CU48" s="106">
        <v>1590.2534655604461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0.35454202462956269</v>
      </c>
      <c r="I49" s="106">
        <v>349.29480266504515</v>
      </c>
      <c r="J49" s="106">
        <v>0</v>
      </c>
      <c r="K49" s="106">
        <v>0</v>
      </c>
      <c r="L49" s="106">
        <v>0.21223619129548996</v>
      </c>
      <c r="M49" s="106">
        <v>209.09509566431669</v>
      </c>
      <c r="N49" s="106">
        <v>0.10480393966449117</v>
      </c>
      <c r="O49" s="106">
        <v>103.25284135745669</v>
      </c>
      <c r="P49" s="106">
        <v>0</v>
      </c>
      <c r="Q49" s="106">
        <v>0</v>
      </c>
      <c r="R49" s="106">
        <v>5.2871744445016633E-2</v>
      </c>
      <c r="S49" s="106">
        <v>52.089242627230384</v>
      </c>
      <c r="T49" s="106">
        <v>0.42226363808089706</v>
      </c>
      <c r="U49" s="106">
        <v>416.01413623729974</v>
      </c>
      <c r="V49" s="106">
        <v>0.88022724027959787</v>
      </c>
      <c r="W49" s="106">
        <v>867.19987712345971</v>
      </c>
      <c r="X49" s="106">
        <v>0</v>
      </c>
      <c r="Y49" s="106">
        <v>0</v>
      </c>
      <c r="Z49" s="106">
        <v>0</v>
      </c>
      <c r="AA49" s="106">
        <v>0</v>
      </c>
      <c r="AB49" s="106">
        <v>0.42617677119914232</v>
      </c>
      <c r="AC49" s="106">
        <v>419.86935498539498</v>
      </c>
      <c r="AD49" s="106">
        <v>0.14683350140428117</v>
      </c>
      <c r="AE49" s="106">
        <v>144.66036558349779</v>
      </c>
      <c r="AF49" s="106">
        <v>0</v>
      </c>
      <c r="AG49" s="106">
        <v>0</v>
      </c>
      <c r="AH49" s="106">
        <v>0</v>
      </c>
      <c r="AI49" s="106">
        <v>0</v>
      </c>
      <c r="AJ49" s="106">
        <v>0.57610340380831759</v>
      </c>
      <c r="AK49" s="106">
        <v>567.57707343195443</v>
      </c>
      <c r="AL49" s="106">
        <v>0.99849134563940434</v>
      </c>
      <c r="AM49" s="106">
        <v>983.71367372394104</v>
      </c>
      <c r="AN49" s="106">
        <v>0.45395217355391532</v>
      </c>
      <c r="AO49" s="106">
        <v>447.23368138531731</v>
      </c>
      <c r="AP49" s="106">
        <v>0.63142006105428961</v>
      </c>
      <c r="AQ49" s="106">
        <v>622.07504415068604</v>
      </c>
      <c r="AR49" s="106">
        <v>0.19441371123003062</v>
      </c>
      <c r="AS49" s="106">
        <v>191.53638830382616</v>
      </c>
      <c r="AT49" s="106">
        <v>0.42877295966079154</v>
      </c>
      <c r="AU49" s="106">
        <v>422.42711985781182</v>
      </c>
      <c r="AV49" s="106">
        <v>0</v>
      </c>
      <c r="AW49" s="106">
        <v>0</v>
      </c>
      <c r="AX49" s="106">
        <v>0.64096428799399952</v>
      </c>
      <c r="AY49" s="106">
        <v>631.47801653168824</v>
      </c>
      <c r="AZ49" s="106">
        <v>0</v>
      </c>
      <c r="BA49" s="106">
        <v>0</v>
      </c>
      <c r="BB49" s="106">
        <v>2.9528700689031737</v>
      </c>
      <c r="BC49" s="106">
        <v>2909.1675918834067</v>
      </c>
      <c r="BD49" s="106">
        <v>5.1968259113406621</v>
      </c>
      <c r="BE49" s="106">
        <v>5119.9128878528199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1.163309319632823</v>
      </c>
      <c r="BM49" s="106">
        <v>1146.0923417022573</v>
      </c>
      <c r="BN49" s="106">
        <v>1.7562718263281187</v>
      </c>
      <c r="BO49" s="106">
        <v>1730.2790032984624</v>
      </c>
      <c r="BP49" s="106">
        <v>0.20806484068683656</v>
      </c>
      <c r="BQ49" s="106">
        <v>204.98548104467136</v>
      </c>
      <c r="BR49" s="106">
        <v>0</v>
      </c>
      <c r="BS49" s="106">
        <v>0</v>
      </c>
      <c r="BT49" s="106">
        <v>0</v>
      </c>
      <c r="BU49" s="106">
        <v>0</v>
      </c>
      <c r="BV49" s="106">
        <v>0.6826221140207096</v>
      </c>
      <c r="BW49" s="106">
        <v>672.51930673320305</v>
      </c>
      <c r="BX49" s="106">
        <v>0</v>
      </c>
      <c r="BY49" s="106">
        <v>0</v>
      </c>
      <c r="BZ49" s="106">
        <v>0.44291937800009695</v>
      </c>
      <c r="CA49" s="106">
        <v>436.36417120569547</v>
      </c>
      <c r="CB49" s="106">
        <v>0.99088728501586254</v>
      </c>
      <c r="CC49" s="106">
        <v>976.22215319762768</v>
      </c>
      <c r="CD49" s="106">
        <v>0.19804480035411443</v>
      </c>
      <c r="CE49" s="106">
        <v>195.11373730887351</v>
      </c>
      <c r="CF49" s="106">
        <v>0</v>
      </c>
      <c r="CG49" s="106">
        <v>0</v>
      </c>
      <c r="CH49" s="106">
        <v>0.82487962194004394</v>
      </c>
      <c r="CI49" s="106">
        <v>812.67140353533125</v>
      </c>
      <c r="CJ49" s="106">
        <v>2.1352471277304406</v>
      </c>
      <c r="CK49" s="106">
        <v>2103.6454702400297</v>
      </c>
      <c r="CL49" s="106">
        <v>0</v>
      </c>
      <c r="CM49" s="106">
        <v>0</v>
      </c>
      <c r="CN49" s="106">
        <v>1.6036790713422897</v>
      </c>
      <c r="CO49" s="106">
        <v>1579.9446210864237</v>
      </c>
      <c r="CP49" s="106">
        <v>0.71317228277266198</v>
      </c>
      <c r="CQ49" s="106">
        <v>702.61733298762658</v>
      </c>
      <c r="CR49" s="106">
        <v>0.57885431752405747</v>
      </c>
      <c r="CS49" s="106">
        <v>570.28727362470136</v>
      </c>
      <c r="CT49" s="106">
        <v>1.187809059559366</v>
      </c>
      <c r="CU49" s="106">
        <v>1170.2294854778872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0.27717199634277656</v>
      </c>
      <c r="M50" s="106">
        <v>78.162502968662992</v>
      </c>
      <c r="N50" s="106">
        <v>0.10557360520016788</v>
      </c>
      <c r="O50" s="106">
        <v>29.771756666447342</v>
      </c>
      <c r="P50" s="106">
        <v>4.5431990975591273E-2</v>
      </c>
      <c r="Q50" s="106">
        <v>12.811821455116739</v>
      </c>
      <c r="R50" s="106">
        <v>5.0810449374965344E-2</v>
      </c>
      <c r="S50" s="106">
        <v>14.328546723740226</v>
      </c>
      <c r="T50" s="106">
        <v>0</v>
      </c>
      <c r="U50" s="106">
        <v>0</v>
      </c>
      <c r="V50" s="106">
        <v>0.34843954422751788</v>
      </c>
      <c r="W50" s="106">
        <v>98.25995147216004</v>
      </c>
      <c r="X50" s="106">
        <v>0.17239973007152995</v>
      </c>
      <c r="Y50" s="106">
        <v>48.616723880171449</v>
      </c>
      <c r="Z50" s="106">
        <v>0.23557367146775651</v>
      </c>
      <c r="AA50" s="106">
        <v>66.431775353907341</v>
      </c>
      <c r="AB50" s="106">
        <v>0</v>
      </c>
      <c r="AC50" s="106">
        <v>0</v>
      </c>
      <c r="AD50" s="106">
        <v>7.1599439497776876E-2</v>
      </c>
      <c r="AE50" s="106">
        <v>20.191041938373079</v>
      </c>
      <c r="AF50" s="106">
        <v>0.82098261924147131</v>
      </c>
      <c r="AG50" s="106">
        <v>231.51709862609491</v>
      </c>
      <c r="AH50" s="106">
        <v>4.4396327098382121E-2</v>
      </c>
      <c r="AI50" s="106">
        <v>12.519764241743758</v>
      </c>
      <c r="AJ50" s="106">
        <v>0</v>
      </c>
      <c r="AK50" s="106">
        <v>0</v>
      </c>
      <c r="AL50" s="106">
        <v>3.9339295470460645</v>
      </c>
      <c r="AM50" s="106">
        <v>1109.3681322669902</v>
      </c>
      <c r="AN50" s="106">
        <v>1.2939214815623967</v>
      </c>
      <c r="AO50" s="106">
        <v>364.88585780059589</v>
      </c>
      <c r="AP50" s="106">
        <v>0</v>
      </c>
      <c r="AQ50" s="106">
        <v>0</v>
      </c>
      <c r="AR50" s="106">
        <v>2.1938208264717787</v>
      </c>
      <c r="AS50" s="106">
        <v>618.65747306504159</v>
      </c>
      <c r="AT50" s="106">
        <v>0</v>
      </c>
      <c r="AU50" s="106">
        <v>0</v>
      </c>
      <c r="AV50" s="106">
        <v>2.005943756012833</v>
      </c>
      <c r="AW50" s="106">
        <v>565.67613919561893</v>
      </c>
      <c r="AX50" s="106">
        <v>1.2685170767977541</v>
      </c>
      <c r="AY50" s="106">
        <v>357.72181565696667</v>
      </c>
      <c r="AZ50" s="106">
        <v>1.8045411892273917</v>
      </c>
      <c r="BA50" s="106">
        <v>508.88061536212444</v>
      </c>
      <c r="BB50" s="106">
        <v>0</v>
      </c>
      <c r="BC50" s="106">
        <v>0</v>
      </c>
      <c r="BD50" s="106">
        <v>2.9275319075689419</v>
      </c>
      <c r="BE50" s="106">
        <v>825.56399793444166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1.3115458802416475</v>
      </c>
      <c r="BM50" s="106">
        <v>369.85593822814462</v>
      </c>
      <c r="BN50" s="106">
        <v>1.7882001214833336</v>
      </c>
      <c r="BO50" s="106">
        <v>504.27243425830011</v>
      </c>
      <c r="BP50" s="106">
        <v>0.56079475598893325</v>
      </c>
      <c r="BQ50" s="106">
        <v>158.14412118887918</v>
      </c>
      <c r="BR50" s="106">
        <v>0.38039016049809371</v>
      </c>
      <c r="BS50" s="106">
        <v>107.27002526046243</v>
      </c>
      <c r="BT50" s="106">
        <v>0.52212070017981738</v>
      </c>
      <c r="BU50" s="106">
        <v>147.2380374507085</v>
      </c>
      <c r="BV50" s="106">
        <v>0</v>
      </c>
      <c r="BW50" s="106">
        <v>0</v>
      </c>
      <c r="BX50" s="106">
        <v>1.460050777249827</v>
      </c>
      <c r="BY50" s="106">
        <v>411.73431918445124</v>
      </c>
      <c r="BZ50" s="106">
        <v>0.88952143639875025</v>
      </c>
      <c r="CA50" s="106">
        <v>250.84504506444756</v>
      </c>
      <c r="CB50" s="106">
        <v>0</v>
      </c>
      <c r="CC50" s="106">
        <v>0</v>
      </c>
      <c r="CD50" s="106">
        <v>0.55848382395383744</v>
      </c>
      <c r="CE50" s="106">
        <v>157.49243835498217</v>
      </c>
      <c r="CF50" s="106">
        <v>0</v>
      </c>
      <c r="CG50" s="106">
        <v>0</v>
      </c>
      <c r="CH50" s="106">
        <v>0</v>
      </c>
      <c r="CI50" s="106">
        <v>0</v>
      </c>
      <c r="CJ50" s="106">
        <v>1.6418524924005284</v>
      </c>
      <c r="CK50" s="106">
        <v>463.002402856949</v>
      </c>
      <c r="CL50" s="106">
        <v>0.73514407368333945</v>
      </c>
      <c r="CM50" s="106">
        <v>207.31062877870173</v>
      </c>
      <c r="CN50" s="106">
        <v>1.0286205615964512</v>
      </c>
      <c r="CO50" s="106">
        <v>290.07099837019922</v>
      </c>
      <c r="CP50" s="106">
        <v>0</v>
      </c>
      <c r="CQ50" s="106">
        <v>0</v>
      </c>
      <c r="CR50" s="106">
        <v>0</v>
      </c>
      <c r="CS50" s="106">
        <v>0</v>
      </c>
      <c r="CT50" s="106">
        <v>1.2008877380983003</v>
      </c>
      <c r="CU50" s="106">
        <v>338.65034214372071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0.27717199634277656</v>
      </c>
      <c r="M51" s="106">
        <v>236.8157536752683</v>
      </c>
      <c r="N51" s="106">
        <v>0.11261184554684575</v>
      </c>
      <c r="O51" s="106">
        <v>96.215560835225006</v>
      </c>
      <c r="P51" s="106">
        <v>4.5431990975591273E-2</v>
      </c>
      <c r="Q51" s="106">
        <v>38.817093089545182</v>
      </c>
      <c r="R51" s="106">
        <v>5.0810449374965344E-2</v>
      </c>
      <c r="S51" s="106">
        <v>43.412447945970392</v>
      </c>
      <c r="T51" s="106">
        <v>0</v>
      </c>
      <c r="U51" s="106">
        <v>0</v>
      </c>
      <c r="V51" s="106">
        <v>0.28347623937153998</v>
      </c>
      <c r="W51" s="106">
        <v>242.20209891904375</v>
      </c>
      <c r="X51" s="106">
        <v>0.16456337870464224</v>
      </c>
      <c r="Y51" s="106">
        <v>140.60295076524633</v>
      </c>
      <c r="Z51" s="106">
        <v>0.19867659039449345</v>
      </c>
      <c r="AA51" s="106">
        <v>169.7492788330552</v>
      </c>
      <c r="AB51" s="106">
        <v>0</v>
      </c>
      <c r="AC51" s="106">
        <v>0</v>
      </c>
      <c r="AD51" s="106">
        <v>6.8019467522888025E-2</v>
      </c>
      <c r="AE51" s="106">
        <v>58.115833051555526</v>
      </c>
      <c r="AF51" s="106">
        <v>0.88666122878078901</v>
      </c>
      <c r="AG51" s="106">
        <v>757.56335387030606</v>
      </c>
      <c r="AH51" s="106">
        <v>4.4396327098382121E-2</v>
      </c>
      <c r="AI51" s="106">
        <v>37.932221872857681</v>
      </c>
      <c r="AJ51" s="106">
        <v>0</v>
      </c>
      <c r="AK51" s="106">
        <v>0</v>
      </c>
      <c r="AL51" s="106">
        <v>3.6880589503556855</v>
      </c>
      <c r="AM51" s="106">
        <v>3151.0775671838978</v>
      </c>
      <c r="AN51" s="106">
        <v>1.0782679013019971</v>
      </c>
      <c r="AO51" s="106">
        <v>921.27209487242635</v>
      </c>
      <c r="AP51" s="106">
        <v>0</v>
      </c>
      <c r="AQ51" s="106">
        <v>0</v>
      </c>
      <c r="AR51" s="106">
        <v>2.1938208264717787</v>
      </c>
      <c r="AS51" s="106">
        <v>1874.4005141374876</v>
      </c>
      <c r="AT51" s="106">
        <v>0</v>
      </c>
      <c r="AU51" s="106">
        <v>0</v>
      </c>
      <c r="AV51" s="106">
        <v>2.005943756012833</v>
      </c>
      <c r="AW51" s="106">
        <v>1713.8783451373645</v>
      </c>
      <c r="AX51" s="106">
        <v>1.1628073203979412</v>
      </c>
      <c r="AY51" s="106">
        <v>993.50257454800089</v>
      </c>
      <c r="AZ51" s="106">
        <v>1.5716971648109541</v>
      </c>
      <c r="BA51" s="106">
        <v>1342.8580576144791</v>
      </c>
      <c r="BB51" s="106">
        <v>0</v>
      </c>
      <c r="BC51" s="106">
        <v>0</v>
      </c>
      <c r="BD51" s="106">
        <v>2.3259842553287484</v>
      </c>
      <c r="BE51" s="106">
        <v>1987.3209477528826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1.1241821830642693</v>
      </c>
      <c r="BM51" s="106">
        <v>960.5012572101117</v>
      </c>
      <c r="BN51" s="106">
        <v>1.6728323717102154</v>
      </c>
      <c r="BO51" s="106">
        <v>1429.2679783892079</v>
      </c>
      <c r="BP51" s="106">
        <v>0.56079475598893325</v>
      </c>
      <c r="BQ51" s="106">
        <v>479.14303951694455</v>
      </c>
      <c r="BR51" s="106">
        <v>0.45646819259771249</v>
      </c>
      <c r="BS51" s="106">
        <v>390.00642375548551</v>
      </c>
      <c r="BT51" s="106">
        <v>0.45685561265734026</v>
      </c>
      <c r="BU51" s="106">
        <v>390.3374354544315</v>
      </c>
      <c r="BV51" s="106">
        <v>0</v>
      </c>
      <c r="BW51" s="106">
        <v>0</v>
      </c>
      <c r="BX51" s="106">
        <v>1.3557614360176962</v>
      </c>
      <c r="BY51" s="106">
        <v>1158.3625709335195</v>
      </c>
      <c r="BZ51" s="106">
        <v>0.83719664602235322</v>
      </c>
      <c r="CA51" s="106">
        <v>715.30081436149862</v>
      </c>
      <c r="CB51" s="106">
        <v>0</v>
      </c>
      <c r="CC51" s="106">
        <v>0</v>
      </c>
      <c r="CD51" s="106">
        <v>0.55848382395383744</v>
      </c>
      <c r="CE51" s="106">
        <v>477.16857918615869</v>
      </c>
      <c r="CF51" s="106">
        <v>0</v>
      </c>
      <c r="CG51" s="106">
        <v>0</v>
      </c>
      <c r="CH51" s="106">
        <v>0</v>
      </c>
      <c r="CI51" s="106">
        <v>0</v>
      </c>
      <c r="CJ51" s="106">
        <v>1.4776672431604754</v>
      </c>
      <c r="CK51" s="106">
        <v>1262.5188925563102</v>
      </c>
      <c r="CL51" s="106">
        <v>0.66162966631500553</v>
      </c>
      <c r="CM51" s="106">
        <v>565.29638689954072</v>
      </c>
      <c r="CN51" s="106">
        <v>1.0286205615964512</v>
      </c>
      <c r="CO51" s="106">
        <v>878.8534078280079</v>
      </c>
      <c r="CP51" s="106">
        <v>0</v>
      </c>
      <c r="CQ51" s="106">
        <v>0</v>
      </c>
      <c r="CR51" s="106">
        <v>0</v>
      </c>
      <c r="CS51" s="106">
        <v>0</v>
      </c>
      <c r="CT51" s="106">
        <v>1.1376831203036528</v>
      </c>
      <c r="CU51" s="106">
        <v>972.03645798744094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0.29565012943229496</v>
      </c>
      <c r="M52" s="106">
        <v>159.65106989343928</v>
      </c>
      <c r="N52" s="106">
        <v>0.11261184554684575</v>
      </c>
      <c r="O52" s="106">
        <v>60.810396595296709</v>
      </c>
      <c r="P52" s="106">
        <v>4.5431990975591273E-2</v>
      </c>
      <c r="Q52" s="106">
        <v>24.533275126819287</v>
      </c>
      <c r="R52" s="106">
        <v>5.0810449374965344E-2</v>
      </c>
      <c r="S52" s="106">
        <v>27.437642662481284</v>
      </c>
      <c r="T52" s="106">
        <v>0</v>
      </c>
      <c r="U52" s="106">
        <v>0</v>
      </c>
      <c r="V52" s="106">
        <v>0.33662803425370369</v>
      </c>
      <c r="W52" s="106">
        <v>181.77913849699999</v>
      </c>
      <c r="X52" s="106">
        <v>0.17501184719382587</v>
      </c>
      <c r="Y52" s="106">
        <v>94.506397484665968</v>
      </c>
      <c r="Z52" s="106">
        <v>0.19583835338885783</v>
      </c>
      <c r="AA52" s="106">
        <v>105.75271082998323</v>
      </c>
      <c r="AB52" s="106">
        <v>0</v>
      </c>
      <c r="AC52" s="106">
        <v>0</v>
      </c>
      <c r="AD52" s="106">
        <v>8.2339355422443403E-2</v>
      </c>
      <c r="AE52" s="106">
        <v>44.46325192811944</v>
      </c>
      <c r="AF52" s="106">
        <v>0.88666122878078901</v>
      </c>
      <c r="AG52" s="106">
        <v>478.79706354162607</v>
      </c>
      <c r="AH52" s="106">
        <v>4.4396327098382121E-2</v>
      </c>
      <c r="AI52" s="106">
        <v>23.974016633126347</v>
      </c>
      <c r="AJ52" s="106">
        <v>0</v>
      </c>
      <c r="AK52" s="106">
        <v>0</v>
      </c>
      <c r="AL52" s="106">
        <v>3.1963177569749277</v>
      </c>
      <c r="AM52" s="106">
        <v>1726.011588766461</v>
      </c>
      <c r="AN52" s="106">
        <v>1.186094691432197</v>
      </c>
      <c r="AO52" s="106">
        <v>640.49113337338645</v>
      </c>
      <c r="AP52" s="106">
        <v>0</v>
      </c>
      <c r="AQ52" s="106">
        <v>0</v>
      </c>
      <c r="AR52" s="106">
        <v>2.1938208264717787</v>
      </c>
      <c r="AS52" s="106">
        <v>1184.6632462947605</v>
      </c>
      <c r="AT52" s="106">
        <v>0</v>
      </c>
      <c r="AU52" s="106">
        <v>0</v>
      </c>
      <c r="AV52" s="106">
        <v>2.005943756012833</v>
      </c>
      <c r="AW52" s="106">
        <v>1083.2096282469299</v>
      </c>
      <c r="AX52" s="106">
        <v>1.2685170767977541</v>
      </c>
      <c r="AY52" s="106">
        <v>684.99922147078723</v>
      </c>
      <c r="AZ52" s="106">
        <v>1.9209632014356106</v>
      </c>
      <c r="BA52" s="106">
        <v>1037.3201287752297</v>
      </c>
      <c r="BB52" s="106">
        <v>0</v>
      </c>
      <c r="BC52" s="106">
        <v>0</v>
      </c>
      <c r="BD52" s="106">
        <v>2.5465517278168197</v>
      </c>
      <c r="BE52" s="106">
        <v>1375.1379330210827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1.1241821830642693</v>
      </c>
      <c r="BM52" s="106">
        <v>607.05837885470544</v>
      </c>
      <c r="BN52" s="106">
        <v>1.5574646219370969</v>
      </c>
      <c r="BO52" s="106">
        <v>841.03089584603231</v>
      </c>
      <c r="BP52" s="106">
        <v>0.56079475598893325</v>
      </c>
      <c r="BQ52" s="106">
        <v>302.82916823402394</v>
      </c>
      <c r="BR52" s="106">
        <v>0.45646819259771249</v>
      </c>
      <c r="BS52" s="106">
        <v>246.49282400276473</v>
      </c>
      <c r="BT52" s="106">
        <v>0.45685561265734026</v>
      </c>
      <c r="BU52" s="106">
        <v>246.70203083496375</v>
      </c>
      <c r="BV52" s="106">
        <v>0</v>
      </c>
      <c r="BW52" s="106">
        <v>0</v>
      </c>
      <c r="BX52" s="106">
        <v>1.3557614360176962</v>
      </c>
      <c r="BY52" s="106">
        <v>732.11117544955596</v>
      </c>
      <c r="BZ52" s="106">
        <v>0.88952143639875025</v>
      </c>
      <c r="CA52" s="106">
        <v>480.34157565532513</v>
      </c>
      <c r="CB52" s="106">
        <v>0</v>
      </c>
      <c r="CC52" s="106">
        <v>0</v>
      </c>
      <c r="CD52" s="106">
        <v>0.61433220634922114</v>
      </c>
      <c r="CE52" s="106">
        <v>331.73939142857944</v>
      </c>
      <c r="CF52" s="106">
        <v>0</v>
      </c>
      <c r="CG52" s="106">
        <v>0</v>
      </c>
      <c r="CH52" s="106">
        <v>0</v>
      </c>
      <c r="CI52" s="106">
        <v>0</v>
      </c>
      <c r="CJ52" s="106">
        <v>1.4776672431604754</v>
      </c>
      <c r="CK52" s="106">
        <v>797.94031130665667</v>
      </c>
      <c r="CL52" s="106">
        <v>0.66162966631500553</v>
      </c>
      <c r="CM52" s="106">
        <v>357.280019810103</v>
      </c>
      <c r="CN52" s="106">
        <v>0.89147115338359106</v>
      </c>
      <c r="CO52" s="106">
        <v>481.39442282713918</v>
      </c>
      <c r="CP52" s="106">
        <v>0</v>
      </c>
      <c r="CQ52" s="106">
        <v>0</v>
      </c>
      <c r="CR52" s="106">
        <v>0</v>
      </c>
      <c r="CS52" s="106">
        <v>0</v>
      </c>
      <c r="CT52" s="106">
        <v>1.0744785025090056</v>
      </c>
      <c r="CU52" s="106">
        <v>580.218391354863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0.24021573016373968</v>
      </c>
      <c r="M53" s="106">
        <v>97.719759030609296</v>
      </c>
      <c r="N53" s="106">
        <v>0.11261184554684575</v>
      </c>
      <c r="O53" s="106">
        <v>45.810498768456853</v>
      </c>
      <c r="P53" s="106">
        <v>4.9975190073150405E-2</v>
      </c>
      <c r="Q53" s="106">
        <v>20.329907321757585</v>
      </c>
      <c r="R53" s="106">
        <v>5.0810449374965344E-2</v>
      </c>
      <c r="S53" s="106">
        <v>20.669690805735904</v>
      </c>
      <c r="T53" s="106">
        <v>0</v>
      </c>
      <c r="U53" s="106">
        <v>0</v>
      </c>
      <c r="V53" s="106">
        <v>0.32481652427988955</v>
      </c>
      <c r="W53" s="106">
        <v>132.13536207705909</v>
      </c>
      <c r="X53" s="106">
        <v>0.19068454992760131</v>
      </c>
      <c r="Y53" s="106">
        <v>77.570474910548214</v>
      </c>
      <c r="Z53" s="106">
        <v>0.21570601242830714</v>
      </c>
      <c r="AA53" s="106">
        <v>87.749205855835342</v>
      </c>
      <c r="AB53" s="106">
        <v>0</v>
      </c>
      <c r="AC53" s="106">
        <v>0</v>
      </c>
      <c r="AD53" s="106">
        <v>7.5179411472665714E-2</v>
      </c>
      <c r="AE53" s="106">
        <v>30.582984587080414</v>
      </c>
      <c r="AF53" s="106">
        <v>0.85382192401113011</v>
      </c>
      <c r="AG53" s="106">
        <v>347.33475868772774</v>
      </c>
      <c r="AH53" s="106">
        <v>4.9619424404074138E-2</v>
      </c>
      <c r="AI53" s="106">
        <v>20.185181847577361</v>
      </c>
      <c r="AJ53" s="106">
        <v>0</v>
      </c>
      <c r="AK53" s="106">
        <v>0</v>
      </c>
      <c r="AL53" s="106">
        <v>3.6880589503556855</v>
      </c>
      <c r="AM53" s="106">
        <v>1500.302381004693</v>
      </c>
      <c r="AN53" s="106">
        <v>1.0782679013019971</v>
      </c>
      <c r="AO53" s="106">
        <v>438.63938224965244</v>
      </c>
      <c r="AP53" s="106">
        <v>0</v>
      </c>
      <c r="AQ53" s="106">
        <v>0</v>
      </c>
      <c r="AR53" s="106">
        <v>2.4375786960797541</v>
      </c>
      <c r="AS53" s="106">
        <v>991.60701356524396</v>
      </c>
      <c r="AT53" s="106">
        <v>0</v>
      </c>
      <c r="AU53" s="106">
        <v>0</v>
      </c>
      <c r="AV53" s="106">
        <v>2.2288263955698144</v>
      </c>
      <c r="AW53" s="106">
        <v>906.68657771780056</v>
      </c>
      <c r="AX53" s="106">
        <v>1.0570975639981284</v>
      </c>
      <c r="AY53" s="106">
        <v>430.02728903443864</v>
      </c>
      <c r="AZ53" s="106">
        <v>1.7657338518246521</v>
      </c>
      <c r="BA53" s="106">
        <v>718.30053092226854</v>
      </c>
      <c r="BB53" s="106">
        <v>0</v>
      </c>
      <c r="BC53" s="106">
        <v>0</v>
      </c>
      <c r="BD53" s="106">
        <v>2.5866549046328324</v>
      </c>
      <c r="BE53" s="106">
        <v>1052.2512152046363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1.3115458802416475</v>
      </c>
      <c r="BM53" s="106">
        <v>533.53686408230226</v>
      </c>
      <c r="BN53" s="106">
        <v>1.615148496823656</v>
      </c>
      <c r="BO53" s="106">
        <v>657.04240850786334</v>
      </c>
      <c r="BP53" s="106">
        <v>0.56079475598893325</v>
      </c>
      <c r="BQ53" s="106">
        <v>228.13130673629806</v>
      </c>
      <c r="BR53" s="106">
        <v>0.45646819259771249</v>
      </c>
      <c r="BS53" s="106">
        <v>185.69126074874944</v>
      </c>
      <c r="BT53" s="106">
        <v>0.52212070017981738</v>
      </c>
      <c r="BU53" s="106">
        <v>212.39870083314972</v>
      </c>
      <c r="BV53" s="106">
        <v>0</v>
      </c>
      <c r="BW53" s="106">
        <v>0</v>
      </c>
      <c r="BX53" s="106">
        <v>1.460050777249827</v>
      </c>
      <c r="BY53" s="106">
        <v>593.94865618522965</v>
      </c>
      <c r="BZ53" s="106">
        <v>0.78487185564595618</v>
      </c>
      <c r="CA53" s="106">
        <v>319.28587087677499</v>
      </c>
      <c r="CB53" s="106">
        <v>0</v>
      </c>
      <c r="CC53" s="106">
        <v>0</v>
      </c>
      <c r="CD53" s="106">
        <v>0.61433220634922114</v>
      </c>
      <c r="CE53" s="106">
        <v>249.91034154286316</v>
      </c>
      <c r="CF53" s="106">
        <v>0</v>
      </c>
      <c r="CG53" s="106">
        <v>0</v>
      </c>
      <c r="CH53" s="106">
        <v>0</v>
      </c>
      <c r="CI53" s="106">
        <v>0</v>
      </c>
      <c r="CJ53" s="106">
        <v>1.559759867780502</v>
      </c>
      <c r="CK53" s="106">
        <v>634.51031421310824</v>
      </c>
      <c r="CL53" s="106">
        <v>0.66162966631500553</v>
      </c>
      <c r="CM53" s="106">
        <v>269.15094825694428</v>
      </c>
      <c r="CN53" s="106">
        <v>0.96004585749002125</v>
      </c>
      <c r="CO53" s="106">
        <v>390.54665482694065</v>
      </c>
      <c r="CP53" s="106">
        <v>0</v>
      </c>
      <c r="CQ53" s="106">
        <v>0</v>
      </c>
      <c r="CR53" s="106">
        <v>0</v>
      </c>
      <c r="CS53" s="106">
        <v>0</v>
      </c>
      <c r="CT53" s="106">
        <v>1.1376831203036528</v>
      </c>
      <c r="CU53" s="106">
        <v>462.809493339526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0.27717199634277656</v>
      </c>
      <c r="M54" s="106">
        <v>92.797184375561599</v>
      </c>
      <c r="N54" s="106">
        <v>9.8535364853490015E-2</v>
      </c>
      <c r="O54" s="106">
        <v>32.989640152948461</v>
      </c>
      <c r="P54" s="106">
        <v>4.0888791878032148E-2</v>
      </c>
      <c r="Q54" s="106">
        <v>13.689567520765163</v>
      </c>
      <c r="R54" s="106">
        <v>5.5891494312461876E-2</v>
      </c>
      <c r="S54" s="106">
        <v>18.712472295812237</v>
      </c>
      <c r="T54" s="106">
        <v>0</v>
      </c>
      <c r="U54" s="106">
        <v>0</v>
      </c>
      <c r="V54" s="106">
        <v>0.31891076929298245</v>
      </c>
      <c r="W54" s="106">
        <v>106.77132555929053</v>
      </c>
      <c r="X54" s="106">
        <v>0.19852090129448904</v>
      </c>
      <c r="Y54" s="106">
        <v>66.464797753394933</v>
      </c>
      <c r="Z54" s="106">
        <v>0.21286777542267152</v>
      </c>
      <c r="AA54" s="106">
        <v>71.268131211510422</v>
      </c>
      <c r="AB54" s="106">
        <v>0</v>
      </c>
      <c r="AC54" s="106">
        <v>0</v>
      </c>
      <c r="AD54" s="106">
        <v>8.5919327397332254E-2</v>
      </c>
      <c r="AE54" s="106">
        <v>28.76579081262684</v>
      </c>
      <c r="AF54" s="106">
        <v>0.85382192401113011</v>
      </c>
      <c r="AG54" s="106">
        <v>285.85958015892635</v>
      </c>
      <c r="AH54" s="106">
        <v>5.2230973056920149E-2</v>
      </c>
      <c r="AI54" s="106">
        <v>17.486929779456865</v>
      </c>
      <c r="AJ54" s="106">
        <v>0</v>
      </c>
      <c r="AK54" s="106">
        <v>0</v>
      </c>
      <c r="AL54" s="106">
        <v>3.4421883536653071</v>
      </c>
      <c r="AM54" s="106">
        <v>1152.4446608071448</v>
      </c>
      <c r="AN54" s="106">
        <v>1.186094691432197</v>
      </c>
      <c r="AO54" s="106">
        <v>397.10450269149959</v>
      </c>
      <c r="AP54" s="106">
        <v>0</v>
      </c>
      <c r="AQ54" s="106">
        <v>0</v>
      </c>
      <c r="AR54" s="106">
        <v>1.950062956863803</v>
      </c>
      <c r="AS54" s="106">
        <v>652.88107795800124</v>
      </c>
      <c r="AT54" s="106">
        <v>0</v>
      </c>
      <c r="AU54" s="106">
        <v>0</v>
      </c>
      <c r="AV54" s="106">
        <v>2.005943756012833</v>
      </c>
      <c r="AW54" s="106">
        <v>671.58996951309655</v>
      </c>
      <c r="AX54" s="106">
        <v>1.0570975639981284</v>
      </c>
      <c r="AY54" s="106">
        <v>353.91626442657338</v>
      </c>
      <c r="AZ54" s="106">
        <v>1.7269265144219126</v>
      </c>
      <c r="BA54" s="106">
        <v>578.17499702845635</v>
      </c>
      <c r="BB54" s="106">
        <v>0</v>
      </c>
      <c r="BC54" s="106">
        <v>0</v>
      </c>
      <c r="BD54" s="106">
        <v>2.9876866727929614</v>
      </c>
      <c r="BE54" s="106">
        <v>1000.2774980510835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1.2490913145158546</v>
      </c>
      <c r="BM54" s="106">
        <v>418.19577209990814</v>
      </c>
      <c r="BN54" s="106">
        <v>1.7305162465967743</v>
      </c>
      <c r="BO54" s="106">
        <v>579.3768393606</v>
      </c>
      <c r="BP54" s="106">
        <v>0.56079475598893325</v>
      </c>
      <c r="BQ54" s="106">
        <v>187.75408430509486</v>
      </c>
      <c r="BR54" s="106">
        <v>0.45646819259771249</v>
      </c>
      <c r="BS54" s="106">
        <v>152.82555088171415</v>
      </c>
      <c r="BT54" s="106">
        <v>0.52212070017981738</v>
      </c>
      <c r="BU54" s="106">
        <v>174.80601042020285</v>
      </c>
      <c r="BV54" s="106">
        <v>0</v>
      </c>
      <c r="BW54" s="106">
        <v>0</v>
      </c>
      <c r="BX54" s="106">
        <v>1.460050777249827</v>
      </c>
      <c r="BY54" s="106">
        <v>488.82500022324211</v>
      </c>
      <c r="BZ54" s="106">
        <v>0.94184622677514729</v>
      </c>
      <c r="CA54" s="106">
        <v>315.33011672431934</v>
      </c>
      <c r="CB54" s="106">
        <v>0</v>
      </c>
      <c r="CC54" s="106">
        <v>0</v>
      </c>
      <c r="CD54" s="106">
        <v>0.61433220634922114</v>
      </c>
      <c r="CE54" s="106">
        <v>205.67842268571926</v>
      </c>
      <c r="CF54" s="106">
        <v>0</v>
      </c>
      <c r="CG54" s="106">
        <v>0</v>
      </c>
      <c r="CH54" s="106">
        <v>0</v>
      </c>
      <c r="CI54" s="106">
        <v>0</v>
      </c>
      <c r="CJ54" s="106">
        <v>1.559759867780502</v>
      </c>
      <c r="CK54" s="106">
        <v>522.20760373291205</v>
      </c>
      <c r="CL54" s="106">
        <v>0.69838686999917254</v>
      </c>
      <c r="CM54" s="106">
        <v>233.81992407572298</v>
      </c>
      <c r="CN54" s="106">
        <v>1.0971952657028814</v>
      </c>
      <c r="CO54" s="106">
        <v>367.3409749573247</v>
      </c>
      <c r="CP54" s="106">
        <v>0</v>
      </c>
      <c r="CQ54" s="106">
        <v>0</v>
      </c>
      <c r="CR54" s="106">
        <v>0</v>
      </c>
      <c r="CS54" s="106">
        <v>0</v>
      </c>
      <c r="CT54" s="106">
        <v>1.1376831203036528</v>
      </c>
      <c r="CU54" s="106">
        <v>380.896308677663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0.27717199634277656</v>
      </c>
      <c r="M55" s="106">
        <v>183.93133677306653</v>
      </c>
      <c r="N55" s="106">
        <v>0.11261184554684575</v>
      </c>
      <c r="O55" s="106">
        <v>74.729220704886842</v>
      </c>
      <c r="P55" s="106">
        <v>4.5431990975591273E-2</v>
      </c>
      <c r="Q55" s="106">
        <v>30.148669211402371</v>
      </c>
      <c r="R55" s="106">
        <v>5.5891494312461876E-2</v>
      </c>
      <c r="S55" s="106">
        <v>37.089595625749702</v>
      </c>
      <c r="T55" s="106">
        <v>0</v>
      </c>
      <c r="U55" s="106">
        <v>0</v>
      </c>
      <c r="V55" s="106">
        <v>0.30709925931916826</v>
      </c>
      <c r="W55" s="106">
        <v>203.79106848420005</v>
      </c>
      <c r="X55" s="106">
        <v>0.16978761294923406</v>
      </c>
      <c r="Y55" s="106">
        <v>112.67105995311172</v>
      </c>
      <c r="Z55" s="106">
        <v>0.19016187937758658</v>
      </c>
      <c r="AA55" s="106">
        <v>126.19142315496646</v>
      </c>
      <c r="AB55" s="106">
        <v>0</v>
      </c>
      <c r="AC55" s="106">
        <v>0</v>
      </c>
      <c r="AD55" s="106">
        <v>7.5179411472665714E-2</v>
      </c>
      <c r="AE55" s="106">
        <v>49.889057453260968</v>
      </c>
      <c r="AF55" s="106">
        <v>0.82098261924147131</v>
      </c>
      <c r="AG55" s="106">
        <v>544.80406612864033</v>
      </c>
      <c r="AH55" s="106">
        <v>4.4396327098382121E-2</v>
      </c>
      <c r="AI55" s="106">
        <v>29.461402662486378</v>
      </c>
      <c r="AJ55" s="106">
        <v>0</v>
      </c>
      <c r="AK55" s="106">
        <v>0</v>
      </c>
      <c r="AL55" s="106">
        <v>3.4421883536653071</v>
      </c>
      <c r="AM55" s="106">
        <v>2284.2361914922976</v>
      </c>
      <c r="AN55" s="106">
        <v>1.0782679013019971</v>
      </c>
      <c r="AO55" s="106">
        <v>715.53857930400534</v>
      </c>
      <c r="AP55" s="106">
        <v>0</v>
      </c>
      <c r="AQ55" s="106">
        <v>0</v>
      </c>
      <c r="AR55" s="106">
        <v>2.1938208264717787</v>
      </c>
      <c r="AS55" s="106">
        <v>1455.8195004466725</v>
      </c>
      <c r="AT55" s="106">
        <v>0</v>
      </c>
      <c r="AU55" s="106">
        <v>0</v>
      </c>
      <c r="AV55" s="106">
        <v>2.2288263955698144</v>
      </c>
      <c r="AW55" s="106">
        <v>1479.0491961001289</v>
      </c>
      <c r="AX55" s="106">
        <v>1.2685170767977541</v>
      </c>
      <c r="AY55" s="106">
        <v>841.78793216298959</v>
      </c>
      <c r="AZ55" s="106">
        <v>1.9015595327342409</v>
      </c>
      <c r="BA55" s="106">
        <v>1261.8749059224424</v>
      </c>
      <c r="BB55" s="106">
        <v>0</v>
      </c>
      <c r="BC55" s="106">
        <v>0</v>
      </c>
      <c r="BD55" s="106">
        <v>2.9275319075689419</v>
      </c>
      <c r="BE55" s="106">
        <v>1942.7101738627498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1.186636748790062</v>
      </c>
      <c r="BM55" s="106">
        <v>787.45214649708521</v>
      </c>
      <c r="BN55" s="106">
        <v>1.5574646219370969</v>
      </c>
      <c r="BO55" s="106">
        <v>1033.5335231174574</v>
      </c>
      <c r="BP55" s="106">
        <v>0.56079475598893325</v>
      </c>
      <c r="BQ55" s="106">
        <v>372.14340007425614</v>
      </c>
      <c r="BR55" s="106">
        <v>0.45646819259771249</v>
      </c>
      <c r="BS55" s="106">
        <v>302.91229260784201</v>
      </c>
      <c r="BT55" s="106">
        <v>0.52212070017981738</v>
      </c>
      <c r="BU55" s="106">
        <v>346.47929663932683</v>
      </c>
      <c r="BV55" s="106">
        <v>0</v>
      </c>
      <c r="BW55" s="106">
        <v>0</v>
      </c>
      <c r="BX55" s="106">
        <v>1.3557614360176962</v>
      </c>
      <c r="BY55" s="106">
        <v>899.68328894134322</v>
      </c>
      <c r="BZ55" s="106">
        <v>0.88952143639875025</v>
      </c>
      <c r="CA55" s="106">
        <v>590.28642519421066</v>
      </c>
      <c r="CB55" s="106">
        <v>0</v>
      </c>
      <c r="CC55" s="106">
        <v>0</v>
      </c>
      <c r="CD55" s="106">
        <v>0.55848382395383744</v>
      </c>
      <c r="CE55" s="106">
        <v>370.60986557576655</v>
      </c>
      <c r="CF55" s="106">
        <v>0</v>
      </c>
      <c r="CG55" s="106">
        <v>0</v>
      </c>
      <c r="CH55" s="106">
        <v>0</v>
      </c>
      <c r="CI55" s="106">
        <v>0</v>
      </c>
      <c r="CJ55" s="106">
        <v>1.6418524924005284</v>
      </c>
      <c r="CK55" s="106">
        <v>1089.5333139569907</v>
      </c>
      <c r="CL55" s="106">
        <v>0.73514407368333945</v>
      </c>
      <c r="CM55" s="106">
        <v>487.8416072962641</v>
      </c>
      <c r="CN55" s="106">
        <v>0.96004585749002125</v>
      </c>
      <c r="CO55" s="106">
        <v>637.08643103037809</v>
      </c>
      <c r="CP55" s="106">
        <v>0</v>
      </c>
      <c r="CQ55" s="106">
        <v>0</v>
      </c>
      <c r="CR55" s="106">
        <v>0</v>
      </c>
      <c r="CS55" s="106">
        <v>0</v>
      </c>
      <c r="CT55" s="106">
        <v>1.0744785025090056</v>
      </c>
      <c r="CU55" s="106">
        <v>713.02393426497611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0.36872370561474521</v>
      </c>
      <c r="I56" s="106">
        <v>424.32724042144878</v>
      </c>
      <c r="J56" s="106">
        <v>0</v>
      </c>
      <c r="K56" s="106">
        <v>0</v>
      </c>
      <c r="L56" s="106">
        <v>0.21223619129548996</v>
      </c>
      <c r="M56" s="106">
        <v>244.24140894284983</v>
      </c>
      <c r="N56" s="106">
        <v>0.11977593104513276</v>
      </c>
      <c r="O56" s="106">
        <v>137.83814144673877</v>
      </c>
      <c r="P56" s="106">
        <v>0</v>
      </c>
      <c r="Q56" s="106">
        <v>0</v>
      </c>
      <c r="R56" s="106">
        <v>5.2871744445016633E-2</v>
      </c>
      <c r="S56" s="106">
        <v>60.844803507325139</v>
      </c>
      <c r="T56" s="106">
        <v>0.39641076228002581</v>
      </c>
      <c r="U56" s="106">
        <v>456.18950523185367</v>
      </c>
      <c r="V56" s="106">
        <v>0.89819106150979378</v>
      </c>
      <c r="W56" s="106">
        <v>1033.6382735854706</v>
      </c>
      <c r="X56" s="106">
        <v>0</v>
      </c>
      <c r="Y56" s="106">
        <v>0</v>
      </c>
      <c r="Z56" s="106">
        <v>0</v>
      </c>
      <c r="AA56" s="106">
        <v>0</v>
      </c>
      <c r="AB56" s="106">
        <v>0.42617677119914232</v>
      </c>
      <c r="AC56" s="106">
        <v>490.44422829597295</v>
      </c>
      <c r="AD56" s="106">
        <v>0.12681075121278829</v>
      </c>
      <c r="AE56" s="106">
        <v>145.93381249567676</v>
      </c>
      <c r="AF56" s="106">
        <v>0</v>
      </c>
      <c r="AG56" s="106">
        <v>0</v>
      </c>
      <c r="AH56" s="106">
        <v>0</v>
      </c>
      <c r="AI56" s="106">
        <v>0</v>
      </c>
      <c r="AJ56" s="106">
        <v>0.49928961663387517</v>
      </c>
      <c r="AK56" s="106">
        <v>574.58249082226348</v>
      </c>
      <c r="AL56" s="106">
        <v>1.0698121560422189</v>
      </c>
      <c r="AM56" s="106">
        <v>1231.1398291733856</v>
      </c>
      <c r="AN56" s="106">
        <v>0.45395217355391532</v>
      </c>
      <c r="AO56" s="106">
        <v>522.40816132584575</v>
      </c>
      <c r="AP56" s="106">
        <v>0.63142006105428961</v>
      </c>
      <c r="AQ56" s="106">
        <v>726.63820626127642</v>
      </c>
      <c r="AR56" s="106">
        <v>0.19441371123003062</v>
      </c>
      <c r="AS56" s="106">
        <v>223.73129888351923</v>
      </c>
      <c r="AT56" s="106">
        <v>0.39814631968502068</v>
      </c>
      <c r="AU56" s="106">
        <v>458.18678469352176</v>
      </c>
      <c r="AV56" s="106">
        <v>0</v>
      </c>
      <c r="AW56" s="106">
        <v>0</v>
      </c>
      <c r="AX56" s="106">
        <v>0.64096428799399952</v>
      </c>
      <c r="AY56" s="106">
        <v>737.62170262349457</v>
      </c>
      <c r="AZ56" s="106">
        <v>0</v>
      </c>
      <c r="BA56" s="106">
        <v>0</v>
      </c>
      <c r="BB56" s="106">
        <v>3.1216055014119259</v>
      </c>
      <c r="BC56" s="106">
        <v>3592.3436110248444</v>
      </c>
      <c r="BD56" s="106">
        <v>5.3312265814615403</v>
      </c>
      <c r="BE56" s="106">
        <v>6135.1755499459405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1.094879359654422</v>
      </c>
      <c r="BM56" s="106">
        <v>1259.9871670903087</v>
      </c>
      <c r="BN56" s="106">
        <v>1.6351496314089382</v>
      </c>
      <c r="BO56" s="106">
        <v>1881.7301958254061</v>
      </c>
      <c r="BP56" s="106">
        <v>0.20806484068683656</v>
      </c>
      <c r="BQ56" s="106">
        <v>239.44101866241149</v>
      </c>
      <c r="BR56" s="106">
        <v>0</v>
      </c>
      <c r="BS56" s="106">
        <v>0</v>
      </c>
      <c r="BT56" s="106">
        <v>0</v>
      </c>
      <c r="BU56" s="106">
        <v>0</v>
      </c>
      <c r="BV56" s="106">
        <v>0.79639246635749461</v>
      </c>
      <c r="BW56" s="106">
        <v>916.48845028420476</v>
      </c>
      <c r="BX56" s="106">
        <v>0</v>
      </c>
      <c r="BY56" s="106">
        <v>0</v>
      </c>
      <c r="BZ56" s="106">
        <v>0.47455647642867532</v>
      </c>
      <c r="CA56" s="106">
        <v>546.11959307411951</v>
      </c>
      <c r="CB56" s="106">
        <v>1.0528177403293539</v>
      </c>
      <c r="CC56" s="106">
        <v>1211.5826555710205</v>
      </c>
      <c r="CD56" s="106">
        <v>0.19804480035411443</v>
      </c>
      <c r="CE56" s="106">
        <v>227.90995624751488</v>
      </c>
      <c r="CF56" s="106">
        <v>0</v>
      </c>
      <c r="CG56" s="106">
        <v>0</v>
      </c>
      <c r="CH56" s="106">
        <v>0.82487962194004394</v>
      </c>
      <c r="CI56" s="106">
        <v>949.27146892860253</v>
      </c>
      <c r="CJ56" s="106">
        <v>1.9104842721798678</v>
      </c>
      <c r="CK56" s="106">
        <v>2198.5853004245919</v>
      </c>
      <c r="CL56" s="106">
        <v>0</v>
      </c>
      <c r="CM56" s="106">
        <v>0</v>
      </c>
      <c r="CN56" s="106">
        <v>1.6036790713422897</v>
      </c>
      <c r="CO56" s="106">
        <v>1845.513875300707</v>
      </c>
      <c r="CP56" s="106">
        <v>0.80231881811924477</v>
      </c>
      <c r="CQ56" s="106">
        <v>923.30849589162688</v>
      </c>
      <c r="CR56" s="106">
        <v>0.57885431752405747</v>
      </c>
      <c r="CS56" s="106">
        <v>666.14554860668534</v>
      </c>
      <c r="CT56" s="106">
        <v>1.0002602606815714</v>
      </c>
      <c r="CU56" s="106">
        <v>1151.0995079923523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0.24021573016373968</v>
      </c>
      <c r="M57" s="106">
        <v>338.99243840706947</v>
      </c>
      <c r="N57" s="106">
        <v>9.8535364853490015E-2</v>
      </c>
      <c r="O57" s="106">
        <v>139.0531068812451</v>
      </c>
      <c r="P57" s="106">
        <v>4.0888791878032148E-2</v>
      </c>
      <c r="Q57" s="106">
        <v>57.702263098278969</v>
      </c>
      <c r="R57" s="106">
        <v>4.5729404437468806E-2</v>
      </c>
      <c r="S57" s="106">
        <v>64.533335542155982</v>
      </c>
      <c r="T57" s="106">
        <v>0</v>
      </c>
      <c r="U57" s="106">
        <v>0</v>
      </c>
      <c r="V57" s="106">
        <v>0.27757048438463289</v>
      </c>
      <c r="W57" s="106">
        <v>391.70746756359392</v>
      </c>
      <c r="X57" s="106">
        <v>0.15411491021545859</v>
      </c>
      <c r="Y57" s="106">
        <v>217.48696129605517</v>
      </c>
      <c r="Z57" s="106">
        <v>0.19016187937758658</v>
      </c>
      <c r="AA57" s="106">
        <v>268.35644417765019</v>
      </c>
      <c r="AB57" s="106">
        <v>0</v>
      </c>
      <c r="AC57" s="106">
        <v>0</v>
      </c>
      <c r="AD57" s="106">
        <v>7.5179411472665714E-2</v>
      </c>
      <c r="AE57" s="106">
        <v>106.09318547022586</v>
      </c>
      <c r="AF57" s="106">
        <v>0.72246470493249471</v>
      </c>
      <c r="AG57" s="106">
        <v>1019.5421916007366</v>
      </c>
      <c r="AH57" s="106">
        <v>4.7007875751228133E-2</v>
      </c>
      <c r="AI57" s="106">
        <v>66.337514260133148</v>
      </c>
      <c r="AJ57" s="106">
        <v>0</v>
      </c>
      <c r="AK57" s="106">
        <v>0</v>
      </c>
      <c r="AL57" s="106">
        <v>3.4421883536653071</v>
      </c>
      <c r="AM57" s="106">
        <v>4857.6162046924819</v>
      </c>
      <c r="AN57" s="106">
        <v>1.186094691432197</v>
      </c>
      <c r="AO57" s="106">
        <v>1673.8168285491165</v>
      </c>
      <c r="AP57" s="106">
        <v>0</v>
      </c>
      <c r="AQ57" s="106">
        <v>0</v>
      </c>
      <c r="AR57" s="106">
        <v>1.950062956863803</v>
      </c>
      <c r="AS57" s="106">
        <v>2751.9288447261988</v>
      </c>
      <c r="AT57" s="106">
        <v>0</v>
      </c>
      <c r="AU57" s="106">
        <v>0</v>
      </c>
      <c r="AV57" s="106">
        <v>2.005943756012833</v>
      </c>
      <c r="AW57" s="106">
        <v>2830.78782848531</v>
      </c>
      <c r="AX57" s="106">
        <v>1.1628073203979412</v>
      </c>
      <c r="AY57" s="106">
        <v>1640.9536905455748</v>
      </c>
      <c r="AZ57" s="106">
        <v>1.688119177019173</v>
      </c>
      <c r="BA57" s="106">
        <v>2382.2737826094572</v>
      </c>
      <c r="BB57" s="106">
        <v>0</v>
      </c>
      <c r="BC57" s="106">
        <v>0</v>
      </c>
      <c r="BD57" s="106">
        <v>2.2257263132887166</v>
      </c>
      <c r="BE57" s="106">
        <v>3140.9449733130368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1.0617276173384764</v>
      </c>
      <c r="BM57" s="106">
        <v>1498.3100135880579</v>
      </c>
      <c r="BN57" s="106">
        <v>1.4420968721639786</v>
      </c>
      <c r="BO57" s="106">
        <v>2035.0871059978067</v>
      </c>
      <c r="BP57" s="106">
        <v>0.48068121941908554</v>
      </c>
      <c r="BQ57" s="106">
        <v>678.3373368442135</v>
      </c>
      <c r="BR57" s="106">
        <v>0.45646819259771249</v>
      </c>
      <c r="BS57" s="106">
        <v>644.16791339389192</v>
      </c>
      <c r="BT57" s="106">
        <v>0.52212070017981738</v>
      </c>
      <c r="BU57" s="106">
        <v>736.81673209375833</v>
      </c>
      <c r="BV57" s="106">
        <v>0</v>
      </c>
      <c r="BW57" s="106">
        <v>0</v>
      </c>
      <c r="BX57" s="106">
        <v>1.3557614360176962</v>
      </c>
      <c r="BY57" s="106">
        <v>1913.2505385081729</v>
      </c>
      <c r="BZ57" s="106">
        <v>0.73254706526955904</v>
      </c>
      <c r="CA57" s="106">
        <v>1033.7704185084017</v>
      </c>
      <c r="CB57" s="106">
        <v>0</v>
      </c>
      <c r="CC57" s="106">
        <v>0</v>
      </c>
      <c r="CD57" s="106">
        <v>0.55848382395383744</v>
      </c>
      <c r="CE57" s="106">
        <v>788.13237236365546</v>
      </c>
      <c r="CF57" s="106">
        <v>0</v>
      </c>
      <c r="CG57" s="106">
        <v>0</v>
      </c>
      <c r="CH57" s="106">
        <v>0</v>
      </c>
      <c r="CI57" s="106">
        <v>0</v>
      </c>
      <c r="CJ57" s="106">
        <v>1.3134819939204225</v>
      </c>
      <c r="CK57" s="106">
        <v>1853.5857898205004</v>
      </c>
      <c r="CL57" s="106">
        <v>0.69838686999917254</v>
      </c>
      <c r="CM57" s="106">
        <v>985.56355094283231</v>
      </c>
      <c r="CN57" s="106">
        <v>0.96004585749002125</v>
      </c>
      <c r="CO57" s="106">
        <v>1354.8167140899179</v>
      </c>
      <c r="CP57" s="106">
        <v>0</v>
      </c>
      <c r="CQ57" s="106">
        <v>0</v>
      </c>
      <c r="CR57" s="106">
        <v>0</v>
      </c>
      <c r="CS57" s="106">
        <v>0</v>
      </c>
      <c r="CT57" s="106">
        <v>1.1376831203036528</v>
      </c>
      <c r="CU57" s="106">
        <v>1605.4984193725149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0.38290538659992773</v>
      </c>
      <c r="I58" s="106">
        <v>450.75622110543492</v>
      </c>
      <c r="J58" s="106">
        <v>0</v>
      </c>
      <c r="K58" s="106">
        <v>0</v>
      </c>
      <c r="L58" s="106">
        <v>0.19707646334581208</v>
      </c>
      <c r="M58" s="106">
        <v>231.99841265069</v>
      </c>
      <c r="N58" s="106">
        <v>0.11977593104513276</v>
      </c>
      <c r="O58" s="106">
        <v>141.0002260263303</v>
      </c>
      <c r="P58" s="106">
        <v>0</v>
      </c>
      <c r="Q58" s="106">
        <v>0</v>
      </c>
      <c r="R58" s="106">
        <v>5.2871744445016633E-2</v>
      </c>
      <c r="S58" s="106">
        <v>62.240617560673584</v>
      </c>
      <c r="T58" s="106">
        <v>0.37917551174611164</v>
      </c>
      <c r="U58" s="106">
        <v>446.36541242752264</v>
      </c>
      <c r="V58" s="106">
        <v>0.89819106150979378</v>
      </c>
      <c r="W58" s="106">
        <v>1057.3505176093292</v>
      </c>
      <c r="X58" s="106">
        <v>0</v>
      </c>
      <c r="Y58" s="106">
        <v>0</v>
      </c>
      <c r="Z58" s="106">
        <v>0</v>
      </c>
      <c r="AA58" s="106">
        <v>0</v>
      </c>
      <c r="AB58" s="106">
        <v>0.47103748395694678</v>
      </c>
      <c r="AC58" s="106">
        <v>554.50532611411779</v>
      </c>
      <c r="AD58" s="106">
        <v>0.14683350140428117</v>
      </c>
      <c r="AE58" s="106">
        <v>172.85239785311981</v>
      </c>
      <c r="AF58" s="106">
        <v>0</v>
      </c>
      <c r="AG58" s="106">
        <v>0</v>
      </c>
      <c r="AH58" s="106">
        <v>0</v>
      </c>
      <c r="AI58" s="106">
        <v>0</v>
      </c>
      <c r="AJ58" s="106">
        <v>0.57610340380831759</v>
      </c>
      <c r="AK58" s="106">
        <v>678.18892696315152</v>
      </c>
      <c r="AL58" s="106">
        <v>0.99849134563940434</v>
      </c>
      <c r="AM58" s="106">
        <v>1175.4240120867069</v>
      </c>
      <c r="AN58" s="106">
        <v>0.41612282575775578</v>
      </c>
      <c r="AO58" s="106">
        <v>489.85979048203012</v>
      </c>
      <c r="AP58" s="106">
        <v>0.63142006105428961</v>
      </c>
      <c r="AQ58" s="106">
        <v>743.30769587310976</v>
      </c>
      <c r="AR58" s="106">
        <v>0.19441371123003062</v>
      </c>
      <c r="AS58" s="106">
        <v>228.86382085999205</v>
      </c>
      <c r="AT58" s="106">
        <v>0.42877295966079154</v>
      </c>
      <c r="AU58" s="106">
        <v>504.75152811268384</v>
      </c>
      <c r="AV58" s="106">
        <v>0</v>
      </c>
      <c r="AW58" s="106">
        <v>0</v>
      </c>
      <c r="AX58" s="106">
        <v>0.64096428799399952</v>
      </c>
      <c r="AY58" s="106">
        <v>754.54315982653623</v>
      </c>
      <c r="AZ58" s="106">
        <v>0</v>
      </c>
      <c r="BA58" s="106">
        <v>0</v>
      </c>
      <c r="BB58" s="106">
        <v>2.9950539270303618</v>
      </c>
      <c r="BC58" s="106">
        <v>3525.7774829001419</v>
      </c>
      <c r="BD58" s="106">
        <v>4.8832243477252772</v>
      </c>
      <c r="BE58" s="106">
        <v>5748.531702142197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1.2317392796112245</v>
      </c>
      <c r="BM58" s="106">
        <v>1450.0034799583336</v>
      </c>
      <c r="BN58" s="106">
        <v>1.6351496314089382</v>
      </c>
      <c r="BO58" s="106">
        <v>1924.8981460946022</v>
      </c>
      <c r="BP58" s="106">
        <v>0.20806484068683656</v>
      </c>
      <c r="BQ58" s="106">
        <v>244.933930456544</v>
      </c>
      <c r="BR58" s="106">
        <v>0</v>
      </c>
      <c r="BS58" s="106">
        <v>0</v>
      </c>
      <c r="BT58" s="106">
        <v>0</v>
      </c>
      <c r="BU58" s="106">
        <v>0</v>
      </c>
      <c r="BV58" s="106">
        <v>0.6826221140207096</v>
      </c>
      <c r="BW58" s="106">
        <v>803.58275262517941</v>
      </c>
      <c r="BX58" s="106">
        <v>0</v>
      </c>
      <c r="BY58" s="106">
        <v>0</v>
      </c>
      <c r="BZ58" s="106">
        <v>0.47455647642867532</v>
      </c>
      <c r="CA58" s="106">
        <v>558.64788405183663</v>
      </c>
      <c r="CB58" s="106">
        <v>1.0528177403293539</v>
      </c>
      <c r="CC58" s="106">
        <v>1239.3770439157156</v>
      </c>
      <c r="CD58" s="106">
        <v>0.19804480035411443</v>
      </c>
      <c r="CE58" s="106">
        <v>233.13833897686351</v>
      </c>
      <c r="CF58" s="106">
        <v>0</v>
      </c>
      <c r="CG58" s="106">
        <v>0</v>
      </c>
      <c r="CH58" s="106">
        <v>0.74989056540003995</v>
      </c>
      <c r="CI58" s="106">
        <v>882.77117358892701</v>
      </c>
      <c r="CJ58" s="106">
        <v>2.0228656999551542</v>
      </c>
      <c r="CK58" s="106">
        <v>2381.3175019872078</v>
      </c>
      <c r="CL58" s="106">
        <v>0</v>
      </c>
      <c r="CM58" s="106">
        <v>0</v>
      </c>
      <c r="CN58" s="106">
        <v>1.489130566246412</v>
      </c>
      <c r="CO58" s="106">
        <v>1753.0045025852764</v>
      </c>
      <c r="CP58" s="106">
        <v>0.71317228277266198</v>
      </c>
      <c r="CQ58" s="106">
        <v>839.54641127997775</v>
      </c>
      <c r="CR58" s="106">
        <v>0.52096888577165168</v>
      </c>
      <c r="CS58" s="106">
        <v>613.28457233038841</v>
      </c>
      <c r="CT58" s="106">
        <v>1.0002602606815714</v>
      </c>
      <c r="CU58" s="106">
        <v>1177.506378874346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0.29565012943229496</v>
      </c>
      <c r="M59" s="106">
        <v>89.759379295644734</v>
      </c>
      <c r="N59" s="106">
        <v>0.10557360520016788</v>
      </c>
      <c r="O59" s="106">
        <v>32.052146538770963</v>
      </c>
      <c r="P59" s="106">
        <v>4.5431990975591273E-2</v>
      </c>
      <c r="Q59" s="106">
        <v>13.793152460189509</v>
      </c>
      <c r="R59" s="106">
        <v>5.5891494312461876E-2</v>
      </c>
      <c r="S59" s="106">
        <v>16.968657673263422</v>
      </c>
      <c r="T59" s="106">
        <v>0</v>
      </c>
      <c r="U59" s="106">
        <v>0</v>
      </c>
      <c r="V59" s="106">
        <v>0.32481652427988955</v>
      </c>
      <c r="W59" s="106">
        <v>98.614296771374455</v>
      </c>
      <c r="X59" s="106">
        <v>0.18807243280530542</v>
      </c>
      <c r="Y59" s="106">
        <v>57.098790599690716</v>
      </c>
      <c r="Z59" s="106">
        <v>0.21286777542267152</v>
      </c>
      <c r="AA59" s="106">
        <v>64.626656618323068</v>
      </c>
      <c r="AB59" s="106">
        <v>0</v>
      </c>
      <c r="AC59" s="106">
        <v>0</v>
      </c>
      <c r="AD59" s="106">
        <v>7.5179411472665714E-2</v>
      </c>
      <c r="AE59" s="106">
        <v>22.824469323101308</v>
      </c>
      <c r="AF59" s="106">
        <v>0.95233983832010671</v>
      </c>
      <c r="AG59" s="106">
        <v>289.13037491398438</v>
      </c>
      <c r="AH59" s="106">
        <v>4.4396327098382121E-2</v>
      </c>
      <c r="AI59" s="106">
        <v>13.478724907068811</v>
      </c>
      <c r="AJ59" s="106">
        <v>0</v>
      </c>
      <c r="AK59" s="106">
        <v>0</v>
      </c>
      <c r="AL59" s="106">
        <v>3.6880589503556855</v>
      </c>
      <c r="AM59" s="106">
        <v>1119.694697327986</v>
      </c>
      <c r="AN59" s="106">
        <v>1.2939214815623967</v>
      </c>
      <c r="AO59" s="106">
        <v>392.83456180234361</v>
      </c>
      <c r="AP59" s="106">
        <v>0</v>
      </c>
      <c r="AQ59" s="106">
        <v>0</v>
      </c>
      <c r="AR59" s="106">
        <v>2.1938208264717787</v>
      </c>
      <c r="AS59" s="106">
        <v>666.04400291683191</v>
      </c>
      <c r="AT59" s="106">
        <v>0</v>
      </c>
      <c r="AU59" s="106">
        <v>0</v>
      </c>
      <c r="AV59" s="106">
        <v>2.2288263955698144</v>
      </c>
      <c r="AW59" s="106">
        <v>676.67169369499561</v>
      </c>
      <c r="AX59" s="106">
        <v>1.2685170767977541</v>
      </c>
      <c r="AY59" s="106">
        <v>385.12178451579808</v>
      </c>
      <c r="AZ59" s="106">
        <v>1.9015595327342409</v>
      </c>
      <c r="BA59" s="106">
        <v>577.31347413811545</v>
      </c>
      <c r="BB59" s="106">
        <v>0</v>
      </c>
      <c r="BC59" s="106">
        <v>0</v>
      </c>
      <c r="BD59" s="106">
        <v>2.6267580814488456</v>
      </c>
      <c r="BE59" s="106">
        <v>797.48375352786945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1.2490913145158546</v>
      </c>
      <c r="BM59" s="106">
        <v>379.22412308701342</v>
      </c>
      <c r="BN59" s="106">
        <v>1.8458839963698928</v>
      </c>
      <c r="BO59" s="106">
        <v>560.41038129789933</v>
      </c>
      <c r="BP59" s="106">
        <v>0.56079475598893325</v>
      </c>
      <c r="BQ59" s="106">
        <v>170.25728791824011</v>
      </c>
      <c r="BR59" s="106">
        <v>0.45646819259771249</v>
      </c>
      <c r="BS59" s="106">
        <v>138.58374327266549</v>
      </c>
      <c r="BT59" s="106">
        <v>0.45685561265734026</v>
      </c>
      <c r="BU59" s="106">
        <v>138.70136400276849</v>
      </c>
      <c r="BV59" s="106">
        <v>0</v>
      </c>
      <c r="BW59" s="106">
        <v>0</v>
      </c>
      <c r="BX59" s="106">
        <v>1.5643401184819574</v>
      </c>
      <c r="BY59" s="106">
        <v>474.93365997112221</v>
      </c>
      <c r="BZ59" s="106">
        <v>0.94184622677514729</v>
      </c>
      <c r="CA59" s="106">
        <v>285.94451444893468</v>
      </c>
      <c r="CB59" s="106">
        <v>0</v>
      </c>
      <c r="CC59" s="106">
        <v>0</v>
      </c>
      <c r="CD59" s="106">
        <v>0.61433220634922114</v>
      </c>
      <c r="CE59" s="106">
        <v>186.51125784762351</v>
      </c>
      <c r="CF59" s="106">
        <v>0</v>
      </c>
      <c r="CG59" s="106">
        <v>0</v>
      </c>
      <c r="CH59" s="106">
        <v>0</v>
      </c>
      <c r="CI59" s="106">
        <v>0</v>
      </c>
      <c r="CJ59" s="106">
        <v>1.395574618540449</v>
      </c>
      <c r="CK59" s="106">
        <v>423.69645418888024</v>
      </c>
      <c r="CL59" s="106">
        <v>0.77190127736750658</v>
      </c>
      <c r="CM59" s="106">
        <v>234.34922780877497</v>
      </c>
      <c r="CN59" s="106">
        <v>1.0286205615964512</v>
      </c>
      <c r="CO59" s="106">
        <v>312.28920250068256</v>
      </c>
      <c r="CP59" s="106">
        <v>0</v>
      </c>
      <c r="CQ59" s="106">
        <v>0</v>
      </c>
      <c r="CR59" s="106">
        <v>0</v>
      </c>
      <c r="CS59" s="106">
        <v>0</v>
      </c>
      <c r="CT59" s="106">
        <v>1.2640923558929476</v>
      </c>
      <c r="CU59" s="106">
        <v>383.77843924909882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0.24021573016373968</v>
      </c>
      <c r="M60" s="106">
        <v>156.52456977469279</v>
      </c>
      <c r="N60" s="106">
        <v>0.11261184554684575</v>
      </c>
      <c r="O60" s="106">
        <v>73.377878558324696</v>
      </c>
      <c r="P60" s="106">
        <v>4.0888791878032148E-2</v>
      </c>
      <c r="Q60" s="106">
        <v>26.643136787725748</v>
      </c>
      <c r="R60" s="106">
        <v>5.0810449374965344E-2</v>
      </c>
      <c r="S60" s="106">
        <v>33.108088812727416</v>
      </c>
      <c r="T60" s="106">
        <v>0</v>
      </c>
      <c r="U60" s="106">
        <v>0</v>
      </c>
      <c r="V60" s="106">
        <v>0.34843954422751788</v>
      </c>
      <c r="W60" s="106">
        <v>227.04320701865066</v>
      </c>
      <c r="X60" s="106">
        <v>0.16456337870464224</v>
      </c>
      <c r="Y60" s="106">
        <v>107.22949756394489</v>
      </c>
      <c r="Z60" s="106">
        <v>0.19867659039449345</v>
      </c>
      <c r="AA60" s="106">
        <v>129.45766630105194</v>
      </c>
      <c r="AB60" s="106">
        <v>0</v>
      </c>
      <c r="AC60" s="106">
        <v>0</v>
      </c>
      <c r="AD60" s="106">
        <v>7.8759383447554565E-2</v>
      </c>
      <c r="AE60" s="106">
        <v>51.319614254426554</v>
      </c>
      <c r="AF60" s="106">
        <v>0.78814331447181241</v>
      </c>
      <c r="AG60" s="106">
        <v>513.55418370983296</v>
      </c>
      <c r="AH60" s="106">
        <v>4.7007875751228133E-2</v>
      </c>
      <c r="AI60" s="106">
        <v>30.630331839500254</v>
      </c>
      <c r="AJ60" s="106">
        <v>0</v>
      </c>
      <c r="AK60" s="106">
        <v>0</v>
      </c>
      <c r="AL60" s="106">
        <v>3.1963177569749277</v>
      </c>
      <c r="AM60" s="106">
        <v>2082.7206504448632</v>
      </c>
      <c r="AN60" s="106">
        <v>1.0782679013019971</v>
      </c>
      <c r="AO60" s="106">
        <v>702.5993644883813</v>
      </c>
      <c r="AP60" s="106">
        <v>0</v>
      </c>
      <c r="AQ60" s="106">
        <v>0</v>
      </c>
      <c r="AR60" s="106">
        <v>2.1938208264717787</v>
      </c>
      <c r="AS60" s="106">
        <v>1429.4936505290111</v>
      </c>
      <c r="AT60" s="106">
        <v>0</v>
      </c>
      <c r="AU60" s="106">
        <v>0</v>
      </c>
      <c r="AV60" s="106">
        <v>2.005943756012833</v>
      </c>
      <c r="AW60" s="106">
        <v>1307.072951417962</v>
      </c>
      <c r="AX60" s="106">
        <v>1.0570975639981284</v>
      </c>
      <c r="AY60" s="106">
        <v>688.80477270118047</v>
      </c>
      <c r="AZ60" s="106">
        <v>1.6493118396164332</v>
      </c>
      <c r="BA60" s="106">
        <v>1074.691594694068</v>
      </c>
      <c r="BB60" s="106">
        <v>0</v>
      </c>
      <c r="BC60" s="106">
        <v>0</v>
      </c>
      <c r="BD60" s="106">
        <v>2.5465517278168197</v>
      </c>
      <c r="BE60" s="106">
        <v>1659.3331058454398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1.186636748790062</v>
      </c>
      <c r="BM60" s="106">
        <v>773.21250551160438</v>
      </c>
      <c r="BN60" s="106">
        <v>1.5574646219370969</v>
      </c>
      <c r="BO60" s="106">
        <v>1014.8439476542123</v>
      </c>
      <c r="BP60" s="106">
        <v>0.56079475598893325</v>
      </c>
      <c r="BQ60" s="106">
        <v>365.41386300238889</v>
      </c>
      <c r="BR60" s="106">
        <v>0.45646819259771249</v>
      </c>
      <c r="BS60" s="106">
        <v>297.43467429666947</v>
      </c>
      <c r="BT60" s="106">
        <v>0.52212070017981738</v>
      </c>
      <c r="BU60" s="106">
        <v>340.21384823716903</v>
      </c>
      <c r="BV60" s="106">
        <v>0</v>
      </c>
      <c r="BW60" s="106">
        <v>0</v>
      </c>
      <c r="BX60" s="106">
        <v>1.3557614360176962</v>
      </c>
      <c r="BY60" s="106">
        <v>883.41415170913081</v>
      </c>
      <c r="BZ60" s="106">
        <v>0.78487185564595618</v>
      </c>
      <c r="CA60" s="106">
        <v>511.42250113890509</v>
      </c>
      <c r="CB60" s="106">
        <v>0</v>
      </c>
      <c r="CC60" s="106">
        <v>0</v>
      </c>
      <c r="CD60" s="106">
        <v>0.61433220634922114</v>
      </c>
      <c r="CE60" s="106">
        <v>400.29886565715253</v>
      </c>
      <c r="CF60" s="106">
        <v>0</v>
      </c>
      <c r="CG60" s="106">
        <v>0</v>
      </c>
      <c r="CH60" s="106">
        <v>0</v>
      </c>
      <c r="CI60" s="106">
        <v>0</v>
      </c>
      <c r="CJ60" s="106">
        <v>1.6418524924005284</v>
      </c>
      <c r="CK60" s="106">
        <v>1069.8310840481843</v>
      </c>
      <c r="CL60" s="106">
        <v>0.62487246263083862</v>
      </c>
      <c r="CM60" s="106">
        <v>407.16689665025444</v>
      </c>
      <c r="CN60" s="106">
        <v>1.0971952657028814</v>
      </c>
      <c r="CO60" s="106">
        <v>714.93243513199752</v>
      </c>
      <c r="CP60" s="106">
        <v>0</v>
      </c>
      <c r="CQ60" s="106">
        <v>0</v>
      </c>
      <c r="CR60" s="106">
        <v>0</v>
      </c>
      <c r="CS60" s="106">
        <v>0</v>
      </c>
      <c r="CT60" s="106">
        <v>1.1376831203036528</v>
      </c>
      <c r="CU60" s="106">
        <v>741.31432118986015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0.25869386325325811</v>
      </c>
      <c r="M61" s="106">
        <v>246.17308027180039</v>
      </c>
      <c r="N61" s="106">
        <v>0.11261184554684575</v>
      </c>
      <c r="O61" s="106">
        <v>107.16143222237841</v>
      </c>
      <c r="P61" s="106">
        <v>4.0888791878032148E-2</v>
      </c>
      <c r="Q61" s="106">
        <v>38.90977435113539</v>
      </c>
      <c r="R61" s="106">
        <v>5.0810449374965344E-2</v>
      </c>
      <c r="S61" s="106">
        <v>48.351223625217017</v>
      </c>
      <c r="T61" s="106">
        <v>0</v>
      </c>
      <c r="U61" s="106">
        <v>0</v>
      </c>
      <c r="V61" s="106">
        <v>0.32481652427988955</v>
      </c>
      <c r="W61" s="106">
        <v>309.09540450474287</v>
      </c>
      <c r="X61" s="106">
        <v>0.16195126158234632</v>
      </c>
      <c r="Y61" s="106">
        <v>154.11282052176074</v>
      </c>
      <c r="Z61" s="106">
        <v>0.17880893135504408</v>
      </c>
      <c r="AA61" s="106">
        <v>170.15457907745994</v>
      </c>
      <c r="AB61" s="106">
        <v>0</v>
      </c>
      <c r="AC61" s="106">
        <v>0</v>
      </c>
      <c r="AD61" s="106">
        <v>7.5179411472665714E-2</v>
      </c>
      <c r="AE61" s="106">
        <v>71.540727957388683</v>
      </c>
      <c r="AF61" s="106">
        <v>0.82098261924147131</v>
      </c>
      <c r="AG61" s="106">
        <v>781.24706047018401</v>
      </c>
      <c r="AH61" s="106">
        <v>4.1784778445536117E-2</v>
      </c>
      <c r="AI61" s="106">
        <v>39.762395168772166</v>
      </c>
      <c r="AJ61" s="106">
        <v>0</v>
      </c>
      <c r="AK61" s="106">
        <v>0</v>
      </c>
      <c r="AL61" s="106">
        <v>3.6880589503556855</v>
      </c>
      <c r="AM61" s="106">
        <v>3509.5568971584698</v>
      </c>
      <c r="AN61" s="106">
        <v>1.2939214815623967</v>
      </c>
      <c r="AO61" s="106">
        <v>1231.2956818547766</v>
      </c>
      <c r="AP61" s="106">
        <v>0</v>
      </c>
      <c r="AQ61" s="106">
        <v>0</v>
      </c>
      <c r="AR61" s="106">
        <v>2.1938208264717787</v>
      </c>
      <c r="AS61" s="106">
        <v>2087.6398984705443</v>
      </c>
      <c r="AT61" s="106">
        <v>0</v>
      </c>
      <c r="AU61" s="106">
        <v>0</v>
      </c>
      <c r="AV61" s="106">
        <v>2.2288263955698144</v>
      </c>
      <c r="AW61" s="106">
        <v>2120.9511980242351</v>
      </c>
      <c r="AX61" s="106">
        <v>1.1628073203979412</v>
      </c>
      <c r="AY61" s="106">
        <v>1106.5274460906808</v>
      </c>
      <c r="AZ61" s="106">
        <v>1.8045411892273917</v>
      </c>
      <c r="BA61" s="106">
        <v>1717.2013956687858</v>
      </c>
      <c r="BB61" s="106">
        <v>0</v>
      </c>
      <c r="BC61" s="106">
        <v>0</v>
      </c>
      <c r="BD61" s="106">
        <v>2.6668612582648583</v>
      </c>
      <c r="BE61" s="106">
        <v>2537.785173364839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1.0617276173384764</v>
      </c>
      <c r="BM61" s="106">
        <v>1010.3400006592941</v>
      </c>
      <c r="BN61" s="106">
        <v>1.6728323717102154</v>
      </c>
      <c r="BO61" s="106">
        <v>1591.8672849194409</v>
      </c>
      <c r="BP61" s="106">
        <v>0.48068121941908554</v>
      </c>
      <c r="BQ61" s="106">
        <v>457.41624839920178</v>
      </c>
      <c r="BR61" s="106">
        <v>0.45646819259771249</v>
      </c>
      <c r="BS61" s="106">
        <v>434.37513207598317</v>
      </c>
      <c r="BT61" s="106">
        <v>0.45685561265734026</v>
      </c>
      <c r="BU61" s="106">
        <v>434.74380100472496</v>
      </c>
      <c r="BV61" s="106">
        <v>0</v>
      </c>
      <c r="BW61" s="106">
        <v>0</v>
      </c>
      <c r="BX61" s="106">
        <v>1.3557614360176962</v>
      </c>
      <c r="BY61" s="106">
        <v>1290.1425825144395</v>
      </c>
      <c r="BZ61" s="106">
        <v>0.78487185564595618</v>
      </c>
      <c r="CA61" s="106">
        <v>746.88405783269184</v>
      </c>
      <c r="CB61" s="106">
        <v>0</v>
      </c>
      <c r="CC61" s="106">
        <v>0</v>
      </c>
      <c r="CD61" s="106">
        <v>0.61433220634922114</v>
      </c>
      <c r="CE61" s="106">
        <v>584.59852756191879</v>
      </c>
      <c r="CF61" s="106">
        <v>0</v>
      </c>
      <c r="CG61" s="106">
        <v>0</v>
      </c>
      <c r="CH61" s="106">
        <v>0</v>
      </c>
      <c r="CI61" s="106">
        <v>0</v>
      </c>
      <c r="CJ61" s="106">
        <v>1.4776672431604754</v>
      </c>
      <c r="CK61" s="106">
        <v>1406.1481485915083</v>
      </c>
      <c r="CL61" s="106">
        <v>0.73514407368333945</v>
      </c>
      <c r="CM61" s="106">
        <v>699.56310051706578</v>
      </c>
      <c r="CN61" s="106">
        <v>1.0286205615964512</v>
      </c>
      <c r="CO61" s="106">
        <v>978.83532641518286</v>
      </c>
      <c r="CP61" s="106">
        <v>0</v>
      </c>
      <c r="CQ61" s="106">
        <v>0</v>
      </c>
      <c r="CR61" s="106">
        <v>0</v>
      </c>
      <c r="CS61" s="106">
        <v>0</v>
      </c>
      <c r="CT61" s="106">
        <v>1.0112738847143581</v>
      </c>
      <c r="CU61" s="106">
        <v>962.32822869418305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0.24021573016373968</v>
      </c>
      <c r="M62" s="106">
        <v>409.61586307520889</v>
      </c>
      <c r="N62" s="106">
        <v>0.11261184554684575</v>
      </c>
      <c r="O62" s="106">
        <v>192.02571902648137</v>
      </c>
      <c r="P62" s="106">
        <v>4.0888791878032148E-2</v>
      </c>
      <c r="Q62" s="106">
        <v>69.723567910420414</v>
      </c>
      <c r="R62" s="106">
        <v>4.5729404437468806E-2</v>
      </c>
      <c r="S62" s="106">
        <v>77.977780446771803</v>
      </c>
      <c r="T62" s="106">
        <v>0</v>
      </c>
      <c r="U62" s="106">
        <v>0</v>
      </c>
      <c r="V62" s="106">
        <v>0.28938199435844703</v>
      </c>
      <c r="W62" s="106">
        <v>493.45417678002389</v>
      </c>
      <c r="X62" s="106">
        <v>0.1515027930931627</v>
      </c>
      <c r="Y62" s="106">
        <v>258.34256278246102</v>
      </c>
      <c r="Z62" s="106">
        <v>0.15326479830432352</v>
      </c>
      <c r="AA62" s="106">
        <v>261.34713406853245</v>
      </c>
      <c r="AB62" s="106">
        <v>0</v>
      </c>
      <c r="AC62" s="106">
        <v>0</v>
      </c>
      <c r="AD62" s="106">
        <v>7.5179411472665714E-2</v>
      </c>
      <c r="AE62" s="106">
        <v>128.19593244318958</v>
      </c>
      <c r="AF62" s="106">
        <v>0.82098261924147131</v>
      </c>
      <c r="AG62" s="106">
        <v>1399.939562330557</v>
      </c>
      <c r="AH62" s="106">
        <v>3.9173229792690112E-2</v>
      </c>
      <c r="AI62" s="106">
        <v>66.798191442495181</v>
      </c>
      <c r="AJ62" s="106">
        <v>0</v>
      </c>
      <c r="AK62" s="106">
        <v>0</v>
      </c>
      <c r="AL62" s="106">
        <v>3.1963177569749277</v>
      </c>
      <c r="AM62" s="106">
        <v>5450.3610391936472</v>
      </c>
      <c r="AN62" s="106">
        <v>1.186094691432197</v>
      </c>
      <c r="AO62" s="106">
        <v>2022.5286678301825</v>
      </c>
      <c r="AP62" s="106">
        <v>0</v>
      </c>
      <c r="AQ62" s="106">
        <v>0</v>
      </c>
      <c r="AR62" s="106">
        <v>1.950062956863803</v>
      </c>
      <c r="AS62" s="106">
        <v>3325.247354044157</v>
      </c>
      <c r="AT62" s="106">
        <v>0</v>
      </c>
      <c r="AU62" s="106">
        <v>0</v>
      </c>
      <c r="AV62" s="106">
        <v>1.7830611164558514</v>
      </c>
      <c r="AW62" s="106">
        <v>3040.4758157805181</v>
      </c>
      <c r="AX62" s="106">
        <v>1.0570975639981284</v>
      </c>
      <c r="AY62" s="106">
        <v>1802.5627661296085</v>
      </c>
      <c r="AZ62" s="106">
        <v>1.3776604777972561</v>
      </c>
      <c r="BA62" s="106">
        <v>2349.1866467398813</v>
      </c>
      <c r="BB62" s="106">
        <v>0</v>
      </c>
      <c r="BC62" s="106">
        <v>0</v>
      </c>
      <c r="BD62" s="106">
        <v>2.3059326669207421</v>
      </c>
      <c r="BE62" s="106">
        <v>3932.0763836332494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0.99927305161268365</v>
      </c>
      <c r="BM62" s="106">
        <v>1703.9604076099481</v>
      </c>
      <c r="BN62" s="106">
        <v>1.3267291223908604</v>
      </c>
      <c r="BO62" s="106">
        <v>2262.3384995008951</v>
      </c>
      <c r="BP62" s="106">
        <v>0.48068121941908554</v>
      </c>
      <c r="BQ62" s="106">
        <v>819.65761535342472</v>
      </c>
      <c r="BR62" s="106">
        <v>0.38039016049809371</v>
      </c>
      <c r="BS62" s="106">
        <v>648.64130168134943</v>
      </c>
      <c r="BT62" s="106">
        <v>0.52212070017981738</v>
      </c>
      <c r="BU62" s="106">
        <v>890.32021794662467</v>
      </c>
      <c r="BV62" s="106">
        <v>0</v>
      </c>
      <c r="BW62" s="106">
        <v>0</v>
      </c>
      <c r="BX62" s="106">
        <v>1.460050777249827</v>
      </c>
      <c r="BY62" s="106">
        <v>2489.6785853664051</v>
      </c>
      <c r="BZ62" s="106">
        <v>0.73254706526955904</v>
      </c>
      <c r="CA62" s="106">
        <v>1249.1392556976521</v>
      </c>
      <c r="CB62" s="106">
        <v>0</v>
      </c>
      <c r="CC62" s="106">
        <v>0</v>
      </c>
      <c r="CD62" s="106">
        <v>0.50263544155845363</v>
      </c>
      <c r="CE62" s="106">
        <v>857.09395494547516</v>
      </c>
      <c r="CF62" s="106">
        <v>0</v>
      </c>
      <c r="CG62" s="106">
        <v>0</v>
      </c>
      <c r="CH62" s="106">
        <v>0</v>
      </c>
      <c r="CI62" s="106">
        <v>0</v>
      </c>
      <c r="CJ62" s="106">
        <v>1.4776672431604754</v>
      </c>
      <c r="CK62" s="106">
        <v>2519.7181830372429</v>
      </c>
      <c r="CL62" s="106">
        <v>0.69838686999917254</v>
      </c>
      <c r="CM62" s="106">
        <v>1190.8892907225891</v>
      </c>
      <c r="CN62" s="106">
        <v>0.8228964492771611</v>
      </c>
      <c r="CO62" s="106">
        <v>1403.2030253074151</v>
      </c>
      <c r="CP62" s="106">
        <v>0</v>
      </c>
      <c r="CQ62" s="106">
        <v>0</v>
      </c>
      <c r="CR62" s="106">
        <v>0</v>
      </c>
      <c r="CS62" s="106">
        <v>0</v>
      </c>
      <c r="CT62" s="106">
        <v>1.0112738847143581</v>
      </c>
      <c r="CU62" s="106">
        <v>1724.4242282149235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0.24021573016373968</v>
      </c>
      <c r="M63" s="106">
        <v>191.1156349182713</v>
      </c>
      <c r="N63" s="106">
        <v>0.11261184554684575</v>
      </c>
      <c r="O63" s="106">
        <v>89.593984317070479</v>
      </c>
      <c r="P63" s="106">
        <v>4.5431990975591273E-2</v>
      </c>
      <c r="Q63" s="106">
        <v>36.145692020180419</v>
      </c>
      <c r="R63" s="106">
        <v>4.5729404437468806E-2</v>
      </c>
      <c r="S63" s="106">
        <v>36.382314170450179</v>
      </c>
      <c r="T63" s="106">
        <v>0</v>
      </c>
      <c r="U63" s="106">
        <v>0</v>
      </c>
      <c r="V63" s="106">
        <v>0.33662803425370369</v>
      </c>
      <c r="W63" s="106">
        <v>267.82126405224665</v>
      </c>
      <c r="X63" s="106">
        <v>0.18284819856071358</v>
      </c>
      <c r="Y63" s="106">
        <v>145.47402677490373</v>
      </c>
      <c r="Z63" s="106">
        <v>0.21002953841703589</v>
      </c>
      <c r="AA63" s="106">
        <v>167.09950076459376</v>
      </c>
      <c r="AB63" s="106">
        <v>0</v>
      </c>
      <c r="AC63" s="106">
        <v>0</v>
      </c>
      <c r="AD63" s="106">
        <v>6.8019467522888025E-2</v>
      </c>
      <c r="AE63" s="106">
        <v>54.116288361209712</v>
      </c>
      <c r="AF63" s="106">
        <v>0.78814331447181241</v>
      </c>
      <c r="AG63" s="106">
        <v>627.04682099377396</v>
      </c>
      <c r="AH63" s="106">
        <v>4.9619424404074138E-2</v>
      </c>
      <c r="AI63" s="106">
        <v>39.477214055881383</v>
      </c>
      <c r="AJ63" s="106">
        <v>0</v>
      </c>
      <c r="AK63" s="106">
        <v>0</v>
      </c>
      <c r="AL63" s="106">
        <v>3.4421883536653071</v>
      </c>
      <c r="AM63" s="106">
        <v>2738.6050541761183</v>
      </c>
      <c r="AN63" s="106">
        <v>1.186094691432197</v>
      </c>
      <c r="AO63" s="106">
        <v>943.656936503456</v>
      </c>
      <c r="AP63" s="106">
        <v>0</v>
      </c>
      <c r="AQ63" s="106">
        <v>0</v>
      </c>
      <c r="AR63" s="106">
        <v>2.4375786960797541</v>
      </c>
      <c r="AS63" s="106">
        <v>1939.3376106010523</v>
      </c>
      <c r="AT63" s="106">
        <v>0</v>
      </c>
      <c r="AU63" s="106">
        <v>0</v>
      </c>
      <c r="AV63" s="106">
        <v>2.2288263955698144</v>
      </c>
      <c r="AW63" s="106">
        <v>1773.2542803153444</v>
      </c>
      <c r="AX63" s="106">
        <v>1.2685170767977541</v>
      </c>
      <c r="AY63" s="106">
        <v>1009.2321863002932</v>
      </c>
      <c r="AZ63" s="106">
        <v>1.6687155083178031</v>
      </c>
      <c r="BA63" s="106">
        <v>1327.6300584176442</v>
      </c>
      <c r="BB63" s="106">
        <v>0</v>
      </c>
      <c r="BC63" s="106">
        <v>0</v>
      </c>
      <c r="BD63" s="106">
        <v>2.4663453741847934</v>
      </c>
      <c r="BE63" s="106">
        <v>1962.2243797014216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1.1241821830642693</v>
      </c>
      <c r="BM63" s="106">
        <v>894.39934484593266</v>
      </c>
      <c r="BN63" s="106">
        <v>1.6728323717102154</v>
      </c>
      <c r="BO63" s="106">
        <v>1330.9054349326475</v>
      </c>
      <c r="BP63" s="106">
        <v>0.48068121941908554</v>
      </c>
      <c r="BQ63" s="106">
        <v>382.42997816982444</v>
      </c>
      <c r="BR63" s="106">
        <v>0.45646819259771249</v>
      </c>
      <c r="BS63" s="106">
        <v>363.16609403074006</v>
      </c>
      <c r="BT63" s="106">
        <v>0.52212070017981738</v>
      </c>
      <c r="BU63" s="106">
        <v>415.39922906306271</v>
      </c>
      <c r="BV63" s="106">
        <v>0</v>
      </c>
      <c r="BW63" s="106">
        <v>0</v>
      </c>
      <c r="BX63" s="106">
        <v>1.3557614360176962</v>
      </c>
      <c r="BY63" s="106">
        <v>1078.643798495679</v>
      </c>
      <c r="BZ63" s="106">
        <v>0.83719664602235322</v>
      </c>
      <c r="CA63" s="106">
        <v>666.07365157538425</v>
      </c>
      <c r="CB63" s="106">
        <v>0</v>
      </c>
      <c r="CC63" s="106">
        <v>0</v>
      </c>
      <c r="CD63" s="106">
        <v>0.55848382395383744</v>
      </c>
      <c r="CE63" s="106">
        <v>444.32973033767308</v>
      </c>
      <c r="CF63" s="106">
        <v>0</v>
      </c>
      <c r="CG63" s="106">
        <v>0</v>
      </c>
      <c r="CH63" s="106">
        <v>0</v>
      </c>
      <c r="CI63" s="106">
        <v>0</v>
      </c>
      <c r="CJ63" s="106">
        <v>1.4776672431604754</v>
      </c>
      <c r="CK63" s="106">
        <v>1175.6320586584743</v>
      </c>
      <c r="CL63" s="106">
        <v>0.73514407368333945</v>
      </c>
      <c r="CM63" s="106">
        <v>584.88062502246487</v>
      </c>
      <c r="CN63" s="106">
        <v>1.0286205615964512</v>
      </c>
      <c r="CO63" s="106">
        <v>818.3705188061366</v>
      </c>
      <c r="CP63" s="106">
        <v>0</v>
      </c>
      <c r="CQ63" s="106">
        <v>0</v>
      </c>
      <c r="CR63" s="106">
        <v>0</v>
      </c>
      <c r="CS63" s="106">
        <v>0</v>
      </c>
      <c r="CT63" s="106">
        <v>1.0112738847143581</v>
      </c>
      <c r="CU63" s="106">
        <v>804.56950267874333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0.25869386325325811</v>
      </c>
      <c r="M64" s="106">
        <v>261.07384679518805</v>
      </c>
      <c r="N64" s="106">
        <v>9.8535364853490015E-2</v>
      </c>
      <c r="O64" s="106">
        <v>99.441890210142105</v>
      </c>
      <c r="P64" s="106">
        <v>4.5431990975591273E-2</v>
      </c>
      <c r="Q64" s="106">
        <v>45.849965292566708</v>
      </c>
      <c r="R64" s="106">
        <v>5.5891494312461876E-2</v>
      </c>
      <c r="S64" s="106">
        <v>56.405696060136513</v>
      </c>
      <c r="T64" s="106">
        <v>0</v>
      </c>
      <c r="U64" s="106">
        <v>0</v>
      </c>
      <c r="V64" s="106">
        <v>0.28938199435844703</v>
      </c>
      <c r="W64" s="106">
        <v>292.04430870654471</v>
      </c>
      <c r="X64" s="106">
        <v>0.15411491021545859</v>
      </c>
      <c r="Y64" s="106">
        <v>155.53276738944078</v>
      </c>
      <c r="Z64" s="106">
        <v>0.20151482740012908</v>
      </c>
      <c r="AA64" s="106">
        <v>203.36876381221023</v>
      </c>
      <c r="AB64" s="106">
        <v>0</v>
      </c>
      <c r="AC64" s="106">
        <v>0</v>
      </c>
      <c r="AD64" s="106">
        <v>6.8019467522888025E-2</v>
      </c>
      <c r="AE64" s="106">
        <v>68.645246624098576</v>
      </c>
      <c r="AF64" s="106">
        <v>0.75530400970215361</v>
      </c>
      <c r="AG64" s="106">
        <v>762.25280659141333</v>
      </c>
      <c r="AH64" s="106">
        <v>4.7007875751228133E-2</v>
      </c>
      <c r="AI64" s="106">
        <v>47.440348208139426</v>
      </c>
      <c r="AJ64" s="106">
        <v>0</v>
      </c>
      <c r="AK64" s="106">
        <v>0</v>
      </c>
      <c r="AL64" s="106">
        <v>3.6880589503556855</v>
      </c>
      <c r="AM64" s="106">
        <v>3721.9890926989574</v>
      </c>
      <c r="AN64" s="106">
        <v>1.186094691432197</v>
      </c>
      <c r="AO64" s="106">
        <v>1197.006762593373</v>
      </c>
      <c r="AP64" s="106">
        <v>0</v>
      </c>
      <c r="AQ64" s="106">
        <v>0</v>
      </c>
      <c r="AR64" s="106">
        <v>1.950062956863803</v>
      </c>
      <c r="AS64" s="106">
        <v>1968.0035360669497</v>
      </c>
      <c r="AT64" s="106">
        <v>0</v>
      </c>
      <c r="AU64" s="106">
        <v>0</v>
      </c>
      <c r="AV64" s="106">
        <v>2.005943756012833</v>
      </c>
      <c r="AW64" s="106">
        <v>2024.3984385681508</v>
      </c>
      <c r="AX64" s="106">
        <v>1.0570975639981284</v>
      </c>
      <c r="AY64" s="106">
        <v>1066.8228615869109</v>
      </c>
      <c r="AZ64" s="106">
        <v>1.7075228457205427</v>
      </c>
      <c r="BA64" s="106">
        <v>1723.2320559011714</v>
      </c>
      <c r="BB64" s="106">
        <v>0</v>
      </c>
      <c r="BC64" s="106">
        <v>0</v>
      </c>
      <c r="BD64" s="106">
        <v>2.4061906089607743</v>
      </c>
      <c r="BE64" s="106">
        <v>2428.3275625632132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1.1241821830642693</v>
      </c>
      <c r="BM64" s="106">
        <v>1134.5246591484604</v>
      </c>
      <c r="BN64" s="106">
        <v>1.615148496823656</v>
      </c>
      <c r="BO64" s="106">
        <v>1630.0078629944333</v>
      </c>
      <c r="BP64" s="106">
        <v>0.56079475598893325</v>
      </c>
      <c r="BQ64" s="106">
        <v>565.95406774403136</v>
      </c>
      <c r="BR64" s="106">
        <v>0.45646819259771249</v>
      </c>
      <c r="BS64" s="106">
        <v>460.66769996961136</v>
      </c>
      <c r="BT64" s="106">
        <v>0.52212070017981738</v>
      </c>
      <c r="BU64" s="106">
        <v>526.92421062147162</v>
      </c>
      <c r="BV64" s="106">
        <v>0</v>
      </c>
      <c r="BW64" s="106">
        <v>0</v>
      </c>
      <c r="BX64" s="106">
        <v>1.3557614360176962</v>
      </c>
      <c r="BY64" s="106">
        <v>1368.2344412290588</v>
      </c>
      <c r="BZ64" s="106">
        <v>0.78487185564595618</v>
      </c>
      <c r="CA64" s="106">
        <v>792.09267671789883</v>
      </c>
      <c r="CB64" s="106">
        <v>0</v>
      </c>
      <c r="CC64" s="106">
        <v>0</v>
      </c>
      <c r="CD64" s="106">
        <v>0.50263544155845363</v>
      </c>
      <c r="CE64" s="106">
        <v>507.25968762079134</v>
      </c>
      <c r="CF64" s="106">
        <v>0</v>
      </c>
      <c r="CG64" s="106">
        <v>0</v>
      </c>
      <c r="CH64" s="106">
        <v>0</v>
      </c>
      <c r="CI64" s="106">
        <v>0</v>
      </c>
      <c r="CJ64" s="106">
        <v>1.3134819939204225</v>
      </c>
      <c r="CK64" s="106">
        <v>1325.5660282644901</v>
      </c>
      <c r="CL64" s="106">
        <v>0.66162966631500553</v>
      </c>
      <c r="CM64" s="106">
        <v>667.71665924510341</v>
      </c>
      <c r="CN64" s="106">
        <v>1.0286205615964512</v>
      </c>
      <c r="CO64" s="106">
        <v>1038.0838707631383</v>
      </c>
      <c r="CP64" s="106">
        <v>0</v>
      </c>
      <c r="CQ64" s="106">
        <v>0</v>
      </c>
      <c r="CR64" s="106">
        <v>0</v>
      </c>
      <c r="CS64" s="106">
        <v>0</v>
      </c>
      <c r="CT64" s="106">
        <v>1.0112738847143581</v>
      </c>
      <c r="CU64" s="106">
        <v>1020.57760445373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0.25869386325325811</v>
      </c>
      <c r="M65" s="106">
        <v>265.41990369784281</v>
      </c>
      <c r="N65" s="106">
        <v>0.10557360520016788</v>
      </c>
      <c r="O65" s="106">
        <v>108.31851893537225</v>
      </c>
      <c r="P65" s="106">
        <v>4.5431990975591273E-2</v>
      </c>
      <c r="Q65" s="106">
        <v>46.613222740956644</v>
      </c>
      <c r="R65" s="106">
        <v>4.5729404437468806E-2</v>
      </c>
      <c r="S65" s="106">
        <v>46.918368952842997</v>
      </c>
      <c r="T65" s="106">
        <v>0</v>
      </c>
      <c r="U65" s="106">
        <v>0</v>
      </c>
      <c r="V65" s="106">
        <v>0.33072227926679665</v>
      </c>
      <c r="W65" s="106">
        <v>339.32105852773338</v>
      </c>
      <c r="X65" s="106">
        <v>0.17239973007152995</v>
      </c>
      <c r="Y65" s="106">
        <v>176.88212305338973</v>
      </c>
      <c r="Z65" s="106">
        <v>0.19867659039449345</v>
      </c>
      <c r="AA65" s="106">
        <v>203.84218174475029</v>
      </c>
      <c r="AB65" s="106">
        <v>0</v>
      </c>
      <c r="AC65" s="106">
        <v>0</v>
      </c>
      <c r="AD65" s="106">
        <v>7.1599439497776876E-2</v>
      </c>
      <c r="AE65" s="106">
        <v>73.461024924719069</v>
      </c>
      <c r="AF65" s="106">
        <v>0.82098261924147131</v>
      </c>
      <c r="AG65" s="106">
        <v>842.32816734174958</v>
      </c>
      <c r="AH65" s="106">
        <v>4.4396327098382121E-2</v>
      </c>
      <c r="AI65" s="106">
        <v>45.550631602940058</v>
      </c>
      <c r="AJ65" s="106">
        <v>0</v>
      </c>
      <c r="AK65" s="106">
        <v>0</v>
      </c>
      <c r="AL65" s="106">
        <v>3.6880589503556855</v>
      </c>
      <c r="AM65" s="106">
        <v>3783.9484830649335</v>
      </c>
      <c r="AN65" s="106">
        <v>1.0782679013019971</v>
      </c>
      <c r="AO65" s="106">
        <v>1106.302866735849</v>
      </c>
      <c r="AP65" s="106">
        <v>0</v>
      </c>
      <c r="AQ65" s="106">
        <v>0</v>
      </c>
      <c r="AR65" s="106">
        <v>1.950062956863803</v>
      </c>
      <c r="AS65" s="106">
        <v>2000.7645937422619</v>
      </c>
      <c r="AT65" s="106">
        <v>0</v>
      </c>
      <c r="AU65" s="106">
        <v>0</v>
      </c>
      <c r="AV65" s="106">
        <v>1.7830611164558514</v>
      </c>
      <c r="AW65" s="106">
        <v>1829.4207054837036</v>
      </c>
      <c r="AX65" s="106">
        <v>1.1628073203979412</v>
      </c>
      <c r="AY65" s="106">
        <v>1193.0403107282877</v>
      </c>
      <c r="AZ65" s="106">
        <v>1.6299081709150636</v>
      </c>
      <c r="BA65" s="106">
        <v>1672.2857833588553</v>
      </c>
      <c r="BB65" s="106">
        <v>0</v>
      </c>
      <c r="BC65" s="106">
        <v>0</v>
      </c>
      <c r="BD65" s="106">
        <v>2.6267580814488456</v>
      </c>
      <c r="BE65" s="106">
        <v>2695.0537915665154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1.1241821830642693</v>
      </c>
      <c r="BM65" s="106">
        <v>1153.4109198239403</v>
      </c>
      <c r="BN65" s="106">
        <v>1.6728323717102154</v>
      </c>
      <c r="BO65" s="106">
        <v>1716.326013374681</v>
      </c>
      <c r="BP65" s="106">
        <v>0.64090829255878079</v>
      </c>
      <c r="BQ65" s="106">
        <v>657.57190816530908</v>
      </c>
      <c r="BR65" s="106">
        <v>0.45646819259771249</v>
      </c>
      <c r="BS65" s="106">
        <v>468.33636560525304</v>
      </c>
      <c r="BT65" s="106">
        <v>0.45685561265734026</v>
      </c>
      <c r="BU65" s="106">
        <v>468.7338585864311</v>
      </c>
      <c r="BV65" s="106">
        <v>0</v>
      </c>
      <c r="BW65" s="106">
        <v>0</v>
      </c>
      <c r="BX65" s="106">
        <v>1.460050777249827</v>
      </c>
      <c r="BY65" s="106">
        <v>1498.0120974583226</v>
      </c>
      <c r="BZ65" s="106">
        <v>0.83719664602235322</v>
      </c>
      <c r="CA65" s="106">
        <v>858.96375881893437</v>
      </c>
      <c r="CB65" s="106">
        <v>0</v>
      </c>
      <c r="CC65" s="106">
        <v>0</v>
      </c>
      <c r="CD65" s="106">
        <v>0.50263544155845363</v>
      </c>
      <c r="CE65" s="106">
        <v>515.70396303897348</v>
      </c>
      <c r="CF65" s="106">
        <v>0</v>
      </c>
      <c r="CG65" s="106">
        <v>0</v>
      </c>
      <c r="CH65" s="106">
        <v>0</v>
      </c>
      <c r="CI65" s="106">
        <v>0</v>
      </c>
      <c r="CJ65" s="106">
        <v>1.3134819939204225</v>
      </c>
      <c r="CK65" s="106">
        <v>1347.6325257623535</v>
      </c>
      <c r="CL65" s="106">
        <v>0.66162966631500553</v>
      </c>
      <c r="CM65" s="106">
        <v>678.83203763919562</v>
      </c>
      <c r="CN65" s="106">
        <v>0.89147115338359106</v>
      </c>
      <c r="CO65" s="106">
        <v>914.6494033715644</v>
      </c>
      <c r="CP65" s="106">
        <v>0</v>
      </c>
      <c r="CQ65" s="106">
        <v>0</v>
      </c>
      <c r="CR65" s="106">
        <v>0</v>
      </c>
      <c r="CS65" s="106">
        <v>0</v>
      </c>
      <c r="CT65" s="106">
        <v>1.1376831203036528</v>
      </c>
      <c r="CU65" s="106">
        <v>1167.2628814315478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0.27717199634277656</v>
      </c>
      <c r="M66" s="106">
        <v>329.9455444464412</v>
      </c>
      <c r="N66" s="106">
        <v>9.8535364853490015E-2</v>
      </c>
      <c r="O66" s="106">
        <v>117.2964983215945</v>
      </c>
      <c r="P66" s="106">
        <v>4.0888791878032148E-2</v>
      </c>
      <c r="Q66" s="106">
        <v>48.674017851609463</v>
      </c>
      <c r="R66" s="106">
        <v>5.0810449374965344E-2</v>
      </c>
      <c r="S66" s="106">
        <v>60.484758935958737</v>
      </c>
      <c r="T66" s="106">
        <v>0</v>
      </c>
      <c r="U66" s="106">
        <v>0</v>
      </c>
      <c r="V66" s="106">
        <v>0.30709925931916826</v>
      </c>
      <c r="W66" s="106">
        <v>365.57095829353784</v>
      </c>
      <c r="X66" s="106">
        <v>0.1515027930931627</v>
      </c>
      <c r="Y66" s="106">
        <v>180.34892489810085</v>
      </c>
      <c r="Z66" s="106">
        <v>0.18164716836067971</v>
      </c>
      <c r="AA66" s="106">
        <v>216.2327892165531</v>
      </c>
      <c r="AB66" s="106">
        <v>0</v>
      </c>
      <c r="AC66" s="106">
        <v>0</v>
      </c>
      <c r="AD66" s="106">
        <v>7.1599439497776876E-2</v>
      </c>
      <c r="AE66" s="106">
        <v>85.23197277815359</v>
      </c>
      <c r="AF66" s="106">
        <v>0.78814331447181241</v>
      </c>
      <c r="AG66" s="106">
        <v>938.20580154724541</v>
      </c>
      <c r="AH66" s="106">
        <v>4.4396327098382121E-2</v>
      </c>
      <c r="AI66" s="106">
        <v>52.849387777914067</v>
      </c>
      <c r="AJ66" s="106">
        <v>0</v>
      </c>
      <c r="AK66" s="106">
        <v>0</v>
      </c>
      <c r="AL66" s="106">
        <v>3.6880589503556855</v>
      </c>
      <c r="AM66" s="106">
        <v>4390.2653745034077</v>
      </c>
      <c r="AN66" s="106">
        <v>1.186094691432197</v>
      </c>
      <c r="AO66" s="106">
        <v>1411.9271206808871</v>
      </c>
      <c r="AP66" s="106">
        <v>0</v>
      </c>
      <c r="AQ66" s="106">
        <v>0</v>
      </c>
      <c r="AR66" s="106">
        <v>2.1938208264717787</v>
      </c>
      <c r="AS66" s="106">
        <v>2611.524311832005</v>
      </c>
      <c r="AT66" s="106">
        <v>0</v>
      </c>
      <c r="AU66" s="106">
        <v>0</v>
      </c>
      <c r="AV66" s="106">
        <v>2.005943756012833</v>
      </c>
      <c r="AW66" s="106">
        <v>2387.8754471576763</v>
      </c>
      <c r="AX66" s="106">
        <v>1.1628073203979412</v>
      </c>
      <c r="AY66" s="106">
        <v>1384.205834201709</v>
      </c>
      <c r="AZ66" s="106">
        <v>1.5911008335123238</v>
      </c>
      <c r="BA66" s="106">
        <v>1894.0464322130699</v>
      </c>
      <c r="BB66" s="106">
        <v>0</v>
      </c>
      <c r="BC66" s="106">
        <v>0</v>
      </c>
      <c r="BD66" s="106">
        <v>2.3460358437367552</v>
      </c>
      <c r="BE66" s="106">
        <v>2792.7210683842331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0.99927305161268365</v>
      </c>
      <c r="BM66" s="106">
        <v>1189.5346406397384</v>
      </c>
      <c r="BN66" s="106">
        <v>1.5574646219370969</v>
      </c>
      <c r="BO66" s="106">
        <v>1854.0058859539199</v>
      </c>
      <c r="BP66" s="106">
        <v>0.56079475598893325</v>
      </c>
      <c r="BQ66" s="106">
        <v>667.57007752922607</v>
      </c>
      <c r="BR66" s="106">
        <v>0.38039016049809371</v>
      </c>
      <c r="BS66" s="106">
        <v>452.81644705693071</v>
      </c>
      <c r="BT66" s="106">
        <v>0.52212070017981738</v>
      </c>
      <c r="BU66" s="106">
        <v>621.53248149405454</v>
      </c>
      <c r="BV66" s="106">
        <v>0</v>
      </c>
      <c r="BW66" s="106">
        <v>0</v>
      </c>
      <c r="BX66" s="106">
        <v>1.3557614360176962</v>
      </c>
      <c r="BY66" s="106">
        <v>1613.8984134354653</v>
      </c>
      <c r="BZ66" s="106">
        <v>0.73254706526955904</v>
      </c>
      <c r="CA66" s="106">
        <v>872.02402649688293</v>
      </c>
      <c r="CB66" s="106">
        <v>0</v>
      </c>
      <c r="CC66" s="106">
        <v>0</v>
      </c>
      <c r="CD66" s="106">
        <v>0.55848382395383744</v>
      </c>
      <c r="CE66" s="106">
        <v>664.81914403464805</v>
      </c>
      <c r="CF66" s="106">
        <v>0</v>
      </c>
      <c r="CG66" s="106">
        <v>0</v>
      </c>
      <c r="CH66" s="106">
        <v>0</v>
      </c>
      <c r="CI66" s="106">
        <v>0</v>
      </c>
      <c r="CJ66" s="106">
        <v>1.4776672431604754</v>
      </c>
      <c r="CK66" s="106">
        <v>1759.0150862582298</v>
      </c>
      <c r="CL66" s="106">
        <v>0.66162966631500553</v>
      </c>
      <c r="CM66" s="106">
        <v>787.60395478138253</v>
      </c>
      <c r="CN66" s="106">
        <v>0.96004585749002125</v>
      </c>
      <c r="CO66" s="106">
        <v>1142.8385887561212</v>
      </c>
      <c r="CP66" s="106">
        <v>0</v>
      </c>
      <c r="CQ66" s="106">
        <v>0</v>
      </c>
      <c r="CR66" s="106">
        <v>0</v>
      </c>
      <c r="CS66" s="106">
        <v>0</v>
      </c>
      <c r="CT66" s="106">
        <v>1.1376831203036528</v>
      </c>
      <c r="CU66" s="106">
        <v>1354.2979864094682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0.27717199634277656</v>
      </c>
      <c r="M67" s="106">
        <v>311.31958629220662</v>
      </c>
      <c r="N67" s="106">
        <v>0.11261184554684575</v>
      </c>
      <c r="O67" s="106">
        <v>126.48562491821716</v>
      </c>
      <c r="P67" s="106">
        <v>4.5431990975591273E-2</v>
      </c>
      <c r="Q67" s="106">
        <v>51.029212263784117</v>
      </c>
      <c r="R67" s="106">
        <v>5.0810449374965344E-2</v>
      </c>
      <c r="S67" s="106">
        <v>57.07029673796108</v>
      </c>
      <c r="T67" s="106">
        <v>0</v>
      </c>
      <c r="U67" s="106">
        <v>0</v>
      </c>
      <c r="V67" s="106">
        <v>0.28938199435844703</v>
      </c>
      <c r="W67" s="106">
        <v>325.03385606340771</v>
      </c>
      <c r="X67" s="106">
        <v>0.16717549582693814</v>
      </c>
      <c r="Y67" s="106">
        <v>187.77151691281694</v>
      </c>
      <c r="Z67" s="106">
        <v>0.17029422033813724</v>
      </c>
      <c r="AA67" s="106">
        <v>191.27446828379576</v>
      </c>
      <c r="AB67" s="106">
        <v>0</v>
      </c>
      <c r="AC67" s="106">
        <v>0</v>
      </c>
      <c r="AD67" s="106">
        <v>7.1599439497776876E-2</v>
      </c>
      <c r="AE67" s="106">
        <v>80.420490443902992</v>
      </c>
      <c r="AF67" s="106">
        <v>0.85382192401113011</v>
      </c>
      <c r="AG67" s="106">
        <v>959.01278504930133</v>
      </c>
      <c r="AH67" s="106">
        <v>4.4396327098382121E-2</v>
      </c>
      <c r="AI67" s="106">
        <v>49.865954596902803</v>
      </c>
      <c r="AJ67" s="106">
        <v>0</v>
      </c>
      <c r="AK67" s="106">
        <v>0</v>
      </c>
      <c r="AL67" s="106">
        <v>3.1963177569749277</v>
      </c>
      <c r="AM67" s="106">
        <v>3590.1041046342389</v>
      </c>
      <c r="AN67" s="106">
        <v>1.0782679013019971</v>
      </c>
      <c r="AO67" s="106">
        <v>1211.1105067424032</v>
      </c>
      <c r="AP67" s="106">
        <v>0</v>
      </c>
      <c r="AQ67" s="106">
        <v>0</v>
      </c>
      <c r="AR67" s="106">
        <v>2.1938208264717787</v>
      </c>
      <c r="AS67" s="106">
        <v>2464.0995522931021</v>
      </c>
      <c r="AT67" s="106">
        <v>0</v>
      </c>
      <c r="AU67" s="106">
        <v>0</v>
      </c>
      <c r="AV67" s="106">
        <v>2.005943756012833</v>
      </c>
      <c r="AW67" s="106">
        <v>2253.0760267536143</v>
      </c>
      <c r="AX67" s="106">
        <v>1.1628073203979412</v>
      </c>
      <c r="AY67" s="106">
        <v>1306.0651822709676</v>
      </c>
      <c r="AZ67" s="106">
        <v>1.4746788213041051</v>
      </c>
      <c r="BA67" s="106">
        <v>1656.359252088771</v>
      </c>
      <c r="BB67" s="106">
        <v>0</v>
      </c>
      <c r="BC67" s="106">
        <v>0</v>
      </c>
      <c r="BD67" s="106">
        <v>2.3660874321447616</v>
      </c>
      <c r="BE67" s="106">
        <v>2657.5894037849962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1.1241821830642693</v>
      </c>
      <c r="BM67" s="106">
        <v>1262.6814280177873</v>
      </c>
      <c r="BN67" s="106">
        <v>1.615148496823656</v>
      </c>
      <c r="BO67" s="106">
        <v>1814.1347916323305</v>
      </c>
      <c r="BP67" s="106">
        <v>0.48068121941908554</v>
      </c>
      <c r="BQ67" s="106">
        <v>539.90114565151691</v>
      </c>
      <c r="BR67" s="106">
        <v>0.38039016049809371</v>
      </c>
      <c r="BS67" s="106">
        <v>427.25422827145889</v>
      </c>
      <c r="BT67" s="106">
        <v>0.45685561265734026</v>
      </c>
      <c r="BU67" s="106">
        <v>513.14022413672456</v>
      </c>
      <c r="BV67" s="106">
        <v>0</v>
      </c>
      <c r="BW67" s="106">
        <v>0</v>
      </c>
      <c r="BX67" s="106">
        <v>1.3557614360176962</v>
      </c>
      <c r="BY67" s="106">
        <v>1522.7912449350763</v>
      </c>
      <c r="BZ67" s="106">
        <v>0.78487185564595618</v>
      </c>
      <c r="CA67" s="106">
        <v>881.56806826153797</v>
      </c>
      <c r="CB67" s="106">
        <v>0</v>
      </c>
      <c r="CC67" s="106">
        <v>0</v>
      </c>
      <c r="CD67" s="106">
        <v>0.61433220634922114</v>
      </c>
      <c r="CE67" s="106">
        <v>690.01793417144518</v>
      </c>
      <c r="CF67" s="106">
        <v>0</v>
      </c>
      <c r="CG67" s="106">
        <v>0</v>
      </c>
      <c r="CH67" s="106">
        <v>0</v>
      </c>
      <c r="CI67" s="106">
        <v>0</v>
      </c>
      <c r="CJ67" s="106">
        <v>1.4776672431604754</v>
      </c>
      <c r="CK67" s="106">
        <v>1659.715847517846</v>
      </c>
      <c r="CL67" s="106">
        <v>0.69838686999917254</v>
      </c>
      <c r="CM67" s="106">
        <v>784.42813238307065</v>
      </c>
      <c r="CN67" s="106">
        <v>0.89147115338359106</v>
      </c>
      <c r="CO67" s="106">
        <v>1001.3003994804495</v>
      </c>
      <c r="CP67" s="106">
        <v>0</v>
      </c>
      <c r="CQ67" s="106">
        <v>0</v>
      </c>
      <c r="CR67" s="106">
        <v>0</v>
      </c>
      <c r="CS67" s="106">
        <v>0</v>
      </c>
      <c r="CT67" s="106">
        <v>1.0112738847143581</v>
      </c>
      <c r="CU67" s="106">
        <v>1135.8628273111669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0.25869386325325811</v>
      </c>
      <c r="M68" s="106">
        <v>267.28249951326626</v>
      </c>
      <c r="N68" s="106">
        <v>0.11261184554684575</v>
      </c>
      <c r="O68" s="106">
        <v>116.35055881900104</v>
      </c>
      <c r="P68" s="106">
        <v>4.5431990975591273E-2</v>
      </c>
      <c r="Q68" s="106">
        <v>46.940333075980902</v>
      </c>
      <c r="R68" s="106">
        <v>5.5891494312461876E-2</v>
      </c>
      <c r="S68" s="106">
        <v>57.747091923635615</v>
      </c>
      <c r="T68" s="106">
        <v>0</v>
      </c>
      <c r="U68" s="106">
        <v>0</v>
      </c>
      <c r="V68" s="106">
        <v>0.30119350433226122</v>
      </c>
      <c r="W68" s="106">
        <v>311.19312867609233</v>
      </c>
      <c r="X68" s="106">
        <v>0.17239973007152995</v>
      </c>
      <c r="Y68" s="106">
        <v>178.12340110990476</v>
      </c>
      <c r="Z68" s="106">
        <v>0.21002953841703589</v>
      </c>
      <c r="AA68" s="106">
        <v>217.00251909248149</v>
      </c>
      <c r="AB68" s="106">
        <v>0</v>
      </c>
      <c r="AC68" s="106">
        <v>0</v>
      </c>
      <c r="AD68" s="106">
        <v>7.1599439497776876E-2</v>
      </c>
      <c r="AE68" s="106">
        <v>73.976540889103077</v>
      </c>
      <c r="AF68" s="106">
        <v>0.75530400970215361</v>
      </c>
      <c r="AG68" s="106">
        <v>780.38010282426512</v>
      </c>
      <c r="AH68" s="106">
        <v>4.4396327098382121E-2</v>
      </c>
      <c r="AI68" s="106">
        <v>45.870285158048411</v>
      </c>
      <c r="AJ68" s="106">
        <v>0</v>
      </c>
      <c r="AK68" s="106">
        <v>0</v>
      </c>
      <c r="AL68" s="106">
        <v>3.4421883536653071</v>
      </c>
      <c r="AM68" s="106">
        <v>3556.4690070069955</v>
      </c>
      <c r="AN68" s="106">
        <v>1.0782679013019971</v>
      </c>
      <c r="AO68" s="106">
        <v>1114.0663956252235</v>
      </c>
      <c r="AP68" s="106">
        <v>0</v>
      </c>
      <c r="AQ68" s="106">
        <v>0</v>
      </c>
      <c r="AR68" s="106">
        <v>1.950062956863803</v>
      </c>
      <c r="AS68" s="106">
        <v>2014.8050470316814</v>
      </c>
      <c r="AT68" s="106">
        <v>0</v>
      </c>
      <c r="AU68" s="106">
        <v>0</v>
      </c>
      <c r="AV68" s="106">
        <v>2.005943756012833</v>
      </c>
      <c r="AW68" s="106">
        <v>2072.541088712459</v>
      </c>
      <c r="AX68" s="106">
        <v>1.0570975639981284</v>
      </c>
      <c r="AY68" s="106">
        <v>1092.1932031228662</v>
      </c>
      <c r="AZ68" s="106">
        <v>1.5911008335123238</v>
      </c>
      <c r="BA68" s="106">
        <v>1643.925381184933</v>
      </c>
      <c r="BB68" s="106">
        <v>0</v>
      </c>
      <c r="BC68" s="106">
        <v>0</v>
      </c>
      <c r="BD68" s="106">
        <v>2.646809669856852</v>
      </c>
      <c r="BE68" s="106">
        <v>2734.6837508960994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1.0617276173384764</v>
      </c>
      <c r="BM68" s="106">
        <v>1096.9769742341139</v>
      </c>
      <c r="BN68" s="106">
        <v>1.4420968721639786</v>
      </c>
      <c r="BO68" s="106">
        <v>1489.9744883198227</v>
      </c>
      <c r="BP68" s="106">
        <v>0.56079475598893325</v>
      </c>
      <c r="BQ68" s="106">
        <v>579.41314188776585</v>
      </c>
      <c r="BR68" s="106">
        <v>0.38039016049809371</v>
      </c>
      <c r="BS68" s="106">
        <v>393.01911382663042</v>
      </c>
      <c r="BT68" s="106">
        <v>0.52212070017981738</v>
      </c>
      <c r="BU68" s="106">
        <v>539.45510742578733</v>
      </c>
      <c r="BV68" s="106">
        <v>0</v>
      </c>
      <c r="BW68" s="106">
        <v>0</v>
      </c>
      <c r="BX68" s="106">
        <v>1.3557614360176962</v>
      </c>
      <c r="BY68" s="106">
        <v>1400.7727156934836</v>
      </c>
      <c r="BZ68" s="106">
        <v>0.78487185564595618</v>
      </c>
      <c r="CA68" s="106">
        <v>810.92960125340198</v>
      </c>
      <c r="CB68" s="106">
        <v>0</v>
      </c>
      <c r="CC68" s="106">
        <v>0</v>
      </c>
      <c r="CD68" s="106">
        <v>0.50263544155845363</v>
      </c>
      <c r="CE68" s="106">
        <v>519.32293821819428</v>
      </c>
      <c r="CF68" s="106">
        <v>0</v>
      </c>
      <c r="CG68" s="106">
        <v>0</v>
      </c>
      <c r="CH68" s="106">
        <v>0</v>
      </c>
      <c r="CI68" s="106">
        <v>0</v>
      </c>
      <c r="CJ68" s="106">
        <v>1.4776672431604754</v>
      </c>
      <c r="CK68" s="106">
        <v>1526.7257956334033</v>
      </c>
      <c r="CL68" s="106">
        <v>0.73514407368333945</v>
      </c>
      <c r="CM68" s="106">
        <v>759.55085692962632</v>
      </c>
      <c r="CN68" s="106">
        <v>1.0286205615964512</v>
      </c>
      <c r="CO68" s="106">
        <v>1062.7707642414534</v>
      </c>
      <c r="CP68" s="106">
        <v>0</v>
      </c>
      <c r="CQ68" s="106">
        <v>0</v>
      </c>
      <c r="CR68" s="106">
        <v>0</v>
      </c>
      <c r="CS68" s="106">
        <v>0</v>
      </c>
      <c r="CT68" s="106">
        <v>1.0112738847143581</v>
      </c>
      <c r="CU68" s="106">
        <v>1044.8481776868748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0.27717199634277656</v>
      </c>
      <c r="M69" s="106">
        <v>210.20724202636174</v>
      </c>
      <c r="N69" s="106">
        <v>0.10557360520016788</v>
      </c>
      <c r="O69" s="106">
        <v>80.067022183807325</v>
      </c>
      <c r="P69" s="106">
        <v>4.5431990975591273E-2</v>
      </c>
      <c r="Q69" s="106">
        <v>34.455621955888418</v>
      </c>
      <c r="R69" s="106">
        <v>5.5891494312461876E-2</v>
      </c>
      <c r="S69" s="106">
        <v>42.388109286571087</v>
      </c>
      <c r="T69" s="106">
        <v>0</v>
      </c>
      <c r="U69" s="106">
        <v>0</v>
      </c>
      <c r="V69" s="106">
        <v>0.31891076929298245</v>
      </c>
      <c r="W69" s="106">
        <v>241.86192743179788</v>
      </c>
      <c r="X69" s="106">
        <v>0.1593391444600504</v>
      </c>
      <c r="Y69" s="106">
        <v>120.84280715850223</v>
      </c>
      <c r="Z69" s="106">
        <v>0.19583835338885783</v>
      </c>
      <c r="AA69" s="106">
        <v>148.52380721010977</v>
      </c>
      <c r="AB69" s="106">
        <v>0</v>
      </c>
      <c r="AC69" s="106">
        <v>0</v>
      </c>
      <c r="AD69" s="106">
        <v>8.2339355422443403E-2</v>
      </c>
      <c r="AE69" s="106">
        <v>62.446167152381072</v>
      </c>
      <c r="AF69" s="106">
        <v>0.85382192401113011</v>
      </c>
      <c r="AG69" s="106">
        <v>647.53854717004106</v>
      </c>
      <c r="AH69" s="106">
        <v>4.1784778445536117E-2</v>
      </c>
      <c r="AI69" s="106">
        <v>31.689575973094591</v>
      </c>
      <c r="AJ69" s="106">
        <v>0</v>
      </c>
      <c r="AK69" s="106">
        <v>0</v>
      </c>
      <c r="AL69" s="106">
        <v>3.1963177569749277</v>
      </c>
      <c r="AM69" s="106">
        <v>2424.0873868897852</v>
      </c>
      <c r="AN69" s="106">
        <v>1.0782679013019971</v>
      </c>
      <c r="AO69" s="106">
        <v>817.75837634743459</v>
      </c>
      <c r="AP69" s="106">
        <v>0</v>
      </c>
      <c r="AQ69" s="106">
        <v>0</v>
      </c>
      <c r="AR69" s="106">
        <v>2.1938208264717787</v>
      </c>
      <c r="AS69" s="106">
        <v>1663.7937147961968</v>
      </c>
      <c r="AT69" s="106">
        <v>0</v>
      </c>
      <c r="AU69" s="106">
        <v>0</v>
      </c>
      <c r="AV69" s="106">
        <v>2.005943756012833</v>
      </c>
      <c r="AW69" s="106">
        <v>1521.3077445601325</v>
      </c>
      <c r="AX69" s="106">
        <v>1.1628073203979412</v>
      </c>
      <c r="AY69" s="106">
        <v>881.87307178979859</v>
      </c>
      <c r="AZ69" s="106">
        <v>1.8045411892273917</v>
      </c>
      <c r="BA69" s="106">
        <v>1368.5640379100539</v>
      </c>
      <c r="BB69" s="106">
        <v>0</v>
      </c>
      <c r="BC69" s="106">
        <v>0</v>
      </c>
      <c r="BD69" s="106">
        <v>2.4462937857767875</v>
      </c>
      <c r="BE69" s="106">
        <v>1855.2692071331155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1.2490913145158546</v>
      </c>
      <c r="BM69" s="106">
        <v>947.31085292882415</v>
      </c>
      <c r="BN69" s="106">
        <v>1.6728323717102154</v>
      </c>
      <c r="BO69" s="106">
        <v>1268.6760707050273</v>
      </c>
      <c r="BP69" s="106">
        <v>0.56079475598893325</v>
      </c>
      <c r="BQ69" s="106">
        <v>425.30674294200696</v>
      </c>
      <c r="BR69" s="106">
        <v>0.38039016049809371</v>
      </c>
      <c r="BS69" s="106">
        <v>288.48789772175428</v>
      </c>
      <c r="BT69" s="106">
        <v>0.45685561265734026</v>
      </c>
      <c r="BU69" s="106">
        <v>346.47929663932683</v>
      </c>
      <c r="BV69" s="106">
        <v>0</v>
      </c>
      <c r="BW69" s="106">
        <v>0</v>
      </c>
      <c r="BX69" s="106">
        <v>1.460050777249827</v>
      </c>
      <c r="BY69" s="106">
        <v>1107.3025094662687</v>
      </c>
      <c r="BZ69" s="106">
        <v>0.78487185564595618</v>
      </c>
      <c r="CA69" s="106">
        <v>595.24681532189311</v>
      </c>
      <c r="CB69" s="106">
        <v>0</v>
      </c>
      <c r="CC69" s="106">
        <v>0</v>
      </c>
      <c r="CD69" s="106">
        <v>0.61433220634922114</v>
      </c>
      <c r="CE69" s="106">
        <v>465.9095452952493</v>
      </c>
      <c r="CF69" s="106">
        <v>0</v>
      </c>
      <c r="CG69" s="106">
        <v>0</v>
      </c>
      <c r="CH69" s="106">
        <v>0</v>
      </c>
      <c r="CI69" s="106">
        <v>0</v>
      </c>
      <c r="CJ69" s="106">
        <v>1.4776672431604754</v>
      </c>
      <c r="CK69" s="106">
        <v>1120.6628372129044</v>
      </c>
      <c r="CL69" s="106">
        <v>0.73514407368333945</v>
      </c>
      <c r="CM69" s="106">
        <v>557.53326548144457</v>
      </c>
      <c r="CN69" s="106">
        <v>0.89147115338359106</v>
      </c>
      <c r="CO69" s="106">
        <v>676.09172272611545</v>
      </c>
      <c r="CP69" s="106">
        <v>0</v>
      </c>
      <c r="CQ69" s="106">
        <v>0</v>
      </c>
      <c r="CR69" s="106">
        <v>0</v>
      </c>
      <c r="CS69" s="106">
        <v>0</v>
      </c>
      <c r="CT69" s="106">
        <v>1.0112738847143581</v>
      </c>
      <c r="CU69" s="106">
        <v>766.95011416736918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0.29565012943229496</v>
      </c>
      <c r="M70" s="106">
        <v>158.23194927216423</v>
      </c>
      <c r="N70" s="106">
        <v>9.8535364853490015E-2</v>
      </c>
      <c r="O70" s="106">
        <v>52.736127269587847</v>
      </c>
      <c r="P70" s="106">
        <v>4.0888791878032148E-2</v>
      </c>
      <c r="Q70" s="106">
        <v>21.883681413122801</v>
      </c>
      <c r="R70" s="106">
        <v>5.0810449374965344E-2</v>
      </c>
      <c r="S70" s="106">
        <v>27.193752505481449</v>
      </c>
      <c r="T70" s="106">
        <v>0</v>
      </c>
      <c r="U70" s="106">
        <v>0</v>
      </c>
      <c r="V70" s="106">
        <v>0.31891076929298245</v>
      </c>
      <c r="W70" s="106">
        <v>170.68104372560418</v>
      </c>
      <c r="X70" s="106">
        <v>0.17501184719382587</v>
      </c>
      <c r="Y70" s="106">
        <v>93.666340618135592</v>
      </c>
      <c r="Z70" s="106">
        <v>0.2043530644057647</v>
      </c>
      <c r="AA70" s="106">
        <v>109.36976006996525</v>
      </c>
      <c r="AB70" s="106">
        <v>0</v>
      </c>
      <c r="AC70" s="106">
        <v>0</v>
      </c>
      <c r="AD70" s="106">
        <v>8.2339355422443403E-2</v>
      </c>
      <c r="AE70" s="106">
        <v>44.068023022091701</v>
      </c>
      <c r="AF70" s="106">
        <v>0.88666122878078901</v>
      </c>
      <c r="AG70" s="106">
        <v>474.54108964347824</v>
      </c>
      <c r="AH70" s="106">
        <v>4.7007875751228133E-2</v>
      </c>
      <c r="AI70" s="106">
        <v>25.158615102057293</v>
      </c>
      <c r="AJ70" s="106">
        <v>0</v>
      </c>
      <c r="AK70" s="106">
        <v>0</v>
      </c>
      <c r="AL70" s="106">
        <v>3.4421883536653071</v>
      </c>
      <c r="AM70" s="106">
        <v>1842.2592068816721</v>
      </c>
      <c r="AN70" s="106">
        <v>1.186094691432197</v>
      </c>
      <c r="AO70" s="106">
        <v>634.79787885451174</v>
      </c>
      <c r="AP70" s="106">
        <v>0</v>
      </c>
      <c r="AQ70" s="106">
        <v>0</v>
      </c>
      <c r="AR70" s="106">
        <v>2.1938208264717787</v>
      </c>
      <c r="AS70" s="106">
        <v>1174.1329063276958</v>
      </c>
      <c r="AT70" s="106">
        <v>0</v>
      </c>
      <c r="AU70" s="106">
        <v>0</v>
      </c>
      <c r="AV70" s="106">
        <v>2.2288263955698144</v>
      </c>
      <c r="AW70" s="106">
        <v>1192.8678869089645</v>
      </c>
      <c r="AX70" s="106">
        <v>1.0570975639981284</v>
      </c>
      <c r="AY70" s="106">
        <v>565.75861625179823</v>
      </c>
      <c r="AZ70" s="106">
        <v>1.9985778762410897</v>
      </c>
      <c r="BA70" s="106">
        <v>1069.6388793642311</v>
      </c>
      <c r="BB70" s="106">
        <v>0</v>
      </c>
      <c r="BC70" s="106">
        <v>0</v>
      </c>
      <c r="BD70" s="106">
        <v>2.9876866727929614</v>
      </c>
      <c r="BE70" s="106">
        <v>1599.0099072787928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1.186636748790062</v>
      </c>
      <c r="BM70" s="106">
        <v>635.08798795244104</v>
      </c>
      <c r="BN70" s="106">
        <v>1.615148496823656</v>
      </c>
      <c r="BO70" s="106">
        <v>864.42747550002059</v>
      </c>
      <c r="BP70" s="106">
        <v>0.48068121941908554</v>
      </c>
      <c r="BQ70" s="106">
        <v>257.26058863309453</v>
      </c>
      <c r="BR70" s="106">
        <v>0.45646819259771249</v>
      </c>
      <c r="BS70" s="106">
        <v>244.30177667829568</v>
      </c>
      <c r="BT70" s="106">
        <v>0.52212070017981738</v>
      </c>
      <c r="BU70" s="106">
        <v>279.4389987362382</v>
      </c>
      <c r="BV70" s="106">
        <v>0</v>
      </c>
      <c r="BW70" s="106">
        <v>0</v>
      </c>
      <c r="BX70" s="106">
        <v>1.460050777249827</v>
      </c>
      <c r="BY70" s="106">
        <v>781.41917598410737</v>
      </c>
      <c r="BZ70" s="106">
        <v>0.83719664602235322</v>
      </c>
      <c r="CA70" s="106">
        <v>448.0676449511634</v>
      </c>
      <c r="CB70" s="106">
        <v>0</v>
      </c>
      <c r="CC70" s="106">
        <v>0</v>
      </c>
      <c r="CD70" s="106">
        <v>0.55848382395383744</v>
      </c>
      <c r="CE70" s="106">
        <v>298.90054258009377</v>
      </c>
      <c r="CF70" s="106">
        <v>0</v>
      </c>
      <c r="CG70" s="106">
        <v>0</v>
      </c>
      <c r="CH70" s="106">
        <v>0</v>
      </c>
      <c r="CI70" s="106">
        <v>0</v>
      </c>
      <c r="CJ70" s="106">
        <v>1.559759867780502</v>
      </c>
      <c r="CK70" s="106">
        <v>834.78348123612454</v>
      </c>
      <c r="CL70" s="106">
        <v>0.73514407368333945</v>
      </c>
      <c r="CM70" s="106">
        <v>393.44910823532325</v>
      </c>
      <c r="CN70" s="106">
        <v>0.96004585749002125</v>
      </c>
      <c r="CO70" s="106">
        <v>513.81654292865926</v>
      </c>
      <c r="CP70" s="106">
        <v>0</v>
      </c>
      <c r="CQ70" s="106">
        <v>0</v>
      </c>
      <c r="CR70" s="106">
        <v>0</v>
      </c>
      <c r="CS70" s="106">
        <v>0</v>
      </c>
      <c r="CT70" s="106">
        <v>1.0744785025090056</v>
      </c>
      <c r="CU70" s="106">
        <v>575.06089454281971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0.22690689576292011</v>
      </c>
      <c r="I71" s="106">
        <v>127.97548921028694</v>
      </c>
      <c r="J71" s="106">
        <v>0</v>
      </c>
      <c r="K71" s="106">
        <v>0</v>
      </c>
      <c r="L71" s="106">
        <v>0.92474340493034901</v>
      </c>
      <c r="M71" s="106">
        <v>521.55528038071679</v>
      </c>
      <c r="N71" s="106">
        <v>0.43418775003860621</v>
      </c>
      <c r="O71" s="106">
        <v>244.8818910217739</v>
      </c>
      <c r="P71" s="106">
        <v>0</v>
      </c>
      <c r="Q71" s="106">
        <v>0</v>
      </c>
      <c r="R71" s="106">
        <v>0.26435872222508311</v>
      </c>
      <c r="S71" s="106">
        <v>149.09831933494686</v>
      </c>
      <c r="T71" s="106">
        <v>0.17235250533914165</v>
      </c>
      <c r="U71" s="106">
        <v>97.206813011275884</v>
      </c>
      <c r="V71" s="106">
        <v>0.35927642460391751</v>
      </c>
      <c r="W71" s="106">
        <v>202.63190347660947</v>
      </c>
      <c r="X71" s="106">
        <v>0</v>
      </c>
      <c r="Y71" s="106">
        <v>0</v>
      </c>
      <c r="Z71" s="106">
        <v>0</v>
      </c>
      <c r="AA71" s="106">
        <v>0</v>
      </c>
      <c r="AB71" s="106">
        <v>0.42617677119914232</v>
      </c>
      <c r="AC71" s="106">
        <v>240.36369895631628</v>
      </c>
      <c r="AD71" s="106">
        <v>0.13348500127661925</v>
      </c>
      <c r="AE71" s="106">
        <v>75.285540720013259</v>
      </c>
      <c r="AF71" s="106">
        <v>0</v>
      </c>
      <c r="AG71" s="106">
        <v>0</v>
      </c>
      <c r="AH71" s="106">
        <v>0</v>
      </c>
      <c r="AI71" s="106">
        <v>0</v>
      </c>
      <c r="AJ71" s="106">
        <v>2.7652963382799243</v>
      </c>
      <c r="AK71" s="106">
        <v>1559.6271347898773</v>
      </c>
      <c r="AL71" s="106">
        <v>6.8467977986702007</v>
      </c>
      <c r="AM71" s="106">
        <v>3861.5939584499934</v>
      </c>
      <c r="AN71" s="106">
        <v>2.4967369545465345</v>
      </c>
      <c r="AO71" s="106">
        <v>1408.1596423642454</v>
      </c>
      <c r="AP71" s="106">
        <v>5.8230961186117813</v>
      </c>
      <c r="AQ71" s="106">
        <v>3284.2262108970449</v>
      </c>
      <c r="AR71" s="106">
        <v>1.9684388262040602</v>
      </c>
      <c r="AS71" s="106">
        <v>1110.19949797909</v>
      </c>
      <c r="AT71" s="106">
        <v>2.1438647983039578</v>
      </c>
      <c r="AU71" s="106">
        <v>1209.1397462434322</v>
      </c>
      <c r="AV71" s="106">
        <v>0</v>
      </c>
      <c r="AW71" s="106">
        <v>0</v>
      </c>
      <c r="AX71" s="106">
        <v>3.4612071551675974</v>
      </c>
      <c r="AY71" s="106">
        <v>1952.120835514525</v>
      </c>
      <c r="AZ71" s="106">
        <v>0</v>
      </c>
      <c r="BA71" s="106">
        <v>0</v>
      </c>
      <c r="BB71" s="106">
        <v>0.29528700689031739</v>
      </c>
      <c r="BC71" s="106">
        <v>166.54187188613901</v>
      </c>
      <c r="BD71" s="106">
        <v>0.35840178698901115</v>
      </c>
      <c r="BE71" s="106">
        <v>202.13860786180229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1.9844688393736394</v>
      </c>
      <c r="BM71" s="106">
        <v>1119.2404254067326</v>
      </c>
      <c r="BN71" s="106">
        <v>2.6646882882219733</v>
      </c>
      <c r="BO71" s="106">
        <v>1502.884194557193</v>
      </c>
      <c r="BP71" s="106">
        <v>3.6559964863544145</v>
      </c>
      <c r="BQ71" s="106">
        <v>2061.9820183038896</v>
      </c>
      <c r="BR71" s="106">
        <v>0</v>
      </c>
      <c r="BS71" s="106">
        <v>0</v>
      </c>
      <c r="BT71" s="106">
        <v>0</v>
      </c>
      <c r="BU71" s="106">
        <v>0</v>
      </c>
      <c r="BV71" s="106">
        <v>10.466872414984215</v>
      </c>
      <c r="BW71" s="106">
        <v>5903.3160420510967</v>
      </c>
      <c r="BX71" s="106">
        <v>0</v>
      </c>
      <c r="BY71" s="106">
        <v>0</v>
      </c>
      <c r="BZ71" s="106">
        <v>3.1637098428578359</v>
      </c>
      <c r="CA71" s="106">
        <v>1784.3323513718194</v>
      </c>
      <c r="CB71" s="106">
        <v>4.335131871944399</v>
      </c>
      <c r="CC71" s="106">
        <v>2445.0143757766409</v>
      </c>
      <c r="CD71" s="106">
        <v>1.703185283045384</v>
      </c>
      <c r="CE71" s="106">
        <v>960.59649963759659</v>
      </c>
      <c r="CF71" s="106">
        <v>0</v>
      </c>
      <c r="CG71" s="106">
        <v>0</v>
      </c>
      <c r="CH71" s="106">
        <v>0.89986867848004792</v>
      </c>
      <c r="CI71" s="106">
        <v>507.52593466274703</v>
      </c>
      <c r="CJ71" s="106">
        <v>1.4609585610787226</v>
      </c>
      <c r="CK71" s="106">
        <v>823.98062844839956</v>
      </c>
      <c r="CL71" s="106">
        <v>0</v>
      </c>
      <c r="CM71" s="106">
        <v>0</v>
      </c>
      <c r="CN71" s="106">
        <v>1.3745820611505342</v>
      </c>
      <c r="CO71" s="106">
        <v>775.26428248890124</v>
      </c>
      <c r="CP71" s="106">
        <v>0.84689208579253616</v>
      </c>
      <c r="CQ71" s="106">
        <v>477.64713638699038</v>
      </c>
      <c r="CR71" s="106">
        <v>1.0998232032957092</v>
      </c>
      <c r="CS71" s="106">
        <v>620.30028665878001</v>
      </c>
      <c r="CT71" s="106">
        <v>1.0002602606815714</v>
      </c>
      <c r="CU71" s="106">
        <v>564.14678702440619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0.22690689576292011</v>
      </c>
      <c r="I72" s="106">
        <v>16.881873044761253</v>
      </c>
      <c r="J72" s="106">
        <v>0</v>
      </c>
      <c r="K72" s="106">
        <v>0</v>
      </c>
      <c r="L72" s="106">
        <v>0.87926422108131552</v>
      </c>
      <c r="M72" s="106">
        <v>65.417258048449867</v>
      </c>
      <c r="N72" s="106">
        <v>0.5015617112514934</v>
      </c>
      <c r="O72" s="106">
        <v>37.316191317111105</v>
      </c>
      <c r="P72" s="106">
        <v>0</v>
      </c>
      <c r="Q72" s="106">
        <v>0</v>
      </c>
      <c r="R72" s="106">
        <v>0.31194329222559813</v>
      </c>
      <c r="S72" s="106">
        <v>23.208580941584497</v>
      </c>
      <c r="T72" s="106">
        <v>0.18958775587305582</v>
      </c>
      <c r="U72" s="106">
        <v>14.105329036955352</v>
      </c>
      <c r="V72" s="106">
        <v>0.43113170952470098</v>
      </c>
      <c r="W72" s="106">
        <v>32.076199188637752</v>
      </c>
      <c r="X72" s="106">
        <v>0</v>
      </c>
      <c r="Y72" s="106">
        <v>0</v>
      </c>
      <c r="Z72" s="106">
        <v>0</v>
      </c>
      <c r="AA72" s="106">
        <v>0</v>
      </c>
      <c r="AB72" s="106">
        <v>0.49346784033584901</v>
      </c>
      <c r="AC72" s="106">
        <v>36.714007320987164</v>
      </c>
      <c r="AD72" s="106">
        <v>0.14015925134045021</v>
      </c>
      <c r="AE72" s="106">
        <v>10.427848299729494</v>
      </c>
      <c r="AF72" s="106">
        <v>0</v>
      </c>
      <c r="AG72" s="106">
        <v>0</v>
      </c>
      <c r="AH72" s="106">
        <v>0</v>
      </c>
      <c r="AI72" s="106">
        <v>0</v>
      </c>
      <c r="AJ72" s="106">
        <v>3.3798066356754628</v>
      </c>
      <c r="AK72" s="106">
        <v>251.45761369425441</v>
      </c>
      <c r="AL72" s="106">
        <v>6.98943941947583</v>
      </c>
      <c r="AM72" s="106">
        <v>520.01429280900174</v>
      </c>
      <c r="AN72" s="106">
        <v>2.6480543457311732</v>
      </c>
      <c r="AO72" s="106">
        <v>197.01524332239927</v>
      </c>
      <c r="AP72" s="106">
        <v>5.7529383340501941</v>
      </c>
      <c r="AQ72" s="106">
        <v>428.01861205333438</v>
      </c>
      <c r="AR72" s="106">
        <v>2.3815679625678752</v>
      </c>
      <c r="AS72" s="106">
        <v>177.18865641504991</v>
      </c>
      <c r="AT72" s="106">
        <v>2.6338910379162908</v>
      </c>
      <c r="AU72" s="106">
        <v>195.96149322097202</v>
      </c>
      <c r="AV72" s="106">
        <v>0</v>
      </c>
      <c r="AW72" s="106">
        <v>0</v>
      </c>
      <c r="AX72" s="106">
        <v>3.3330142975687975</v>
      </c>
      <c r="AY72" s="106">
        <v>247.97626373911851</v>
      </c>
      <c r="AZ72" s="106">
        <v>0</v>
      </c>
      <c r="BA72" s="106">
        <v>0</v>
      </c>
      <c r="BB72" s="106">
        <v>0.29528700689031739</v>
      </c>
      <c r="BC72" s="106">
        <v>21.969353312639612</v>
      </c>
      <c r="BD72" s="106">
        <v>0.35840178698901115</v>
      </c>
      <c r="BE72" s="106">
        <v>26.665092951982427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1.9844688393736394</v>
      </c>
      <c r="BM72" s="106">
        <v>147.64448164939876</v>
      </c>
      <c r="BN72" s="106">
        <v>2.7858104831411543</v>
      </c>
      <c r="BO72" s="106">
        <v>207.26429994570185</v>
      </c>
      <c r="BP72" s="106">
        <v>3.5371022916762223</v>
      </c>
      <c r="BQ72" s="106">
        <v>263.1604105007109</v>
      </c>
      <c r="BR72" s="106">
        <v>0</v>
      </c>
      <c r="BS72" s="106">
        <v>0</v>
      </c>
      <c r="BT72" s="106">
        <v>0</v>
      </c>
      <c r="BU72" s="106">
        <v>0</v>
      </c>
      <c r="BV72" s="106">
        <v>9.6704799486267206</v>
      </c>
      <c r="BW72" s="106">
        <v>719.48370817782791</v>
      </c>
      <c r="BX72" s="106">
        <v>0</v>
      </c>
      <c r="BY72" s="106">
        <v>0</v>
      </c>
      <c r="BZ72" s="106">
        <v>3.2269840397149925</v>
      </c>
      <c r="CA72" s="106">
        <v>240.08761255479541</v>
      </c>
      <c r="CB72" s="106">
        <v>5.4498800675872436</v>
      </c>
      <c r="CC72" s="106">
        <v>405.47107702849087</v>
      </c>
      <c r="CD72" s="106">
        <v>1.6833808030099724</v>
      </c>
      <c r="CE72" s="106">
        <v>125.24353174394193</v>
      </c>
      <c r="CF72" s="106">
        <v>0</v>
      </c>
      <c r="CG72" s="106">
        <v>0</v>
      </c>
      <c r="CH72" s="106">
        <v>0.97485773502005191</v>
      </c>
      <c r="CI72" s="106">
        <v>72.529415485491853</v>
      </c>
      <c r="CJ72" s="106">
        <v>1.6857214166292953</v>
      </c>
      <c r="CK72" s="106">
        <v>125.41767339721956</v>
      </c>
      <c r="CL72" s="106">
        <v>0</v>
      </c>
      <c r="CM72" s="106">
        <v>0</v>
      </c>
      <c r="CN72" s="106">
        <v>1.6036790713422897</v>
      </c>
      <c r="CO72" s="106">
        <v>119.31372290786634</v>
      </c>
      <c r="CP72" s="106">
        <v>1.0251851564857017</v>
      </c>
      <c r="CQ72" s="106">
        <v>76.273775642536208</v>
      </c>
      <c r="CR72" s="106">
        <v>1.0419377715433034</v>
      </c>
      <c r="CS72" s="106">
        <v>77.52017020282176</v>
      </c>
      <c r="CT72" s="106">
        <v>1.187809059559366</v>
      </c>
      <c r="CU72" s="106">
        <v>88.37299403121682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0.22690689576292011</v>
      </c>
      <c r="I73" s="106">
        <v>126.88633611062491</v>
      </c>
      <c r="J73" s="106">
        <v>0</v>
      </c>
      <c r="K73" s="106">
        <v>0</v>
      </c>
      <c r="L73" s="106">
        <v>0.84894476518195983</v>
      </c>
      <c r="M73" s="106">
        <v>474.72991268975187</v>
      </c>
      <c r="N73" s="106">
        <v>0.44915974141924786</v>
      </c>
      <c r="O73" s="106">
        <v>251.17012740164338</v>
      </c>
      <c r="P73" s="106">
        <v>0</v>
      </c>
      <c r="Q73" s="106">
        <v>0</v>
      </c>
      <c r="R73" s="106">
        <v>0.26964589666958477</v>
      </c>
      <c r="S73" s="106">
        <v>150.78598541763179</v>
      </c>
      <c r="T73" s="106">
        <v>0.17235250533914165</v>
      </c>
      <c r="U73" s="106">
        <v>96.379520985648</v>
      </c>
      <c r="V73" s="106">
        <v>0.37724024583411336</v>
      </c>
      <c r="W73" s="106">
        <v>210.95274547043616</v>
      </c>
      <c r="X73" s="106">
        <v>0</v>
      </c>
      <c r="Y73" s="106">
        <v>0</v>
      </c>
      <c r="Z73" s="106">
        <v>0</v>
      </c>
      <c r="AA73" s="106">
        <v>0</v>
      </c>
      <c r="AB73" s="106">
        <v>0.47103748395694678</v>
      </c>
      <c r="AC73" s="106">
        <v>263.40416102872462</v>
      </c>
      <c r="AD73" s="106">
        <v>0.13348500127661925</v>
      </c>
      <c r="AE73" s="106">
        <v>74.644812713885472</v>
      </c>
      <c r="AF73" s="106">
        <v>0</v>
      </c>
      <c r="AG73" s="106">
        <v>0</v>
      </c>
      <c r="AH73" s="106">
        <v>0</v>
      </c>
      <c r="AI73" s="106">
        <v>0</v>
      </c>
      <c r="AJ73" s="106">
        <v>2.8037032318671455</v>
      </c>
      <c r="AK73" s="106">
        <v>1567.8308472601077</v>
      </c>
      <c r="AL73" s="106">
        <v>5.7769856426279826</v>
      </c>
      <c r="AM73" s="106">
        <v>3230.4903713575677</v>
      </c>
      <c r="AN73" s="106">
        <v>2.8372010847119711</v>
      </c>
      <c r="AO73" s="106">
        <v>1586.562846570934</v>
      </c>
      <c r="AP73" s="106">
        <v>6.1037272568581322</v>
      </c>
      <c r="AQ73" s="106">
        <v>3413.2042820350671</v>
      </c>
      <c r="AR73" s="106">
        <v>2.1871542513378444</v>
      </c>
      <c r="AS73" s="106">
        <v>1223.0566573481224</v>
      </c>
      <c r="AT73" s="106">
        <v>2.3582512781343534</v>
      </c>
      <c r="AU73" s="106">
        <v>1318.7341147327302</v>
      </c>
      <c r="AV73" s="106">
        <v>0</v>
      </c>
      <c r="AW73" s="106">
        <v>0</v>
      </c>
      <c r="AX73" s="106">
        <v>2.9484357247723976</v>
      </c>
      <c r="AY73" s="106">
        <v>1648.7652572927245</v>
      </c>
      <c r="AZ73" s="106">
        <v>0</v>
      </c>
      <c r="BA73" s="106">
        <v>0</v>
      </c>
      <c r="BB73" s="106">
        <v>0.29528700689031739</v>
      </c>
      <c r="BC73" s="106">
        <v>165.12449425306548</v>
      </c>
      <c r="BD73" s="106">
        <v>0.35840178698901115</v>
      </c>
      <c r="BE73" s="106">
        <v>200.41827928425502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1.9844688393736394</v>
      </c>
      <c r="BM73" s="106">
        <v>1109.7149749777391</v>
      </c>
      <c r="BN73" s="106">
        <v>3.0280548729795149</v>
      </c>
      <c r="BO73" s="106">
        <v>1693.2882849701446</v>
      </c>
      <c r="BP73" s="106">
        <v>3.6559964863544145</v>
      </c>
      <c r="BQ73" s="106">
        <v>2044.4332351693884</v>
      </c>
      <c r="BR73" s="106">
        <v>0</v>
      </c>
      <c r="BS73" s="106">
        <v>0</v>
      </c>
      <c r="BT73" s="106">
        <v>0</v>
      </c>
      <c r="BU73" s="106">
        <v>0</v>
      </c>
      <c r="BV73" s="106">
        <v>9.1016281869427953</v>
      </c>
      <c r="BW73" s="106">
        <v>5089.6304821384101</v>
      </c>
      <c r="BX73" s="106">
        <v>0</v>
      </c>
      <c r="BY73" s="106">
        <v>0</v>
      </c>
      <c r="BZ73" s="106">
        <v>3.1320727444292573</v>
      </c>
      <c r="CA73" s="106">
        <v>1751.4550786848404</v>
      </c>
      <c r="CB73" s="106">
        <v>4.3970623272578901</v>
      </c>
      <c r="CC73" s="106">
        <v>2458.8372534026121</v>
      </c>
      <c r="CD73" s="106">
        <v>1.4457270425850353</v>
      </c>
      <c r="CE73" s="106">
        <v>808.45056221355162</v>
      </c>
      <c r="CF73" s="106">
        <v>0</v>
      </c>
      <c r="CG73" s="106">
        <v>0</v>
      </c>
      <c r="CH73" s="106">
        <v>0.89986867848004792</v>
      </c>
      <c r="CI73" s="106">
        <v>503.20656500604275</v>
      </c>
      <c r="CJ73" s="106">
        <v>1.5733399888540089</v>
      </c>
      <c r="CK73" s="106">
        <v>879.81172176716166</v>
      </c>
      <c r="CL73" s="106">
        <v>0</v>
      </c>
      <c r="CM73" s="106">
        <v>0</v>
      </c>
      <c r="CN73" s="106">
        <v>1.6036790713422897</v>
      </c>
      <c r="CO73" s="106">
        <v>896.77733669460827</v>
      </c>
      <c r="CP73" s="106">
        <v>0.98061188881241024</v>
      </c>
      <c r="CQ73" s="106">
        <v>548.35816822389972</v>
      </c>
      <c r="CR73" s="106">
        <v>0.926166908038492</v>
      </c>
      <c r="CS73" s="106">
        <v>517.91253497512469</v>
      </c>
      <c r="CT73" s="106">
        <v>1.1252927932667678</v>
      </c>
      <c r="CU73" s="106">
        <v>629.26372999477644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0.22690689576292011</v>
      </c>
      <c r="I74" s="106">
        <v>91.488860371609391</v>
      </c>
      <c r="J74" s="106">
        <v>0</v>
      </c>
      <c r="K74" s="106">
        <v>0</v>
      </c>
      <c r="L74" s="106">
        <v>0.80346558133292623</v>
      </c>
      <c r="M74" s="106">
        <v>323.95732239343585</v>
      </c>
      <c r="N74" s="106">
        <v>0.47161772849021028</v>
      </c>
      <c r="O74" s="106">
        <v>190.15626812725279</v>
      </c>
      <c r="P74" s="106">
        <v>0</v>
      </c>
      <c r="Q74" s="106">
        <v>0</v>
      </c>
      <c r="R74" s="106">
        <v>0.30665611778109642</v>
      </c>
      <c r="S74" s="106">
        <v>123.64374668933807</v>
      </c>
      <c r="T74" s="106">
        <v>0.18958775587305582</v>
      </c>
      <c r="U74" s="106">
        <v>76.441783168016102</v>
      </c>
      <c r="V74" s="106">
        <v>0.37724024583411336</v>
      </c>
      <c r="W74" s="106">
        <v>152.10326712031451</v>
      </c>
      <c r="X74" s="106">
        <v>0</v>
      </c>
      <c r="Y74" s="106">
        <v>0</v>
      </c>
      <c r="Z74" s="106">
        <v>0</v>
      </c>
      <c r="AA74" s="106">
        <v>0</v>
      </c>
      <c r="AB74" s="106">
        <v>0.42617677119914232</v>
      </c>
      <c r="AC74" s="106">
        <v>171.83447414749418</v>
      </c>
      <c r="AD74" s="106">
        <v>0.13348500127661925</v>
      </c>
      <c r="AE74" s="106">
        <v>53.82115251473288</v>
      </c>
      <c r="AF74" s="106">
        <v>0</v>
      </c>
      <c r="AG74" s="106">
        <v>0</v>
      </c>
      <c r="AH74" s="106">
        <v>0</v>
      </c>
      <c r="AI74" s="106">
        <v>0</v>
      </c>
      <c r="AJ74" s="106">
        <v>3.1493652741521361</v>
      </c>
      <c r="AK74" s="106">
        <v>1269.8240785381413</v>
      </c>
      <c r="AL74" s="106">
        <v>6.5615145570589419</v>
      </c>
      <c r="AM74" s="106">
        <v>2645.6026694061652</v>
      </c>
      <c r="AN74" s="106">
        <v>2.8750304325081304</v>
      </c>
      <c r="AO74" s="106">
        <v>1159.2122703872781</v>
      </c>
      <c r="AP74" s="106">
        <v>6.1037272568581322</v>
      </c>
      <c r="AQ74" s="106">
        <v>2461.022829965199</v>
      </c>
      <c r="AR74" s="106">
        <v>2.0170422540115678</v>
      </c>
      <c r="AS74" s="106">
        <v>813.27143681746406</v>
      </c>
      <c r="AT74" s="106">
        <v>2.3582512781343534</v>
      </c>
      <c r="AU74" s="106">
        <v>950.84691534377123</v>
      </c>
      <c r="AV74" s="106">
        <v>0</v>
      </c>
      <c r="AW74" s="106">
        <v>0</v>
      </c>
      <c r="AX74" s="106">
        <v>3.3971107263681972</v>
      </c>
      <c r="AY74" s="106">
        <v>1369.715044871657</v>
      </c>
      <c r="AZ74" s="106">
        <v>0</v>
      </c>
      <c r="BA74" s="106">
        <v>0</v>
      </c>
      <c r="BB74" s="106">
        <v>0.29528700689031739</v>
      </c>
      <c r="BC74" s="106">
        <v>119.05972117817598</v>
      </c>
      <c r="BD74" s="106">
        <v>0.35840178698901115</v>
      </c>
      <c r="BE74" s="106">
        <v>144.50760051396929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1.8476089194168368</v>
      </c>
      <c r="BM74" s="106">
        <v>744.95591630886861</v>
      </c>
      <c r="BN74" s="106">
        <v>2.7858104831411543</v>
      </c>
      <c r="BO74" s="106">
        <v>1123.2387868025135</v>
      </c>
      <c r="BP74" s="106">
        <v>3.41820809699803</v>
      </c>
      <c r="BQ74" s="106">
        <v>1378.2215047096056</v>
      </c>
      <c r="BR74" s="106">
        <v>0</v>
      </c>
      <c r="BS74" s="106">
        <v>0</v>
      </c>
      <c r="BT74" s="106">
        <v>0</v>
      </c>
      <c r="BU74" s="106">
        <v>0</v>
      </c>
      <c r="BV74" s="106">
        <v>10.808183471994569</v>
      </c>
      <c r="BW74" s="106">
        <v>4357.85957590821</v>
      </c>
      <c r="BX74" s="106">
        <v>0</v>
      </c>
      <c r="BY74" s="106">
        <v>0</v>
      </c>
      <c r="BZ74" s="106">
        <v>3.1637098428578359</v>
      </c>
      <c r="CA74" s="106">
        <v>1275.6078086402795</v>
      </c>
      <c r="CB74" s="106">
        <v>4.5828536931983646</v>
      </c>
      <c r="CC74" s="106">
        <v>1847.8066090975806</v>
      </c>
      <c r="CD74" s="106">
        <v>1.6833808030099724</v>
      </c>
      <c r="CE74" s="106">
        <v>678.73913977362088</v>
      </c>
      <c r="CF74" s="106">
        <v>0</v>
      </c>
      <c r="CG74" s="106">
        <v>0</v>
      </c>
      <c r="CH74" s="106">
        <v>0.97485773502005191</v>
      </c>
      <c r="CI74" s="106">
        <v>393.06263876008489</v>
      </c>
      <c r="CJ74" s="106">
        <v>1.5733399888540089</v>
      </c>
      <c r="CK74" s="106">
        <v>634.37068350593643</v>
      </c>
      <c r="CL74" s="106">
        <v>0</v>
      </c>
      <c r="CM74" s="106">
        <v>0</v>
      </c>
      <c r="CN74" s="106">
        <v>1.489130566246412</v>
      </c>
      <c r="CO74" s="106">
        <v>600.41744431055326</v>
      </c>
      <c r="CP74" s="106">
        <v>0.98061188881241024</v>
      </c>
      <c r="CQ74" s="106">
        <v>395.3827135691638</v>
      </c>
      <c r="CR74" s="106">
        <v>0.926166908038492</v>
      </c>
      <c r="CS74" s="106">
        <v>373.43049732111996</v>
      </c>
      <c r="CT74" s="106">
        <v>1.187809059559366</v>
      </c>
      <c r="CU74" s="106">
        <v>478.92461281433634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0.25527025773328516</v>
      </c>
      <c r="I75" s="106">
        <v>164.189829774049</v>
      </c>
      <c r="J75" s="106">
        <v>0</v>
      </c>
      <c r="K75" s="106">
        <v>0</v>
      </c>
      <c r="L75" s="106">
        <v>0.75798639748389274</v>
      </c>
      <c r="M75" s="106">
        <v>487.53685086163978</v>
      </c>
      <c r="N75" s="106">
        <v>0.47161772849021028</v>
      </c>
      <c r="O75" s="106">
        <v>303.34452296490321</v>
      </c>
      <c r="P75" s="106">
        <v>0</v>
      </c>
      <c r="Q75" s="106">
        <v>0</v>
      </c>
      <c r="R75" s="106">
        <v>0.28022024555858815</v>
      </c>
      <c r="S75" s="106">
        <v>180.23766194328388</v>
      </c>
      <c r="T75" s="106">
        <v>0.18097013060609873</v>
      </c>
      <c r="U75" s="106">
        <v>116.39998800584269</v>
      </c>
      <c r="V75" s="106">
        <v>0.41316788829450513</v>
      </c>
      <c r="W75" s="106">
        <v>265.74958575102568</v>
      </c>
      <c r="X75" s="106">
        <v>0</v>
      </c>
      <c r="Y75" s="106">
        <v>0</v>
      </c>
      <c r="Z75" s="106">
        <v>0</v>
      </c>
      <c r="AA75" s="106">
        <v>0</v>
      </c>
      <c r="AB75" s="106">
        <v>0.42617677119914232</v>
      </c>
      <c r="AC75" s="106">
        <v>274.11689923528832</v>
      </c>
      <c r="AD75" s="106">
        <v>0.13348500127661925</v>
      </c>
      <c r="AE75" s="106">
        <v>85.857552821121487</v>
      </c>
      <c r="AF75" s="106">
        <v>0</v>
      </c>
      <c r="AG75" s="106">
        <v>0</v>
      </c>
      <c r="AH75" s="106">
        <v>0</v>
      </c>
      <c r="AI75" s="106">
        <v>0</v>
      </c>
      <c r="AJ75" s="106">
        <v>2.6116687639310396</v>
      </c>
      <c r="AK75" s="106">
        <v>1679.8253489604444</v>
      </c>
      <c r="AL75" s="106">
        <v>6.4901937466561277</v>
      </c>
      <c r="AM75" s="106">
        <v>4174.4926178492206</v>
      </c>
      <c r="AN75" s="106">
        <v>2.4589076067503748</v>
      </c>
      <c r="AO75" s="106">
        <v>1581.5693726618408</v>
      </c>
      <c r="AP75" s="106">
        <v>5.7529383340501941</v>
      </c>
      <c r="AQ75" s="106">
        <v>3700.2899364610844</v>
      </c>
      <c r="AR75" s="106">
        <v>2.162852537434091</v>
      </c>
      <c r="AS75" s="106">
        <v>1391.1467520776073</v>
      </c>
      <c r="AT75" s="106">
        <v>2.1438647983039578</v>
      </c>
      <c r="AU75" s="106">
        <v>1378.9338382691055</v>
      </c>
      <c r="AV75" s="106">
        <v>0</v>
      </c>
      <c r="AW75" s="106">
        <v>0</v>
      </c>
      <c r="AX75" s="106">
        <v>3.0125321535717973</v>
      </c>
      <c r="AY75" s="106">
        <v>1937.6606811773797</v>
      </c>
      <c r="AZ75" s="106">
        <v>0</v>
      </c>
      <c r="BA75" s="106">
        <v>0</v>
      </c>
      <c r="BB75" s="106">
        <v>0.29528700689031739</v>
      </c>
      <c r="BC75" s="106">
        <v>189.92860283185212</v>
      </c>
      <c r="BD75" s="106">
        <v>0.35840178698901115</v>
      </c>
      <c r="BE75" s="106">
        <v>230.52402939133194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1.9844688393736394</v>
      </c>
      <c r="BM75" s="106">
        <v>1276.4103574851247</v>
      </c>
      <c r="BN75" s="106">
        <v>2.5435660933027928</v>
      </c>
      <c r="BO75" s="106">
        <v>1636.0217112123562</v>
      </c>
      <c r="BP75" s="106">
        <v>3.3587609996589336</v>
      </c>
      <c r="BQ75" s="106">
        <v>2160.3550749806259</v>
      </c>
      <c r="BR75" s="106">
        <v>0</v>
      </c>
      <c r="BS75" s="106">
        <v>0</v>
      </c>
      <c r="BT75" s="106">
        <v>0</v>
      </c>
      <c r="BU75" s="106">
        <v>0</v>
      </c>
      <c r="BV75" s="106">
        <v>8.7603171299324405</v>
      </c>
      <c r="BW75" s="106">
        <v>5634.6359779725453</v>
      </c>
      <c r="BX75" s="106">
        <v>0</v>
      </c>
      <c r="BY75" s="106">
        <v>0</v>
      </c>
      <c r="BZ75" s="106">
        <v>3.2586211381435706</v>
      </c>
      <c r="CA75" s="106">
        <v>2095.9451160539443</v>
      </c>
      <c r="CB75" s="106">
        <v>5.1402277910197869</v>
      </c>
      <c r="CC75" s="106">
        <v>3306.1945151839268</v>
      </c>
      <c r="CD75" s="106">
        <v>1.4655315226204468</v>
      </c>
      <c r="CE75" s="106">
        <v>942.62987534947126</v>
      </c>
      <c r="CF75" s="106">
        <v>0</v>
      </c>
      <c r="CG75" s="106">
        <v>0</v>
      </c>
      <c r="CH75" s="106">
        <v>0.97485773502005191</v>
      </c>
      <c r="CI75" s="106">
        <v>627.02849516489732</v>
      </c>
      <c r="CJ75" s="106">
        <v>1.5733399888540089</v>
      </c>
      <c r="CK75" s="106">
        <v>1011.9722808308984</v>
      </c>
      <c r="CL75" s="106">
        <v>0</v>
      </c>
      <c r="CM75" s="106">
        <v>0</v>
      </c>
      <c r="CN75" s="106">
        <v>1.3745820611505342</v>
      </c>
      <c r="CO75" s="106">
        <v>884.13118173202349</v>
      </c>
      <c r="CP75" s="106">
        <v>0.84689208579253616</v>
      </c>
      <c r="CQ75" s="106">
        <v>544.72098958175923</v>
      </c>
      <c r="CR75" s="106">
        <v>0.926166908038492</v>
      </c>
      <c r="CS75" s="106">
        <v>595.71055525035797</v>
      </c>
      <c r="CT75" s="106">
        <v>1.1252927932667678</v>
      </c>
      <c r="CU75" s="106">
        <v>723.78832462918501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0.24108857674810261</v>
      </c>
      <c r="I76" s="106">
        <v>187.7597835714223</v>
      </c>
      <c r="J76" s="106">
        <v>0</v>
      </c>
      <c r="K76" s="106">
        <v>0</v>
      </c>
      <c r="L76" s="106">
        <v>0.78830585338324832</v>
      </c>
      <c r="M76" s="106">
        <v>613.93259861487377</v>
      </c>
      <c r="N76" s="106">
        <v>0.39675777158700226</v>
      </c>
      <c r="O76" s="106">
        <v>308.99495251195737</v>
      </c>
      <c r="P76" s="106">
        <v>0</v>
      </c>
      <c r="Q76" s="106">
        <v>0</v>
      </c>
      <c r="R76" s="106">
        <v>0.2590715477805815</v>
      </c>
      <c r="S76" s="106">
        <v>201.76492141151687</v>
      </c>
      <c r="T76" s="106">
        <v>0.17235250533914165</v>
      </c>
      <c r="U76" s="106">
        <v>134.22813115812352</v>
      </c>
      <c r="V76" s="106">
        <v>0.3413126033737216</v>
      </c>
      <c r="W76" s="106">
        <v>265.81425550745439</v>
      </c>
      <c r="X76" s="106">
        <v>0</v>
      </c>
      <c r="Y76" s="106">
        <v>0</v>
      </c>
      <c r="Z76" s="106">
        <v>0</v>
      </c>
      <c r="AA76" s="106">
        <v>0</v>
      </c>
      <c r="AB76" s="106">
        <v>0.4037464148202401</v>
      </c>
      <c r="AC76" s="106">
        <v>314.43770786200298</v>
      </c>
      <c r="AD76" s="106">
        <v>0.14015925134045021</v>
      </c>
      <c r="AE76" s="106">
        <v>109.15602494394261</v>
      </c>
      <c r="AF76" s="106">
        <v>0</v>
      </c>
      <c r="AG76" s="106">
        <v>0</v>
      </c>
      <c r="AH76" s="106">
        <v>0</v>
      </c>
      <c r="AI76" s="106">
        <v>0</v>
      </c>
      <c r="AJ76" s="106">
        <v>2.5732618703438179</v>
      </c>
      <c r="AK76" s="106">
        <v>2004.0563446237652</v>
      </c>
      <c r="AL76" s="106">
        <v>6.4901937466561277</v>
      </c>
      <c r="AM76" s="106">
        <v>5054.5628898957921</v>
      </c>
      <c r="AN76" s="106">
        <v>2.4210782589542155</v>
      </c>
      <c r="AO76" s="106">
        <v>1885.5357480735429</v>
      </c>
      <c r="AP76" s="106">
        <v>5.8230961186117813</v>
      </c>
      <c r="AQ76" s="106">
        <v>4535.0272571748546</v>
      </c>
      <c r="AR76" s="106">
        <v>1.992740540107814</v>
      </c>
      <c r="AS76" s="106">
        <v>1551.9463326359655</v>
      </c>
      <c r="AT76" s="106">
        <v>2.0519848783766452</v>
      </c>
      <c r="AU76" s="106">
        <v>1598.0858232797311</v>
      </c>
      <c r="AV76" s="106">
        <v>0</v>
      </c>
      <c r="AW76" s="106">
        <v>0</v>
      </c>
      <c r="AX76" s="106">
        <v>3.3330142975687975</v>
      </c>
      <c r="AY76" s="106">
        <v>2595.7515349465793</v>
      </c>
      <c r="AZ76" s="106">
        <v>0</v>
      </c>
      <c r="BA76" s="106">
        <v>0</v>
      </c>
      <c r="BB76" s="106">
        <v>0.29528700689031739</v>
      </c>
      <c r="BC76" s="106">
        <v>229.96952096617918</v>
      </c>
      <c r="BD76" s="106">
        <v>0.35840178698901115</v>
      </c>
      <c r="BE76" s="106">
        <v>279.12331170704186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1.710748999460034</v>
      </c>
      <c r="BM76" s="106">
        <v>1332.3313207794745</v>
      </c>
      <c r="BN76" s="106">
        <v>2.7252493856815638</v>
      </c>
      <c r="BO76" s="106">
        <v>2122.4242215688018</v>
      </c>
      <c r="BP76" s="106">
        <v>3.2993139023198372</v>
      </c>
      <c r="BQ76" s="106">
        <v>2569.5056671266889</v>
      </c>
      <c r="BR76" s="106">
        <v>0</v>
      </c>
      <c r="BS76" s="106">
        <v>0</v>
      </c>
      <c r="BT76" s="106">
        <v>0</v>
      </c>
      <c r="BU76" s="106">
        <v>0</v>
      </c>
      <c r="BV76" s="106">
        <v>8.7603171299324405</v>
      </c>
      <c r="BW76" s="106">
        <v>6822.5349807913844</v>
      </c>
      <c r="BX76" s="106">
        <v>0</v>
      </c>
      <c r="BY76" s="106">
        <v>0</v>
      </c>
      <c r="BZ76" s="106">
        <v>3.1320727444292573</v>
      </c>
      <c r="CA76" s="106">
        <v>2439.2582533615055</v>
      </c>
      <c r="CB76" s="106">
        <v>4.7067146038253469</v>
      </c>
      <c r="CC76" s="106">
        <v>3665.5893334591801</v>
      </c>
      <c r="CD76" s="106">
        <v>1.5249449627266809</v>
      </c>
      <c r="CE76" s="106">
        <v>1187.6271369715389</v>
      </c>
      <c r="CF76" s="106">
        <v>0</v>
      </c>
      <c r="CG76" s="106">
        <v>0</v>
      </c>
      <c r="CH76" s="106">
        <v>0.97485773502005191</v>
      </c>
      <c r="CI76" s="106">
        <v>759.21920403361639</v>
      </c>
      <c r="CJ76" s="106">
        <v>1.6857214166292953</v>
      </c>
      <c r="CK76" s="106">
        <v>1312.839839270895</v>
      </c>
      <c r="CL76" s="106">
        <v>0</v>
      </c>
      <c r="CM76" s="106">
        <v>0</v>
      </c>
      <c r="CN76" s="106">
        <v>1.3745820611505342</v>
      </c>
      <c r="CO76" s="106">
        <v>1070.5245092240359</v>
      </c>
      <c r="CP76" s="106">
        <v>0.98061188881241024</v>
      </c>
      <c r="CQ76" s="106">
        <v>763.70053900710502</v>
      </c>
      <c r="CR76" s="106">
        <v>1.0998232032957092</v>
      </c>
      <c r="CS76" s="106">
        <v>856.54231072669825</v>
      </c>
      <c r="CT76" s="106">
        <v>1.0002602606815714</v>
      </c>
      <c r="CU76" s="106">
        <v>779.0026910188077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0.24108857674810261</v>
      </c>
      <c r="I77" s="106">
        <v>67.119059766671754</v>
      </c>
      <c r="J77" s="106">
        <v>0</v>
      </c>
      <c r="K77" s="106">
        <v>0</v>
      </c>
      <c r="L77" s="106">
        <v>0.97022258877938261</v>
      </c>
      <c r="M77" s="106">
        <v>270.10996871618011</v>
      </c>
      <c r="N77" s="106">
        <v>0.44167374572892704</v>
      </c>
      <c r="O77" s="106">
        <v>122.96197081093328</v>
      </c>
      <c r="P77" s="106">
        <v>0</v>
      </c>
      <c r="Q77" s="106">
        <v>0</v>
      </c>
      <c r="R77" s="106">
        <v>0.28022024555858815</v>
      </c>
      <c r="S77" s="106">
        <v>78.013316363510938</v>
      </c>
      <c r="T77" s="106">
        <v>0.20682300640696999</v>
      </c>
      <c r="U77" s="106">
        <v>57.579524983700438</v>
      </c>
      <c r="V77" s="106">
        <v>0.41316788829450513</v>
      </c>
      <c r="W77" s="106">
        <v>115.02594010119022</v>
      </c>
      <c r="X77" s="106">
        <v>0</v>
      </c>
      <c r="Y77" s="106">
        <v>0</v>
      </c>
      <c r="Z77" s="106">
        <v>0</v>
      </c>
      <c r="AA77" s="106">
        <v>0</v>
      </c>
      <c r="AB77" s="106">
        <v>0.47103748395694678</v>
      </c>
      <c r="AC77" s="106">
        <v>131.13683553361398</v>
      </c>
      <c r="AD77" s="106">
        <v>0.13348500127661925</v>
      </c>
      <c r="AE77" s="106">
        <v>37.162224355410792</v>
      </c>
      <c r="AF77" s="106">
        <v>0</v>
      </c>
      <c r="AG77" s="106">
        <v>0</v>
      </c>
      <c r="AH77" s="106">
        <v>0</v>
      </c>
      <c r="AI77" s="106">
        <v>0</v>
      </c>
      <c r="AJ77" s="106">
        <v>3.0341445933904723</v>
      </c>
      <c r="AK77" s="106">
        <v>844.70585479990746</v>
      </c>
      <c r="AL77" s="106">
        <v>6.5615145570589419</v>
      </c>
      <c r="AM77" s="106">
        <v>1826.7256526852093</v>
      </c>
      <c r="AN77" s="106">
        <v>2.6858836935273325</v>
      </c>
      <c r="AO77" s="106">
        <v>747.75002027800929</v>
      </c>
      <c r="AP77" s="106">
        <v>6.1738850414197204</v>
      </c>
      <c r="AQ77" s="106">
        <v>1718.8095955312501</v>
      </c>
      <c r="AR77" s="106">
        <v>2.162852537434091</v>
      </c>
      <c r="AS77" s="106">
        <v>602.13814642165084</v>
      </c>
      <c r="AT77" s="106">
        <v>2.4807578380374369</v>
      </c>
      <c r="AU77" s="106">
        <v>690.64298210962238</v>
      </c>
      <c r="AV77" s="106">
        <v>0</v>
      </c>
      <c r="AW77" s="106">
        <v>0</v>
      </c>
      <c r="AX77" s="106">
        <v>3.3330142975687975</v>
      </c>
      <c r="AY77" s="106">
        <v>927.91118044315317</v>
      </c>
      <c r="AZ77" s="106">
        <v>0</v>
      </c>
      <c r="BA77" s="106">
        <v>0</v>
      </c>
      <c r="BB77" s="106">
        <v>0.29528700689031739</v>
      </c>
      <c r="BC77" s="106">
        <v>82.20790271826435</v>
      </c>
      <c r="BD77" s="106">
        <v>0.40320201036263753</v>
      </c>
      <c r="BE77" s="106">
        <v>112.25143968495829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2.0528987993520409</v>
      </c>
      <c r="BM77" s="106">
        <v>571.52702573960812</v>
      </c>
      <c r="BN77" s="106">
        <v>2.8463715806007444</v>
      </c>
      <c r="BO77" s="106">
        <v>792.42984803924719</v>
      </c>
      <c r="BP77" s="106">
        <v>3.8343377783717028</v>
      </c>
      <c r="BQ77" s="106">
        <v>1067.479637498682</v>
      </c>
      <c r="BR77" s="106">
        <v>0</v>
      </c>
      <c r="BS77" s="106">
        <v>0</v>
      </c>
      <c r="BT77" s="106">
        <v>0</v>
      </c>
      <c r="BU77" s="106">
        <v>0</v>
      </c>
      <c r="BV77" s="106">
        <v>10.580642767320999</v>
      </c>
      <c r="BW77" s="106">
        <v>2945.6509464221658</v>
      </c>
      <c r="BX77" s="106">
        <v>0</v>
      </c>
      <c r="BY77" s="106">
        <v>0</v>
      </c>
      <c r="BZ77" s="106">
        <v>3.1637098428578359</v>
      </c>
      <c r="CA77" s="106">
        <v>880.77682025162142</v>
      </c>
      <c r="CB77" s="106">
        <v>5.2021582463332781</v>
      </c>
      <c r="CC77" s="106">
        <v>1448.2808557791845</v>
      </c>
      <c r="CD77" s="106">
        <v>1.5645539227975038</v>
      </c>
      <c r="CE77" s="106">
        <v>435.57181210682501</v>
      </c>
      <c r="CF77" s="106">
        <v>0</v>
      </c>
      <c r="CG77" s="106">
        <v>0</v>
      </c>
      <c r="CH77" s="106">
        <v>1.049846791560056</v>
      </c>
      <c r="CI77" s="106">
        <v>292.27734677031958</v>
      </c>
      <c r="CJ77" s="106">
        <v>1.5733399888540089</v>
      </c>
      <c r="CK77" s="106">
        <v>438.01785289695607</v>
      </c>
      <c r="CL77" s="106">
        <v>0</v>
      </c>
      <c r="CM77" s="106">
        <v>0</v>
      </c>
      <c r="CN77" s="106">
        <v>1.489130566246412</v>
      </c>
      <c r="CO77" s="106">
        <v>414.57394964300107</v>
      </c>
      <c r="CP77" s="106">
        <v>0.89146535346582745</v>
      </c>
      <c r="CQ77" s="106">
        <v>248.18395440488635</v>
      </c>
      <c r="CR77" s="106">
        <v>1.0998232032957092</v>
      </c>
      <c r="CS77" s="106">
        <v>306.19077979752541</v>
      </c>
      <c r="CT77" s="106">
        <v>1.187809059559366</v>
      </c>
      <c r="CU77" s="106">
        <v>330.68604218132748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0.22690689576292011</v>
      </c>
      <c r="I78" s="106">
        <v>125.2526064611319</v>
      </c>
      <c r="J78" s="106">
        <v>0</v>
      </c>
      <c r="K78" s="106">
        <v>0</v>
      </c>
      <c r="L78" s="106">
        <v>0.87926422108131552</v>
      </c>
      <c r="M78" s="106">
        <v>485.35385003688617</v>
      </c>
      <c r="N78" s="106">
        <v>0.45664573710956863</v>
      </c>
      <c r="O78" s="106">
        <v>252.06844688448189</v>
      </c>
      <c r="P78" s="106">
        <v>0</v>
      </c>
      <c r="Q78" s="106">
        <v>0</v>
      </c>
      <c r="R78" s="106">
        <v>0.28550742000308976</v>
      </c>
      <c r="S78" s="106">
        <v>157.60009584170555</v>
      </c>
      <c r="T78" s="106">
        <v>0.18097013060609873</v>
      </c>
      <c r="U78" s="106">
        <v>99.895512094566499</v>
      </c>
      <c r="V78" s="106">
        <v>0.35927642460391751</v>
      </c>
      <c r="W78" s="106">
        <v>198.32058638136246</v>
      </c>
      <c r="X78" s="106">
        <v>0</v>
      </c>
      <c r="Y78" s="106">
        <v>0</v>
      </c>
      <c r="Z78" s="106">
        <v>0</v>
      </c>
      <c r="AA78" s="106">
        <v>0</v>
      </c>
      <c r="AB78" s="106">
        <v>0.4037464148202401</v>
      </c>
      <c r="AC78" s="106">
        <v>222.86802098077254</v>
      </c>
      <c r="AD78" s="106">
        <v>0.14683350140428117</v>
      </c>
      <c r="AE78" s="106">
        <v>81.052092775163203</v>
      </c>
      <c r="AF78" s="106">
        <v>0</v>
      </c>
      <c r="AG78" s="106">
        <v>0</v>
      </c>
      <c r="AH78" s="106">
        <v>0</v>
      </c>
      <c r="AI78" s="106">
        <v>0</v>
      </c>
      <c r="AJ78" s="106">
        <v>2.7652963382799243</v>
      </c>
      <c r="AK78" s="106">
        <v>1526.4435787305183</v>
      </c>
      <c r="AL78" s="106">
        <v>5.6343440218223533</v>
      </c>
      <c r="AM78" s="106">
        <v>3110.1579000459392</v>
      </c>
      <c r="AN78" s="106">
        <v>2.8750304325081304</v>
      </c>
      <c r="AO78" s="106">
        <v>1587.0167987444879</v>
      </c>
      <c r="AP78" s="106">
        <v>5.1916760575574914</v>
      </c>
      <c r="AQ78" s="106">
        <v>2865.8051837717353</v>
      </c>
      <c r="AR78" s="106">
        <v>1.992740540107814</v>
      </c>
      <c r="AS78" s="106">
        <v>1099.9927781395133</v>
      </c>
      <c r="AT78" s="106">
        <v>2.5113844780132073</v>
      </c>
      <c r="AU78" s="106">
        <v>1386.2842318632904</v>
      </c>
      <c r="AV78" s="106">
        <v>0</v>
      </c>
      <c r="AW78" s="106">
        <v>0</v>
      </c>
      <c r="AX78" s="106">
        <v>3.2048214399699972</v>
      </c>
      <c r="AY78" s="106">
        <v>1769.0614348634385</v>
      </c>
      <c r="AZ78" s="106">
        <v>0</v>
      </c>
      <c r="BA78" s="106">
        <v>0</v>
      </c>
      <c r="BB78" s="106">
        <v>0.29528700689031739</v>
      </c>
      <c r="BC78" s="106">
        <v>162.9984278034552</v>
      </c>
      <c r="BD78" s="106">
        <v>0.40320201036263753</v>
      </c>
      <c r="BE78" s="106">
        <v>222.56750972017591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2.0528987993520409</v>
      </c>
      <c r="BM78" s="106">
        <v>1133.2001372423265</v>
      </c>
      <c r="BN78" s="106">
        <v>3.0280548729795149</v>
      </c>
      <c r="BO78" s="106">
        <v>1671.4862898846923</v>
      </c>
      <c r="BP78" s="106">
        <v>3.2993139023198372</v>
      </c>
      <c r="BQ78" s="106">
        <v>1821.2212740805501</v>
      </c>
      <c r="BR78" s="106">
        <v>0</v>
      </c>
      <c r="BS78" s="106">
        <v>0</v>
      </c>
      <c r="BT78" s="106">
        <v>0</v>
      </c>
      <c r="BU78" s="106">
        <v>0</v>
      </c>
      <c r="BV78" s="106">
        <v>8.987857834606011</v>
      </c>
      <c r="BW78" s="106">
        <v>4961.2975247025179</v>
      </c>
      <c r="BX78" s="106">
        <v>0</v>
      </c>
      <c r="BY78" s="106">
        <v>0</v>
      </c>
      <c r="BZ78" s="106">
        <v>2.8473388585720523</v>
      </c>
      <c r="CA78" s="106">
        <v>1571.7310499317728</v>
      </c>
      <c r="CB78" s="106">
        <v>5.0163668803928037</v>
      </c>
      <c r="CC78" s="106">
        <v>2769.0345179768278</v>
      </c>
      <c r="CD78" s="106">
        <v>1.5843584028329154</v>
      </c>
      <c r="CE78" s="106">
        <v>874.56583836376933</v>
      </c>
      <c r="CF78" s="106">
        <v>0</v>
      </c>
      <c r="CG78" s="106">
        <v>0</v>
      </c>
      <c r="CH78" s="106">
        <v>0.89986867848004792</v>
      </c>
      <c r="CI78" s="106">
        <v>496.72751052098647</v>
      </c>
      <c r="CJ78" s="106">
        <v>1.6857214166292953</v>
      </c>
      <c r="CK78" s="106">
        <v>930.51822197937099</v>
      </c>
      <c r="CL78" s="106">
        <v>0</v>
      </c>
      <c r="CM78" s="106">
        <v>0</v>
      </c>
      <c r="CN78" s="106">
        <v>1.489130566246412</v>
      </c>
      <c r="CO78" s="106">
        <v>822.0000725680195</v>
      </c>
      <c r="CP78" s="106">
        <v>0.89146535346582745</v>
      </c>
      <c r="CQ78" s="106">
        <v>492.08887511313674</v>
      </c>
      <c r="CR78" s="106">
        <v>1.0419377715433034</v>
      </c>
      <c r="CS78" s="106">
        <v>575.14964989190344</v>
      </c>
      <c r="CT78" s="106">
        <v>1.0002602606815714</v>
      </c>
      <c r="CU78" s="106">
        <v>552.14366389622739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0.22690689576292011</v>
      </c>
      <c r="I79" s="106">
        <v>171.8139014716831</v>
      </c>
      <c r="J79" s="106">
        <v>0</v>
      </c>
      <c r="K79" s="106">
        <v>0</v>
      </c>
      <c r="L79" s="106">
        <v>0.84894476518195983</v>
      </c>
      <c r="M79" s="106">
        <v>642.82097619577996</v>
      </c>
      <c r="N79" s="106">
        <v>0.38178578020636067</v>
      </c>
      <c r="O79" s="106">
        <v>289.08819277225626</v>
      </c>
      <c r="P79" s="106">
        <v>0</v>
      </c>
      <c r="Q79" s="106">
        <v>0</v>
      </c>
      <c r="R79" s="106">
        <v>0.28550742000308976</v>
      </c>
      <c r="S79" s="106">
        <v>216.18621842633954</v>
      </c>
      <c r="T79" s="106">
        <v>0.18097013060609873</v>
      </c>
      <c r="U79" s="106">
        <v>137.03058289493794</v>
      </c>
      <c r="V79" s="106">
        <v>0.35927642460391751</v>
      </c>
      <c r="W79" s="106">
        <v>272.04410871008633</v>
      </c>
      <c r="X79" s="106">
        <v>0</v>
      </c>
      <c r="Y79" s="106">
        <v>0</v>
      </c>
      <c r="Z79" s="106">
        <v>0</v>
      </c>
      <c r="AA79" s="106">
        <v>0</v>
      </c>
      <c r="AB79" s="106">
        <v>0.47103748395694678</v>
      </c>
      <c r="AC79" s="106">
        <v>356.66958285220005</v>
      </c>
      <c r="AD79" s="106">
        <v>0.12681075121278829</v>
      </c>
      <c r="AE79" s="106">
        <v>96.021100818323276</v>
      </c>
      <c r="AF79" s="106">
        <v>0</v>
      </c>
      <c r="AG79" s="106">
        <v>0</v>
      </c>
      <c r="AH79" s="106">
        <v>0</v>
      </c>
      <c r="AI79" s="106">
        <v>0</v>
      </c>
      <c r="AJ79" s="106">
        <v>2.5732618703438179</v>
      </c>
      <c r="AK79" s="106">
        <v>1948.4738882243387</v>
      </c>
      <c r="AL79" s="106">
        <v>5.491702401016723</v>
      </c>
      <c r="AM79" s="106">
        <v>4158.3170580498627</v>
      </c>
      <c r="AN79" s="106">
        <v>2.4210782589542155</v>
      </c>
      <c r="AO79" s="106">
        <v>1833.2404576801318</v>
      </c>
      <c r="AP79" s="106">
        <v>5.3319916266806668</v>
      </c>
      <c r="AQ79" s="106">
        <v>4037.3840597226003</v>
      </c>
      <c r="AR79" s="106">
        <v>2.28436110695286</v>
      </c>
      <c r="AS79" s="106">
        <v>1729.7182301847054</v>
      </c>
      <c r="AT79" s="106">
        <v>2.1744914382797287</v>
      </c>
      <c r="AU79" s="106">
        <v>1646.5249170654104</v>
      </c>
      <c r="AV79" s="106">
        <v>0</v>
      </c>
      <c r="AW79" s="106">
        <v>0</v>
      </c>
      <c r="AX79" s="106">
        <v>2.8843392959729974</v>
      </c>
      <c r="AY79" s="106">
        <v>2184.0217149107534</v>
      </c>
      <c r="AZ79" s="106">
        <v>0</v>
      </c>
      <c r="BA79" s="106">
        <v>0</v>
      </c>
      <c r="BB79" s="106">
        <v>0.29528700689031739</v>
      </c>
      <c r="BC79" s="106">
        <v>223.59132161734831</v>
      </c>
      <c r="BD79" s="106">
        <v>0.35840178698901115</v>
      </c>
      <c r="BE79" s="106">
        <v>271.38183310807921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1.9844688393736394</v>
      </c>
      <c r="BM79" s="106">
        <v>1502.6398051737197</v>
      </c>
      <c r="BN79" s="106">
        <v>2.9674937755199249</v>
      </c>
      <c r="BO79" s="106">
        <v>2246.9862868236869</v>
      </c>
      <c r="BP79" s="106">
        <v>3.4479316456675777</v>
      </c>
      <c r="BQ79" s="106">
        <v>2610.7738420994897</v>
      </c>
      <c r="BR79" s="106">
        <v>0</v>
      </c>
      <c r="BS79" s="106">
        <v>0</v>
      </c>
      <c r="BT79" s="106">
        <v>0</v>
      </c>
      <c r="BU79" s="106">
        <v>0</v>
      </c>
      <c r="BV79" s="106">
        <v>9.1016281869427953</v>
      </c>
      <c r="BW79" s="106">
        <v>6891.752863153084</v>
      </c>
      <c r="BX79" s="106">
        <v>0</v>
      </c>
      <c r="BY79" s="106">
        <v>0</v>
      </c>
      <c r="BZ79" s="106">
        <v>3.2269840397149925</v>
      </c>
      <c r="CA79" s="106">
        <v>2443.4723148721919</v>
      </c>
      <c r="CB79" s="106">
        <v>4.6447841485118557</v>
      </c>
      <c r="CC79" s="106">
        <v>3517.030557253177</v>
      </c>
      <c r="CD79" s="106">
        <v>1.5645539227975038</v>
      </c>
      <c r="CE79" s="106">
        <v>1184.6802303422699</v>
      </c>
      <c r="CF79" s="106">
        <v>0</v>
      </c>
      <c r="CG79" s="106">
        <v>0</v>
      </c>
      <c r="CH79" s="106">
        <v>0.97485773502005191</v>
      </c>
      <c r="CI79" s="106">
        <v>738.16227695718328</v>
      </c>
      <c r="CJ79" s="106">
        <v>1.5733399888540089</v>
      </c>
      <c r="CK79" s="106">
        <v>1191.3330395602554</v>
      </c>
      <c r="CL79" s="106">
        <v>0</v>
      </c>
      <c r="CM79" s="106">
        <v>0</v>
      </c>
      <c r="CN79" s="106">
        <v>1.489130566246412</v>
      </c>
      <c r="CO79" s="106">
        <v>1127.5696647617831</v>
      </c>
      <c r="CP79" s="106">
        <v>0.89146535346582745</v>
      </c>
      <c r="CQ79" s="106">
        <v>675.01756564432446</v>
      </c>
      <c r="CR79" s="106">
        <v>1.0419377715433034</v>
      </c>
      <c r="CS79" s="106">
        <v>788.95528061258926</v>
      </c>
      <c r="CT79" s="106">
        <v>1.0627765269741696</v>
      </c>
      <c r="CU79" s="106">
        <v>804.73438622484116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0.21272521477773762</v>
      </c>
      <c r="I80" s="106">
        <v>171.28634293903431</v>
      </c>
      <c r="J80" s="106">
        <v>0</v>
      </c>
      <c r="K80" s="106">
        <v>0</v>
      </c>
      <c r="L80" s="106">
        <v>0.84894476518195983</v>
      </c>
      <c r="M80" s="106">
        <v>683.57032492451401</v>
      </c>
      <c r="N80" s="106">
        <v>0.39675777158700226</v>
      </c>
      <c r="O80" s="106">
        <v>319.46935768185421</v>
      </c>
      <c r="P80" s="106">
        <v>0</v>
      </c>
      <c r="Q80" s="106">
        <v>0</v>
      </c>
      <c r="R80" s="106">
        <v>0.2590715477805815</v>
      </c>
      <c r="S80" s="106">
        <v>208.60441027292421</v>
      </c>
      <c r="T80" s="106">
        <v>0.17235250533914165</v>
      </c>
      <c r="U80" s="106">
        <v>138.77823729907684</v>
      </c>
      <c r="V80" s="106">
        <v>0.37724024583411336</v>
      </c>
      <c r="W80" s="106">
        <v>303.75384594562803</v>
      </c>
      <c r="X80" s="106">
        <v>0</v>
      </c>
      <c r="Y80" s="106">
        <v>0</v>
      </c>
      <c r="Z80" s="106">
        <v>0</v>
      </c>
      <c r="AA80" s="106">
        <v>0</v>
      </c>
      <c r="AB80" s="106">
        <v>0.42617677119914232</v>
      </c>
      <c r="AC80" s="106">
        <v>343.15753616954936</v>
      </c>
      <c r="AD80" s="106">
        <v>0.14015925134045021</v>
      </c>
      <c r="AE80" s="106">
        <v>112.8562291793305</v>
      </c>
      <c r="AF80" s="106">
        <v>0</v>
      </c>
      <c r="AG80" s="106">
        <v>0</v>
      </c>
      <c r="AH80" s="106">
        <v>0</v>
      </c>
      <c r="AI80" s="106">
        <v>0</v>
      </c>
      <c r="AJ80" s="106">
        <v>2.6884825511054817</v>
      </c>
      <c r="AK80" s="106">
        <v>2164.7661501501339</v>
      </c>
      <c r="AL80" s="106">
        <v>6.4188729362533135</v>
      </c>
      <c r="AM80" s="106">
        <v>5168.4764882711679</v>
      </c>
      <c r="AN80" s="106">
        <v>2.3075902155657366</v>
      </c>
      <c r="AO80" s="106">
        <v>1858.071641573531</v>
      </c>
      <c r="AP80" s="106">
        <v>5.1916760575574914</v>
      </c>
      <c r="AQ80" s="106">
        <v>4180.3375615452915</v>
      </c>
      <c r="AR80" s="106">
        <v>1.9441371123003062</v>
      </c>
      <c r="AS80" s="106">
        <v>1565.4192028242064</v>
      </c>
      <c r="AT80" s="106">
        <v>2.0826115183524161</v>
      </c>
      <c r="AU80" s="106">
        <v>1676.9187945773654</v>
      </c>
      <c r="AV80" s="106">
        <v>0</v>
      </c>
      <c r="AW80" s="106">
        <v>0</v>
      </c>
      <c r="AX80" s="106">
        <v>3.3330142975687975</v>
      </c>
      <c r="AY80" s="106">
        <v>2683.7431124023956</v>
      </c>
      <c r="AZ80" s="106">
        <v>0</v>
      </c>
      <c r="BA80" s="106">
        <v>0</v>
      </c>
      <c r="BB80" s="106">
        <v>0.29528700689031739</v>
      </c>
      <c r="BC80" s="106">
        <v>237.76509794808354</v>
      </c>
      <c r="BD80" s="106">
        <v>0.35840178698901115</v>
      </c>
      <c r="BE80" s="106">
        <v>288.58511888355173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1.9160388793952381</v>
      </c>
      <c r="BM80" s="106">
        <v>1542.7945056890455</v>
      </c>
      <c r="BN80" s="106">
        <v>2.9069326780603344</v>
      </c>
      <c r="BO80" s="106">
        <v>2340.6621923741809</v>
      </c>
      <c r="BP80" s="106">
        <v>3.2398668049807409</v>
      </c>
      <c r="BQ80" s="106">
        <v>2608.7407513704925</v>
      </c>
      <c r="BR80" s="106">
        <v>0</v>
      </c>
      <c r="BS80" s="106">
        <v>0</v>
      </c>
      <c r="BT80" s="106">
        <v>0</v>
      </c>
      <c r="BU80" s="106">
        <v>0</v>
      </c>
      <c r="BV80" s="106">
        <v>9.6704799486267206</v>
      </c>
      <c r="BW80" s="106">
        <v>7786.6704546342344</v>
      </c>
      <c r="BX80" s="106">
        <v>0</v>
      </c>
      <c r="BY80" s="106">
        <v>0</v>
      </c>
      <c r="BZ80" s="106">
        <v>2.9106130554292089</v>
      </c>
      <c r="CA80" s="106">
        <v>2343.625632231599</v>
      </c>
      <c r="CB80" s="106">
        <v>4.4589927825713813</v>
      </c>
      <c r="CC80" s="106">
        <v>3590.3809885264759</v>
      </c>
      <c r="CD80" s="106">
        <v>1.5645539227975038</v>
      </c>
      <c r="CE80" s="106">
        <v>1259.7788186365499</v>
      </c>
      <c r="CF80" s="106">
        <v>0</v>
      </c>
      <c r="CG80" s="106">
        <v>0</v>
      </c>
      <c r="CH80" s="106">
        <v>0.82487962194004394</v>
      </c>
      <c r="CI80" s="106">
        <v>664.19307158612332</v>
      </c>
      <c r="CJ80" s="106">
        <v>1.4609585610787226</v>
      </c>
      <c r="CK80" s="106">
        <v>1176.3638333805873</v>
      </c>
      <c r="CL80" s="106">
        <v>0</v>
      </c>
      <c r="CM80" s="106">
        <v>0</v>
      </c>
      <c r="CN80" s="106">
        <v>1.2600335560546561</v>
      </c>
      <c r="CO80" s="106">
        <v>1014.579019335209</v>
      </c>
      <c r="CP80" s="106">
        <v>0.89146535346582745</v>
      </c>
      <c r="CQ80" s="106">
        <v>717.80790261068421</v>
      </c>
      <c r="CR80" s="106">
        <v>1.0419377715433034</v>
      </c>
      <c r="CS80" s="106">
        <v>838.9682936466678</v>
      </c>
      <c r="CT80" s="106">
        <v>1.1252927932667678</v>
      </c>
      <c r="CU80" s="106">
        <v>906.08575713840139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0.22690689576292011</v>
      </c>
      <c r="I81" s="106">
        <v>170.99703664693661</v>
      </c>
      <c r="J81" s="106">
        <v>0</v>
      </c>
      <c r="K81" s="106">
        <v>0</v>
      </c>
      <c r="L81" s="106">
        <v>0.78830585338324832</v>
      </c>
      <c r="M81" s="106">
        <v>594.06729110961601</v>
      </c>
      <c r="N81" s="106">
        <v>0.38178578020636067</v>
      </c>
      <c r="O81" s="106">
        <v>287.71376396351343</v>
      </c>
      <c r="P81" s="106">
        <v>0</v>
      </c>
      <c r="Q81" s="106">
        <v>0</v>
      </c>
      <c r="R81" s="106">
        <v>0.29079459444759143</v>
      </c>
      <c r="S81" s="106">
        <v>219.14280637570491</v>
      </c>
      <c r="T81" s="106">
        <v>0.1982053811400129</v>
      </c>
      <c r="U81" s="106">
        <v>149.36757522711372</v>
      </c>
      <c r="V81" s="106">
        <v>0.41316788829450513</v>
      </c>
      <c r="W81" s="106">
        <v>311.36332061873907</v>
      </c>
      <c r="X81" s="106">
        <v>0</v>
      </c>
      <c r="Y81" s="106">
        <v>0</v>
      </c>
      <c r="Z81" s="106">
        <v>0</v>
      </c>
      <c r="AA81" s="106">
        <v>0</v>
      </c>
      <c r="AB81" s="106">
        <v>0.42617677119914232</v>
      </c>
      <c r="AC81" s="106">
        <v>321.16681477567369</v>
      </c>
      <c r="AD81" s="106">
        <v>0.12013650114895733</v>
      </c>
      <c r="AE81" s="106">
        <v>90.534867265854245</v>
      </c>
      <c r="AF81" s="106">
        <v>0</v>
      </c>
      <c r="AG81" s="106">
        <v>0</v>
      </c>
      <c r="AH81" s="106">
        <v>0</v>
      </c>
      <c r="AI81" s="106">
        <v>0</v>
      </c>
      <c r="AJ81" s="106">
        <v>2.726889444692703</v>
      </c>
      <c r="AK81" s="106">
        <v>2054.9838855204212</v>
      </c>
      <c r="AL81" s="106">
        <v>5.8483064530307969</v>
      </c>
      <c r="AM81" s="106">
        <v>4407.283743004009</v>
      </c>
      <c r="AN81" s="106">
        <v>2.3454195633618959</v>
      </c>
      <c r="AO81" s="106">
        <v>1767.5081829495248</v>
      </c>
      <c r="AP81" s="106">
        <v>5.402149411242255</v>
      </c>
      <c r="AQ81" s="106">
        <v>4071.0597963121636</v>
      </c>
      <c r="AR81" s="106">
        <v>2.28436110695286</v>
      </c>
      <c r="AS81" s="106">
        <v>1721.4945301996754</v>
      </c>
      <c r="AT81" s="106">
        <v>2.0519848783766452</v>
      </c>
      <c r="AU81" s="106">
        <v>1546.3758043446398</v>
      </c>
      <c r="AV81" s="106">
        <v>0</v>
      </c>
      <c r="AW81" s="106">
        <v>0</v>
      </c>
      <c r="AX81" s="106">
        <v>2.9484357247723976</v>
      </c>
      <c r="AY81" s="106">
        <v>2221.9411621884788</v>
      </c>
      <c r="AZ81" s="106">
        <v>0</v>
      </c>
      <c r="BA81" s="106">
        <v>0</v>
      </c>
      <c r="BB81" s="106">
        <v>0.29528700689031739</v>
      </c>
      <c r="BC81" s="106">
        <v>222.5282883925432</v>
      </c>
      <c r="BD81" s="106">
        <v>0.35840178698901115</v>
      </c>
      <c r="BE81" s="106">
        <v>270.0915866749188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1.9844688393736394</v>
      </c>
      <c r="BM81" s="106">
        <v>1495.4957173519747</v>
      </c>
      <c r="BN81" s="106">
        <v>2.7858104831411543</v>
      </c>
      <c r="BO81" s="106">
        <v>2099.3867800951739</v>
      </c>
      <c r="BP81" s="106">
        <v>3.0912490616330008</v>
      </c>
      <c r="BQ81" s="106">
        <v>2329.5652928466293</v>
      </c>
      <c r="BR81" s="106">
        <v>0</v>
      </c>
      <c r="BS81" s="106">
        <v>0</v>
      </c>
      <c r="BT81" s="106">
        <v>0</v>
      </c>
      <c r="BU81" s="106">
        <v>0</v>
      </c>
      <c r="BV81" s="106">
        <v>10.12556135797386</v>
      </c>
      <c r="BW81" s="106">
        <v>7630.6230393691012</v>
      </c>
      <c r="BX81" s="106">
        <v>0</v>
      </c>
      <c r="BY81" s="106">
        <v>0</v>
      </c>
      <c r="BZ81" s="106">
        <v>3.1953469412864139</v>
      </c>
      <c r="CA81" s="106">
        <v>2408.0134549534414</v>
      </c>
      <c r="CB81" s="106">
        <v>4.5209232378848734</v>
      </c>
      <c r="CC81" s="106">
        <v>3406.9677520700407</v>
      </c>
      <c r="CD81" s="106">
        <v>1.4457270425850353</v>
      </c>
      <c r="CE81" s="106">
        <v>1089.4998992920825</v>
      </c>
      <c r="CF81" s="106">
        <v>0</v>
      </c>
      <c r="CG81" s="106">
        <v>0</v>
      </c>
      <c r="CH81" s="106">
        <v>0.82487962194004394</v>
      </c>
      <c r="CI81" s="106">
        <v>621.62928309401718</v>
      </c>
      <c r="CJ81" s="106">
        <v>1.5733399888540089</v>
      </c>
      <c r="CK81" s="106">
        <v>1185.6690156003813</v>
      </c>
      <c r="CL81" s="106">
        <v>0</v>
      </c>
      <c r="CM81" s="106">
        <v>0</v>
      </c>
      <c r="CN81" s="106">
        <v>1.3745820611505342</v>
      </c>
      <c r="CO81" s="106">
        <v>1035.8850412830425</v>
      </c>
      <c r="CP81" s="106">
        <v>0.93603862113911884</v>
      </c>
      <c r="CQ81" s="106">
        <v>705.39870489043994</v>
      </c>
      <c r="CR81" s="106">
        <v>0.926166908038492</v>
      </c>
      <c r="CS81" s="106">
        <v>697.95938189780759</v>
      </c>
      <c r="CT81" s="106">
        <v>1.0002602606815714</v>
      </c>
      <c r="CU81" s="106">
        <v>753.79613244963218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0.21272521477773762</v>
      </c>
      <c r="I82" s="106">
        <v>108.23458927891288</v>
      </c>
      <c r="J82" s="106">
        <v>0</v>
      </c>
      <c r="K82" s="106">
        <v>0</v>
      </c>
      <c r="L82" s="106">
        <v>0.81862530928260402</v>
      </c>
      <c r="M82" s="106">
        <v>416.51655736298886</v>
      </c>
      <c r="N82" s="106">
        <v>0.41172976296764385</v>
      </c>
      <c r="O82" s="106">
        <v>209.48810339793715</v>
      </c>
      <c r="P82" s="106">
        <v>0</v>
      </c>
      <c r="Q82" s="106">
        <v>0</v>
      </c>
      <c r="R82" s="106">
        <v>0.30136894333659475</v>
      </c>
      <c r="S82" s="106">
        <v>153.33651836965939</v>
      </c>
      <c r="T82" s="106">
        <v>0.18097013060609873</v>
      </c>
      <c r="U82" s="106">
        <v>92.077602452383019</v>
      </c>
      <c r="V82" s="106">
        <v>0.41316788829450513</v>
      </c>
      <c r="W82" s="106">
        <v>210.21982156424417</v>
      </c>
      <c r="X82" s="106">
        <v>0</v>
      </c>
      <c r="Y82" s="106">
        <v>0</v>
      </c>
      <c r="Z82" s="106">
        <v>0</v>
      </c>
      <c r="AA82" s="106">
        <v>0</v>
      </c>
      <c r="AB82" s="106">
        <v>0.4037464148202401</v>
      </c>
      <c r="AC82" s="106">
        <v>205.42617586053811</v>
      </c>
      <c r="AD82" s="106">
        <v>0.12681075121278829</v>
      </c>
      <c r="AE82" s="106">
        <v>64.52131021706667</v>
      </c>
      <c r="AF82" s="106">
        <v>0</v>
      </c>
      <c r="AG82" s="106">
        <v>0</v>
      </c>
      <c r="AH82" s="106">
        <v>0</v>
      </c>
      <c r="AI82" s="106">
        <v>0</v>
      </c>
      <c r="AJ82" s="106">
        <v>3.1109583805649148</v>
      </c>
      <c r="AK82" s="106">
        <v>1582.8556240314283</v>
      </c>
      <c r="AL82" s="106">
        <v>5.7769856426279826</v>
      </c>
      <c r="AM82" s="106">
        <v>2939.3302949691169</v>
      </c>
      <c r="AN82" s="106">
        <v>2.4210782589542155</v>
      </c>
      <c r="AO82" s="106">
        <v>1231.8446181559045</v>
      </c>
      <c r="AP82" s="106">
        <v>6.0335694722965441</v>
      </c>
      <c r="AQ82" s="106">
        <v>3069.8801475044811</v>
      </c>
      <c r="AR82" s="106">
        <v>2.3572662486641209</v>
      </c>
      <c r="AS82" s="106">
        <v>1199.3770673203044</v>
      </c>
      <c r="AT82" s="106">
        <v>2.2051180782554991</v>
      </c>
      <c r="AU82" s="106">
        <v>1121.9640782163976</v>
      </c>
      <c r="AV82" s="106">
        <v>0</v>
      </c>
      <c r="AW82" s="106">
        <v>0</v>
      </c>
      <c r="AX82" s="106">
        <v>3.3330142975687975</v>
      </c>
      <c r="AY82" s="106">
        <v>1695.8376746030037</v>
      </c>
      <c r="AZ82" s="106">
        <v>0</v>
      </c>
      <c r="BA82" s="106">
        <v>0</v>
      </c>
      <c r="BB82" s="106">
        <v>0.29528700689031739</v>
      </c>
      <c r="BC82" s="106">
        <v>150.24202910579345</v>
      </c>
      <c r="BD82" s="106">
        <v>0.35840178698901115</v>
      </c>
      <c r="BE82" s="106">
        <v>182.35482922000884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1.9844688393736394</v>
      </c>
      <c r="BM82" s="106">
        <v>1009.6977454733075</v>
      </c>
      <c r="BN82" s="106">
        <v>2.5435660933027928</v>
      </c>
      <c r="BO82" s="106">
        <v>1294.1664282724607</v>
      </c>
      <c r="BP82" s="106">
        <v>3.2101432563111927</v>
      </c>
      <c r="BQ82" s="106">
        <v>1633.3208888111344</v>
      </c>
      <c r="BR82" s="106">
        <v>0</v>
      </c>
      <c r="BS82" s="106">
        <v>0</v>
      </c>
      <c r="BT82" s="106">
        <v>0</v>
      </c>
      <c r="BU82" s="106">
        <v>0</v>
      </c>
      <c r="BV82" s="106">
        <v>10.466872414984215</v>
      </c>
      <c r="BW82" s="106">
        <v>5325.5446847439671</v>
      </c>
      <c r="BX82" s="106">
        <v>0</v>
      </c>
      <c r="BY82" s="106">
        <v>0</v>
      </c>
      <c r="BZ82" s="106">
        <v>3.1320727444292573</v>
      </c>
      <c r="CA82" s="106">
        <v>1593.5986123656057</v>
      </c>
      <c r="CB82" s="106">
        <v>4.5828536931983646</v>
      </c>
      <c r="CC82" s="106">
        <v>2331.7559590993274</v>
      </c>
      <c r="CD82" s="106">
        <v>1.663576322974561</v>
      </c>
      <c r="CE82" s="106">
        <v>846.42763312945647</v>
      </c>
      <c r="CF82" s="106">
        <v>0</v>
      </c>
      <c r="CG82" s="106">
        <v>0</v>
      </c>
      <c r="CH82" s="106">
        <v>0.89986867848004792</v>
      </c>
      <c r="CI82" s="106">
        <v>457.85318361064827</v>
      </c>
      <c r="CJ82" s="106">
        <v>1.6857214166292953</v>
      </c>
      <c r="CK82" s="106">
        <v>857.69505678098528</v>
      </c>
      <c r="CL82" s="106">
        <v>0</v>
      </c>
      <c r="CM82" s="106">
        <v>0</v>
      </c>
      <c r="CN82" s="106">
        <v>1.489130566246412</v>
      </c>
      <c r="CO82" s="106">
        <v>757.66963210617428</v>
      </c>
      <c r="CP82" s="106">
        <v>0.89146535346582745</v>
      </c>
      <c r="CQ82" s="106">
        <v>453.5775718434129</v>
      </c>
      <c r="CR82" s="106">
        <v>1.0998232032957092</v>
      </c>
      <c r="CS82" s="106">
        <v>559.59004583685669</v>
      </c>
      <c r="CT82" s="106">
        <v>1.187809059559366</v>
      </c>
      <c r="CU82" s="106">
        <v>604.35724950380529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0.24108857674810261</v>
      </c>
      <c r="I83" s="106">
        <v>207.43261143406747</v>
      </c>
      <c r="J83" s="106">
        <v>0</v>
      </c>
      <c r="K83" s="106">
        <v>0</v>
      </c>
      <c r="L83" s="106">
        <v>0.87926422108131552</v>
      </c>
      <c r="M83" s="106">
        <v>756.51893581836384</v>
      </c>
      <c r="N83" s="106">
        <v>0.44167374572892704</v>
      </c>
      <c r="O83" s="106">
        <v>380.01609082516882</v>
      </c>
      <c r="P83" s="106">
        <v>0</v>
      </c>
      <c r="Q83" s="106">
        <v>0</v>
      </c>
      <c r="R83" s="106">
        <v>0.26964589666958477</v>
      </c>
      <c r="S83" s="106">
        <v>232.00332949451072</v>
      </c>
      <c r="T83" s="106">
        <v>0.18958775587305582</v>
      </c>
      <c r="U83" s="106">
        <v>163.12130515317722</v>
      </c>
      <c r="V83" s="106">
        <v>0.3413126033737216</v>
      </c>
      <c r="W83" s="106">
        <v>293.66536394275005</v>
      </c>
      <c r="X83" s="106">
        <v>0</v>
      </c>
      <c r="Y83" s="106">
        <v>0</v>
      </c>
      <c r="Z83" s="106">
        <v>0</v>
      </c>
      <c r="AA83" s="106">
        <v>0</v>
      </c>
      <c r="AB83" s="106">
        <v>0.42617677119914232</v>
      </c>
      <c r="AC83" s="106">
        <v>366.68249393974207</v>
      </c>
      <c r="AD83" s="106">
        <v>0.14015925134045021</v>
      </c>
      <c r="AE83" s="106">
        <v>120.59301985332336</v>
      </c>
      <c r="AF83" s="106">
        <v>0</v>
      </c>
      <c r="AG83" s="106">
        <v>0</v>
      </c>
      <c r="AH83" s="106">
        <v>0</v>
      </c>
      <c r="AI83" s="106">
        <v>0</v>
      </c>
      <c r="AJ83" s="106">
        <v>2.7652963382799243</v>
      </c>
      <c r="AK83" s="106">
        <v>2379.260969456047</v>
      </c>
      <c r="AL83" s="106">
        <v>6.3475521258504992</v>
      </c>
      <c r="AM83" s="106">
        <v>5461.433849081769</v>
      </c>
      <c r="AN83" s="106">
        <v>2.5345663023426939</v>
      </c>
      <c r="AO83" s="106">
        <v>2180.7408465356539</v>
      </c>
      <c r="AP83" s="106">
        <v>5.402149411242255</v>
      </c>
      <c r="AQ83" s="106">
        <v>4648.0093534328362</v>
      </c>
      <c r="AR83" s="106">
        <v>2.0413439679153216</v>
      </c>
      <c r="AS83" s="106">
        <v>1756.3723499943426</v>
      </c>
      <c r="AT83" s="106">
        <v>2.4195045580858952</v>
      </c>
      <c r="AU83" s="106">
        <v>2081.741721777104</v>
      </c>
      <c r="AV83" s="106">
        <v>0</v>
      </c>
      <c r="AW83" s="106">
        <v>0</v>
      </c>
      <c r="AX83" s="106">
        <v>2.8843392959729974</v>
      </c>
      <c r="AY83" s="106">
        <v>2481.6855302551671</v>
      </c>
      <c r="AZ83" s="106">
        <v>0</v>
      </c>
      <c r="BA83" s="106">
        <v>0</v>
      </c>
      <c r="BB83" s="106">
        <v>0.29528700689031739</v>
      </c>
      <c r="BC83" s="106">
        <v>254.06494072842909</v>
      </c>
      <c r="BD83" s="106">
        <v>0.35840178698901115</v>
      </c>
      <c r="BE83" s="106">
        <v>308.36889752534518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1.9160388793952381</v>
      </c>
      <c r="BM83" s="106">
        <v>1648.5598518316629</v>
      </c>
      <c r="BN83" s="106">
        <v>2.6646882882219733</v>
      </c>
      <c r="BO83" s="106">
        <v>2292.6978031861859</v>
      </c>
      <c r="BP83" s="106">
        <v>3.5965493890153182</v>
      </c>
      <c r="BQ83" s="106">
        <v>3094.4710943087798</v>
      </c>
      <c r="BR83" s="106">
        <v>0</v>
      </c>
      <c r="BS83" s="106">
        <v>0</v>
      </c>
      <c r="BT83" s="106">
        <v>0</v>
      </c>
      <c r="BU83" s="106">
        <v>0</v>
      </c>
      <c r="BV83" s="106">
        <v>9.4429392439531501</v>
      </c>
      <c r="BW83" s="106">
        <v>8124.7049254972899</v>
      </c>
      <c r="BX83" s="106">
        <v>0</v>
      </c>
      <c r="BY83" s="106">
        <v>0</v>
      </c>
      <c r="BZ83" s="106">
        <v>2.9738872522863655</v>
      </c>
      <c r="CA83" s="106">
        <v>2558.7325918671886</v>
      </c>
      <c r="CB83" s="106">
        <v>4.2732014166309069</v>
      </c>
      <c r="CC83" s="106">
        <v>3676.6624988692324</v>
      </c>
      <c r="CD83" s="106">
        <v>1.4457270425850353</v>
      </c>
      <c r="CE83" s="106">
        <v>1243.9035474401644</v>
      </c>
      <c r="CF83" s="106">
        <v>0</v>
      </c>
      <c r="CG83" s="106">
        <v>0</v>
      </c>
      <c r="CH83" s="106">
        <v>0.82487962194004394</v>
      </c>
      <c r="CI83" s="106">
        <v>709.72642671721383</v>
      </c>
      <c r="CJ83" s="106">
        <v>1.4609585610787226</v>
      </c>
      <c r="CK83" s="106">
        <v>1257.0087459521328</v>
      </c>
      <c r="CL83" s="106">
        <v>0</v>
      </c>
      <c r="CM83" s="106">
        <v>0</v>
      </c>
      <c r="CN83" s="106">
        <v>1.2600335560546561</v>
      </c>
      <c r="CO83" s="106">
        <v>1084.1328716294261</v>
      </c>
      <c r="CP83" s="106">
        <v>0.89146535346582745</v>
      </c>
      <c r="CQ83" s="106">
        <v>767.01679012199793</v>
      </c>
      <c r="CR83" s="106">
        <v>1.0998232032957092</v>
      </c>
      <c r="CS83" s="106">
        <v>946.28788411562812</v>
      </c>
      <c r="CT83" s="106">
        <v>1.1252927932667678</v>
      </c>
      <c r="CU83" s="106">
        <v>968.20191932672697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0.22690689576292011</v>
      </c>
      <c r="I84" s="106">
        <v>177.25966696999319</v>
      </c>
      <c r="J84" s="106">
        <v>0</v>
      </c>
      <c r="K84" s="106">
        <v>0</v>
      </c>
      <c r="L84" s="106">
        <v>0.90958367698067122</v>
      </c>
      <c r="M84" s="106">
        <v>710.56676845730033</v>
      </c>
      <c r="N84" s="106">
        <v>0.41172976296764385</v>
      </c>
      <c r="O84" s="106">
        <v>321.64329083032334</v>
      </c>
      <c r="P84" s="106">
        <v>0</v>
      </c>
      <c r="Q84" s="106">
        <v>0</v>
      </c>
      <c r="R84" s="106">
        <v>0.30665611778109642</v>
      </c>
      <c r="S84" s="106">
        <v>239.55975921059249</v>
      </c>
      <c r="T84" s="106">
        <v>0.16373488007218456</v>
      </c>
      <c r="U84" s="106">
        <v>127.90968831239057</v>
      </c>
      <c r="V84" s="106">
        <v>0.35927642460391751</v>
      </c>
      <c r="W84" s="106">
        <v>280.66674290058035</v>
      </c>
      <c r="X84" s="106">
        <v>0</v>
      </c>
      <c r="Y84" s="106">
        <v>0</v>
      </c>
      <c r="Z84" s="106">
        <v>0</v>
      </c>
      <c r="AA84" s="106">
        <v>0</v>
      </c>
      <c r="AB84" s="106">
        <v>0.42617677119914232</v>
      </c>
      <c r="AC84" s="106">
        <v>332.92929366076993</v>
      </c>
      <c r="AD84" s="106">
        <v>0.13348500127661925</v>
      </c>
      <c r="AE84" s="106">
        <v>104.27848299729494</v>
      </c>
      <c r="AF84" s="106">
        <v>0</v>
      </c>
      <c r="AG84" s="106">
        <v>0</v>
      </c>
      <c r="AH84" s="106">
        <v>0</v>
      </c>
      <c r="AI84" s="106">
        <v>0</v>
      </c>
      <c r="AJ84" s="106">
        <v>2.995737699803251</v>
      </c>
      <c r="AK84" s="106">
        <v>2340.2702910862995</v>
      </c>
      <c r="AL84" s="106">
        <v>5.4203815906139088</v>
      </c>
      <c r="AM84" s="106">
        <v>4234.402098587585</v>
      </c>
      <c r="AN84" s="106">
        <v>2.7993717369158113</v>
      </c>
      <c r="AO84" s="106">
        <v>2186.8692008786315</v>
      </c>
      <c r="AP84" s="106">
        <v>5.5424649803654304</v>
      </c>
      <c r="AQ84" s="106">
        <v>4329.7736426614738</v>
      </c>
      <c r="AR84" s="106">
        <v>1.8955336844927984</v>
      </c>
      <c r="AS84" s="106">
        <v>1480.7909143257739</v>
      </c>
      <c r="AT84" s="106">
        <v>2.0519848783766452</v>
      </c>
      <c r="AU84" s="106">
        <v>1603.010586987835</v>
      </c>
      <c r="AV84" s="106">
        <v>0</v>
      </c>
      <c r="AW84" s="106">
        <v>0</v>
      </c>
      <c r="AX84" s="106">
        <v>3.0766285823711974</v>
      </c>
      <c r="AY84" s="106">
        <v>2403.4622485483792</v>
      </c>
      <c r="AZ84" s="106">
        <v>0</v>
      </c>
      <c r="BA84" s="106">
        <v>0</v>
      </c>
      <c r="BB84" s="106">
        <v>0.29528700689031739</v>
      </c>
      <c r="BC84" s="106">
        <v>230.67820978271592</v>
      </c>
      <c r="BD84" s="106">
        <v>0.40320201036263753</v>
      </c>
      <c r="BE84" s="106">
        <v>314.98141049529244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1.8476089194168368</v>
      </c>
      <c r="BM84" s="106">
        <v>1443.3520878484328</v>
      </c>
      <c r="BN84" s="106">
        <v>2.6041271907623833</v>
      </c>
      <c r="BO84" s="106">
        <v>2034.3441614235737</v>
      </c>
      <c r="BP84" s="106">
        <v>3.41820809699803</v>
      </c>
      <c r="BQ84" s="106">
        <v>2670.304165374861</v>
      </c>
      <c r="BR84" s="106">
        <v>0</v>
      </c>
      <c r="BS84" s="106">
        <v>0</v>
      </c>
      <c r="BT84" s="106">
        <v>0</v>
      </c>
      <c r="BU84" s="106">
        <v>0</v>
      </c>
      <c r="BV84" s="106">
        <v>8.53277642525887</v>
      </c>
      <c r="BW84" s="106">
        <v>6665.8049434122286</v>
      </c>
      <c r="BX84" s="106">
        <v>0</v>
      </c>
      <c r="BY84" s="106">
        <v>0</v>
      </c>
      <c r="BZ84" s="106">
        <v>2.9106130554292089</v>
      </c>
      <c r="CA84" s="106">
        <v>2273.7709189012976</v>
      </c>
      <c r="CB84" s="106">
        <v>4.1493405060039237</v>
      </c>
      <c r="CC84" s="106">
        <v>3241.4648032902651</v>
      </c>
      <c r="CD84" s="106">
        <v>1.5051404826912693</v>
      </c>
      <c r="CE84" s="106">
        <v>1175.8157450784195</v>
      </c>
      <c r="CF84" s="106">
        <v>0</v>
      </c>
      <c r="CG84" s="106">
        <v>0</v>
      </c>
      <c r="CH84" s="106">
        <v>0.89986867848004792</v>
      </c>
      <c r="CI84" s="106">
        <v>702.97741162861337</v>
      </c>
      <c r="CJ84" s="106">
        <v>1.5733399888540089</v>
      </c>
      <c r="CK84" s="106">
        <v>1229.0931992927517</v>
      </c>
      <c r="CL84" s="106">
        <v>0</v>
      </c>
      <c r="CM84" s="106">
        <v>0</v>
      </c>
      <c r="CN84" s="106">
        <v>1.6036790713422897</v>
      </c>
      <c r="CO84" s="106">
        <v>1252.7940905325966</v>
      </c>
      <c r="CP84" s="106">
        <v>0.84689208579253616</v>
      </c>
      <c r="CQ84" s="106">
        <v>661.59209742112921</v>
      </c>
      <c r="CR84" s="106">
        <v>0.98405233979089768</v>
      </c>
      <c r="CS84" s="106">
        <v>768.74168784464916</v>
      </c>
      <c r="CT84" s="106">
        <v>1.1252927932667678</v>
      </c>
      <c r="CU84" s="106">
        <v>879.07873009999889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0.24108857674810261</v>
      </c>
      <c r="I85" s="106">
        <v>36.163286512215393</v>
      </c>
      <c r="J85" s="106">
        <v>0</v>
      </c>
      <c r="K85" s="106">
        <v>0</v>
      </c>
      <c r="L85" s="106">
        <v>0.87926422108131552</v>
      </c>
      <c r="M85" s="106">
        <v>131.88963316219733</v>
      </c>
      <c r="N85" s="106">
        <v>0.49407571556117263</v>
      </c>
      <c r="O85" s="106">
        <v>74.111357334175892</v>
      </c>
      <c r="P85" s="106">
        <v>0</v>
      </c>
      <c r="Q85" s="106">
        <v>0</v>
      </c>
      <c r="R85" s="106">
        <v>0.32251764111460141</v>
      </c>
      <c r="S85" s="106">
        <v>48.377646167190214</v>
      </c>
      <c r="T85" s="106">
        <v>0.18958775587305582</v>
      </c>
      <c r="U85" s="106">
        <v>28.438163380958372</v>
      </c>
      <c r="V85" s="106">
        <v>0.35927642460391751</v>
      </c>
      <c r="W85" s="106">
        <v>53.891463690587628</v>
      </c>
      <c r="X85" s="106">
        <v>0</v>
      </c>
      <c r="Y85" s="106">
        <v>0</v>
      </c>
      <c r="Z85" s="106">
        <v>0</v>
      </c>
      <c r="AA85" s="106">
        <v>0</v>
      </c>
      <c r="AB85" s="106">
        <v>0.49346784033584901</v>
      </c>
      <c r="AC85" s="106">
        <v>74.020176050377344</v>
      </c>
      <c r="AD85" s="106">
        <v>0.14015925134045021</v>
      </c>
      <c r="AE85" s="106">
        <v>21.02388770106753</v>
      </c>
      <c r="AF85" s="106">
        <v>0</v>
      </c>
      <c r="AG85" s="106">
        <v>0</v>
      </c>
      <c r="AH85" s="106">
        <v>0</v>
      </c>
      <c r="AI85" s="106">
        <v>0</v>
      </c>
      <c r="AJ85" s="106">
        <v>2.9189239126288085</v>
      </c>
      <c r="AK85" s="106">
        <v>437.83858689432128</v>
      </c>
      <c r="AL85" s="106">
        <v>7.2747226610870888</v>
      </c>
      <c r="AM85" s="106">
        <v>1091.2083991630634</v>
      </c>
      <c r="AN85" s="106">
        <v>2.7993717369158113</v>
      </c>
      <c r="AO85" s="106">
        <v>419.90576053737169</v>
      </c>
      <c r="AP85" s="106">
        <v>6.1037272568581322</v>
      </c>
      <c r="AQ85" s="106">
        <v>915.55908852871983</v>
      </c>
      <c r="AR85" s="106">
        <v>2.1871542513378444</v>
      </c>
      <c r="AS85" s="106">
        <v>328.07313770067663</v>
      </c>
      <c r="AT85" s="106">
        <v>2.3276246381585826</v>
      </c>
      <c r="AU85" s="106">
        <v>349.1436957237874</v>
      </c>
      <c r="AV85" s="106">
        <v>0</v>
      </c>
      <c r="AW85" s="106">
        <v>0</v>
      </c>
      <c r="AX85" s="106">
        <v>3.5894000127663968</v>
      </c>
      <c r="AY85" s="106">
        <v>538.41000191495948</v>
      </c>
      <c r="AZ85" s="106">
        <v>0</v>
      </c>
      <c r="BA85" s="106">
        <v>0</v>
      </c>
      <c r="BB85" s="106">
        <v>0.29528700689031739</v>
      </c>
      <c r="BC85" s="106">
        <v>44.293051033547606</v>
      </c>
      <c r="BD85" s="106">
        <v>0.35840178698901115</v>
      </c>
      <c r="BE85" s="106">
        <v>53.760268048351669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2.1897587193088439</v>
      </c>
      <c r="BM85" s="106">
        <v>328.46380789632661</v>
      </c>
      <c r="BN85" s="106">
        <v>3.0886159704391054</v>
      </c>
      <c r="BO85" s="106">
        <v>463.29239556586583</v>
      </c>
      <c r="BP85" s="106">
        <v>3.7154435836935105</v>
      </c>
      <c r="BQ85" s="106">
        <v>557.31653755402658</v>
      </c>
      <c r="BR85" s="106">
        <v>0</v>
      </c>
      <c r="BS85" s="106">
        <v>0</v>
      </c>
      <c r="BT85" s="106">
        <v>0</v>
      </c>
      <c r="BU85" s="106">
        <v>0</v>
      </c>
      <c r="BV85" s="106">
        <v>10.239331710310646</v>
      </c>
      <c r="BW85" s="106">
        <v>1535.8997565465968</v>
      </c>
      <c r="BX85" s="106">
        <v>0</v>
      </c>
      <c r="BY85" s="106">
        <v>0</v>
      </c>
      <c r="BZ85" s="106">
        <v>3.4168066302864628</v>
      </c>
      <c r="CA85" s="106">
        <v>512.52099454296945</v>
      </c>
      <c r="CB85" s="106">
        <v>5.4498800675872436</v>
      </c>
      <c r="CC85" s="106">
        <v>817.48201013808659</v>
      </c>
      <c r="CD85" s="106">
        <v>1.5843584028329154</v>
      </c>
      <c r="CE85" s="106">
        <v>237.6537604249373</v>
      </c>
      <c r="CF85" s="106">
        <v>0</v>
      </c>
      <c r="CG85" s="106">
        <v>0</v>
      </c>
      <c r="CH85" s="106">
        <v>1.049846791560056</v>
      </c>
      <c r="CI85" s="106">
        <v>157.4770187340084</v>
      </c>
      <c r="CJ85" s="106">
        <v>1.5733399888540089</v>
      </c>
      <c r="CK85" s="106">
        <v>236.00099832810133</v>
      </c>
      <c r="CL85" s="106">
        <v>0</v>
      </c>
      <c r="CM85" s="106">
        <v>0</v>
      </c>
      <c r="CN85" s="106">
        <v>1.489130566246412</v>
      </c>
      <c r="CO85" s="106">
        <v>223.36958493696181</v>
      </c>
      <c r="CP85" s="106">
        <v>0.93603862113911884</v>
      </c>
      <c r="CQ85" s="106">
        <v>140.40579317086784</v>
      </c>
      <c r="CR85" s="106">
        <v>0.98405233979089768</v>
      </c>
      <c r="CS85" s="106">
        <v>147.60785096863466</v>
      </c>
      <c r="CT85" s="106">
        <v>1.187809059559366</v>
      </c>
      <c r="CU85" s="106">
        <v>178.17135893390491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0.24108857674810261</v>
      </c>
      <c r="I86" s="106">
        <v>130.1878314439754</v>
      </c>
      <c r="J86" s="106">
        <v>0</v>
      </c>
      <c r="K86" s="106">
        <v>0</v>
      </c>
      <c r="L86" s="106">
        <v>0.90958367698067122</v>
      </c>
      <c r="M86" s="106">
        <v>491.17518556956247</v>
      </c>
      <c r="N86" s="106">
        <v>0.38927177589668144</v>
      </c>
      <c r="O86" s="106">
        <v>210.20675898420797</v>
      </c>
      <c r="P86" s="106">
        <v>0</v>
      </c>
      <c r="Q86" s="106">
        <v>0</v>
      </c>
      <c r="R86" s="106">
        <v>0.30665611778109642</v>
      </c>
      <c r="S86" s="106">
        <v>165.59430360179206</v>
      </c>
      <c r="T86" s="106">
        <v>0.18097013060609873</v>
      </c>
      <c r="U86" s="106">
        <v>97.723870527293315</v>
      </c>
      <c r="V86" s="106">
        <v>0.39520406706430922</v>
      </c>
      <c r="W86" s="106">
        <v>213.41019621472697</v>
      </c>
      <c r="X86" s="106">
        <v>0</v>
      </c>
      <c r="Y86" s="106">
        <v>0</v>
      </c>
      <c r="Z86" s="106">
        <v>0</v>
      </c>
      <c r="AA86" s="106">
        <v>0</v>
      </c>
      <c r="AB86" s="106">
        <v>0.44860712757804455</v>
      </c>
      <c r="AC86" s="106">
        <v>242.24784889214405</v>
      </c>
      <c r="AD86" s="106">
        <v>0.14015925134045021</v>
      </c>
      <c r="AE86" s="106">
        <v>75.685995723843106</v>
      </c>
      <c r="AF86" s="106">
        <v>0</v>
      </c>
      <c r="AG86" s="106">
        <v>0</v>
      </c>
      <c r="AH86" s="106">
        <v>0</v>
      </c>
      <c r="AI86" s="106">
        <v>0</v>
      </c>
      <c r="AJ86" s="106">
        <v>3.0341445933904723</v>
      </c>
      <c r="AK86" s="106">
        <v>1638.4380804308551</v>
      </c>
      <c r="AL86" s="106">
        <v>5.6343440218223533</v>
      </c>
      <c r="AM86" s="106">
        <v>3042.5457717840709</v>
      </c>
      <c r="AN86" s="106">
        <v>2.6480543457311732</v>
      </c>
      <c r="AO86" s="106">
        <v>1429.9493466948336</v>
      </c>
      <c r="AP86" s="106">
        <v>6.0335694722965441</v>
      </c>
      <c r="AQ86" s="106">
        <v>3258.1275150401339</v>
      </c>
      <c r="AR86" s="106">
        <v>2.2114559652415982</v>
      </c>
      <c r="AS86" s="106">
        <v>1194.1862212304629</v>
      </c>
      <c r="AT86" s="106">
        <v>2.5113844780132073</v>
      </c>
      <c r="AU86" s="106">
        <v>1356.1476181271319</v>
      </c>
      <c r="AV86" s="106">
        <v>0</v>
      </c>
      <c r="AW86" s="106">
        <v>0</v>
      </c>
      <c r="AX86" s="106">
        <v>2.9484357247723976</v>
      </c>
      <c r="AY86" s="106">
        <v>1592.1552913770947</v>
      </c>
      <c r="AZ86" s="106">
        <v>0</v>
      </c>
      <c r="BA86" s="106">
        <v>0</v>
      </c>
      <c r="BB86" s="106">
        <v>0.29528700689031739</v>
      </c>
      <c r="BC86" s="106">
        <v>159.45498372077139</v>
      </c>
      <c r="BD86" s="106">
        <v>0.35840178698901115</v>
      </c>
      <c r="BE86" s="106">
        <v>193.53696497406602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1.9160388793952381</v>
      </c>
      <c r="BM86" s="106">
        <v>1034.6609948734285</v>
      </c>
      <c r="BN86" s="106">
        <v>2.7252493856815638</v>
      </c>
      <c r="BO86" s="106">
        <v>1471.6346682680444</v>
      </c>
      <c r="BP86" s="106">
        <v>3.7451671323630586</v>
      </c>
      <c r="BQ86" s="106">
        <v>2022.3902514760516</v>
      </c>
      <c r="BR86" s="106">
        <v>0</v>
      </c>
      <c r="BS86" s="106">
        <v>0</v>
      </c>
      <c r="BT86" s="106">
        <v>0</v>
      </c>
      <c r="BU86" s="106">
        <v>0</v>
      </c>
      <c r="BV86" s="106">
        <v>8.987857834606011</v>
      </c>
      <c r="BW86" s="106">
        <v>4853.4432306872459</v>
      </c>
      <c r="BX86" s="106">
        <v>0</v>
      </c>
      <c r="BY86" s="106">
        <v>0</v>
      </c>
      <c r="BZ86" s="106">
        <v>2.8789759570006304</v>
      </c>
      <c r="CA86" s="106">
        <v>1554.6470167803404</v>
      </c>
      <c r="CB86" s="106">
        <v>5.1402277910197869</v>
      </c>
      <c r="CC86" s="106">
        <v>2775.7230071506851</v>
      </c>
      <c r="CD86" s="106">
        <v>1.6041628828683268</v>
      </c>
      <c r="CE86" s="106">
        <v>866.2479567488964</v>
      </c>
      <c r="CF86" s="106">
        <v>0</v>
      </c>
      <c r="CG86" s="106">
        <v>0</v>
      </c>
      <c r="CH86" s="106">
        <v>0.89986867848004792</v>
      </c>
      <c r="CI86" s="106">
        <v>485.92908637922585</v>
      </c>
      <c r="CJ86" s="106">
        <v>1.5733399888540089</v>
      </c>
      <c r="CK86" s="106">
        <v>849.60359398116486</v>
      </c>
      <c r="CL86" s="106">
        <v>0</v>
      </c>
      <c r="CM86" s="106">
        <v>0</v>
      </c>
      <c r="CN86" s="106">
        <v>1.6036790713422897</v>
      </c>
      <c r="CO86" s="106">
        <v>865.98669852483647</v>
      </c>
      <c r="CP86" s="106">
        <v>1.0251851564857017</v>
      </c>
      <c r="CQ86" s="106">
        <v>553.59998450227897</v>
      </c>
      <c r="CR86" s="106">
        <v>0.98405233979089768</v>
      </c>
      <c r="CS86" s="106">
        <v>531.38826348708471</v>
      </c>
      <c r="CT86" s="106">
        <v>1.0002602606815714</v>
      </c>
      <c r="CU86" s="106">
        <v>540.1405407680486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0.38290538659992773</v>
      </c>
      <c r="I87" s="106">
        <v>748.50344972553876</v>
      </c>
      <c r="J87" s="106">
        <v>0</v>
      </c>
      <c r="K87" s="106">
        <v>0</v>
      </c>
      <c r="L87" s="106">
        <v>0.16675700744645638</v>
      </c>
      <c r="M87" s="106">
        <v>325.97659815633295</v>
      </c>
      <c r="N87" s="106">
        <v>0.10480393966449117</v>
      </c>
      <c r="O87" s="106">
        <v>204.87074125614734</v>
      </c>
      <c r="P87" s="106">
        <v>0</v>
      </c>
      <c r="Q87" s="106">
        <v>0</v>
      </c>
      <c r="R87" s="106">
        <v>0.11631783777903658</v>
      </c>
      <c r="S87" s="106">
        <v>227.37810929046069</v>
      </c>
      <c r="T87" s="106">
        <v>0.10341150320348499</v>
      </c>
      <c r="U87" s="106">
        <v>202.14880646217247</v>
      </c>
      <c r="V87" s="106">
        <v>0.25149349722274228</v>
      </c>
      <c r="W87" s="106">
        <v>491.61948837101659</v>
      </c>
      <c r="X87" s="106">
        <v>0</v>
      </c>
      <c r="Y87" s="106">
        <v>0</v>
      </c>
      <c r="Z87" s="106">
        <v>0</v>
      </c>
      <c r="AA87" s="106">
        <v>0</v>
      </c>
      <c r="AB87" s="106">
        <v>0.29159463292572896</v>
      </c>
      <c r="AC87" s="106">
        <v>570.00918844321495</v>
      </c>
      <c r="AD87" s="106">
        <v>7.3416750702140585E-2</v>
      </c>
      <c r="AE87" s="106">
        <v>143.51506427254441</v>
      </c>
      <c r="AF87" s="106">
        <v>0</v>
      </c>
      <c r="AG87" s="106">
        <v>0</v>
      </c>
      <c r="AH87" s="106">
        <v>0</v>
      </c>
      <c r="AI87" s="106">
        <v>0</v>
      </c>
      <c r="AJ87" s="106">
        <v>0.38406893587221164</v>
      </c>
      <c r="AK87" s="106">
        <v>750.77795584299929</v>
      </c>
      <c r="AL87" s="106">
        <v>0.78452891443096051</v>
      </c>
      <c r="AM87" s="106">
        <v>1533.5971219296416</v>
      </c>
      <c r="AN87" s="106">
        <v>0.26480543457311728</v>
      </c>
      <c r="AO87" s="106">
        <v>517.64166350352968</v>
      </c>
      <c r="AP87" s="106">
        <v>0.42094670736952633</v>
      </c>
      <c r="AQ87" s="106">
        <v>822.86662356595002</v>
      </c>
      <c r="AR87" s="106">
        <v>0.51033599197883039</v>
      </c>
      <c r="AS87" s="106">
        <v>997.60479712021765</v>
      </c>
      <c r="AT87" s="106">
        <v>0.52065287958810402</v>
      </c>
      <c r="AU87" s="106">
        <v>1017.7722490188257</v>
      </c>
      <c r="AV87" s="106">
        <v>0</v>
      </c>
      <c r="AW87" s="106">
        <v>0</v>
      </c>
      <c r="AX87" s="106">
        <v>0.76915714559279935</v>
      </c>
      <c r="AY87" s="106">
        <v>1503.548388204804</v>
      </c>
      <c r="AZ87" s="106">
        <v>0</v>
      </c>
      <c r="BA87" s="106">
        <v>0</v>
      </c>
      <c r="BB87" s="106">
        <v>0.71712558816219929</v>
      </c>
      <c r="BC87" s="106">
        <v>1401.8370997394672</v>
      </c>
      <c r="BD87" s="106">
        <v>0.7168035739780223</v>
      </c>
      <c r="BE87" s="106">
        <v>1401.2076264122379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2.4634785592224491</v>
      </c>
      <c r="BM87" s="106">
        <v>4815.6078875680432</v>
      </c>
      <c r="BN87" s="106">
        <v>1.5140274364897575</v>
      </c>
      <c r="BO87" s="106">
        <v>2959.620832850178</v>
      </c>
      <c r="BP87" s="106">
        <v>0.98087710609508671</v>
      </c>
      <c r="BQ87" s="106">
        <v>1917.4185669946755</v>
      </c>
      <c r="BR87" s="106">
        <v>0</v>
      </c>
      <c r="BS87" s="106">
        <v>0</v>
      </c>
      <c r="BT87" s="106">
        <v>0</v>
      </c>
      <c r="BU87" s="106">
        <v>0</v>
      </c>
      <c r="BV87" s="106">
        <v>2.3891773990724836</v>
      </c>
      <c r="BW87" s="106">
        <v>4670.3639797068909</v>
      </c>
      <c r="BX87" s="106">
        <v>0</v>
      </c>
      <c r="BY87" s="106">
        <v>0</v>
      </c>
      <c r="BZ87" s="106">
        <v>0.88583875600019391</v>
      </c>
      <c r="CA87" s="106">
        <v>1731.637600229179</v>
      </c>
      <c r="CB87" s="106">
        <v>1.4244004722103025</v>
      </c>
      <c r="CC87" s="106">
        <v>2784.4180430766992</v>
      </c>
      <c r="CD87" s="106">
        <v>0.83178816148728052</v>
      </c>
      <c r="CE87" s="106">
        <v>1625.9794980753359</v>
      </c>
      <c r="CF87" s="106">
        <v>0</v>
      </c>
      <c r="CG87" s="106">
        <v>0</v>
      </c>
      <c r="CH87" s="106">
        <v>0.67490150886003597</v>
      </c>
      <c r="CI87" s="106">
        <v>1319.2974695195983</v>
      </c>
      <c r="CJ87" s="106">
        <v>1.2361957055281498</v>
      </c>
      <c r="CK87" s="106">
        <v>2416.5153651664273</v>
      </c>
      <c r="CL87" s="106">
        <v>0</v>
      </c>
      <c r="CM87" s="106">
        <v>0</v>
      </c>
      <c r="CN87" s="106">
        <v>1.489130566246412</v>
      </c>
      <c r="CO87" s="106">
        <v>2910.952430898486</v>
      </c>
      <c r="CP87" s="106">
        <v>0.5794524797527878</v>
      </c>
      <c r="CQ87" s="106">
        <v>1132.7137074207496</v>
      </c>
      <c r="CR87" s="106">
        <v>1.0998232032957092</v>
      </c>
      <c r="CS87" s="106">
        <v>2149.9343978024522</v>
      </c>
      <c r="CT87" s="106">
        <v>0.87522772809637495</v>
      </c>
      <c r="CU87" s="106">
        <v>1710.8951628827938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0.42545042955547524</v>
      </c>
      <c r="I88" s="106">
        <v>805.12239289078127</v>
      </c>
      <c r="J88" s="106">
        <v>0</v>
      </c>
      <c r="K88" s="106">
        <v>0</v>
      </c>
      <c r="L88" s="106">
        <v>0.16675700744645638</v>
      </c>
      <c r="M88" s="106">
        <v>315.57096089167402</v>
      </c>
      <c r="N88" s="106">
        <v>0.10480393966449117</v>
      </c>
      <c r="O88" s="106">
        <v>198.33097542108308</v>
      </c>
      <c r="P88" s="106">
        <v>0</v>
      </c>
      <c r="Q88" s="106">
        <v>0</v>
      </c>
      <c r="R88" s="106">
        <v>0.10574348889003327</v>
      </c>
      <c r="S88" s="106">
        <v>200.10897837549894</v>
      </c>
      <c r="T88" s="106">
        <v>0.12064675373739916</v>
      </c>
      <c r="U88" s="106">
        <v>228.31191677265417</v>
      </c>
      <c r="V88" s="106">
        <v>0.23352967599254637</v>
      </c>
      <c r="W88" s="106">
        <v>441.93155884829474</v>
      </c>
      <c r="X88" s="106">
        <v>0</v>
      </c>
      <c r="Y88" s="106">
        <v>0</v>
      </c>
      <c r="Z88" s="106">
        <v>0</v>
      </c>
      <c r="AA88" s="106">
        <v>0</v>
      </c>
      <c r="AB88" s="106">
        <v>0.31402498930463119</v>
      </c>
      <c r="AC88" s="106">
        <v>594.26088976008407</v>
      </c>
      <c r="AD88" s="106">
        <v>8.0091000765971546E-2</v>
      </c>
      <c r="AE88" s="106">
        <v>151.56420984952453</v>
      </c>
      <c r="AF88" s="106">
        <v>0</v>
      </c>
      <c r="AG88" s="106">
        <v>0</v>
      </c>
      <c r="AH88" s="106">
        <v>0</v>
      </c>
      <c r="AI88" s="106">
        <v>0</v>
      </c>
      <c r="AJ88" s="106">
        <v>0.38406893587221164</v>
      </c>
      <c r="AK88" s="106">
        <v>726.81205424457323</v>
      </c>
      <c r="AL88" s="106">
        <v>0.71320810402814594</v>
      </c>
      <c r="AM88" s="106">
        <v>1349.6750160628633</v>
      </c>
      <c r="AN88" s="106">
        <v>0.26480543457311728</v>
      </c>
      <c r="AO88" s="106">
        <v>501.11780438616711</v>
      </c>
      <c r="AP88" s="106">
        <v>0.42094670736952633</v>
      </c>
      <c r="AQ88" s="106">
        <v>796.59954902609161</v>
      </c>
      <c r="AR88" s="106">
        <v>0.48603427807507654</v>
      </c>
      <c r="AS88" s="106">
        <v>919.77126782927473</v>
      </c>
      <c r="AT88" s="106">
        <v>0.55127951956387478</v>
      </c>
      <c r="AU88" s="106">
        <v>1043.2413628226766</v>
      </c>
      <c r="AV88" s="106">
        <v>0</v>
      </c>
      <c r="AW88" s="106">
        <v>0</v>
      </c>
      <c r="AX88" s="106">
        <v>0.83325357439219938</v>
      </c>
      <c r="AY88" s="106">
        <v>1576.849064179798</v>
      </c>
      <c r="AZ88" s="106">
        <v>0</v>
      </c>
      <c r="BA88" s="106">
        <v>0</v>
      </c>
      <c r="BB88" s="106">
        <v>0.80149330441657562</v>
      </c>
      <c r="BC88" s="106">
        <v>1516.7459292779276</v>
      </c>
      <c r="BD88" s="106">
        <v>0.67200335060439587</v>
      </c>
      <c r="BE88" s="106">
        <v>1271.6991406837587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2.5319085192008504</v>
      </c>
      <c r="BM88" s="106">
        <v>4791.3836817356887</v>
      </c>
      <c r="BN88" s="106">
        <v>1.5140274364897575</v>
      </c>
      <c r="BO88" s="106">
        <v>2865.145520813217</v>
      </c>
      <c r="BP88" s="106">
        <v>0.83225936274734624</v>
      </c>
      <c r="BQ88" s="106">
        <v>1574.9676180630779</v>
      </c>
      <c r="BR88" s="106">
        <v>0</v>
      </c>
      <c r="BS88" s="106">
        <v>0</v>
      </c>
      <c r="BT88" s="106">
        <v>0</v>
      </c>
      <c r="BU88" s="106">
        <v>0</v>
      </c>
      <c r="BV88" s="106">
        <v>2.5029477514092688</v>
      </c>
      <c r="BW88" s="106">
        <v>4736.5783247668996</v>
      </c>
      <c r="BX88" s="106">
        <v>0</v>
      </c>
      <c r="BY88" s="106">
        <v>0</v>
      </c>
      <c r="BZ88" s="106">
        <v>0.88583875600019391</v>
      </c>
      <c r="CA88" s="106">
        <v>1676.3612618547668</v>
      </c>
      <c r="CB88" s="106">
        <v>1.5482613828372853</v>
      </c>
      <c r="CC88" s="106">
        <v>2929.9298408812783</v>
      </c>
      <c r="CD88" s="106">
        <v>0.87139712155810345</v>
      </c>
      <c r="CE88" s="106">
        <v>1649.0319128365547</v>
      </c>
      <c r="CF88" s="106">
        <v>0</v>
      </c>
      <c r="CG88" s="106">
        <v>0</v>
      </c>
      <c r="CH88" s="106">
        <v>0.74989056540003995</v>
      </c>
      <c r="CI88" s="106">
        <v>1419.0929059630355</v>
      </c>
      <c r="CJ88" s="106">
        <v>1.2361957055281498</v>
      </c>
      <c r="CK88" s="106">
        <v>2339.3767531414705</v>
      </c>
      <c r="CL88" s="106">
        <v>0</v>
      </c>
      <c r="CM88" s="106">
        <v>0</v>
      </c>
      <c r="CN88" s="106">
        <v>1.6036790713422897</v>
      </c>
      <c r="CO88" s="106">
        <v>3034.8022746081488</v>
      </c>
      <c r="CP88" s="106">
        <v>0.62402574742607919</v>
      </c>
      <c r="CQ88" s="106">
        <v>1180.9063244291121</v>
      </c>
      <c r="CR88" s="106">
        <v>1.1577086350481149</v>
      </c>
      <c r="CS88" s="106">
        <v>2190.8478209650525</v>
      </c>
      <c r="CT88" s="106">
        <v>0.87522772809637495</v>
      </c>
      <c r="CU88" s="106">
        <v>1656.2809526495798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0.36872370561474521</v>
      </c>
      <c r="I89" s="106">
        <v>884.05195658191303</v>
      </c>
      <c r="J89" s="106">
        <v>0</v>
      </c>
      <c r="K89" s="106">
        <v>0</v>
      </c>
      <c r="L89" s="106">
        <v>0.16675700744645638</v>
      </c>
      <c r="M89" s="106">
        <v>399.8166010536238</v>
      </c>
      <c r="N89" s="106">
        <v>0.10480393966449117</v>
      </c>
      <c r="O89" s="106">
        <v>251.27792573958402</v>
      </c>
      <c r="P89" s="106">
        <v>0</v>
      </c>
      <c r="Q89" s="106">
        <v>0</v>
      </c>
      <c r="R89" s="106">
        <v>0.12160501222353824</v>
      </c>
      <c r="S89" s="106">
        <v>291.5601773071553</v>
      </c>
      <c r="T89" s="106">
        <v>0.10341150320348499</v>
      </c>
      <c r="U89" s="106">
        <v>247.9394200806756</v>
      </c>
      <c r="V89" s="106">
        <v>0.26945731845293808</v>
      </c>
      <c r="W89" s="106">
        <v>646.05086672276434</v>
      </c>
      <c r="X89" s="106">
        <v>0</v>
      </c>
      <c r="Y89" s="106">
        <v>0</v>
      </c>
      <c r="Z89" s="106">
        <v>0</v>
      </c>
      <c r="AA89" s="106">
        <v>0</v>
      </c>
      <c r="AB89" s="106">
        <v>0.2467339201679245</v>
      </c>
      <c r="AC89" s="106">
        <v>591.56924699461581</v>
      </c>
      <c r="AD89" s="106">
        <v>8.6765250829802507E-2</v>
      </c>
      <c r="AE89" s="106">
        <v>208.02836538953449</v>
      </c>
      <c r="AF89" s="106">
        <v>0</v>
      </c>
      <c r="AG89" s="106">
        <v>0</v>
      </c>
      <c r="AH89" s="106">
        <v>0</v>
      </c>
      <c r="AI89" s="106">
        <v>0</v>
      </c>
      <c r="AJ89" s="106">
        <v>0.34566204228499053</v>
      </c>
      <c r="AK89" s="106">
        <v>828.75931258249329</v>
      </c>
      <c r="AL89" s="106">
        <v>0.71320810402814594</v>
      </c>
      <c r="AM89" s="106">
        <v>1709.9877502178826</v>
      </c>
      <c r="AN89" s="106">
        <v>0.26480543457311728</v>
      </c>
      <c r="AO89" s="106">
        <v>634.89750993250595</v>
      </c>
      <c r="AP89" s="106">
        <v>0.42094670736952633</v>
      </c>
      <c r="AQ89" s="106">
        <v>1009.2618255891763</v>
      </c>
      <c r="AR89" s="106">
        <v>0.43743085026756889</v>
      </c>
      <c r="AS89" s="106">
        <v>1048.7842066015232</v>
      </c>
      <c r="AT89" s="106">
        <v>0.49002623961233321</v>
      </c>
      <c r="AU89" s="106">
        <v>1174.8869120945301</v>
      </c>
      <c r="AV89" s="106">
        <v>0</v>
      </c>
      <c r="AW89" s="106">
        <v>0</v>
      </c>
      <c r="AX89" s="106">
        <v>0.70506071679339932</v>
      </c>
      <c r="AY89" s="106">
        <v>1690.4535745838541</v>
      </c>
      <c r="AZ89" s="106">
        <v>0</v>
      </c>
      <c r="BA89" s="106">
        <v>0</v>
      </c>
      <c r="BB89" s="106">
        <v>0.67494173003501112</v>
      </c>
      <c r="BC89" s="106">
        <v>1618.2402919319427</v>
      </c>
      <c r="BD89" s="106">
        <v>0.67200335060439587</v>
      </c>
      <c r="BE89" s="106">
        <v>1611.1952334090995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2.3950485992440478</v>
      </c>
      <c r="BM89" s="106">
        <v>5742.3685215475289</v>
      </c>
      <c r="BN89" s="106">
        <v>1.3929052415705772</v>
      </c>
      <c r="BO89" s="106">
        <v>3339.6296071896159</v>
      </c>
      <c r="BP89" s="106">
        <v>0.8917064600864425</v>
      </c>
      <c r="BQ89" s="106">
        <v>2137.9554087032543</v>
      </c>
      <c r="BR89" s="106">
        <v>0</v>
      </c>
      <c r="BS89" s="106">
        <v>0</v>
      </c>
      <c r="BT89" s="106">
        <v>0</v>
      </c>
      <c r="BU89" s="106">
        <v>0</v>
      </c>
      <c r="BV89" s="106">
        <v>2.3891773990724836</v>
      </c>
      <c r="BW89" s="106">
        <v>5728.2917320161869</v>
      </c>
      <c r="BX89" s="106">
        <v>0</v>
      </c>
      <c r="BY89" s="106">
        <v>0</v>
      </c>
      <c r="BZ89" s="106">
        <v>0.82256455914303728</v>
      </c>
      <c r="CA89" s="106">
        <v>1972.1807870013461</v>
      </c>
      <c r="CB89" s="106">
        <v>1.3624700168968109</v>
      </c>
      <c r="CC89" s="106">
        <v>3266.6581125117937</v>
      </c>
      <c r="CD89" s="106">
        <v>0.83178816148728052</v>
      </c>
      <c r="CE89" s="106">
        <v>1994.2952959819038</v>
      </c>
      <c r="CF89" s="106">
        <v>0</v>
      </c>
      <c r="CG89" s="106">
        <v>0</v>
      </c>
      <c r="CH89" s="106">
        <v>0.59991245232003199</v>
      </c>
      <c r="CI89" s="106">
        <v>1438.3500956825087</v>
      </c>
      <c r="CJ89" s="106">
        <v>1.1238142777528635</v>
      </c>
      <c r="CK89" s="106">
        <v>2694.4571123402652</v>
      </c>
      <c r="CL89" s="106">
        <v>0</v>
      </c>
      <c r="CM89" s="106">
        <v>0</v>
      </c>
      <c r="CN89" s="106">
        <v>1.489130566246412</v>
      </c>
      <c r="CO89" s="106">
        <v>3570.3394456323972</v>
      </c>
      <c r="CP89" s="106">
        <v>0.5794524797527878</v>
      </c>
      <c r="CQ89" s="106">
        <v>1389.2952654552839</v>
      </c>
      <c r="CR89" s="106">
        <v>1.1577086350481149</v>
      </c>
      <c r="CS89" s="106">
        <v>2775.7222233913603</v>
      </c>
      <c r="CT89" s="106">
        <v>0.93774399438897316</v>
      </c>
      <c r="CU89" s="106">
        <v>2248.3350009470018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0.41126874857029272</v>
      </c>
      <c r="I90" s="106">
        <v>903.63969435864703</v>
      </c>
      <c r="J90" s="106">
        <v>0</v>
      </c>
      <c r="K90" s="106">
        <v>0</v>
      </c>
      <c r="L90" s="106">
        <v>0.18191673539613426</v>
      </c>
      <c r="M90" s="106">
        <v>399.70745101238617</v>
      </c>
      <c r="N90" s="106">
        <v>0.11228993535481196</v>
      </c>
      <c r="O90" s="106">
        <v>246.72344596159283</v>
      </c>
      <c r="P90" s="106">
        <v>0</v>
      </c>
      <c r="Q90" s="106">
        <v>0</v>
      </c>
      <c r="R90" s="106">
        <v>0.12160501222353824</v>
      </c>
      <c r="S90" s="106">
        <v>267.1905328575582</v>
      </c>
      <c r="T90" s="106">
        <v>0.11202912847044208</v>
      </c>
      <c r="U90" s="106">
        <v>246.15040107525533</v>
      </c>
      <c r="V90" s="106">
        <v>0.26945731845293808</v>
      </c>
      <c r="W90" s="106">
        <v>592.05162010479546</v>
      </c>
      <c r="X90" s="106">
        <v>0</v>
      </c>
      <c r="Y90" s="106">
        <v>0</v>
      </c>
      <c r="Z90" s="106">
        <v>0</v>
      </c>
      <c r="AA90" s="106">
        <v>0</v>
      </c>
      <c r="AB90" s="106">
        <v>0.29159463292572896</v>
      </c>
      <c r="AC90" s="106">
        <v>640.69172746441166</v>
      </c>
      <c r="AD90" s="106">
        <v>8.6765250829802507E-2</v>
      </c>
      <c r="AE90" s="106">
        <v>190.64060912324206</v>
      </c>
      <c r="AF90" s="106">
        <v>0</v>
      </c>
      <c r="AG90" s="106">
        <v>0</v>
      </c>
      <c r="AH90" s="106">
        <v>0</v>
      </c>
      <c r="AI90" s="106">
        <v>0</v>
      </c>
      <c r="AJ90" s="106">
        <v>0.34566204228499053</v>
      </c>
      <c r="AK90" s="106">
        <v>759.48863930858113</v>
      </c>
      <c r="AL90" s="106">
        <v>0.78452891443096051</v>
      </c>
      <c r="AM90" s="106">
        <v>1723.7669307877063</v>
      </c>
      <c r="AN90" s="106">
        <v>0.26480543457311728</v>
      </c>
      <c r="AO90" s="106">
        <v>581.83050084405329</v>
      </c>
      <c r="AP90" s="106">
        <v>0.42094670736952633</v>
      </c>
      <c r="AQ90" s="106">
        <v>924.90410543232315</v>
      </c>
      <c r="AR90" s="106">
        <v>0.48603427807507654</v>
      </c>
      <c r="AS90" s="106">
        <v>1067.914515786558</v>
      </c>
      <c r="AT90" s="106">
        <v>0.55127951956387478</v>
      </c>
      <c r="AU90" s="106">
        <v>1211.2713603857455</v>
      </c>
      <c r="AV90" s="106">
        <v>0</v>
      </c>
      <c r="AW90" s="106">
        <v>0</v>
      </c>
      <c r="AX90" s="106">
        <v>0.76915714559279935</v>
      </c>
      <c r="AY90" s="106">
        <v>1689.9920802964987</v>
      </c>
      <c r="AZ90" s="106">
        <v>0</v>
      </c>
      <c r="BA90" s="106">
        <v>0</v>
      </c>
      <c r="BB90" s="106">
        <v>0.71712558816219929</v>
      </c>
      <c r="BC90" s="106">
        <v>1575.6683423099842</v>
      </c>
      <c r="BD90" s="106">
        <v>0.67200335060439587</v>
      </c>
      <c r="BE90" s="106">
        <v>1476.5257619479785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2.326618639265646</v>
      </c>
      <c r="BM90" s="106">
        <v>5112.046474194477</v>
      </c>
      <c r="BN90" s="106">
        <v>1.4534663390301672</v>
      </c>
      <c r="BO90" s="106">
        <v>3193.5562401170832</v>
      </c>
      <c r="BP90" s="106">
        <v>0.92143000875599057</v>
      </c>
      <c r="BQ90" s="106">
        <v>2024.5660152386622</v>
      </c>
      <c r="BR90" s="106">
        <v>0</v>
      </c>
      <c r="BS90" s="106">
        <v>0</v>
      </c>
      <c r="BT90" s="106">
        <v>0</v>
      </c>
      <c r="BU90" s="106">
        <v>0</v>
      </c>
      <c r="BV90" s="106">
        <v>2.161636694398914</v>
      </c>
      <c r="BW90" s="106">
        <v>4749.5481449332938</v>
      </c>
      <c r="BX90" s="106">
        <v>0</v>
      </c>
      <c r="BY90" s="106">
        <v>0</v>
      </c>
      <c r="BZ90" s="106">
        <v>0.8542016575716157</v>
      </c>
      <c r="CA90" s="106">
        <v>1876.8518820163538</v>
      </c>
      <c r="CB90" s="106">
        <v>1.4863309275237939</v>
      </c>
      <c r="CC90" s="106">
        <v>3265.7663139552797</v>
      </c>
      <c r="CD90" s="106">
        <v>0.77237472138104624</v>
      </c>
      <c r="CE90" s="106">
        <v>1697.0617378184347</v>
      </c>
      <c r="CF90" s="106">
        <v>0</v>
      </c>
      <c r="CG90" s="106">
        <v>0</v>
      </c>
      <c r="CH90" s="106">
        <v>0.67490150886003597</v>
      </c>
      <c r="CI90" s="106">
        <v>1482.8935952672709</v>
      </c>
      <c r="CJ90" s="106">
        <v>1.2361957055281498</v>
      </c>
      <c r="CK90" s="106">
        <v>2716.1692041864508</v>
      </c>
      <c r="CL90" s="106">
        <v>0</v>
      </c>
      <c r="CM90" s="106">
        <v>0</v>
      </c>
      <c r="CN90" s="106">
        <v>1.2600335560546561</v>
      </c>
      <c r="CO90" s="106">
        <v>2768.5457293632899</v>
      </c>
      <c r="CP90" s="106">
        <v>0.5348792120794964</v>
      </c>
      <c r="CQ90" s="106">
        <v>1175.2366047810694</v>
      </c>
      <c r="CR90" s="106">
        <v>1.2155940668005207</v>
      </c>
      <c r="CS90" s="106">
        <v>2670.9032835741041</v>
      </c>
      <c r="CT90" s="106">
        <v>0.87522772809637495</v>
      </c>
      <c r="CU90" s="106">
        <v>1923.0503641733549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0.34036034364438023</v>
      </c>
      <c r="I91" s="106">
        <v>781.73963728241245</v>
      </c>
      <c r="J91" s="106">
        <v>0</v>
      </c>
      <c r="K91" s="106">
        <v>0</v>
      </c>
      <c r="L91" s="106">
        <v>0.15159727949677851</v>
      </c>
      <c r="M91" s="106">
        <v>348.18863154820082</v>
      </c>
      <c r="N91" s="106">
        <v>0.10480393966449117</v>
      </c>
      <c r="O91" s="106">
        <v>240.71368862140329</v>
      </c>
      <c r="P91" s="106">
        <v>0</v>
      </c>
      <c r="Q91" s="106">
        <v>0</v>
      </c>
      <c r="R91" s="106">
        <v>0.12160501222353824</v>
      </c>
      <c r="S91" s="106">
        <v>279.30239207502262</v>
      </c>
      <c r="T91" s="106">
        <v>0.12064675373739916</v>
      </c>
      <c r="U91" s="106">
        <v>277.10146398405834</v>
      </c>
      <c r="V91" s="106">
        <v>0.26945731845293808</v>
      </c>
      <c r="W91" s="106">
        <v>618.88956902270809</v>
      </c>
      <c r="X91" s="106">
        <v>0</v>
      </c>
      <c r="Y91" s="106">
        <v>0</v>
      </c>
      <c r="Z91" s="106">
        <v>0</v>
      </c>
      <c r="AA91" s="106">
        <v>0</v>
      </c>
      <c r="AB91" s="106">
        <v>0.2467339201679245</v>
      </c>
      <c r="AC91" s="106">
        <v>566.69846784168897</v>
      </c>
      <c r="AD91" s="106">
        <v>8.0091000765971546E-2</v>
      </c>
      <c r="AE91" s="106">
        <v>183.95301055928343</v>
      </c>
      <c r="AF91" s="106">
        <v>0</v>
      </c>
      <c r="AG91" s="106">
        <v>0</v>
      </c>
      <c r="AH91" s="106">
        <v>0</v>
      </c>
      <c r="AI91" s="106">
        <v>0</v>
      </c>
      <c r="AJ91" s="106">
        <v>0.42247582945943285</v>
      </c>
      <c r="AK91" s="106">
        <v>970.34248510242526</v>
      </c>
      <c r="AL91" s="106">
        <v>0.71320810402814594</v>
      </c>
      <c r="AM91" s="106">
        <v>1638.0963733318454</v>
      </c>
      <c r="AN91" s="106">
        <v>0.22697608677695766</v>
      </c>
      <c r="AO91" s="106">
        <v>521.31867610931624</v>
      </c>
      <c r="AP91" s="106">
        <v>0.42094670736952633</v>
      </c>
      <c r="AQ91" s="106">
        <v>966.83039748632791</v>
      </c>
      <c r="AR91" s="106">
        <v>0.51033599197883039</v>
      </c>
      <c r="AS91" s="106">
        <v>1172.1397063769775</v>
      </c>
      <c r="AT91" s="106">
        <v>0.55127951956387478</v>
      </c>
      <c r="AU91" s="106">
        <v>1266.1788005343074</v>
      </c>
      <c r="AV91" s="106">
        <v>0</v>
      </c>
      <c r="AW91" s="106">
        <v>0</v>
      </c>
      <c r="AX91" s="106">
        <v>0.76915714559279935</v>
      </c>
      <c r="AY91" s="106">
        <v>1766.6001319975414</v>
      </c>
      <c r="AZ91" s="106">
        <v>0</v>
      </c>
      <c r="BA91" s="106">
        <v>0</v>
      </c>
      <c r="BB91" s="106">
        <v>0.80149330441657562</v>
      </c>
      <c r="BC91" s="106">
        <v>1840.8698215839906</v>
      </c>
      <c r="BD91" s="106">
        <v>0.67200335060439587</v>
      </c>
      <c r="BE91" s="106">
        <v>1543.4572956681761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2.3950485992440478</v>
      </c>
      <c r="BM91" s="106">
        <v>5500.9476227437281</v>
      </c>
      <c r="BN91" s="106">
        <v>1.5745885339493479</v>
      </c>
      <c r="BO91" s="106">
        <v>3616.5149447748618</v>
      </c>
      <c r="BP91" s="106">
        <v>0.86198291141689443</v>
      </c>
      <c r="BQ91" s="106">
        <v>1979.8023509423228</v>
      </c>
      <c r="BR91" s="106">
        <v>0</v>
      </c>
      <c r="BS91" s="106">
        <v>0</v>
      </c>
      <c r="BT91" s="106">
        <v>0</v>
      </c>
      <c r="BU91" s="106">
        <v>0</v>
      </c>
      <c r="BV91" s="106">
        <v>2.0478663420621293</v>
      </c>
      <c r="BW91" s="106">
        <v>4703.539414448298</v>
      </c>
      <c r="BX91" s="106">
        <v>0</v>
      </c>
      <c r="BY91" s="106">
        <v>0</v>
      </c>
      <c r="BZ91" s="106">
        <v>0.91747585442877233</v>
      </c>
      <c r="CA91" s="106">
        <v>2107.2585424520039</v>
      </c>
      <c r="CB91" s="106">
        <v>1.4863309275237939</v>
      </c>
      <c r="CC91" s="106">
        <v>3413.8048743366494</v>
      </c>
      <c r="CD91" s="106">
        <v>0.73276576131022342</v>
      </c>
      <c r="CE91" s="106">
        <v>1683.0164005773208</v>
      </c>
      <c r="CF91" s="106">
        <v>0</v>
      </c>
      <c r="CG91" s="106">
        <v>0</v>
      </c>
      <c r="CH91" s="106">
        <v>0.74989056540003995</v>
      </c>
      <c r="CI91" s="106">
        <v>1722.3486506108115</v>
      </c>
      <c r="CJ91" s="106">
        <v>1.3485771333034362</v>
      </c>
      <c r="CK91" s="106">
        <v>3097.411959771332</v>
      </c>
      <c r="CL91" s="106">
        <v>0</v>
      </c>
      <c r="CM91" s="106">
        <v>0</v>
      </c>
      <c r="CN91" s="106">
        <v>1.489130566246412</v>
      </c>
      <c r="CO91" s="106">
        <v>3420.2350845547589</v>
      </c>
      <c r="CP91" s="106">
        <v>0.62402574742607919</v>
      </c>
      <c r="CQ91" s="106">
        <v>1433.2623366882185</v>
      </c>
      <c r="CR91" s="106">
        <v>1.1577086350481149</v>
      </c>
      <c r="CS91" s="106">
        <v>2659.0251929785099</v>
      </c>
      <c r="CT91" s="106">
        <v>0.87522772809637495</v>
      </c>
      <c r="CU91" s="106">
        <v>2010.2230458917538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0.42545042955547524</v>
      </c>
      <c r="I92" s="106">
        <v>604.47997031241925</v>
      </c>
      <c r="J92" s="106">
        <v>0</v>
      </c>
      <c r="K92" s="106">
        <v>0</v>
      </c>
      <c r="L92" s="106">
        <v>0.19707646334581208</v>
      </c>
      <c r="M92" s="106">
        <v>280.00623912172978</v>
      </c>
      <c r="N92" s="106">
        <v>0.11228993535481196</v>
      </c>
      <c r="O92" s="106">
        <v>159.54154015211682</v>
      </c>
      <c r="P92" s="106">
        <v>0</v>
      </c>
      <c r="Q92" s="106">
        <v>0</v>
      </c>
      <c r="R92" s="106">
        <v>0.12689218666803992</v>
      </c>
      <c r="S92" s="106">
        <v>180.28841881795111</v>
      </c>
      <c r="T92" s="106">
        <v>0.12064675373739916</v>
      </c>
      <c r="U92" s="106">
        <v>171.41490771009674</v>
      </c>
      <c r="V92" s="106">
        <v>0.25149349722274228</v>
      </c>
      <c r="W92" s="106">
        <v>357.32196085407224</v>
      </c>
      <c r="X92" s="106">
        <v>0</v>
      </c>
      <c r="Y92" s="106">
        <v>0</v>
      </c>
      <c r="Z92" s="106">
        <v>0</v>
      </c>
      <c r="AA92" s="106">
        <v>0</v>
      </c>
      <c r="AB92" s="106">
        <v>0.29159463292572896</v>
      </c>
      <c r="AC92" s="106">
        <v>414.29765446087566</v>
      </c>
      <c r="AD92" s="106">
        <v>9.3439500893633481E-2</v>
      </c>
      <c r="AE92" s="106">
        <v>132.75884286967445</v>
      </c>
      <c r="AF92" s="106">
        <v>0</v>
      </c>
      <c r="AG92" s="106">
        <v>0</v>
      </c>
      <c r="AH92" s="106">
        <v>0</v>
      </c>
      <c r="AI92" s="106">
        <v>0</v>
      </c>
      <c r="AJ92" s="106">
        <v>0.38406893587221164</v>
      </c>
      <c r="AK92" s="106">
        <v>545.68514408723831</v>
      </c>
      <c r="AL92" s="106">
        <v>0.71320810402814594</v>
      </c>
      <c r="AM92" s="106">
        <v>1013.3260742031897</v>
      </c>
      <c r="AN92" s="106">
        <v>0.26480543457311728</v>
      </c>
      <c r="AO92" s="106">
        <v>376.235561441485</v>
      </c>
      <c r="AP92" s="106">
        <v>0.49110449193111405</v>
      </c>
      <c r="AQ92" s="106">
        <v>697.76126213572684</v>
      </c>
      <c r="AR92" s="106">
        <v>0.51033599197883039</v>
      </c>
      <c r="AS92" s="106">
        <v>725.08537740352222</v>
      </c>
      <c r="AT92" s="106">
        <v>0.64315943949118726</v>
      </c>
      <c r="AU92" s="106">
        <v>913.80093162907883</v>
      </c>
      <c r="AV92" s="106">
        <v>0</v>
      </c>
      <c r="AW92" s="106">
        <v>0</v>
      </c>
      <c r="AX92" s="106">
        <v>0.83325357439219938</v>
      </c>
      <c r="AY92" s="106">
        <v>1183.8866784964368</v>
      </c>
      <c r="AZ92" s="106">
        <v>0</v>
      </c>
      <c r="BA92" s="106">
        <v>0</v>
      </c>
      <c r="BB92" s="106">
        <v>0.80149330441657562</v>
      </c>
      <c r="BC92" s="106">
        <v>1138.7616869150706</v>
      </c>
      <c r="BD92" s="106">
        <v>0.76160379735164863</v>
      </c>
      <c r="BE92" s="106">
        <v>1082.0866752772224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2.2581886792872452</v>
      </c>
      <c r="BM92" s="106">
        <v>3208.4344755313177</v>
      </c>
      <c r="BN92" s="106">
        <v>1.5140274364897575</v>
      </c>
      <c r="BO92" s="106">
        <v>2151.1301817646472</v>
      </c>
      <c r="BP92" s="106">
        <v>0.92143000875599057</v>
      </c>
      <c r="BQ92" s="106">
        <v>1309.1677564405113</v>
      </c>
      <c r="BR92" s="106">
        <v>0</v>
      </c>
      <c r="BS92" s="106">
        <v>0</v>
      </c>
      <c r="BT92" s="106">
        <v>0</v>
      </c>
      <c r="BU92" s="106">
        <v>0</v>
      </c>
      <c r="BV92" s="106">
        <v>2.5029477514092688</v>
      </c>
      <c r="BW92" s="106">
        <v>3556.1881652022889</v>
      </c>
      <c r="BX92" s="106">
        <v>0</v>
      </c>
      <c r="BY92" s="106">
        <v>0</v>
      </c>
      <c r="BZ92" s="106">
        <v>0.98075005128592896</v>
      </c>
      <c r="CA92" s="106">
        <v>1393.4496728670479</v>
      </c>
      <c r="CB92" s="106">
        <v>1.4863309275237939</v>
      </c>
      <c r="CC92" s="106">
        <v>2111.7789818258061</v>
      </c>
      <c r="CD92" s="106">
        <v>0.87139712155810345</v>
      </c>
      <c r="CE92" s="106">
        <v>1238.0810303097533</v>
      </c>
      <c r="CF92" s="106">
        <v>0</v>
      </c>
      <c r="CG92" s="106">
        <v>0</v>
      </c>
      <c r="CH92" s="106">
        <v>0.74989056540003995</v>
      </c>
      <c r="CI92" s="106">
        <v>1065.4445153203767</v>
      </c>
      <c r="CJ92" s="106">
        <v>1.2361957055281498</v>
      </c>
      <c r="CK92" s="106">
        <v>1756.3868584143952</v>
      </c>
      <c r="CL92" s="106">
        <v>0</v>
      </c>
      <c r="CM92" s="106">
        <v>0</v>
      </c>
      <c r="CN92" s="106">
        <v>1.3745820611505342</v>
      </c>
      <c r="CO92" s="106">
        <v>1953.0061924826789</v>
      </c>
      <c r="CP92" s="106">
        <v>0.62402574742607919</v>
      </c>
      <c r="CQ92" s="106">
        <v>886.61578194297329</v>
      </c>
      <c r="CR92" s="106">
        <v>1.2734794985529265</v>
      </c>
      <c r="CS92" s="106">
        <v>1809.359671543998</v>
      </c>
      <c r="CT92" s="106">
        <v>1.0002602606815714</v>
      </c>
      <c r="CU92" s="106">
        <v>1421.1697783763766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0.36872370561474521</v>
      </c>
      <c r="I93" s="106">
        <v>653.52589583157442</v>
      </c>
      <c r="J93" s="106">
        <v>0</v>
      </c>
      <c r="K93" s="106">
        <v>0</v>
      </c>
      <c r="L93" s="106">
        <v>0.16675700744645638</v>
      </c>
      <c r="M93" s="106">
        <v>295.56011999809925</v>
      </c>
      <c r="N93" s="106">
        <v>9.7317943974170359E-2</v>
      </c>
      <c r="O93" s="106">
        <v>172.48632389981952</v>
      </c>
      <c r="P93" s="106">
        <v>0</v>
      </c>
      <c r="Q93" s="106">
        <v>0</v>
      </c>
      <c r="R93" s="106">
        <v>0.13217936111254155</v>
      </c>
      <c r="S93" s="106">
        <v>234.27469963586864</v>
      </c>
      <c r="T93" s="106">
        <v>0.10341150320348499</v>
      </c>
      <c r="U93" s="106">
        <v>183.28654827785678</v>
      </c>
      <c r="V93" s="106">
        <v>0.28742113968313399</v>
      </c>
      <c r="W93" s="106">
        <v>509.42522797438664</v>
      </c>
      <c r="X93" s="106">
        <v>0</v>
      </c>
      <c r="Y93" s="106">
        <v>0</v>
      </c>
      <c r="Z93" s="106">
        <v>0</v>
      </c>
      <c r="AA93" s="106">
        <v>0</v>
      </c>
      <c r="AB93" s="106">
        <v>0.31402498930463119</v>
      </c>
      <c r="AC93" s="106">
        <v>556.57789104352833</v>
      </c>
      <c r="AD93" s="106">
        <v>8.0091000765971546E-2</v>
      </c>
      <c r="AE93" s="106">
        <v>141.95328975760796</v>
      </c>
      <c r="AF93" s="106">
        <v>0</v>
      </c>
      <c r="AG93" s="106">
        <v>0</v>
      </c>
      <c r="AH93" s="106">
        <v>0</v>
      </c>
      <c r="AI93" s="106">
        <v>0</v>
      </c>
      <c r="AJ93" s="106">
        <v>0.34566204228499053</v>
      </c>
      <c r="AK93" s="106">
        <v>612.65140374591715</v>
      </c>
      <c r="AL93" s="106">
        <v>0.78452891443096051</v>
      </c>
      <c r="AM93" s="106">
        <v>1390.4990479374344</v>
      </c>
      <c r="AN93" s="106">
        <v>0.26480543457311728</v>
      </c>
      <c r="AO93" s="106">
        <v>469.34115223739303</v>
      </c>
      <c r="AP93" s="106">
        <v>0.49110449193111405</v>
      </c>
      <c r="AQ93" s="106">
        <v>870.43360149870648</v>
      </c>
      <c r="AR93" s="106">
        <v>0.51033599197883039</v>
      </c>
      <c r="AS93" s="106">
        <v>904.51951218327895</v>
      </c>
      <c r="AT93" s="106">
        <v>0.58190615953964564</v>
      </c>
      <c r="AU93" s="106">
        <v>1031.370477168068</v>
      </c>
      <c r="AV93" s="106">
        <v>0</v>
      </c>
      <c r="AW93" s="106">
        <v>0</v>
      </c>
      <c r="AX93" s="106">
        <v>0.83325357439219938</v>
      </c>
      <c r="AY93" s="106">
        <v>1476.8586352527341</v>
      </c>
      <c r="AZ93" s="106">
        <v>0</v>
      </c>
      <c r="BA93" s="106">
        <v>0</v>
      </c>
      <c r="BB93" s="106">
        <v>0.71712558816219929</v>
      </c>
      <c r="BC93" s="106">
        <v>1271.0333924586819</v>
      </c>
      <c r="BD93" s="106">
        <v>0.80640402072527506</v>
      </c>
      <c r="BE93" s="106">
        <v>1429.2704863334775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2.3950485992440478</v>
      </c>
      <c r="BM93" s="106">
        <v>4244.98413730015</v>
      </c>
      <c r="BN93" s="106">
        <v>1.6351496314089382</v>
      </c>
      <c r="BO93" s="106">
        <v>2898.139206709202</v>
      </c>
      <c r="BP93" s="106">
        <v>0.83225936274734624</v>
      </c>
      <c r="BQ93" s="106">
        <v>1475.0964945333965</v>
      </c>
      <c r="BR93" s="106">
        <v>0</v>
      </c>
      <c r="BS93" s="106">
        <v>0</v>
      </c>
      <c r="BT93" s="106">
        <v>0</v>
      </c>
      <c r="BU93" s="106">
        <v>0</v>
      </c>
      <c r="BV93" s="106">
        <v>2.3891773990724836</v>
      </c>
      <c r="BW93" s="106">
        <v>4234.5780221160694</v>
      </c>
      <c r="BX93" s="106">
        <v>0</v>
      </c>
      <c r="BY93" s="106">
        <v>0</v>
      </c>
      <c r="BZ93" s="106">
        <v>0.82256455914303728</v>
      </c>
      <c r="CA93" s="106">
        <v>1457.9134246251192</v>
      </c>
      <c r="CB93" s="106">
        <v>1.5482613828372853</v>
      </c>
      <c r="CC93" s="106">
        <v>2744.1384749408044</v>
      </c>
      <c r="CD93" s="106">
        <v>0.93081056166433773</v>
      </c>
      <c r="CE93" s="106">
        <v>1649.7686394938721</v>
      </c>
      <c r="CF93" s="106">
        <v>0</v>
      </c>
      <c r="CG93" s="106">
        <v>0</v>
      </c>
      <c r="CH93" s="106">
        <v>0.67490150886003597</v>
      </c>
      <c r="CI93" s="106">
        <v>1196.1954343035277</v>
      </c>
      <c r="CJ93" s="106">
        <v>1.3485771333034362</v>
      </c>
      <c r="CK93" s="106">
        <v>2390.2181110670103</v>
      </c>
      <c r="CL93" s="106">
        <v>0</v>
      </c>
      <c r="CM93" s="106">
        <v>0</v>
      </c>
      <c r="CN93" s="106">
        <v>1.3745820611505342</v>
      </c>
      <c r="CO93" s="106">
        <v>2436.3092451832067</v>
      </c>
      <c r="CP93" s="106">
        <v>0.62402574742607919</v>
      </c>
      <c r="CQ93" s="106">
        <v>1106.0232347379826</v>
      </c>
      <c r="CR93" s="106">
        <v>1.2734794985529265</v>
      </c>
      <c r="CS93" s="106">
        <v>2257.1150632352069</v>
      </c>
      <c r="CT93" s="106">
        <v>0.93774399438897316</v>
      </c>
      <c r="CU93" s="106">
        <v>1662.0574556550159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0.35454202462956269</v>
      </c>
      <c r="I94" s="106">
        <v>849.19905739272849</v>
      </c>
      <c r="J94" s="106">
        <v>0</v>
      </c>
      <c r="K94" s="106">
        <v>0</v>
      </c>
      <c r="L94" s="106">
        <v>0.16675700744645638</v>
      </c>
      <c r="M94" s="106">
        <v>399.41638423575228</v>
      </c>
      <c r="N94" s="106">
        <v>0.10480393966449117</v>
      </c>
      <c r="O94" s="106">
        <v>251.02639628438922</v>
      </c>
      <c r="P94" s="106">
        <v>0</v>
      </c>
      <c r="Q94" s="106">
        <v>0</v>
      </c>
      <c r="R94" s="106">
        <v>0.12160501222353824</v>
      </c>
      <c r="S94" s="106">
        <v>291.26832527781875</v>
      </c>
      <c r="T94" s="106">
        <v>0.11202912847044208</v>
      </c>
      <c r="U94" s="106">
        <v>268.33216851240286</v>
      </c>
      <c r="V94" s="106">
        <v>0.25149349722274228</v>
      </c>
      <c r="W94" s="106">
        <v>602.37722454791231</v>
      </c>
      <c r="X94" s="106">
        <v>0</v>
      </c>
      <c r="Y94" s="106">
        <v>0</v>
      </c>
      <c r="Z94" s="106">
        <v>0</v>
      </c>
      <c r="AA94" s="106">
        <v>0</v>
      </c>
      <c r="AB94" s="106">
        <v>0.29159463292572896</v>
      </c>
      <c r="AC94" s="106">
        <v>698.427464783706</v>
      </c>
      <c r="AD94" s="106">
        <v>8.0091000765971546E-2</v>
      </c>
      <c r="AE94" s="106">
        <v>191.83396503465502</v>
      </c>
      <c r="AF94" s="106">
        <v>0</v>
      </c>
      <c r="AG94" s="106">
        <v>0</v>
      </c>
      <c r="AH94" s="106">
        <v>0</v>
      </c>
      <c r="AI94" s="106">
        <v>0</v>
      </c>
      <c r="AJ94" s="106">
        <v>0.38406893587221164</v>
      </c>
      <c r="AK94" s="106">
        <v>919.92191520112124</v>
      </c>
      <c r="AL94" s="106">
        <v>0.71320810402814594</v>
      </c>
      <c r="AM94" s="106">
        <v>1708.2760507682151</v>
      </c>
      <c r="AN94" s="106">
        <v>0.26480543457311728</v>
      </c>
      <c r="AO94" s="106">
        <v>634.2619768895305</v>
      </c>
      <c r="AP94" s="106">
        <v>0.42094670736952633</v>
      </c>
      <c r="AQ94" s="106">
        <v>1008.2515534914894</v>
      </c>
      <c r="AR94" s="106">
        <v>0.48603427807507654</v>
      </c>
      <c r="AS94" s="106">
        <v>1164.1493028454233</v>
      </c>
      <c r="AT94" s="106">
        <v>0.55127951956387478</v>
      </c>
      <c r="AU94" s="106">
        <v>1320.4247052593928</v>
      </c>
      <c r="AV94" s="106">
        <v>0</v>
      </c>
      <c r="AW94" s="106">
        <v>0</v>
      </c>
      <c r="AX94" s="106">
        <v>0.83325357439219938</v>
      </c>
      <c r="AY94" s="106">
        <v>1995.8089613841958</v>
      </c>
      <c r="AZ94" s="106">
        <v>0</v>
      </c>
      <c r="BA94" s="106">
        <v>0</v>
      </c>
      <c r="BB94" s="106">
        <v>0.71712558816219929</v>
      </c>
      <c r="BC94" s="106">
        <v>1717.6592087660997</v>
      </c>
      <c r="BD94" s="106">
        <v>0.67200335060439587</v>
      </c>
      <c r="BE94" s="106">
        <v>1609.582425367649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2.3950485992440478</v>
      </c>
      <c r="BM94" s="106">
        <v>5736.6204049093431</v>
      </c>
      <c r="BN94" s="106">
        <v>1.5140274364897575</v>
      </c>
      <c r="BO94" s="106">
        <v>3626.3985158802666</v>
      </c>
      <c r="BP94" s="106">
        <v>0.80253581407779817</v>
      </c>
      <c r="BQ94" s="106">
        <v>1922.233781879142</v>
      </c>
      <c r="BR94" s="106">
        <v>0</v>
      </c>
      <c r="BS94" s="106">
        <v>0</v>
      </c>
      <c r="BT94" s="106">
        <v>0</v>
      </c>
      <c r="BU94" s="106">
        <v>0</v>
      </c>
      <c r="BV94" s="106">
        <v>2.161636694398914</v>
      </c>
      <c r="BW94" s="106">
        <v>5177.5522104242782</v>
      </c>
      <c r="BX94" s="106">
        <v>0</v>
      </c>
      <c r="BY94" s="106">
        <v>0</v>
      </c>
      <c r="BZ94" s="106">
        <v>0.91747585442877233</v>
      </c>
      <c r="CA94" s="106">
        <v>2197.5381665277955</v>
      </c>
      <c r="CB94" s="106">
        <v>1.4863309275237939</v>
      </c>
      <c r="CC94" s="106">
        <v>3560.0598376049911</v>
      </c>
      <c r="CD94" s="106">
        <v>0.7921792014164577</v>
      </c>
      <c r="CE94" s="106">
        <v>1897.4276232326993</v>
      </c>
      <c r="CF94" s="106">
        <v>0</v>
      </c>
      <c r="CG94" s="106">
        <v>0</v>
      </c>
      <c r="CH94" s="106">
        <v>0.74989056540003995</v>
      </c>
      <c r="CI94" s="106">
        <v>1796.1378822461756</v>
      </c>
      <c r="CJ94" s="106">
        <v>1.1238142777528635</v>
      </c>
      <c r="CK94" s="106">
        <v>2691.7599580736583</v>
      </c>
      <c r="CL94" s="106">
        <v>0</v>
      </c>
      <c r="CM94" s="106">
        <v>0</v>
      </c>
      <c r="CN94" s="106">
        <v>1.3745820611505342</v>
      </c>
      <c r="CO94" s="106">
        <v>3292.3989528677594</v>
      </c>
      <c r="CP94" s="106">
        <v>0.5348792120794964</v>
      </c>
      <c r="CQ94" s="106">
        <v>1281.1426887728096</v>
      </c>
      <c r="CR94" s="106">
        <v>1.1577086350481149</v>
      </c>
      <c r="CS94" s="106">
        <v>2772.9437226672449</v>
      </c>
      <c r="CT94" s="106">
        <v>0.81271146180377674</v>
      </c>
      <c r="CU94" s="106">
        <v>1946.606493312406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0.17018017182219011</v>
      </c>
      <c r="I95" s="106">
        <v>294.88820173349103</v>
      </c>
      <c r="J95" s="106">
        <v>0</v>
      </c>
      <c r="K95" s="106">
        <v>0</v>
      </c>
      <c r="L95" s="106">
        <v>0.31835428694323492</v>
      </c>
      <c r="M95" s="106">
        <v>551.64430841523745</v>
      </c>
      <c r="N95" s="106">
        <v>0.13474792242577435</v>
      </c>
      <c r="O95" s="106">
        <v>233.4911999793818</v>
      </c>
      <c r="P95" s="106">
        <v>0</v>
      </c>
      <c r="Q95" s="106">
        <v>0</v>
      </c>
      <c r="R95" s="106">
        <v>9.5169140001029925E-2</v>
      </c>
      <c r="S95" s="106">
        <v>164.90908579378464</v>
      </c>
      <c r="T95" s="106">
        <v>0.16373488007218456</v>
      </c>
      <c r="U95" s="106">
        <v>283.71980018908141</v>
      </c>
      <c r="V95" s="106">
        <v>0.23352967599254637</v>
      </c>
      <c r="W95" s="106">
        <v>404.66022255988435</v>
      </c>
      <c r="X95" s="106">
        <v>0</v>
      </c>
      <c r="Y95" s="106">
        <v>0</v>
      </c>
      <c r="Z95" s="106">
        <v>0</v>
      </c>
      <c r="AA95" s="106">
        <v>0</v>
      </c>
      <c r="AB95" s="106">
        <v>0.38131605844133787</v>
      </c>
      <c r="AC95" s="106">
        <v>660.74446606715026</v>
      </c>
      <c r="AD95" s="106">
        <v>0.14683350140428117</v>
      </c>
      <c r="AE95" s="106">
        <v>254.43309123333842</v>
      </c>
      <c r="AF95" s="106">
        <v>0</v>
      </c>
      <c r="AG95" s="106">
        <v>0</v>
      </c>
      <c r="AH95" s="106">
        <v>0</v>
      </c>
      <c r="AI95" s="106">
        <v>0</v>
      </c>
      <c r="AJ95" s="106">
        <v>1.1906137012038562</v>
      </c>
      <c r="AK95" s="106">
        <v>2063.0954214460421</v>
      </c>
      <c r="AL95" s="106">
        <v>1.4264162080562919</v>
      </c>
      <c r="AM95" s="106">
        <v>2471.6940053199423</v>
      </c>
      <c r="AN95" s="106">
        <v>1.172709781680948</v>
      </c>
      <c r="AO95" s="106">
        <v>2032.0715096967465</v>
      </c>
      <c r="AP95" s="106">
        <v>1.8942601831628687</v>
      </c>
      <c r="AQ95" s="106">
        <v>3282.374045384619</v>
      </c>
      <c r="AR95" s="106">
        <v>1.9198353983965524</v>
      </c>
      <c r="AS95" s="106">
        <v>3326.6907783415459</v>
      </c>
      <c r="AT95" s="106">
        <v>1.4394520788612288</v>
      </c>
      <c r="AU95" s="106">
        <v>2494.2825622507371</v>
      </c>
      <c r="AV95" s="106">
        <v>0</v>
      </c>
      <c r="AW95" s="106">
        <v>0</v>
      </c>
      <c r="AX95" s="106">
        <v>3.0766285823711974</v>
      </c>
      <c r="AY95" s="106">
        <v>5331.1820075328105</v>
      </c>
      <c r="AZ95" s="106">
        <v>0</v>
      </c>
      <c r="BA95" s="106">
        <v>0</v>
      </c>
      <c r="BB95" s="106">
        <v>2.3201121969953507</v>
      </c>
      <c r="BC95" s="106">
        <v>4020.2904149535434</v>
      </c>
      <c r="BD95" s="106">
        <v>2.0160100518131876</v>
      </c>
      <c r="BE95" s="106">
        <v>3493.3422177818916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1.710748999460034</v>
      </c>
      <c r="BM95" s="106">
        <v>2964.385866264347</v>
      </c>
      <c r="BN95" s="106">
        <v>0.78729426697467397</v>
      </c>
      <c r="BO95" s="106">
        <v>1364.2235058137151</v>
      </c>
      <c r="BP95" s="106">
        <v>0.68364161939960599</v>
      </c>
      <c r="BQ95" s="106">
        <v>1184.6141980956372</v>
      </c>
      <c r="BR95" s="106">
        <v>0</v>
      </c>
      <c r="BS95" s="106">
        <v>0</v>
      </c>
      <c r="BT95" s="106">
        <v>0</v>
      </c>
      <c r="BU95" s="106">
        <v>0</v>
      </c>
      <c r="BV95" s="106">
        <v>1.9340959897253438</v>
      </c>
      <c r="BW95" s="106">
        <v>3351.4015309960755</v>
      </c>
      <c r="BX95" s="106">
        <v>0</v>
      </c>
      <c r="BY95" s="106">
        <v>0</v>
      </c>
      <c r="BZ95" s="106">
        <v>0.37964518114294027</v>
      </c>
      <c r="CA95" s="106">
        <v>657.84916988448686</v>
      </c>
      <c r="CB95" s="106">
        <v>0.55737409782142266</v>
      </c>
      <c r="CC95" s="106">
        <v>965.81783670496122</v>
      </c>
      <c r="CD95" s="106">
        <v>0.31687168056658305</v>
      </c>
      <c r="CE95" s="106">
        <v>549.07524808577512</v>
      </c>
      <c r="CF95" s="106">
        <v>0</v>
      </c>
      <c r="CG95" s="106">
        <v>0</v>
      </c>
      <c r="CH95" s="106">
        <v>1.049846791560056</v>
      </c>
      <c r="CI95" s="106">
        <v>1819.1745204152651</v>
      </c>
      <c r="CJ95" s="106">
        <v>2.5847728388315856</v>
      </c>
      <c r="CK95" s="106">
        <v>4478.8943751273709</v>
      </c>
      <c r="CL95" s="106">
        <v>0</v>
      </c>
      <c r="CM95" s="106">
        <v>0</v>
      </c>
      <c r="CN95" s="106">
        <v>2.061873091725801</v>
      </c>
      <c r="CO95" s="106">
        <v>3572.813693342468</v>
      </c>
      <c r="CP95" s="106">
        <v>0.93603862113911884</v>
      </c>
      <c r="CQ95" s="106">
        <v>1621.967722709865</v>
      </c>
      <c r="CR95" s="106">
        <v>0.86828147628608621</v>
      </c>
      <c r="CS95" s="106">
        <v>1504.5581421085301</v>
      </c>
      <c r="CT95" s="106">
        <v>0.81271146180377674</v>
      </c>
      <c r="CU95" s="106">
        <v>1408.2664210135842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0.15599849083700759</v>
      </c>
      <c r="I96" s="106">
        <v>128.41795765702463</v>
      </c>
      <c r="J96" s="106">
        <v>0</v>
      </c>
      <c r="K96" s="106">
        <v>0</v>
      </c>
      <c r="L96" s="106">
        <v>0.36383347079226852</v>
      </c>
      <c r="M96" s="106">
        <v>299.50771315619539</v>
      </c>
      <c r="N96" s="106">
        <v>0.15720590949673674</v>
      </c>
      <c r="O96" s="106">
        <v>129.41190469771368</v>
      </c>
      <c r="P96" s="106">
        <v>0</v>
      </c>
      <c r="Q96" s="106">
        <v>0</v>
      </c>
      <c r="R96" s="106">
        <v>0.11103066333453493</v>
      </c>
      <c r="S96" s="106">
        <v>91.400442056989149</v>
      </c>
      <c r="T96" s="106">
        <v>0.18097013060609873</v>
      </c>
      <c r="U96" s="106">
        <v>148.97461151494048</v>
      </c>
      <c r="V96" s="106">
        <v>0.26945731845293808</v>
      </c>
      <c r="W96" s="106">
        <v>221.81726455045862</v>
      </c>
      <c r="X96" s="106">
        <v>0</v>
      </c>
      <c r="Y96" s="106">
        <v>0</v>
      </c>
      <c r="Z96" s="106">
        <v>0</v>
      </c>
      <c r="AA96" s="106">
        <v>0</v>
      </c>
      <c r="AB96" s="106">
        <v>0.42617677119914232</v>
      </c>
      <c r="AC96" s="106">
        <v>350.82871805113393</v>
      </c>
      <c r="AD96" s="106">
        <v>0.16685625159577405</v>
      </c>
      <c r="AE96" s="106">
        <v>137.35606631364118</v>
      </c>
      <c r="AF96" s="106">
        <v>0</v>
      </c>
      <c r="AG96" s="106">
        <v>0</v>
      </c>
      <c r="AH96" s="106">
        <v>0</v>
      </c>
      <c r="AI96" s="106">
        <v>0</v>
      </c>
      <c r="AJ96" s="106">
        <v>1.1522068076166352</v>
      </c>
      <c r="AK96" s="106">
        <v>948.49664403001395</v>
      </c>
      <c r="AL96" s="106">
        <v>1.569057828861921</v>
      </c>
      <c r="AM96" s="106">
        <v>1291.6484047191332</v>
      </c>
      <c r="AN96" s="106">
        <v>1.3240271728655866</v>
      </c>
      <c r="AO96" s="106">
        <v>1089.9391687029508</v>
      </c>
      <c r="AP96" s="106">
        <v>2.2450491059708071</v>
      </c>
      <c r="AQ96" s="106">
        <v>1848.1244240351682</v>
      </c>
      <c r="AR96" s="106">
        <v>1.846930256685291</v>
      </c>
      <c r="AS96" s="106">
        <v>1520.3929873033314</v>
      </c>
      <c r="AT96" s="106">
        <v>1.6844651986673953</v>
      </c>
      <c r="AU96" s="106">
        <v>1386.6517515429996</v>
      </c>
      <c r="AV96" s="106">
        <v>0</v>
      </c>
      <c r="AW96" s="106">
        <v>0</v>
      </c>
      <c r="AX96" s="106">
        <v>3.8457857279639964</v>
      </c>
      <c r="AY96" s="106">
        <v>3165.8508112599616</v>
      </c>
      <c r="AZ96" s="106">
        <v>0</v>
      </c>
      <c r="BA96" s="106">
        <v>0</v>
      </c>
      <c r="BB96" s="106">
        <v>3.1216055014119259</v>
      </c>
      <c r="BC96" s="106">
        <v>2569.7056487622972</v>
      </c>
      <c r="BD96" s="106">
        <v>1.9712098284395614</v>
      </c>
      <c r="BE96" s="106">
        <v>1622.6999307714468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1.6423190394816327</v>
      </c>
      <c r="BM96" s="106">
        <v>1351.95703330128</v>
      </c>
      <c r="BN96" s="106">
        <v>0.96897755935344487</v>
      </c>
      <c r="BO96" s="106">
        <v>797.66232685975581</v>
      </c>
      <c r="BP96" s="106">
        <v>0.80253581407779817</v>
      </c>
      <c r="BQ96" s="106">
        <v>660.64748214884344</v>
      </c>
      <c r="BR96" s="106">
        <v>0</v>
      </c>
      <c r="BS96" s="106">
        <v>0</v>
      </c>
      <c r="BT96" s="106">
        <v>0</v>
      </c>
      <c r="BU96" s="106">
        <v>0</v>
      </c>
      <c r="BV96" s="106">
        <v>2.2754070467356988</v>
      </c>
      <c r="BW96" s="106">
        <v>1873.1150808728271</v>
      </c>
      <c r="BX96" s="106">
        <v>0</v>
      </c>
      <c r="BY96" s="106">
        <v>0</v>
      </c>
      <c r="BZ96" s="106">
        <v>0.3480080827143619</v>
      </c>
      <c r="CA96" s="106">
        <v>286.48025369046269</v>
      </c>
      <c r="CB96" s="106">
        <v>0.61930455313491406</v>
      </c>
      <c r="CC96" s="106">
        <v>509.8115081406612</v>
      </c>
      <c r="CD96" s="106">
        <v>0.29706720053117158</v>
      </c>
      <c r="CE96" s="106">
        <v>244.54571947726043</v>
      </c>
      <c r="CF96" s="106">
        <v>0</v>
      </c>
      <c r="CG96" s="106">
        <v>0</v>
      </c>
      <c r="CH96" s="106">
        <v>1.3498030177200719</v>
      </c>
      <c r="CI96" s="106">
        <v>1111.1578441871632</v>
      </c>
      <c r="CJ96" s="106">
        <v>2.6971542666068724</v>
      </c>
      <c r="CK96" s="106">
        <v>2220.297392270777</v>
      </c>
      <c r="CL96" s="106">
        <v>0</v>
      </c>
      <c r="CM96" s="106">
        <v>0</v>
      </c>
      <c r="CN96" s="106">
        <v>2.4055186070134345</v>
      </c>
      <c r="CO96" s="106">
        <v>1980.222917293459</v>
      </c>
      <c r="CP96" s="106">
        <v>1.0697584241589928</v>
      </c>
      <c r="CQ96" s="106">
        <v>880.62513476768277</v>
      </c>
      <c r="CR96" s="106">
        <v>1.0419377715433034</v>
      </c>
      <c r="CS96" s="106">
        <v>857.72317353444726</v>
      </c>
      <c r="CT96" s="106">
        <v>0.93774399438897316</v>
      </c>
      <c r="CU96" s="106">
        <v>771.95085618100268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0.17018017182219011</v>
      </c>
      <c r="I97" s="106">
        <v>311.22549822842126</v>
      </c>
      <c r="J97" s="106">
        <v>0</v>
      </c>
      <c r="K97" s="106">
        <v>0</v>
      </c>
      <c r="L97" s="106">
        <v>0.33351401489291277</v>
      </c>
      <c r="M97" s="106">
        <v>609.93043043615887</v>
      </c>
      <c r="N97" s="106">
        <v>0.13474792242577435</v>
      </c>
      <c r="O97" s="106">
        <v>246.42700053225613</v>
      </c>
      <c r="P97" s="106">
        <v>0</v>
      </c>
      <c r="Q97" s="106">
        <v>0</v>
      </c>
      <c r="R97" s="106">
        <v>9.5169140001029925E-2</v>
      </c>
      <c r="S97" s="106">
        <v>174.04532323388352</v>
      </c>
      <c r="T97" s="106">
        <v>0.14649962953827042</v>
      </c>
      <c r="U97" s="106">
        <v>267.91852249958896</v>
      </c>
      <c r="V97" s="106">
        <v>0.26945731845293808</v>
      </c>
      <c r="W97" s="106">
        <v>492.78354398673315</v>
      </c>
      <c r="X97" s="106">
        <v>0</v>
      </c>
      <c r="Y97" s="106">
        <v>0</v>
      </c>
      <c r="Z97" s="106">
        <v>0</v>
      </c>
      <c r="AA97" s="106">
        <v>0</v>
      </c>
      <c r="AB97" s="106">
        <v>0.35888570206243564</v>
      </c>
      <c r="AC97" s="106">
        <v>656.33017193178227</v>
      </c>
      <c r="AD97" s="106">
        <v>0.14683350140428117</v>
      </c>
      <c r="AE97" s="106">
        <v>268.52910736814937</v>
      </c>
      <c r="AF97" s="106">
        <v>0</v>
      </c>
      <c r="AG97" s="106">
        <v>0</v>
      </c>
      <c r="AH97" s="106">
        <v>0</v>
      </c>
      <c r="AI97" s="106">
        <v>0</v>
      </c>
      <c r="AJ97" s="106">
        <v>1.0369861268549714</v>
      </c>
      <c r="AK97" s="106">
        <v>1896.4402287923715</v>
      </c>
      <c r="AL97" s="106">
        <v>1.4264162080562919</v>
      </c>
      <c r="AM97" s="106">
        <v>2608.6299612933467</v>
      </c>
      <c r="AN97" s="106">
        <v>1.1348804338847884</v>
      </c>
      <c r="AO97" s="106">
        <v>2075.469337488501</v>
      </c>
      <c r="AP97" s="106">
        <v>1.9644179677244562</v>
      </c>
      <c r="AQ97" s="106">
        <v>3592.5275793744854</v>
      </c>
      <c r="AR97" s="106">
        <v>1.7497234010702756</v>
      </c>
      <c r="AS97" s="106">
        <v>3199.8941558773199</v>
      </c>
      <c r="AT97" s="106">
        <v>1.4394520788612288</v>
      </c>
      <c r="AU97" s="106">
        <v>2632.4699618214154</v>
      </c>
      <c r="AV97" s="106">
        <v>0</v>
      </c>
      <c r="AW97" s="106">
        <v>0</v>
      </c>
      <c r="AX97" s="106">
        <v>2.8202428671735973</v>
      </c>
      <c r="AY97" s="106">
        <v>5157.6601554870749</v>
      </c>
      <c r="AZ97" s="106">
        <v>0</v>
      </c>
      <c r="BA97" s="106">
        <v>0</v>
      </c>
      <c r="BB97" s="106">
        <v>2.3201121969953507</v>
      </c>
      <c r="BC97" s="106">
        <v>4243.0211858650973</v>
      </c>
      <c r="BD97" s="106">
        <v>1.8816093816923083</v>
      </c>
      <c r="BE97" s="106">
        <v>3441.0872372388935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1.6423190394816327</v>
      </c>
      <c r="BM97" s="106">
        <v>3003.4730594040097</v>
      </c>
      <c r="BN97" s="106">
        <v>0.84785536443426424</v>
      </c>
      <c r="BO97" s="106">
        <v>1550.5578904773824</v>
      </c>
      <c r="BP97" s="106">
        <v>0.68364161939960599</v>
      </c>
      <c r="BQ97" s="106">
        <v>1250.2437935579994</v>
      </c>
      <c r="BR97" s="106">
        <v>0</v>
      </c>
      <c r="BS97" s="106">
        <v>0</v>
      </c>
      <c r="BT97" s="106">
        <v>0</v>
      </c>
      <c r="BU97" s="106">
        <v>0</v>
      </c>
      <c r="BV97" s="106">
        <v>1.9340959897253438</v>
      </c>
      <c r="BW97" s="106">
        <v>3537.0747460097086</v>
      </c>
      <c r="BX97" s="106">
        <v>0</v>
      </c>
      <c r="BY97" s="106">
        <v>0</v>
      </c>
      <c r="BZ97" s="106">
        <v>0.37964518114294027</v>
      </c>
      <c r="CA97" s="106">
        <v>694.29510727420916</v>
      </c>
      <c r="CB97" s="106">
        <v>0.55737409782142266</v>
      </c>
      <c r="CC97" s="106">
        <v>1019.3257500958177</v>
      </c>
      <c r="CD97" s="106">
        <v>0.31687168056658305</v>
      </c>
      <c r="CE97" s="106">
        <v>579.49492942016707</v>
      </c>
      <c r="CF97" s="106">
        <v>0</v>
      </c>
      <c r="CG97" s="106">
        <v>0</v>
      </c>
      <c r="CH97" s="106">
        <v>1.274813961180068</v>
      </c>
      <c r="CI97" s="106">
        <v>2331.3797722061081</v>
      </c>
      <c r="CJ97" s="106">
        <v>2.2476285555057269</v>
      </c>
      <c r="CK97" s="106">
        <v>4110.4631023088732</v>
      </c>
      <c r="CL97" s="106">
        <v>0</v>
      </c>
      <c r="CM97" s="106">
        <v>0</v>
      </c>
      <c r="CN97" s="106">
        <v>2.061873091725801</v>
      </c>
      <c r="CO97" s="106">
        <v>3770.7535101481449</v>
      </c>
      <c r="CP97" s="106">
        <v>0.93603862113911884</v>
      </c>
      <c r="CQ97" s="106">
        <v>1711.8274303392204</v>
      </c>
      <c r="CR97" s="106">
        <v>0.98405233979089768</v>
      </c>
      <c r="CS97" s="106">
        <v>1799.6349190095937</v>
      </c>
      <c r="CT97" s="106">
        <v>0.93774399438897316</v>
      </c>
      <c r="CU97" s="106">
        <v>1714.946216938554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0.18436185280737261</v>
      </c>
      <c r="I98" s="106">
        <v>232.95963720739601</v>
      </c>
      <c r="J98" s="106">
        <v>0</v>
      </c>
      <c r="K98" s="106">
        <v>0</v>
      </c>
      <c r="L98" s="106">
        <v>0.34867374284259062</v>
      </c>
      <c r="M98" s="106">
        <v>440.58414145589745</v>
      </c>
      <c r="N98" s="106">
        <v>0.14971991380641594</v>
      </c>
      <c r="O98" s="106">
        <v>189.18608308578717</v>
      </c>
      <c r="P98" s="106">
        <v>0</v>
      </c>
      <c r="Q98" s="106">
        <v>0</v>
      </c>
      <c r="R98" s="106">
        <v>0.10045631444553159</v>
      </c>
      <c r="S98" s="106">
        <v>126.9365989333737</v>
      </c>
      <c r="T98" s="106">
        <v>0.15511725480522751</v>
      </c>
      <c r="U98" s="106">
        <v>196.00616317188548</v>
      </c>
      <c r="V98" s="106">
        <v>0.25149349722274228</v>
      </c>
      <c r="W98" s="106">
        <v>317.78718309065709</v>
      </c>
      <c r="X98" s="106">
        <v>0</v>
      </c>
      <c r="Y98" s="106">
        <v>0</v>
      </c>
      <c r="Z98" s="106">
        <v>0</v>
      </c>
      <c r="AA98" s="106">
        <v>0</v>
      </c>
      <c r="AB98" s="106">
        <v>0.4037464148202401</v>
      </c>
      <c r="AC98" s="106">
        <v>510.17396976685535</v>
      </c>
      <c r="AD98" s="106">
        <v>0.16018200153194309</v>
      </c>
      <c r="AE98" s="106">
        <v>202.40597713576327</v>
      </c>
      <c r="AF98" s="106">
        <v>0</v>
      </c>
      <c r="AG98" s="106">
        <v>0</v>
      </c>
      <c r="AH98" s="106">
        <v>0</v>
      </c>
      <c r="AI98" s="106">
        <v>0</v>
      </c>
      <c r="AJ98" s="106">
        <v>1.1906137012038562</v>
      </c>
      <c r="AK98" s="106">
        <v>1504.4594728411926</v>
      </c>
      <c r="AL98" s="106">
        <v>1.4264162080562919</v>
      </c>
      <c r="AM98" s="106">
        <v>1802.4195204999303</v>
      </c>
      <c r="AN98" s="106">
        <v>1.1348804338847884</v>
      </c>
      <c r="AO98" s="106">
        <v>1434.0349162568186</v>
      </c>
      <c r="AP98" s="106">
        <v>2.3853646750939825</v>
      </c>
      <c r="AQ98" s="106">
        <v>3014.1468034487561</v>
      </c>
      <c r="AR98" s="106">
        <v>1.701119973262768</v>
      </c>
      <c r="AS98" s="106">
        <v>2149.5351982148336</v>
      </c>
      <c r="AT98" s="106">
        <v>1.408825438885458</v>
      </c>
      <c r="AU98" s="106">
        <v>1780.1918245756647</v>
      </c>
      <c r="AV98" s="106">
        <v>0</v>
      </c>
      <c r="AW98" s="106">
        <v>0</v>
      </c>
      <c r="AX98" s="106">
        <v>3.3330142975687975</v>
      </c>
      <c r="AY98" s="106">
        <v>4211.5968664079319</v>
      </c>
      <c r="AZ98" s="106">
        <v>0</v>
      </c>
      <c r="BA98" s="106">
        <v>0</v>
      </c>
      <c r="BB98" s="106">
        <v>2.4888476295041033</v>
      </c>
      <c r="BC98" s="106">
        <v>3144.9078646413845</v>
      </c>
      <c r="BD98" s="106">
        <v>1.8816093816923083</v>
      </c>
      <c r="BE98" s="106">
        <v>2377.6016147064006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1.5738890795032312</v>
      </c>
      <c r="BM98" s="106">
        <v>1988.7662408602828</v>
      </c>
      <c r="BN98" s="106">
        <v>0.84785536443426424</v>
      </c>
      <c r="BO98" s="106">
        <v>1071.3500384991362</v>
      </c>
      <c r="BP98" s="106">
        <v>0.83225936274734624</v>
      </c>
      <c r="BQ98" s="106">
        <v>1051.6429307675467</v>
      </c>
      <c r="BR98" s="106">
        <v>0</v>
      </c>
      <c r="BS98" s="106">
        <v>0</v>
      </c>
      <c r="BT98" s="106">
        <v>0</v>
      </c>
      <c r="BU98" s="106">
        <v>0</v>
      </c>
      <c r="BV98" s="106">
        <v>2.0478663420621293</v>
      </c>
      <c r="BW98" s="106">
        <v>2587.6839098297064</v>
      </c>
      <c r="BX98" s="106">
        <v>0</v>
      </c>
      <c r="BY98" s="106">
        <v>0</v>
      </c>
      <c r="BZ98" s="106">
        <v>0.3480080827143619</v>
      </c>
      <c r="CA98" s="106">
        <v>439.74301331786768</v>
      </c>
      <c r="CB98" s="106">
        <v>0.68123500844840545</v>
      </c>
      <c r="CC98" s="106">
        <v>860.80855667540504</v>
      </c>
      <c r="CD98" s="106">
        <v>0.29706720053117158</v>
      </c>
      <c r="CE98" s="106">
        <v>375.3741145911884</v>
      </c>
      <c r="CF98" s="106">
        <v>0</v>
      </c>
      <c r="CG98" s="106">
        <v>0</v>
      </c>
      <c r="CH98" s="106">
        <v>1.199824904640064</v>
      </c>
      <c r="CI98" s="106">
        <v>1516.0987495031848</v>
      </c>
      <c r="CJ98" s="106">
        <v>2.4723914110562997</v>
      </c>
      <c r="CK98" s="106">
        <v>3124.11378701074</v>
      </c>
      <c r="CL98" s="106">
        <v>0</v>
      </c>
      <c r="CM98" s="106">
        <v>0</v>
      </c>
      <c r="CN98" s="106">
        <v>2.5200671121093121</v>
      </c>
      <c r="CO98" s="106">
        <v>3184.3568028613267</v>
      </c>
      <c r="CP98" s="106">
        <v>1.0251851564857017</v>
      </c>
      <c r="CQ98" s="106">
        <v>1295.4239637353326</v>
      </c>
      <c r="CR98" s="106">
        <v>0.98405233979089768</v>
      </c>
      <c r="CS98" s="106">
        <v>1243.4485365597782</v>
      </c>
      <c r="CT98" s="106">
        <v>0.93774399438897316</v>
      </c>
      <c r="CU98" s="106">
        <v>1184.9333113099065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0.11345344788146006</v>
      </c>
      <c r="I99" s="106">
        <v>621.90641990701135</v>
      </c>
      <c r="J99" s="106">
        <v>0</v>
      </c>
      <c r="K99" s="106">
        <v>0</v>
      </c>
      <c r="L99" s="106">
        <v>0.24255564719484565</v>
      </c>
      <c r="M99" s="106">
        <v>1329.5930356632657</v>
      </c>
      <c r="N99" s="106">
        <v>0.10480393966449117</v>
      </c>
      <c r="O99" s="106">
        <v>574.49327566487477</v>
      </c>
      <c r="P99" s="106">
        <v>0</v>
      </c>
      <c r="Q99" s="106">
        <v>0</v>
      </c>
      <c r="R99" s="106">
        <v>6.344609333401996E-2</v>
      </c>
      <c r="S99" s="106">
        <v>347.78610521976378</v>
      </c>
      <c r="T99" s="106">
        <v>0.11202912847044208</v>
      </c>
      <c r="U99" s="106">
        <v>614.09887062357529</v>
      </c>
      <c r="V99" s="106">
        <v>0.19760203353215461</v>
      </c>
      <c r="W99" s="106">
        <v>1083.1753070098587</v>
      </c>
      <c r="X99" s="106">
        <v>0</v>
      </c>
      <c r="Y99" s="106">
        <v>0</v>
      </c>
      <c r="Z99" s="106">
        <v>0</v>
      </c>
      <c r="AA99" s="106">
        <v>0</v>
      </c>
      <c r="AB99" s="106">
        <v>0.26916427654682673</v>
      </c>
      <c r="AC99" s="106">
        <v>1475.4508983190854</v>
      </c>
      <c r="AD99" s="106">
        <v>0.10678800102129539</v>
      </c>
      <c r="AE99" s="106">
        <v>585.36910639833275</v>
      </c>
      <c r="AF99" s="106">
        <v>0</v>
      </c>
      <c r="AG99" s="106">
        <v>0</v>
      </c>
      <c r="AH99" s="106">
        <v>0</v>
      </c>
      <c r="AI99" s="106">
        <v>0</v>
      </c>
      <c r="AJ99" s="106">
        <v>0.80654476533164454</v>
      </c>
      <c r="AK99" s="106">
        <v>4421.1557856419422</v>
      </c>
      <c r="AL99" s="106">
        <v>1.1411329664450336</v>
      </c>
      <c r="AM99" s="106">
        <v>6255.2344688650956</v>
      </c>
      <c r="AN99" s="106">
        <v>0.7944163037193519</v>
      </c>
      <c r="AO99" s="106">
        <v>4354.6724104679988</v>
      </c>
      <c r="AP99" s="106">
        <v>1.4733134757933422</v>
      </c>
      <c r="AQ99" s="106">
        <v>8076.1151489087833</v>
      </c>
      <c r="AR99" s="106">
        <v>1.1664822673801838</v>
      </c>
      <c r="AS99" s="106">
        <v>6394.1891968712152</v>
      </c>
      <c r="AT99" s="106">
        <v>0.82691927934581222</v>
      </c>
      <c r="AU99" s="106">
        <v>4532.8407216620035</v>
      </c>
      <c r="AV99" s="106">
        <v>0</v>
      </c>
      <c r="AW99" s="106">
        <v>0</v>
      </c>
      <c r="AX99" s="106">
        <v>1.8587964351825983</v>
      </c>
      <c r="AY99" s="106">
        <v>10189.178539096929</v>
      </c>
      <c r="AZ99" s="106">
        <v>0</v>
      </c>
      <c r="BA99" s="106">
        <v>0</v>
      </c>
      <c r="BB99" s="106">
        <v>1.4764350344515869</v>
      </c>
      <c r="BC99" s="106">
        <v>8093.2262848498176</v>
      </c>
      <c r="BD99" s="106">
        <v>1.1648058077142862</v>
      </c>
      <c r="BE99" s="106">
        <v>6384.9995155666311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1.163309319632823</v>
      </c>
      <c r="BM99" s="106">
        <v>6376.7963664992822</v>
      </c>
      <c r="BN99" s="106">
        <v>0.66617207205549334</v>
      </c>
      <c r="BO99" s="106">
        <v>3651.688830179392</v>
      </c>
      <c r="BP99" s="106">
        <v>0.56474742472141359</v>
      </c>
      <c r="BQ99" s="106">
        <v>3095.7194833529006</v>
      </c>
      <c r="BR99" s="106">
        <v>0</v>
      </c>
      <c r="BS99" s="106">
        <v>0</v>
      </c>
      <c r="BT99" s="106">
        <v>0</v>
      </c>
      <c r="BU99" s="106">
        <v>0</v>
      </c>
      <c r="BV99" s="106">
        <v>1.3652442280414192</v>
      </c>
      <c r="BW99" s="106">
        <v>7483.7227604318432</v>
      </c>
      <c r="BX99" s="106">
        <v>0</v>
      </c>
      <c r="BY99" s="106">
        <v>0</v>
      </c>
      <c r="BZ99" s="106">
        <v>0.2530967874286269</v>
      </c>
      <c r="CA99" s="106">
        <v>1387.3753499687612</v>
      </c>
      <c r="CB99" s="106">
        <v>0.43351318719443988</v>
      </c>
      <c r="CC99" s="106">
        <v>2376.3458869250412</v>
      </c>
      <c r="CD99" s="106">
        <v>0.21784928038952586</v>
      </c>
      <c r="CE99" s="106">
        <v>1194.1626153832249</v>
      </c>
      <c r="CF99" s="106">
        <v>0</v>
      </c>
      <c r="CG99" s="106">
        <v>0</v>
      </c>
      <c r="CH99" s="106">
        <v>0.97485773502005191</v>
      </c>
      <c r="CI99" s="106">
        <v>5343.7801602859163</v>
      </c>
      <c r="CJ99" s="106">
        <v>1.7981028444045817</v>
      </c>
      <c r="CK99" s="106">
        <v>9856.4805518881531</v>
      </c>
      <c r="CL99" s="106">
        <v>0</v>
      </c>
      <c r="CM99" s="106">
        <v>0</v>
      </c>
      <c r="CN99" s="106">
        <v>1.6036790713422897</v>
      </c>
      <c r="CO99" s="106">
        <v>8790.7271974698942</v>
      </c>
      <c r="CP99" s="106">
        <v>0.66859901509937059</v>
      </c>
      <c r="CQ99" s="106">
        <v>3664.9923611687095</v>
      </c>
      <c r="CR99" s="106">
        <v>0.69462518102886894</v>
      </c>
      <c r="CS99" s="106">
        <v>3807.6573923278474</v>
      </c>
      <c r="CT99" s="106">
        <v>0.75019519551117853</v>
      </c>
      <c r="CU99" s="106">
        <v>4112.2699837140754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0.17018017182219011</v>
      </c>
      <c r="I100" s="106">
        <v>276.10031076432119</v>
      </c>
      <c r="J100" s="106">
        <v>0</v>
      </c>
      <c r="K100" s="106">
        <v>0</v>
      </c>
      <c r="L100" s="106">
        <v>0.31835428694323492</v>
      </c>
      <c r="M100" s="106">
        <v>516.49799513670428</v>
      </c>
      <c r="N100" s="106">
        <v>0.15720590949673674</v>
      </c>
      <c r="O100" s="106">
        <v>255.05086756750566</v>
      </c>
      <c r="P100" s="106">
        <v>0</v>
      </c>
      <c r="Q100" s="106">
        <v>0</v>
      </c>
      <c r="R100" s="106">
        <v>0.10574348889003327</v>
      </c>
      <c r="S100" s="106">
        <v>171.55823637518995</v>
      </c>
      <c r="T100" s="106">
        <v>0.18097013060609873</v>
      </c>
      <c r="U100" s="106">
        <v>293.60593989533459</v>
      </c>
      <c r="V100" s="106">
        <v>0.26945731845293808</v>
      </c>
      <c r="W100" s="106">
        <v>437.16755345804671</v>
      </c>
      <c r="X100" s="106">
        <v>0</v>
      </c>
      <c r="Y100" s="106">
        <v>0</v>
      </c>
      <c r="Z100" s="106">
        <v>0</v>
      </c>
      <c r="AA100" s="106">
        <v>0</v>
      </c>
      <c r="AB100" s="106">
        <v>0.35888570206243564</v>
      </c>
      <c r="AC100" s="106">
        <v>582.25616302609558</v>
      </c>
      <c r="AD100" s="106">
        <v>0.16685625159577405</v>
      </c>
      <c r="AE100" s="106">
        <v>270.70758258898383</v>
      </c>
      <c r="AF100" s="106">
        <v>0</v>
      </c>
      <c r="AG100" s="106">
        <v>0</v>
      </c>
      <c r="AH100" s="106">
        <v>0</v>
      </c>
      <c r="AI100" s="106">
        <v>0</v>
      </c>
      <c r="AJ100" s="106">
        <v>1.0753930204421926</v>
      </c>
      <c r="AK100" s="106">
        <v>1744.7176363654132</v>
      </c>
      <c r="AL100" s="106">
        <v>1.6403786392647355</v>
      </c>
      <c r="AM100" s="106">
        <v>2661.3503043431065</v>
      </c>
      <c r="AN100" s="106">
        <v>1.172709781680948</v>
      </c>
      <c r="AO100" s="106">
        <v>1902.6043497991698</v>
      </c>
      <c r="AP100" s="106">
        <v>1.9644179677244562</v>
      </c>
      <c r="AQ100" s="106">
        <v>3187.0717108361573</v>
      </c>
      <c r="AR100" s="106">
        <v>1.6525165454552604</v>
      </c>
      <c r="AS100" s="106">
        <v>2681.0428433466141</v>
      </c>
      <c r="AT100" s="106">
        <v>1.4394520788612288</v>
      </c>
      <c r="AU100" s="106">
        <v>2335.3670527444574</v>
      </c>
      <c r="AV100" s="106">
        <v>0</v>
      </c>
      <c r="AW100" s="106">
        <v>0</v>
      </c>
      <c r="AX100" s="106">
        <v>3.3971107263681972</v>
      </c>
      <c r="AY100" s="106">
        <v>5511.4724424597625</v>
      </c>
      <c r="AZ100" s="106">
        <v>0</v>
      </c>
      <c r="BA100" s="106">
        <v>0</v>
      </c>
      <c r="BB100" s="106">
        <v>2.4466637713769153</v>
      </c>
      <c r="BC100" s="106">
        <v>3969.4673026819069</v>
      </c>
      <c r="BD100" s="106">
        <v>1.9712098284395614</v>
      </c>
      <c r="BE100" s="106">
        <v>3198.0908256603443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1.5054591195248299</v>
      </c>
      <c r="BM100" s="106">
        <v>2442.456875517084</v>
      </c>
      <c r="BN100" s="106">
        <v>0.78729426697467397</v>
      </c>
      <c r="BO100" s="106">
        <v>1277.3062187397109</v>
      </c>
      <c r="BP100" s="106">
        <v>0.71336516806915407</v>
      </c>
      <c r="BQ100" s="106">
        <v>1157.3636486753956</v>
      </c>
      <c r="BR100" s="106">
        <v>0</v>
      </c>
      <c r="BS100" s="106">
        <v>0</v>
      </c>
      <c r="BT100" s="106">
        <v>0</v>
      </c>
      <c r="BU100" s="106">
        <v>0</v>
      </c>
      <c r="BV100" s="106">
        <v>1.9340959897253438</v>
      </c>
      <c r="BW100" s="106">
        <v>3137.8773337303974</v>
      </c>
      <c r="BX100" s="106">
        <v>0</v>
      </c>
      <c r="BY100" s="106">
        <v>0</v>
      </c>
      <c r="BZ100" s="106">
        <v>0.37964518114294027</v>
      </c>
      <c r="CA100" s="106">
        <v>615.9363418863062</v>
      </c>
      <c r="CB100" s="106">
        <v>0.55737409782142266</v>
      </c>
      <c r="CC100" s="106">
        <v>904.28373630547605</v>
      </c>
      <c r="CD100" s="106">
        <v>0.27726272049576017</v>
      </c>
      <c r="CE100" s="106">
        <v>449.83103773232125</v>
      </c>
      <c r="CF100" s="106">
        <v>0</v>
      </c>
      <c r="CG100" s="106">
        <v>0</v>
      </c>
      <c r="CH100" s="106">
        <v>1.12483584810006</v>
      </c>
      <c r="CI100" s="106">
        <v>1824.9336799575372</v>
      </c>
      <c r="CJ100" s="106">
        <v>2.5847728388315856</v>
      </c>
      <c r="CK100" s="106">
        <v>4193.5354537203639</v>
      </c>
      <c r="CL100" s="106">
        <v>0</v>
      </c>
      <c r="CM100" s="106">
        <v>0</v>
      </c>
      <c r="CN100" s="106">
        <v>2.4055186070134345</v>
      </c>
      <c r="CO100" s="106">
        <v>3902.7133880185957</v>
      </c>
      <c r="CP100" s="106">
        <v>0.89146535346582745</v>
      </c>
      <c r="CQ100" s="106">
        <v>1446.3133894629584</v>
      </c>
      <c r="CR100" s="106">
        <v>0.926166908038492</v>
      </c>
      <c r="CS100" s="106">
        <v>1502.6131916016493</v>
      </c>
      <c r="CT100" s="106">
        <v>0.87522772809637495</v>
      </c>
      <c r="CU100" s="106">
        <v>1419.9694660635587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0.15599849083700759</v>
      </c>
      <c r="I101" s="106">
        <v>185.70060349237383</v>
      </c>
      <c r="J101" s="106">
        <v>0</v>
      </c>
      <c r="K101" s="106">
        <v>0</v>
      </c>
      <c r="L101" s="106">
        <v>0.36383347079226852</v>
      </c>
      <c r="M101" s="106">
        <v>433.10736363111641</v>
      </c>
      <c r="N101" s="106">
        <v>0.14971991380641594</v>
      </c>
      <c r="O101" s="106">
        <v>178.22658539515751</v>
      </c>
      <c r="P101" s="106">
        <v>0</v>
      </c>
      <c r="Q101" s="106">
        <v>0</v>
      </c>
      <c r="R101" s="106">
        <v>0.10574348889003327</v>
      </c>
      <c r="S101" s="106">
        <v>125.87704917469559</v>
      </c>
      <c r="T101" s="106">
        <v>0.17235250533914165</v>
      </c>
      <c r="U101" s="106">
        <v>205.1684223557142</v>
      </c>
      <c r="V101" s="106">
        <v>0.25149349722274228</v>
      </c>
      <c r="W101" s="106">
        <v>299.3778590939524</v>
      </c>
      <c r="X101" s="106">
        <v>0</v>
      </c>
      <c r="Y101" s="106">
        <v>0</v>
      </c>
      <c r="Z101" s="106">
        <v>0</v>
      </c>
      <c r="AA101" s="106">
        <v>0</v>
      </c>
      <c r="AB101" s="106">
        <v>0.38131605844133787</v>
      </c>
      <c r="AC101" s="106">
        <v>453.91863596856854</v>
      </c>
      <c r="AD101" s="106">
        <v>0.16685625159577405</v>
      </c>
      <c r="AE101" s="106">
        <v>198.62568189960942</v>
      </c>
      <c r="AF101" s="106">
        <v>0</v>
      </c>
      <c r="AG101" s="106">
        <v>0</v>
      </c>
      <c r="AH101" s="106">
        <v>0</v>
      </c>
      <c r="AI101" s="106">
        <v>0</v>
      </c>
      <c r="AJ101" s="106">
        <v>1.2674274883782986</v>
      </c>
      <c r="AK101" s="106">
        <v>1508.7456821655264</v>
      </c>
      <c r="AL101" s="106">
        <v>1.6403786392647355</v>
      </c>
      <c r="AM101" s="106">
        <v>1952.7067321807408</v>
      </c>
      <c r="AN101" s="106">
        <v>1.2105391294771077</v>
      </c>
      <c r="AO101" s="106">
        <v>1441.025779729549</v>
      </c>
      <c r="AP101" s="106">
        <v>2.1047335368476321</v>
      </c>
      <c r="AQ101" s="106">
        <v>2505.4748022634208</v>
      </c>
      <c r="AR101" s="106">
        <v>1.9684388262040602</v>
      </c>
      <c r="AS101" s="106">
        <v>2343.229578713313</v>
      </c>
      <c r="AT101" s="106">
        <v>1.6538385586916244</v>
      </c>
      <c r="AU101" s="106">
        <v>1968.7294202665096</v>
      </c>
      <c r="AV101" s="106">
        <v>0</v>
      </c>
      <c r="AW101" s="106">
        <v>0</v>
      </c>
      <c r="AX101" s="106">
        <v>3.5894000127663968</v>
      </c>
      <c r="AY101" s="106">
        <v>4272.8217751971179</v>
      </c>
      <c r="AZ101" s="106">
        <v>0</v>
      </c>
      <c r="BA101" s="106">
        <v>0</v>
      </c>
      <c r="BB101" s="106">
        <v>2.9106862107759852</v>
      </c>
      <c r="BC101" s="106">
        <v>3464.8808653077326</v>
      </c>
      <c r="BD101" s="106">
        <v>1.9264096050659349</v>
      </c>
      <c r="BE101" s="106">
        <v>2293.1979938704885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1.5738890795032312</v>
      </c>
      <c r="BM101" s="106">
        <v>1873.5575602406461</v>
      </c>
      <c r="BN101" s="106">
        <v>0.9084164618938545</v>
      </c>
      <c r="BO101" s="106">
        <v>1081.3789562384443</v>
      </c>
      <c r="BP101" s="106">
        <v>0.77281226540825021</v>
      </c>
      <c r="BQ101" s="106">
        <v>919.95572074198094</v>
      </c>
      <c r="BR101" s="106">
        <v>0</v>
      </c>
      <c r="BS101" s="106">
        <v>0</v>
      </c>
      <c r="BT101" s="106">
        <v>0</v>
      </c>
      <c r="BU101" s="106">
        <v>0</v>
      </c>
      <c r="BV101" s="106">
        <v>1.9340959897253438</v>
      </c>
      <c r="BW101" s="106">
        <v>2302.3478661690492</v>
      </c>
      <c r="BX101" s="106">
        <v>0</v>
      </c>
      <c r="BY101" s="106">
        <v>0</v>
      </c>
      <c r="BZ101" s="106">
        <v>0.3480080827143619</v>
      </c>
      <c r="CA101" s="106">
        <v>414.26882166317637</v>
      </c>
      <c r="CB101" s="106">
        <v>0.68123500844840545</v>
      </c>
      <c r="CC101" s="106">
        <v>810.94215405698174</v>
      </c>
      <c r="CD101" s="106">
        <v>0.31687168056658305</v>
      </c>
      <c r="CE101" s="106">
        <v>377.2040485464604</v>
      </c>
      <c r="CF101" s="106">
        <v>0</v>
      </c>
      <c r="CG101" s="106">
        <v>0</v>
      </c>
      <c r="CH101" s="106">
        <v>1.12483584810006</v>
      </c>
      <c r="CI101" s="106">
        <v>1339.0045935783112</v>
      </c>
      <c r="CJ101" s="106">
        <v>2.6971542666068724</v>
      </c>
      <c r="CK101" s="106">
        <v>3210.6924389688206</v>
      </c>
      <c r="CL101" s="106">
        <v>0</v>
      </c>
      <c r="CM101" s="106">
        <v>0</v>
      </c>
      <c r="CN101" s="106">
        <v>2.4055186070134345</v>
      </c>
      <c r="CO101" s="106">
        <v>2863.5293497887919</v>
      </c>
      <c r="CP101" s="106">
        <v>1.0251851564857017</v>
      </c>
      <c r="CQ101" s="106">
        <v>1220.3804102805793</v>
      </c>
      <c r="CR101" s="106">
        <v>0.86828147628608621</v>
      </c>
      <c r="CS101" s="106">
        <v>1033.6022693709569</v>
      </c>
      <c r="CT101" s="106">
        <v>1.0002602606815714</v>
      </c>
      <c r="CU101" s="106">
        <v>1190.7098143153423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0.17018017182219011</v>
      </c>
      <c r="I102" s="106">
        <v>330.01338919759104</v>
      </c>
      <c r="J102" s="106">
        <v>0</v>
      </c>
      <c r="K102" s="106">
        <v>0</v>
      </c>
      <c r="L102" s="106">
        <v>0.31835428694323492</v>
      </c>
      <c r="M102" s="106">
        <v>617.3526332403211</v>
      </c>
      <c r="N102" s="106">
        <v>0.14223391811609515</v>
      </c>
      <c r="O102" s="106">
        <v>275.82001401073171</v>
      </c>
      <c r="P102" s="106">
        <v>0</v>
      </c>
      <c r="Q102" s="106">
        <v>0</v>
      </c>
      <c r="R102" s="106">
        <v>9.5169140001029925E-2</v>
      </c>
      <c r="S102" s="106">
        <v>184.55199628999722</v>
      </c>
      <c r="T102" s="106">
        <v>0.17235250533914165</v>
      </c>
      <c r="U102" s="106">
        <v>334.22597835366344</v>
      </c>
      <c r="V102" s="106">
        <v>0.23352967599254637</v>
      </c>
      <c r="W102" s="106">
        <v>452.86074768474589</v>
      </c>
      <c r="X102" s="106">
        <v>0</v>
      </c>
      <c r="Y102" s="106">
        <v>0</v>
      </c>
      <c r="Z102" s="106">
        <v>0</v>
      </c>
      <c r="AA102" s="106">
        <v>0</v>
      </c>
      <c r="AB102" s="106">
        <v>0.35888570206243564</v>
      </c>
      <c r="AC102" s="106">
        <v>695.95115343947509</v>
      </c>
      <c r="AD102" s="106">
        <v>0.16685625159577405</v>
      </c>
      <c r="AE102" s="106">
        <v>323.56764309452501</v>
      </c>
      <c r="AF102" s="106">
        <v>0</v>
      </c>
      <c r="AG102" s="106">
        <v>0</v>
      </c>
      <c r="AH102" s="106">
        <v>0</v>
      </c>
      <c r="AI102" s="106">
        <v>0</v>
      </c>
      <c r="AJ102" s="106">
        <v>1.0753930204421926</v>
      </c>
      <c r="AK102" s="106">
        <v>2085.4021452415</v>
      </c>
      <c r="AL102" s="106">
        <v>1.569057828861921</v>
      </c>
      <c r="AM102" s="106">
        <v>3042.716941729037</v>
      </c>
      <c r="AN102" s="106">
        <v>1.0592217382924691</v>
      </c>
      <c r="AO102" s="106">
        <v>2054.0427948967558</v>
      </c>
      <c r="AP102" s="106">
        <v>2.2450491059708071</v>
      </c>
      <c r="AQ102" s="106">
        <v>4353.5992262985883</v>
      </c>
      <c r="AR102" s="106">
        <v>1.846930256685291</v>
      </c>
      <c r="AS102" s="106">
        <v>3581.567153764116</v>
      </c>
      <c r="AT102" s="106">
        <v>1.225065599030833</v>
      </c>
      <c r="AU102" s="106">
        <v>2375.647209640591</v>
      </c>
      <c r="AV102" s="106">
        <v>0</v>
      </c>
      <c r="AW102" s="106">
        <v>0</v>
      </c>
      <c r="AX102" s="106">
        <v>3.2689178687693974</v>
      </c>
      <c r="AY102" s="106">
        <v>6339.0855311176147</v>
      </c>
      <c r="AZ102" s="106">
        <v>0</v>
      </c>
      <c r="BA102" s="106">
        <v>0</v>
      </c>
      <c r="BB102" s="106">
        <v>2.6997669201400445</v>
      </c>
      <c r="BC102" s="106">
        <v>5235.3880115355742</v>
      </c>
      <c r="BD102" s="106">
        <v>1.7472087115714292</v>
      </c>
      <c r="BE102" s="106">
        <v>3388.187133479315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1.5738890795032312</v>
      </c>
      <c r="BM102" s="106">
        <v>3052.0857029726658</v>
      </c>
      <c r="BN102" s="106">
        <v>0.78729426697467397</v>
      </c>
      <c r="BO102" s="106">
        <v>1526.7210425172875</v>
      </c>
      <c r="BP102" s="106">
        <v>0.74308871673870214</v>
      </c>
      <c r="BQ102" s="106">
        <v>1440.9976394996911</v>
      </c>
      <c r="BR102" s="106">
        <v>0</v>
      </c>
      <c r="BS102" s="106">
        <v>0</v>
      </c>
      <c r="BT102" s="106">
        <v>0</v>
      </c>
      <c r="BU102" s="106">
        <v>0</v>
      </c>
      <c r="BV102" s="106">
        <v>1.820325637388559</v>
      </c>
      <c r="BW102" s="106">
        <v>3529.9754760238934</v>
      </c>
      <c r="BX102" s="106">
        <v>0</v>
      </c>
      <c r="BY102" s="106">
        <v>0</v>
      </c>
      <c r="BZ102" s="106">
        <v>0.3480080827143619</v>
      </c>
      <c r="CA102" s="106">
        <v>674.85727399969051</v>
      </c>
      <c r="CB102" s="106">
        <v>0.61930455313491406</v>
      </c>
      <c r="CC102" s="106">
        <v>1200.9553894392252</v>
      </c>
      <c r="CD102" s="106">
        <v>0.27726272049576017</v>
      </c>
      <c r="CE102" s="106">
        <v>537.66786758537808</v>
      </c>
      <c r="CF102" s="106">
        <v>0</v>
      </c>
      <c r="CG102" s="106">
        <v>0</v>
      </c>
      <c r="CH102" s="106">
        <v>1.049846791560056</v>
      </c>
      <c r="CI102" s="106">
        <v>2035.8628981932604</v>
      </c>
      <c r="CJ102" s="106">
        <v>2.3600099832810133</v>
      </c>
      <c r="CK102" s="106">
        <v>4576.531359578541</v>
      </c>
      <c r="CL102" s="106">
        <v>0</v>
      </c>
      <c r="CM102" s="106">
        <v>0</v>
      </c>
      <c r="CN102" s="106">
        <v>2.2909701019175568</v>
      </c>
      <c r="CO102" s="106">
        <v>4442.6492216385259</v>
      </c>
      <c r="CP102" s="106">
        <v>0.98061188881241024</v>
      </c>
      <c r="CQ102" s="106">
        <v>1901.6025747850258</v>
      </c>
      <c r="CR102" s="106">
        <v>0.926166908038492</v>
      </c>
      <c r="CS102" s="106">
        <v>1796.0228680682435</v>
      </c>
      <c r="CT102" s="106">
        <v>0.81271146180377674</v>
      </c>
      <c r="CU102" s="106">
        <v>1576.0100667298836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0.17018017182219011</v>
      </c>
      <c r="I103" s="106">
        <v>345.12538845540155</v>
      </c>
      <c r="J103" s="106">
        <v>0</v>
      </c>
      <c r="K103" s="106">
        <v>0</v>
      </c>
      <c r="L103" s="106">
        <v>0.34867374284259062</v>
      </c>
      <c r="M103" s="106">
        <v>707.11035048477379</v>
      </c>
      <c r="N103" s="106">
        <v>0.14223391811609515</v>
      </c>
      <c r="O103" s="106">
        <v>288.45038593944093</v>
      </c>
      <c r="P103" s="106">
        <v>0</v>
      </c>
      <c r="Q103" s="106">
        <v>0</v>
      </c>
      <c r="R103" s="106">
        <v>0.10574348889003327</v>
      </c>
      <c r="S103" s="106">
        <v>214.44779546898747</v>
      </c>
      <c r="T103" s="106">
        <v>0.15511725480522751</v>
      </c>
      <c r="U103" s="106">
        <v>314.57779274500137</v>
      </c>
      <c r="V103" s="106">
        <v>0.25149349722274228</v>
      </c>
      <c r="W103" s="106">
        <v>510.02881236772134</v>
      </c>
      <c r="X103" s="106">
        <v>0</v>
      </c>
      <c r="Y103" s="106">
        <v>0</v>
      </c>
      <c r="Z103" s="106">
        <v>0</v>
      </c>
      <c r="AA103" s="106">
        <v>0</v>
      </c>
      <c r="AB103" s="106">
        <v>0.4037464148202401</v>
      </c>
      <c r="AC103" s="106">
        <v>818.79772925544694</v>
      </c>
      <c r="AD103" s="106">
        <v>0.14015925134045021</v>
      </c>
      <c r="AE103" s="106">
        <v>284.24296171843304</v>
      </c>
      <c r="AF103" s="106">
        <v>0</v>
      </c>
      <c r="AG103" s="106">
        <v>0</v>
      </c>
      <c r="AH103" s="106">
        <v>0</v>
      </c>
      <c r="AI103" s="106">
        <v>0</v>
      </c>
      <c r="AJ103" s="106">
        <v>1.0369861268549714</v>
      </c>
      <c r="AK103" s="106">
        <v>2103.0078652618818</v>
      </c>
      <c r="AL103" s="106">
        <v>1.4264162080562919</v>
      </c>
      <c r="AM103" s="106">
        <v>2892.7720699381598</v>
      </c>
      <c r="AN103" s="106">
        <v>1.0592217382924691</v>
      </c>
      <c r="AO103" s="106">
        <v>2148.1016852571274</v>
      </c>
      <c r="AP103" s="106">
        <v>2.1748913214092198</v>
      </c>
      <c r="AQ103" s="106">
        <v>4410.6795998178977</v>
      </c>
      <c r="AR103" s="106">
        <v>1.6282148315515064</v>
      </c>
      <c r="AS103" s="106">
        <v>3302.0196783864549</v>
      </c>
      <c r="AT103" s="106">
        <v>1.3169455189581454</v>
      </c>
      <c r="AU103" s="106">
        <v>2670.7655124471189</v>
      </c>
      <c r="AV103" s="106">
        <v>0</v>
      </c>
      <c r="AW103" s="106">
        <v>0</v>
      </c>
      <c r="AX103" s="106">
        <v>2.8202428671735973</v>
      </c>
      <c r="AY103" s="106">
        <v>5719.4525346280552</v>
      </c>
      <c r="AZ103" s="106">
        <v>0</v>
      </c>
      <c r="BA103" s="106">
        <v>0</v>
      </c>
      <c r="BB103" s="106">
        <v>2.6997669201400445</v>
      </c>
      <c r="BC103" s="106">
        <v>5475.1273140440098</v>
      </c>
      <c r="BD103" s="106">
        <v>1.7920089349450559</v>
      </c>
      <c r="BE103" s="106">
        <v>3634.1941200685733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1.7791789594384353</v>
      </c>
      <c r="BM103" s="106">
        <v>3608.1749297411466</v>
      </c>
      <c r="BN103" s="106">
        <v>0.9084164618938545</v>
      </c>
      <c r="BO103" s="106">
        <v>1842.268584720737</v>
      </c>
      <c r="BP103" s="106">
        <v>0.77281226540825021</v>
      </c>
      <c r="BQ103" s="106">
        <v>1567.2632742479313</v>
      </c>
      <c r="BR103" s="106">
        <v>0</v>
      </c>
      <c r="BS103" s="106">
        <v>0</v>
      </c>
      <c r="BT103" s="106">
        <v>0</v>
      </c>
      <c r="BU103" s="106">
        <v>0</v>
      </c>
      <c r="BV103" s="106">
        <v>1.820325637388559</v>
      </c>
      <c r="BW103" s="106">
        <v>3691.6203926239978</v>
      </c>
      <c r="BX103" s="106">
        <v>0</v>
      </c>
      <c r="BY103" s="106">
        <v>0</v>
      </c>
      <c r="BZ103" s="106">
        <v>0.3480080827143619</v>
      </c>
      <c r="CA103" s="106">
        <v>705.76039174472589</v>
      </c>
      <c r="CB103" s="106">
        <v>0.55737409782142266</v>
      </c>
      <c r="CC103" s="106">
        <v>1130.3546703818452</v>
      </c>
      <c r="CD103" s="106">
        <v>0.29706720053117158</v>
      </c>
      <c r="CE103" s="106">
        <v>602.45228267721598</v>
      </c>
      <c r="CF103" s="106">
        <v>0</v>
      </c>
      <c r="CG103" s="106">
        <v>0</v>
      </c>
      <c r="CH103" s="106">
        <v>1.199824904640064</v>
      </c>
      <c r="CI103" s="106">
        <v>2433.2449066100498</v>
      </c>
      <c r="CJ103" s="106">
        <v>2.2476285555057269</v>
      </c>
      <c r="CK103" s="106">
        <v>4558.1907105656146</v>
      </c>
      <c r="CL103" s="106">
        <v>0</v>
      </c>
      <c r="CM103" s="106">
        <v>0</v>
      </c>
      <c r="CN103" s="106">
        <v>2.061873091725801</v>
      </c>
      <c r="CO103" s="106">
        <v>4181.4786300199248</v>
      </c>
      <c r="CP103" s="106">
        <v>0.89146535346582745</v>
      </c>
      <c r="CQ103" s="106">
        <v>1807.891736828698</v>
      </c>
      <c r="CR103" s="106">
        <v>0.926166908038492</v>
      </c>
      <c r="CS103" s="106">
        <v>1878.2664895020619</v>
      </c>
      <c r="CT103" s="106">
        <v>0.81271146180377674</v>
      </c>
      <c r="CU103" s="106">
        <v>1648.1788445380591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0.17018017182219011</v>
      </c>
      <c r="I104" s="106">
        <v>352.68138808430683</v>
      </c>
      <c r="J104" s="106">
        <v>0</v>
      </c>
      <c r="K104" s="106">
        <v>0</v>
      </c>
      <c r="L104" s="106">
        <v>0.33351401489291277</v>
      </c>
      <c r="M104" s="106">
        <v>691.17444446407251</v>
      </c>
      <c r="N104" s="106">
        <v>0.14971991380641594</v>
      </c>
      <c r="O104" s="106">
        <v>310.2795493724164</v>
      </c>
      <c r="P104" s="106">
        <v>0</v>
      </c>
      <c r="Q104" s="106">
        <v>0</v>
      </c>
      <c r="R104" s="106">
        <v>9.5169140001029925E-2</v>
      </c>
      <c r="S104" s="106">
        <v>197.22852573813444</v>
      </c>
      <c r="T104" s="106">
        <v>0.17235250533914165</v>
      </c>
      <c r="U104" s="106">
        <v>357.18333206483715</v>
      </c>
      <c r="V104" s="106">
        <v>0.25149349722274228</v>
      </c>
      <c r="W104" s="106">
        <v>521.19512364441107</v>
      </c>
      <c r="X104" s="106">
        <v>0</v>
      </c>
      <c r="Y104" s="106">
        <v>0</v>
      </c>
      <c r="Z104" s="106">
        <v>0</v>
      </c>
      <c r="AA104" s="106">
        <v>0</v>
      </c>
      <c r="AB104" s="106">
        <v>0.38131605844133787</v>
      </c>
      <c r="AC104" s="106">
        <v>790.23939951382863</v>
      </c>
      <c r="AD104" s="106">
        <v>0.15350775146811213</v>
      </c>
      <c r="AE104" s="106">
        <v>318.12946414251559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0.96017233968052917</v>
      </c>
      <c r="AK104" s="106">
        <v>1989.8611567539288</v>
      </c>
      <c r="AL104" s="106">
        <v>1.4977370184591063</v>
      </c>
      <c r="AM104" s="106">
        <v>3103.9101970546521</v>
      </c>
      <c r="AN104" s="106">
        <v>1.2105391294771077</v>
      </c>
      <c r="AO104" s="106">
        <v>2508.7212919283584</v>
      </c>
      <c r="AP104" s="106">
        <v>2.1748913214092198</v>
      </c>
      <c r="AQ104" s="106">
        <v>4507.2447744884676</v>
      </c>
      <c r="AR104" s="106">
        <v>1.555309689840245</v>
      </c>
      <c r="AS104" s="106">
        <v>3223.223801224924</v>
      </c>
      <c r="AT104" s="106">
        <v>1.4394520788612288</v>
      </c>
      <c r="AU104" s="106">
        <v>2983.1204882320108</v>
      </c>
      <c r="AV104" s="106">
        <v>0</v>
      </c>
      <c r="AW104" s="106">
        <v>0</v>
      </c>
      <c r="AX104" s="106">
        <v>3.2689178687693974</v>
      </c>
      <c r="AY104" s="106">
        <v>6774.5053912376998</v>
      </c>
      <c r="AZ104" s="106">
        <v>0</v>
      </c>
      <c r="BA104" s="106">
        <v>0</v>
      </c>
      <c r="BB104" s="106">
        <v>2.2779283388681626</v>
      </c>
      <c r="BC104" s="106">
        <v>4720.7786894703804</v>
      </c>
      <c r="BD104" s="106">
        <v>1.8368091583186823</v>
      </c>
      <c r="BE104" s="106">
        <v>3806.6032996996373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1.4370291595464286</v>
      </c>
      <c r="BM104" s="106">
        <v>2978.0992302440186</v>
      </c>
      <c r="BN104" s="106">
        <v>0.84785536443426424</v>
      </c>
      <c r="BO104" s="106">
        <v>1757.0954572535693</v>
      </c>
      <c r="BP104" s="106">
        <v>0.65391807073005792</v>
      </c>
      <c r="BQ104" s="106">
        <v>1355.1798097809722</v>
      </c>
      <c r="BR104" s="106">
        <v>0</v>
      </c>
      <c r="BS104" s="106">
        <v>0</v>
      </c>
      <c r="BT104" s="106">
        <v>0</v>
      </c>
      <c r="BU104" s="106">
        <v>0</v>
      </c>
      <c r="BV104" s="106">
        <v>1.9340959897253438</v>
      </c>
      <c r="BW104" s="106">
        <v>4008.2205291068026</v>
      </c>
      <c r="BX104" s="106">
        <v>0</v>
      </c>
      <c r="BY104" s="106">
        <v>0</v>
      </c>
      <c r="BZ104" s="106">
        <v>0.3480080827143619</v>
      </c>
      <c r="CA104" s="106">
        <v>721.21195061724359</v>
      </c>
      <c r="CB104" s="106">
        <v>0.61930455313491406</v>
      </c>
      <c r="CC104" s="106">
        <v>1283.4467559167961</v>
      </c>
      <c r="CD104" s="106">
        <v>0.29706720053117158</v>
      </c>
      <c r="CE104" s="106">
        <v>615.64206638079997</v>
      </c>
      <c r="CF104" s="106">
        <v>0</v>
      </c>
      <c r="CG104" s="106">
        <v>0</v>
      </c>
      <c r="CH104" s="106">
        <v>1.12483584810006</v>
      </c>
      <c r="CI104" s="106">
        <v>2331.1098116025646</v>
      </c>
      <c r="CJ104" s="106">
        <v>2.3600099832810133</v>
      </c>
      <c r="CK104" s="106">
        <v>4890.884689351572</v>
      </c>
      <c r="CL104" s="106">
        <v>0</v>
      </c>
      <c r="CM104" s="106">
        <v>0</v>
      </c>
      <c r="CN104" s="106">
        <v>2.1764215968216791</v>
      </c>
      <c r="CO104" s="106">
        <v>4510.4161172532476</v>
      </c>
      <c r="CP104" s="106">
        <v>0.93603862113911884</v>
      </c>
      <c r="CQ104" s="106">
        <v>1939.8464384487099</v>
      </c>
      <c r="CR104" s="106">
        <v>0.926166908038492</v>
      </c>
      <c r="CS104" s="106">
        <v>1919.3883002189709</v>
      </c>
      <c r="CT104" s="106">
        <v>0.75019519551117853</v>
      </c>
      <c r="CU104" s="106">
        <v>1554.7045231773664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0.15599849083700759</v>
      </c>
      <c r="I105" s="106">
        <v>311.68498469234117</v>
      </c>
      <c r="J105" s="106">
        <v>0</v>
      </c>
      <c r="K105" s="106">
        <v>0</v>
      </c>
      <c r="L105" s="106">
        <v>0.33351401489291277</v>
      </c>
      <c r="M105" s="106">
        <v>666.36100175603974</v>
      </c>
      <c r="N105" s="106">
        <v>0.12726192673545356</v>
      </c>
      <c r="O105" s="106">
        <v>254.2693296174362</v>
      </c>
      <c r="P105" s="106">
        <v>0</v>
      </c>
      <c r="Q105" s="106">
        <v>0</v>
      </c>
      <c r="R105" s="106">
        <v>0.10045631444553159</v>
      </c>
      <c r="S105" s="106">
        <v>200.7117162621721</v>
      </c>
      <c r="T105" s="106">
        <v>0.17235250533914165</v>
      </c>
      <c r="U105" s="106">
        <v>344.36030566760502</v>
      </c>
      <c r="V105" s="106">
        <v>0.26945731845293808</v>
      </c>
      <c r="W105" s="106">
        <v>538.37572226897032</v>
      </c>
      <c r="X105" s="106">
        <v>0</v>
      </c>
      <c r="Y105" s="106">
        <v>0</v>
      </c>
      <c r="Z105" s="106">
        <v>0</v>
      </c>
      <c r="AA105" s="106">
        <v>0</v>
      </c>
      <c r="AB105" s="106">
        <v>0.35888570206243564</v>
      </c>
      <c r="AC105" s="106">
        <v>717.05363272074646</v>
      </c>
      <c r="AD105" s="106">
        <v>0.14683350140428117</v>
      </c>
      <c r="AE105" s="106">
        <v>293.37333580575375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0.99857923326775033</v>
      </c>
      <c r="AK105" s="106">
        <v>1995.1613080689651</v>
      </c>
      <c r="AL105" s="106">
        <v>1.3550953976534772</v>
      </c>
      <c r="AM105" s="106">
        <v>2707.4806045116475</v>
      </c>
      <c r="AN105" s="106">
        <v>1.172709781680948</v>
      </c>
      <c r="AO105" s="106">
        <v>2343.0741437985339</v>
      </c>
      <c r="AP105" s="106">
        <v>1.9644179677244562</v>
      </c>
      <c r="AQ105" s="106">
        <v>3924.9070995134634</v>
      </c>
      <c r="AR105" s="106">
        <v>1.7983268288777834</v>
      </c>
      <c r="AS105" s="106">
        <v>3593.0570040978114</v>
      </c>
      <c r="AT105" s="106">
        <v>1.3475721589339162</v>
      </c>
      <c r="AU105" s="106">
        <v>2692.4491735499646</v>
      </c>
      <c r="AV105" s="106">
        <v>0</v>
      </c>
      <c r="AW105" s="106">
        <v>0</v>
      </c>
      <c r="AX105" s="106">
        <v>3.3330142975687975</v>
      </c>
      <c r="AY105" s="106">
        <v>6659.3625665424579</v>
      </c>
      <c r="AZ105" s="106">
        <v>0</v>
      </c>
      <c r="BA105" s="106">
        <v>0</v>
      </c>
      <c r="BB105" s="106">
        <v>2.4466637713769153</v>
      </c>
      <c r="BC105" s="106">
        <v>4888.4342152110767</v>
      </c>
      <c r="BD105" s="106">
        <v>1.8368091583186823</v>
      </c>
      <c r="BE105" s="106">
        <v>3669.9446983207272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1.5054591195248299</v>
      </c>
      <c r="BM105" s="106">
        <v>3007.9073208106101</v>
      </c>
      <c r="BN105" s="106">
        <v>0.9084164618938545</v>
      </c>
      <c r="BO105" s="106">
        <v>1815.0160908639214</v>
      </c>
      <c r="BP105" s="106">
        <v>0.68364161939960599</v>
      </c>
      <c r="BQ105" s="106">
        <v>1365.9159555604128</v>
      </c>
      <c r="BR105" s="106">
        <v>0</v>
      </c>
      <c r="BS105" s="106">
        <v>0</v>
      </c>
      <c r="BT105" s="106">
        <v>0</v>
      </c>
      <c r="BU105" s="106">
        <v>0</v>
      </c>
      <c r="BV105" s="106">
        <v>1.7065552850517742</v>
      </c>
      <c r="BW105" s="106">
        <v>3409.697459533445</v>
      </c>
      <c r="BX105" s="106">
        <v>0</v>
      </c>
      <c r="BY105" s="106">
        <v>0</v>
      </c>
      <c r="BZ105" s="106">
        <v>0.31637098428578353</v>
      </c>
      <c r="CA105" s="106">
        <v>632.10922660299548</v>
      </c>
      <c r="CB105" s="106">
        <v>0.61930455313491406</v>
      </c>
      <c r="CC105" s="106">
        <v>1237.3704971635582</v>
      </c>
      <c r="CD105" s="106">
        <v>0.29706720053117158</v>
      </c>
      <c r="CE105" s="106">
        <v>593.54026666128084</v>
      </c>
      <c r="CF105" s="106">
        <v>0</v>
      </c>
      <c r="CG105" s="106">
        <v>0</v>
      </c>
      <c r="CH105" s="106">
        <v>1.12483584810006</v>
      </c>
      <c r="CI105" s="106">
        <v>2247.4220245039201</v>
      </c>
      <c r="CJ105" s="106">
        <v>2.1352471277304406</v>
      </c>
      <c r="CK105" s="106">
        <v>4266.2237612054205</v>
      </c>
      <c r="CL105" s="106">
        <v>0</v>
      </c>
      <c r="CM105" s="106">
        <v>0</v>
      </c>
      <c r="CN105" s="106">
        <v>2.4055186070134345</v>
      </c>
      <c r="CO105" s="106">
        <v>4806.2261768128419</v>
      </c>
      <c r="CP105" s="106">
        <v>0.89146535346582745</v>
      </c>
      <c r="CQ105" s="106">
        <v>1781.1477762247232</v>
      </c>
      <c r="CR105" s="106">
        <v>0.86828147628608621</v>
      </c>
      <c r="CS105" s="106">
        <v>1734.8263896196001</v>
      </c>
      <c r="CT105" s="106">
        <v>0.87522772809637495</v>
      </c>
      <c r="CU105" s="106">
        <v>1748.7050007365572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12.79763015866272</v>
      </c>
      <c r="F109" s="106">
        <f>SUM(T$6:T$19)+SUM(V$6:V$19)+SUM(X$6:X$19)+SUM(Z$6:Z$19)</f>
        <v>3.9421516487552513</v>
      </c>
      <c r="G109" s="106">
        <f>SUM(AB$6:AB$19)+SUM(AD$6:AD$19)+SUM(AF$6:AF$19)+SUM(AH$6:AH$19)</f>
        <v>15.057293254724186</v>
      </c>
      <c r="H109" s="106">
        <f>SUM(AJ$6:AJ$19)+SUM(AL$6:AL$19)+SUM(AN$6:AN$19)+SUM(AP$6:AP$19)</f>
        <v>79.434961417730861</v>
      </c>
      <c r="I109" s="106">
        <f>SUM(AR$6:AR$19)+SUM(AT$6:AT$19)+SUM(AV$6:AV$19)+SUM(AX$6:AX$19)</f>
        <v>128.84391574787469</v>
      </c>
      <c r="J109" s="106">
        <f>SUM(AZ$6:AZ$19)+SUM(BB$6:BB$19)+SUM(BD$6:BD$19)+SUM(BF$6:BF$19)</f>
        <v>37.290163868529547</v>
      </c>
      <c r="K109" s="106">
        <f>SUM(BH$6:BH$19)+SUM(BJ$6:BJ$19)+SUM(BL$6:BL$19)+SUM(BN$6:BN$19)</f>
        <v>114.4212861948825</v>
      </c>
      <c r="L109" s="106">
        <f>SUM(BP$6:BP$19)+SUM(BR$6:BR$19)+SUM(BT$6:BT$19)+SUM(BV$6:BV$19)</f>
        <v>130.32561027611797</v>
      </c>
      <c r="M109" s="106">
        <f>SUM(BX$6:BX$19)+SUM(BZ$6:BZ$19)+SUM(CB$6:CB$19)+SUM(CD$6:CD$19)</f>
        <v>120.06811328044957</v>
      </c>
      <c r="N109" s="106">
        <f>SUM(CF$6:CF$19)+SUM(CH$6:CH$19)+SUM(CJ$6:CJ$19)+SUM(CL$6:CL$19)</f>
        <v>57.753591368282592</v>
      </c>
      <c r="O109" s="106">
        <f>SUM(CN$6:CN$19)+SUM(CP$6:CP$19)+SUM(CR$6:CR$19)+SUM(CT$6:CT$19)</f>
        <v>127.63346796587058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95.456921674942734</v>
      </c>
      <c r="F110" s="106">
        <f>SUM(T$20:T$36)+SUM(V$20:V$36)+SUM(X$20:X$36)+SUM(Z$20:Z$36)</f>
        <v>27.716263072689571</v>
      </c>
      <c r="G110" s="106">
        <f>SUM(AB$20:AB$36)+SUM(AD$20:AD$36)+SUM(AF$20:AF$36)+SUM(AH$20:AH$36)</f>
        <v>102.53259725203083</v>
      </c>
      <c r="H110" s="106">
        <f>SUM(AJ$20:AJ$36)+SUM(AL$20:AL$36)+SUM(AN$20:AN$36)+SUM(AP$20:AP$36)</f>
        <v>206.18554206998283</v>
      </c>
      <c r="I110" s="106">
        <f>SUM(AR$20:AR$36)+SUM(AT$20:AT$36)+SUM(AV$20:AV$36)+SUM(AX$20:AX$36)</f>
        <v>363.3193195052794</v>
      </c>
      <c r="J110" s="106">
        <f>SUM(AZ$20:AZ$36)+SUM(BB$20:BB$36)+SUM(BD$20:BD$36)+SUM(BF$20:BF$36)</f>
        <v>105.95970330343025</v>
      </c>
      <c r="K110" s="106">
        <f>SUM(BH$20:BH$36)+SUM(BJ$20:BJ$36)+SUM(BL$20:BL$36)+SUM(BN$20:BN$36)</f>
        <v>116.68475083462394</v>
      </c>
      <c r="L110" s="106">
        <f>SUM(BP$20:BP$36)+SUM(BR$20:BR$36)+SUM(BT$20:BT$36)+SUM(BV$20:BV$36)</f>
        <v>216.3221599157518</v>
      </c>
      <c r="M110" s="106">
        <f>SUM(BX$20:BX$36)+SUM(BZ$20:BZ$36)+SUM(CB$20:CB$36)+SUM(CD$20:CD$36)</f>
        <v>171.6366479556462</v>
      </c>
      <c r="N110" s="106">
        <f>SUM(CF$20:CF$36)+SUM(CH$20:CH$36)+SUM(CJ$20:CJ$36)+SUM(CL$20:CL$36)</f>
        <v>103.83928403916195</v>
      </c>
      <c r="O110" s="106">
        <f>SUM(CN$20:CN$36)+SUM(CP$20:CP$36)+SUM(CR$20:CR$36)+SUM(CT$20:CT$36)</f>
        <v>107.726098607553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10.559203913922328</v>
      </c>
      <c r="F111" s="106">
        <f>SUM(T$37:T$48)+SUM(V$37:V$48)+SUM(X$37:X$48)+SUM(Z$37:Z$48)</f>
        <v>12.604012948320982</v>
      </c>
      <c r="G111" s="106">
        <f>SUM(AB$37:AB$48)+SUM(AD$37:AD$48)+SUM(AF$37:AF$48)+SUM(AH$37:AH$48)</f>
        <v>40.669430943696376</v>
      </c>
      <c r="H111" s="106">
        <f>SUM(AJ$37:AJ$48)+SUM(AL$37:AL$48)+SUM(AN$37:AN$48)+SUM(AP$37:AP$48)</f>
        <v>223.10799282943736</v>
      </c>
      <c r="I111" s="106">
        <f>SUM(AR$37:AR$48)+SUM(AT$37:AT$48)+SUM(AV$37:AV$48)+SUM(AX$37:AX$48)</f>
        <v>56.480952290844414</v>
      </c>
      <c r="J111" s="106">
        <f>SUM(AZ$37:AZ$48)+SUM(BB$37:BB$48)+SUM(BD$37:BD$48)+SUM(BF$37:BF$48)</f>
        <v>4.5955655736823786</v>
      </c>
      <c r="K111" s="106">
        <f>SUM(BH$37:BH$48)+SUM(BJ$37:BJ$48)+SUM(BL$37:BL$48)+SUM(BN$37:BN$48)</f>
        <v>63.777021968562366</v>
      </c>
      <c r="L111" s="106">
        <f>SUM(BP$37:BP$48)+SUM(BR$37:BR$48)+SUM(BT$37:BT$48)+SUM(BV$37:BV$48)</f>
        <v>124.27039467620043</v>
      </c>
      <c r="M111" s="106">
        <f>SUM(BX$37:BX$48)+SUM(BZ$37:BZ$48)+SUM(CB$37:CB$48)+SUM(CD$37:CD$48)</f>
        <v>282.90812868349246</v>
      </c>
      <c r="N111" s="106">
        <f>SUM(CF$37:CF$48)+SUM(CH$37:CH$48)+SUM(CJ$37:CJ$48)+SUM(CL$37:CL$48)</f>
        <v>48.230985187644336</v>
      </c>
      <c r="O111" s="106">
        <f>SUM(CN$37:CN$48)+SUM(CP$37:CP$48)+SUM(CR$37:CR$48)+SUM(CT$37:CT$48)</f>
        <v>51.174574006059061</v>
      </c>
    </row>
    <row r="112" spans="2:99" x14ac:dyDescent="0.2">
      <c r="C112" s="105" t="s">
        <v>129</v>
      </c>
      <c r="D112" s="106">
        <f>SUM(D$49:D$70)+SUM(F$49:F$70)+SUM(H$49:H$70)+SUM(J$49:J$70)</f>
        <v>1.1061711168442356</v>
      </c>
      <c r="E112" s="106">
        <f>SUM(L$49:L$70)+SUM(N$49:N$70)+SUM(P$49:P$70)+SUM(R$49:R$70)</f>
        <v>10.040127310041443</v>
      </c>
      <c r="F112" s="106">
        <f>SUM(T$49:T$70)+SUM(V$49:V$70)+SUM(X$49:X$70)+SUM(Z$49:Z$70)</f>
        <v>16.832035526647559</v>
      </c>
      <c r="G112" s="106">
        <f>SUM(AB$49:AB$70)+SUM(AD$49:AD$70)+SUM(AF$49:AF$70)+SUM(AH$49:AH$70)</f>
        <v>19.760535666488117</v>
      </c>
      <c r="H112" s="106">
        <f>SUM(AJ$49:AJ$70)+SUM(AL$49:AL$70)+SUM(AN$49:AN$70)+SUM(AP$49:AP$70)</f>
        <v>96.318304920563079</v>
      </c>
      <c r="I112" s="106">
        <f>SUM(AR$49:AR$70)+SUM(AT$49:AT$70)+SUM(AV$49:AV$70)+SUM(AX$49:AX$70)</f>
        <v>105.3557719584436</v>
      </c>
      <c r="J112" s="106">
        <f>SUM(AZ$49:AZ$70)+SUM(BB$49:BB$70)+SUM(BD$49:BD$70)+SUM(BF$49:BF$70)</f>
        <v>106.02554497982462</v>
      </c>
      <c r="K112" s="106">
        <f>SUM(BH$49:BH$70)+SUM(BJ$49:BJ$70)+SUM(BL$49:BL$70)+SUM(BN$49:BN$70)</f>
        <v>61.005734616834829</v>
      </c>
      <c r="L112" s="106">
        <f>SUM(BP$49:BP$70)+SUM(BR$49:BR$70)+SUM(BT$49:BT$70)+SUM(BV$49:BV$70)</f>
        <v>30.720229054917933</v>
      </c>
      <c r="M112" s="106">
        <f>SUM(BX$49:BX$70)+SUM(BZ$49:BZ$70)+SUM(CB$49:CB$70)+SUM(CD$49:CD$70)</f>
        <v>58.208134569890547</v>
      </c>
      <c r="N112" s="106">
        <f>SUM(CF$49:CF$70)+SUM(CH$49:CH$70)+SUM(CJ$49:CJ$70)+SUM(CL$49:CL$70)</f>
        <v>50.014217512103123</v>
      </c>
      <c r="O112" s="106">
        <f>SUM(CN$49:CN$70)+SUM(CP$49:CP$70)+SUM(CR$49:CR$70)+SUM(CT$49:CT$70)</f>
        <v>51.107018643824738</v>
      </c>
    </row>
    <row r="113" spans="2:15" x14ac:dyDescent="0.2">
      <c r="C113" s="105" t="s">
        <v>130</v>
      </c>
      <c r="D113" s="106">
        <f>SUM(D$71:D$86)+SUM(F$71:F$86)+SUM(H$71:H$86)+SUM(J$71:J$86)</f>
        <v>3.7014187371326344</v>
      </c>
      <c r="E113" s="106">
        <f>SUM(L$71:L$86)+SUM(N$71:N$86)+SUM(P$71:P$86)+SUM(R$71:R$86)</f>
        <v>25.266587298361642</v>
      </c>
      <c r="F113" s="106">
        <f>SUM(T$71:T$86)+SUM(V$71:V$86)+SUM(X$71:X$86)+SUM(Z$71:Z$86)</f>
        <v>9.0111103625348541</v>
      </c>
      <c r="G113" s="106">
        <f>SUM(AB$71:AB$86)+SUM(AD$71:AD$86)+SUM(AF$71:AF$86)+SUM(AH$71:AH$86)</f>
        <v>9.2055889236565314</v>
      </c>
      <c r="H113" s="106">
        <f>SUM(AJ$71:AJ$86)+SUM(AL$71:AL$86)+SUM(AN$71:AN$86)+SUM(AP$71:AP$86)</f>
        <v>278.80092459359463</v>
      </c>
      <c r="I113" s="106">
        <f>SUM(AR$71:AR$86)+SUM(AT$71:AT$86)+SUM(AV$71:AV$86)+SUM(AX$71:AX$86)</f>
        <v>121.59871506850402</v>
      </c>
      <c r="J113" s="106">
        <f>SUM(AZ$71:AZ$86)+SUM(BB$71:BB$86)+SUM(BD$71:BD$86)+SUM(BF$71:BF$86)</f>
        <v>10.593421372190136</v>
      </c>
      <c r="K113" s="106">
        <f>SUM(BH$71:BH$86)+SUM(BJ$71:BJ$86)+SUM(BL$71:BL$86)+SUM(BN$71:BN$86)</f>
        <v>76.035011595285482</v>
      </c>
      <c r="L113" s="106">
        <f>SUM(BP$71:BP$86)+SUM(BR$71:BR$86)+SUM(BT$71:BT$86)+SUM(BV$71:BV$86)</f>
        <v>209.22733492171227</v>
      </c>
      <c r="M113" s="106">
        <f>SUM(BX$71:BX$86)+SUM(BZ$71:BZ$86)+SUM(CB$71:CB$86)+SUM(CD$71:CD$86)</f>
        <v>150.81698061945269</v>
      </c>
      <c r="N113" s="106">
        <f>SUM(CF$71:CF$86)+SUM(CH$71:CH$86)+SUM(CJ$71:CJ$86)+SUM(CL$71:CL$86)</f>
        <v>40.133654444360218</v>
      </c>
      <c r="O113" s="106">
        <f>SUM(CN$71:CN$86)+SUM(CP$71:CP$86)+SUM(CR$71:CR$86)+SUM(CT$71:CT$86)</f>
        <v>72.074925488109642</v>
      </c>
    </row>
    <row r="114" spans="2:15" x14ac:dyDescent="0.2">
      <c r="C114" s="105" t="s">
        <v>131</v>
      </c>
      <c r="D114" s="106">
        <f>SUM(D$87:D$94)+SUM(F$87:F$94)+SUM(H$87:H$94)+SUM(J$87:J$94)</f>
        <v>3.0774247737846041</v>
      </c>
      <c r="E114" s="106">
        <f>SUM(L$87:L$94)+SUM(N$87:N$94)+SUM(P$87:P$94)+SUM(R$87:R$94)</f>
        <v>3.1778459518210616</v>
      </c>
      <c r="F114" s="106">
        <f>SUM(T$87:T$94)+SUM(V$87:V$94)+SUM(X$87:X$94)+SUM(Z$87:Z$94)</f>
        <v>2.9800362904662583</v>
      </c>
      <c r="G114" s="106">
        <f>SUM(AB$87:AB$94)+SUM(AD$87:AD$94)+SUM(AF$87:AF$94)+SUM(AH$87:AH$94)</f>
        <v>2.9486471069672922</v>
      </c>
      <c r="H114" s="106">
        <f>SUM(AJ$87:AJ$94)+SUM(AL$87:AL$94)+SUM(AN$87:AN$94)+SUM(AP$87:AP$94)</f>
        <v>14.503868320105024</v>
      </c>
      <c r="I114" s="106">
        <f>SUM(AR$87:AR$94)+SUM(AT$87:AT$94)+SUM(AV$87:AV$94)+SUM(AX$87:AX$94)</f>
        <v>14.723286900035484</v>
      </c>
      <c r="J114" s="106">
        <f>SUM(AZ$87:AZ$94)+SUM(BB$87:BB$94)+SUM(BD$87:BD$94)+SUM(BF$87:BF$94)</f>
        <v>11.592752141010461</v>
      </c>
      <c r="K114" s="106">
        <f>SUM(BH$87:BH$94)+SUM(BJ$87:BJ$94)+SUM(BL$87:BL$94)+SUM(BN$87:BN$94)</f>
        <v>31.27260828587044</v>
      </c>
      <c r="L114" s="106">
        <f>SUM(BP$87:BP$94)+SUM(BR$87:BR$94)+SUM(BT$87:BT$94)+SUM(BV$87:BV$94)</f>
        <v>25.589048465578841</v>
      </c>
      <c r="M114" s="106">
        <f>SUM(BX$87:BX$94)+SUM(BZ$87:BZ$94)+SUM(CB$87:CB$94)+SUM(CD$87:CD$94)</f>
        <v>25.549927824741243</v>
      </c>
      <c r="N114" s="106">
        <f>SUM(CF$87:CF$94)+SUM(CH$87:CH$94)+SUM(CJ$87:CJ$94)+SUM(CL$87:CL$94)</f>
        <v>15.513744884725499</v>
      </c>
      <c r="O114" s="106">
        <f>SUM(CN$87:CN$94)+SUM(CP$87:CP$94)+SUM(CR$87:CR$94)+SUM(CT$87:CT$94)</f>
        <v>32.862198314000004</v>
      </c>
    </row>
    <row r="115" spans="2:15" x14ac:dyDescent="0.2">
      <c r="C115" s="105" t="s">
        <v>132</v>
      </c>
      <c r="D115" s="106">
        <f>SUM(D$95:D$105)+SUM(F$95:F$105)+SUM(H$95:H$105)+SUM(J$95:J$105)</f>
        <v>1.786891804132996</v>
      </c>
      <c r="E115" s="106">
        <f>SUM(L$95:L$105)+SUM(N$95:N$105)+SUM(P$95:P$105)+SUM(R$95:R$105)</f>
        <v>6.2460725001032493</v>
      </c>
      <c r="F115" s="106">
        <f>SUM(T$95:T$105)+SUM(V$95:V$105)+SUM(X$95:X$105)+SUM(Z$95:Z$105)</f>
        <v>4.5323130784800849</v>
      </c>
      <c r="G115" s="106">
        <f>SUM(AB$95:AB$105)+SUM(AD$95:AD$105)+SUM(AF$95:AF$105)+SUM(AH$95:AH$105)</f>
        <v>5.7508873769179463</v>
      </c>
      <c r="H115" s="106">
        <f>SUM(AJ$95:AJ$105)+SUM(AL$95:AL$105)+SUM(AN$95:AN$105)+SUM(AP$95:AP$105)</f>
        <v>62.946081536080754</v>
      </c>
      <c r="I115" s="106">
        <f>SUM(AR$95:AR$105)+SUM(AT$95:AT$105)+SUM(AV$95:AV$105)+SUM(AX$95:AX$105)</f>
        <v>68.667339895043284</v>
      </c>
      <c r="J115" s="106">
        <f>SUM(AZ$95:AZ$105)+SUM(BB$95:BB$105)+SUM(BD$95:BD$105)+SUM(BF$95:BF$105)</f>
        <v>47.234288340047385</v>
      </c>
      <c r="K115" s="106">
        <f>SUM(BH$95:BH$105)+SUM(BJ$95:BJ$105)+SUM(BL$95:BL$105)+SUM(BN$95:BN$105)</f>
        <v>26.373337905917658</v>
      </c>
      <c r="L115" s="106">
        <f>SUM(BP$95:BP$105)+SUM(BR$95:BR$105)+SUM(BT$95:BT$105)+SUM(BV$95:BV$105)</f>
        <v>28.612668071394648</v>
      </c>
      <c r="M115" s="106">
        <f>SUM(BX$95:BX$105)+SUM(BZ$95:BZ$105)+SUM(CB$95:CB$105)+SUM(CD$95:CD$105)</f>
        <v>13.507475385082653</v>
      </c>
      <c r="N115" s="106">
        <f>SUM(CF$95:CF$105)+SUM(CH$95:CH$105)+SUM(CJ$95:CJ$105)+SUM(CL$95:CL$105)</f>
        <v>38.783034170362392</v>
      </c>
      <c r="O115" s="106">
        <f>SUM(CN$95:CN$105)+SUM(CP$95:CP$105)+SUM(CR$95:CR$105)+SUM(CT$95:CT$105)</f>
        <v>54.167335319920113</v>
      </c>
    </row>
    <row r="116" spans="2:15" x14ac:dyDescent="0.2">
      <c r="C116" s="105" t="s">
        <v>277</v>
      </c>
      <c r="D116" s="106">
        <f t="shared" ref="D116:O116" si="0">SUM(D$109:D$115)</f>
        <v>9.6719064318944703</v>
      </c>
      <c r="E116" s="106">
        <f t="shared" si="0"/>
        <v>163.5443888078552</v>
      </c>
      <c r="F116" s="106">
        <f t="shared" si="0"/>
        <v>77.617922927894554</v>
      </c>
      <c r="G116" s="106">
        <f t="shared" si="0"/>
        <v>195.92498052448127</v>
      </c>
      <c r="H116" s="106">
        <f t="shared" si="0"/>
        <v>961.29767568749446</v>
      </c>
      <c r="I116" s="106">
        <f t="shared" si="0"/>
        <v>858.98930136602485</v>
      </c>
      <c r="J116" s="106">
        <f t="shared" si="0"/>
        <v>323.2914395787148</v>
      </c>
      <c r="K116" s="106">
        <f t="shared" si="0"/>
        <v>489.56975140197721</v>
      </c>
      <c r="L116" s="106">
        <f t="shared" si="0"/>
        <v>765.06744538167391</v>
      </c>
      <c r="M116" s="106">
        <f t="shared" si="0"/>
        <v>822.69540831875531</v>
      </c>
      <c r="N116" s="106">
        <f t="shared" si="0"/>
        <v>354.26851160664012</v>
      </c>
      <c r="O116" s="106">
        <f t="shared" si="0"/>
        <v>496.74561834533711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49785.744224532318</v>
      </c>
      <c r="F120" s="106">
        <f>F109*pricing!F15*2000</f>
        <v>15335.882600607647</v>
      </c>
      <c r="G120" s="106">
        <f>G109*pricing!G15*2000</f>
        <v>58576.356825411414</v>
      </c>
      <c r="H120" s="106">
        <f>H109*pricing!H15*2000</f>
        <v>412175.71032108186</v>
      </c>
      <c r="I120" s="106">
        <f>I109*pricing!I15*2000</f>
        <v>660398.05828612891</v>
      </c>
      <c r="J120" s="106">
        <f>J109*pricing!J15*2000</f>
        <v>92442.688385920148</v>
      </c>
      <c r="K120" s="106">
        <f>K109*pricing!K15*2000</f>
        <v>276124.20539848774</v>
      </c>
      <c r="L120" s="106">
        <f>L109*pricing!L15*2000</f>
        <v>430580.57607542811</v>
      </c>
      <c r="M120" s="106">
        <f>M109*pricing!M15*2000</f>
        <v>396691.00551343837</v>
      </c>
      <c r="N120" s="106">
        <f>N109*pricing!N15*2000</f>
        <v>190811.11217583108</v>
      </c>
      <c r="O120" s="106">
        <f>O109*pricing!O15*2000</f>
        <v>298597.82184877398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215979.17957698044</v>
      </c>
      <c r="F121" s="106">
        <f>F110*pricing!F16*2000</f>
        <v>62710.337336916258</v>
      </c>
      <c r="G121" s="106">
        <f>G110*pricing!G16*2000</f>
        <v>231988.48072851246</v>
      </c>
      <c r="H121" s="106">
        <f>H110*pricing!H16*2000</f>
        <v>1016484.982200008</v>
      </c>
      <c r="I121" s="106">
        <f>I110*pricing!I16*2000</f>
        <v>1810616.0708718845</v>
      </c>
      <c r="J121" s="106">
        <f>J110*pricing!J16*2000</f>
        <v>216476.83940564431</v>
      </c>
      <c r="K121" s="106">
        <f>K110*pricing!K16*2000</f>
        <v>425603.65205298242</v>
      </c>
      <c r="L121" s="106">
        <f>L110*pricing!L16*2000</f>
        <v>789027.70603349479</v>
      </c>
      <c r="M121" s="106">
        <f>M110*pricing!M16*2000</f>
        <v>626038.82404125715</v>
      </c>
      <c r="N121" s="106">
        <f>N110*pricing!N16*2000</f>
        <v>378750.24969004316</v>
      </c>
      <c r="O121" s="106">
        <f>O110*pricing!O16*2000</f>
        <v>379029.2062059528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42658.621640229831</v>
      </c>
      <c r="F122" s="106">
        <f>F111*pricing!F17*2000</f>
        <v>28245.793925153717</v>
      </c>
      <c r="G122" s="106">
        <f>G111*pricing!G17*2000</f>
        <v>91140.843015552819</v>
      </c>
      <c r="H122" s="106">
        <f>H111*pricing!H17*2000</f>
        <v>684646.58921985212</v>
      </c>
      <c r="I122" s="106">
        <f>I111*pricing!I17*2000</f>
        <v>451847.6183267553</v>
      </c>
      <c r="J122" s="106">
        <f>J111*pricing!J17*2000</f>
        <v>36764.524589459026</v>
      </c>
      <c r="K122" s="106">
        <f>K111*pricing!K17*2000</f>
        <v>215459.71693057549</v>
      </c>
      <c r="L122" s="106">
        <f>L111*pricing!L17*2000</f>
        <v>419826.18870136933</v>
      </c>
      <c r="M122" s="106">
        <f>M111*pricing!M17*2000</f>
        <v>616729.02660274925</v>
      </c>
      <c r="N122" s="106">
        <f>N111*pricing!N17*2000</f>
        <v>194850.61234043175</v>
      </c>
      <c r="O122" s="106">
        <f>O111*pricing!O17*2000</f>
        <v>206742.55445015852</v>
      </c>
    </row>
    <row r="123" spans="2:15" x14ac:dyDescent="0.2">
      <c r="C123" s="105" t="s">
        <v>129</v>
      </c>
      <c r="D123" s="106">
        <f>D112*pricing!D18*2000</f>
        <v>4613.9863402771343</v>
      </c>
      <c r="E123" s="106">
        <f>E112*pricing!E18*2000</f>
        <v>53056.97766976172</v>
      </c>
      <c r="F123" s="106">
        <f>F112*pricing!F18*2000</f>
        <v>36584.858770715109</v>
      </c>
      <c r="G123" s="106">
        <f>G112*pricing!G18*2000</f>
        <v>80527.894659958663</v>
      </c>
      <c r="H123" s="106">
        <f>H112*pricing!H18*2000</f>
        <v>520408.54891584854</v>
      </c>
      <c r="I123" s="106">
        <f>I112*pricing!I18*2000</f>
        <v>563182.33010701626</v>
      </c>
      <c r="J123" s="106">
        <f>J112*pricing!J18*2000</f>
        <v>192120.4292194508</v>
      </c>
      <c r="K123" s="106">
        <f>K112*pricing!K18*2000</f>
        <v>223182.7218804094</v>
      </c>
      <c r="L123" s="106">
        <f>L112*pricing!L18*2000</f>
        <v>245761.83243934347</v>
      </c>
      <c r="M123" s="106">
        <f>M112*pricing!M18*2000</f>
        <v>292239.90361360356</v>
      </c>
      <c r="N123" s="106">
        <f>N112*pricing!N18*2000</f>
        <v>248280.13844846823</v>
      </c>
      <c r="O123" s="106">
        <f>O112*pricing!O18*2000</f>
        <v>268120.06981475931</v>
      </c>
    </row>
    <row r="124" spans="2:15" x14ac:dyDescent="0.2">
      <c r="C124" s="105" t="s">
        <v>130</v>
      </c>
      <c r="D124" s="106">
        <f>D113*pricing!D19*2000</f>
        <v>19423.710874903831</v>
      </c>
      <c r="E124" s="106">
        <f>E113*pricing!E19*2000</f>
        <v>64636.473746937074</v>
      </c>
      <c r="F124" s="106">
        <f>F113*pricing!F19*2000</f>
        <v>46726.377658541111</v>
      </c>
      <c r="G124" s="106">
        <f>G113*pricing!G19*2000</f>
        <v>43390.830606029485</v>
      </c>
      <c r="H124" s="106">
        <f>H113*pricing!H19*2000</f>
        <v>714222.67363224959</v>
      </c>
      <c r="I124" s="106">
        <f>I113*pricing!I19*2000</f>
        <v>311507.42958643829</v>
      </c>
      <c r="J124" s="106">
        <f>J113*pricing!J19*2000</f>
        <v>84747.370977521088</v>
      </c>
      <c r="K124" s="106">
        <f>K113*pricing!K19*2000</f>
        <v>260976.69781396183</v>
      </c>
      <c r="L124" s="106">
        <f>L113*pricing!L19*2000</f>
        <v>478012.02579276264</v>
      </c>
      <c r="M124" s="106">
        <f>M113*pricing!M19*2000</f>
        <v>332784.43941925216</v>
      </c>
      <c r="N124" s="106">
        <f>N113*pricing!N19*2000</f>
        <v>215504.78286800222</v>
      </c>
      <c r="O124" s="106">
        <f>O113*pricing!O19*2000</f>
        <v>382621.16438782139</v>
      </c>
    </row>
    <row r="125" spans="2:15" x14ac:dyDescent="0.2">
      <c r="C125" s="105" t="s">
        <v>131</v>
      </c>
      <c r="D125" s="106">
        <f>D114*pricing!D20*2000</f>
        <v>9942.0977940995945</v>
      </c>
      <c r="E125" s="106">
        <f>E114*pricing!E20*2000</f>
        <v>13602.798642282056</v>
      </c>
      <c r="F125" s="106">
        <f>F114*pricing!F20*2000</f>
        <v>15741.405228237092</v>
      </c>
      <c r="G125" s="106">
        <f>G114*pricing!G20*2000</f>
        <v>17619.345215297053</v>
      </c>
      <c r="H125" s="106">
        <f>H114*pricing!H20*2000</f>
        <v>93636.953569182384</v>
      </c>
      <c r="I125" s="106">
        <f>I114*pricing!I20*2000</f>
        <v>65037.596603997823</v>
      </c>
      <c r="J125" s="106">
        <f>J114*pricing!J20*2000</f>
        <v>48104.05800301554</v>
      </c>
      <c r="K125" s="106">
        <f>K114*pricing!K20*2000</f>
        <v>104524.56020761089</v>
      </c>
      <c r="L125" s="106">
        <f>L114*pricing!L20*2000</f>
        <v>94343.923476959972</v>
      </c>
      <c r="M125" s="106">
        <f>M114*pricing!M20*2000</f>
        <v>81786.217813457581</v>
      </c>
      <c r="N125" s="106">
        <f>N114*pricing!N20*2000</f>
        <v>92331.383760754921</v>
      </c>
      <c r="O125" s="106">
        <f>O114*pricing!O20*2000</f>
        <v>142730.19796542186</v>
      </c>
    </row>
    <row r="126" spans="2:15" x14ac:dyDescent="0.2">
      <c r="C126" s="105" t="s">
        <v>132</v>
      </c>
      <c r="D126" s="106">
        <f>D115*pricing!D21*2000</f>
        <v>11789.15305203111</v>
      </c>
      <c r="E126" s="106">
        <f>E115*pricing!E21*2000</f>
        <v>24846.065415357312</v>
      </c>
      <c r="F126" s="106">
        <f>F115*pricing!F21*2000</f>
        <v>22941.569337586123</v>
      </c>
      <c r="G126" s="106">
        <f>G115*pricing!G21*2000</f>
        <v>24398.832678503306</v>
      </c>
      <c r="H126" s="106">
        <f>H115*pricing!H21*2000</f>
        <v>234919.59166789087</v>
      </c>
      <c r="I126" s="106">
        <f>I115*pricing!I21*2000</f>
        <v>159077.59144195454</v>
      </c>
      <c r="J126" s="106">
        <f>J115*pricing!J21*2000</f>
        <v>127098.72780098155</v>
      </c>
      <c r="K126" s="106">
        <f>K115*pricing!K21*2000</f>
        <v>118227.20618878759</v>
      </c>
      <c r="L126" s="106">
        <f>L115*pricing!L21*2000</f>
        <v>118655.12932139479</v>
      </c>
      <c r="M126" s="106">
        <f>M115*pricing!M21*2000</f>
        <v>78600.422860224047</v>
      </c>
      <c r="N126" s="106">
        <f>N115*pricing!N21*2000</f>
        <v>178748.12834138621</v>
      </c>
      <c r="O126" s="106">
        <f>O115*pricing!O21*2000</f>
        <v>249653.23143992451</v>
      </c>
    </row>
    <row r="127" spans="2:15" x14ac:dyDescent="0.2">
      <c r="C127" s="105" t="s">
        <v>277</v>
      </c>
      <c r="D127" s="106">
        <f t="shared" ref="D127:O127" si="1">SUM(D$120:D$126)</f>
        <v>45768.948061311661</v>
      </c>
      <c r="E127" s="106">
        <f t="shared" si="1"/>
        <v>464565.86091608071</v>
      </c>
      <c r="F127" s="106">
        <f t="shared" si="1"/>
        <v>228286.22485775704</v>
      </c>
      <c r="G127" s="106">
        <f t="shared" si="1"/>
        <v>547642.58372926526</v>
      </c>
      <c r="H127" s="106">
        <f t="shared" si="1"/>
        <v>3676495.0495261136</v>
      </c>
      <c r="I127" s="106">
        <f t="shared" si="1"/>
        <v>4021666.6952241762</v>
      </c>
      <c r="J127" s="106">
        <f t="shared" si="1"/>
        <v>797754.63838199247</v>
      </c>
      <c r="K127" s="106">
        <f t="shared" si="1"/>
        <v>1624098.7604728155</v>
      </c>
      <c r="L127" s="106">
        <f t="shared" si="1"/>
        <v>2576207.3818407534</v>
      </c>
      <c r="M127" s="106">
        <f t="shared" si="1"/>
        <v>2424869.8398639825</v>
      </c>
      <c r="N127" s="106">
        <f t="shared" si="1"/>
        <v>1499276.4076249176</v>
      </c>
      <c r="O127" s="106">
        <f t="shared" si="1"/>
        <v>1927494.2461128125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6418.5703145633424</v>
      </c>
      <c r="F131" s="112">
        <f>SUM(U$6:U$19)+SUM(W$6:W$19)+SUM(Y$6:Y$19)+SUM(AA$6:AA$19)</f>
        <v>1987.2891626284541</v>
      </c>
      <c r="G131" s="112">
        <f>SUM(AC$6:AC$19)+SUM(AE$6:AE$19)+SUM(AG$6:AG$19)+SUM(AI$6:AI$19)</f>
        <v>7580.8372807180967</v>
      </c>
      <c r="H131" s="112">
        <f>SUM(AK$6:AK$19)+SUM(AM$6:AM$19)+SUM(AO$6:AO$19)+SUM(AQ$6:AQ$19)</f>
        <v>40284.197073086354</v>
      </c>
      <c r="I131" s="112">
        <f>SUM(AS$6:AS$19)+SUM(AU$6:AU$19)+SUM(AW$6:AW$19)+SUM(AY$6:AY$19)</f>
        <v>64805.728481222577</v>
      </c>
      <c r="J131" s="112">
        <f>SUM(BA$6:BA$19)+SUM(BC$6:BC$19)+SUM(BE$6:BE$19)+SUM(BG$6:BG$19)</f>
        <v>18785.319611865383</v>
      </c>
      <c r="K131" s="112">
        <f>SUM(BI$6:BI$19)+SUM(BK$6:BK$19)+SUM(BM$6:BM$19)+SUM(BO$6:BO$19)</f>
        <v>57466.47649626014</v>
      </c>
      <c r="L131" s="112">
        <f>SUM(BQ$6:BQ$19)+SUM(BS$6:BS$19)+SUM(BU$6:BU$19)+SUM(BW$6:BW$19)</f>
        <v>65459.950827026405</v>
      </c>
      <c r="M131" s="112">
        <f>SUM(BY$6:BY$19)+SUM(CA$6:CA$19)+SUM(CC$6:CC$19)+SUM(CE$6:CE$19)</f>
        <v>60338.266300751449</v>
      </c>
      <c r="N131" s="112">
        <f>SUM(CG$6:CG$19)+SUM(CI$6:CI$19)+SUM(CK$6:CK$19)+SUM(CM$6:CM$19)</f>
        <v>28947.734853762107</v>
      </c>
      <c r="O131" s="112">
        <f>SUM(CO$6:CO$19)+SUM(CQ$6:CQ$19)+SUM(CS$6:CS$19)+SUM(CU$6:CU$19)</f>
        <v>63942.351909192366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40154.194389452234</v>
      </c>
      <c r="F132" s="112">
        <f>SUM(U$20:U$36)+SUM(W$20:W$36)+SUM(Y$20:Y$36)+SUM(AA$20:AA$36)</f>
        <v>11680.884910270343</v>
      </c>
      <c r="G132" s="112">
        <f>SUM(AC$20:AC$36)+SUM(AE$20:AE$36)+SUM(AG$20:AG$36)+SUM(AI$20:AI$36)</f>
        <v>43825.883941771652</v>
      </c>
      <c r="H132" s="112">
        <f>SUM(AK$20:AK$36)+SUM(AM$20:AM$36)+SUM(AO$20:AO$36)+SUM(AQ$20:AQ$36)</f>
        <v>88032.940087817144</v>
      </c>
      <c r="I132" s="112">
        <f>SUM(AS$20:AS$36)+SUM(AU$20:AU$36)+SUM(AW$20:AW$36)+SUM(AY$20:AY$36)</f>
        <v>155257.47942552375</v>
      </c>
      <c r="J132" s="112">
        <f>SUM(BA$20:BA$36)+SUM(BC$20:BC$36)+SUM(BE$20:BE$36)+SUM(BG$20:BG$36)</f>
        <v>44830.188554026972</v>
      </c>
      <c r="K132" s="112">
        <f>SUM(BI$20:BI$36)+SUM(BK$20:BK$36)+SUM(BM$20:BM$36)+SUM(BO$20:BO$36)</f>
        <v>49331.916222862921</v>
      </c>
      <c r="L132" s="112">
        <f>SUM(BQ$20:BQ$36)+SUM(BS$20:BS$36)+SUM(BU$20:BU$36)+SUM(BW$20:BW$36)</f>
        <v>91892.084324444135</v>
      </c>
      <c r="M132" s="112">
        <f>SUM(BY$20:BY$36)+SUM(CA$20:CA$36)+SUM(CC$20:CC$36)+SUM(CE$20:CE$36)</f>
        <v>73291.978835393849</v>
      </c>
      <c r="N132" s="112">
        <f>SUM(CG$20:CG$36)+SUM(CI$20:CI$36)+SUM(CK$20:CK$36)+SUM(CM$20:CM$36)</f>
        <v>44167.413545632633</v>
      </c>
      <c r="O132" s="112">
        <f>SUM(CO$20:CO$36)+SUM(CQ$20:CQ$36)+SUM(CS$20:CS$36)+SUM(CU$20:CU$36)</f>
        <v>46335.010905052281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11093.141874966444</v>
      </c>
      <c r="F133" s="112">
        <f>SUM(U$37:U$48)+SUM(W$37:W$48)+SUM(Y$37:Y$48)+SUM(AA$37:AA$48)</f>
        <v>13177.48408624036</v>
      </c>
      <c r="G133" s="112">
        <f>SUM(AC$37:AC$48)+SUM(AE$37:AE$48)+SUM(AG$37:AG$48)+SUM(AI$37:AI$48)</f>
        <v>42365.452518707352</v>
      </c>
      <c r="H133" s="112">
        <f>SUM(AK$37:AK$48)+SUM(AM$37:AM$48)+SUM(AO$37:AO$48)+SUM(AQ$37:AQ$48)</f>
        <v>232284.48149020557</v>
      </c>
      <c r="I133" s="112">
        <f>SUM(AS$37:AS$48)+SUM(AU$37:AU$48)+SUM(AW$37:AW$48)+SUM(AY$37:AY$48)</f>
        <v>59820.956053367947</v>
      </c>
      <c r="J133" s="112">
        <f>SUM(BA$37:BA$48)+SUM(BC$37:BC$48)+SUM(BE$37:BE$48)+SUM(BG$37:BG$48)</f>
        <v>4828.4279935908853</v>
      </c>
      <c r="K133" s="112">
        <f>SUM(BI$37:BI$48)+SUM(BK$37:BK$48)+SUM(BM$37:BM$48)+SUM(BO$37:BO$48)</f>
        <v>66485.845184014921</v>
      </c>
      <c r="L133" s="112">
        <f>SUM(BQ$37:BQ$48)+SUM(BS$37:BS$48)+SUM(BU$37:BU$48)+SUM(BW$37:BW$48)</f>
        <v>130311.05261269973</v>
      </c>
      <c r="M133" s="112">
        <f>SUM(BY$37:BY$48)+SUM(CA$37:CA$48)+SUM(CC$37:CC$48)+SUM(CE$37:CE$48)</f>
        <v>294034.7925166302</v>
      </c>
      <c r="N133" s="112">
        <f>SUM(CG$37:CG$48)+SUM(CI$37:CI$48)+SUM(CK$37:CK$48)+SUM(CM$37:CM$48)</f>
        <v>50432.810297290984</v>
      </c>
      <c r="O133" s="112">
        <f>SUM(CO$37:CO$48)+SUM(CQ$37:CQ$48)+SUM(CS$37:CS$48)+SUM(CU$37:CU$48)</f>
        <v>53460.568316406076</v>
      </c>
    </row>
    <row r="134" spans="2:15" x14ac:dyDescent="0.2">
      <c r="C134" s="111" t="s">
        <v>129</v>
      </c>
      <c r="D134" s="112">
        <f>SUM(E$49:E$70)+SUM(G$49:G$70)+SUM(I$49:I$70)+SUM(K$49:K$70)</f>
        <v>1224.3782641919288</v>
      </c>
      <c r="E134" s="112">
        <f>SUM(M$49:M$70)+SUM(O$49:O$70)+SUM(Q$49:Q$70)+SUM(S$49:S$70)</f>
        <v>8467.5013618915418</v>
      </c>
      <c r="F134" s="112">
        <f>SUM(U$49:U$70)+SUM(W$49:W$70)+SUM(Y$49:Y$70)+SUM(AA$49:AA$70)</f>
        <v>14626.282506442023</v>
      </c>
      <c r="G134" s="112">
        <f>SUM(AC$49:AC$70)+SUM(AE$49:AE$70)+SUM(AG$49:AG$70)+SUM(AI$49:AI$70)</f>
        <v>16459.67723107287</v>
      </c>
      <c r="H134" s="112">
        <f>SUM(AK$49:AK$70)+SUM(AM$49:AM$70)+SUM(AO$49:AO$70)+SUM(AQ$49:AQ$70)</f>
        <v>80690.899804774206</v>
      </c>
      <c r="I134" s="112">
        <f>SUM(AS$49:AS$70)+SUM(AU$49:AU$70)+SUM(AW$49:AW$70)+SUM(AY$49:AY$70)</f>
        <v>86263.891453847202</v>
      </c>
      <c r="J134" s="112">
        <f>SUM(BA$49:BA$70)+SUM(BC$49:BC$70)+SUM(BE$49:BE$70)+SUM(BG$49:BG$70)</f>
        <v>91910.431062483083</v>
      </c>
      <c r="K134" s="112">
        <f>SUM(BI$49:BI$70)+SUM(BK$49:BK$70)+SUM(BM$49:BM$70)+SUM(BO$49:BO$70)</f>
        <v>51226.093871251374</v>
      </c>
      <c r="L134" s="112">
        <f>SUM(BQ$49:BQ$70)+SUM(BS$49:BS$70)+SUM(BU$49:BU$70)+SUM(BW$49:BW$70)</f>
        <v>25792.897708861135</v>
      </c>
      <c r="M134" s="112">
        <f>SUM(BY$49:BY$70)+SUM(CA$49:CA$70)+SUM(CC$49:CC$70)+SUM(CE$49:CE$70)</f>
        <v>48470.648800580566</v>
      </c>
      <c r="N134" s="112">
        <f>SUM(CG$49:CG$70)+SUM(CI$49:CI$70)+SUM(CK$49:CK$70)+SUM(CM$49:CM$70)</f>
        <v>42972.914699034169</v>
      </c>
      <c r="O134" s="112">
        <f>SUM(CO$49:CO$70)+SUM(CQ$49:CQ$70)+SUM(CS$49:CS$70)+SUM(CU$49:CU$70)</f>
        <v>44704.187963567318</v>
      </c>
    </row>
    <row r="135" spans="2:15" x14ac:dyDescent="0.2">
      <c r="C135" s="111" t="s">
        <v>130</v>
      </c>
      <c r="D135" s="112">
        <f>SUM(E$71:E$86)+SUM(G$71:G$86)+SUM(I$71:I$86)+SUM(K$71:K$86)</f>
        <v>2080.9291050073753</v>
      </c>
      <c r="E135" s="112">
        <f>SUM(M$71:M$86)+SUM(O$71:O$86)+SUM(Q$71:Q$86)+SUM(S$71:S$86)</f>
        <v>14019.507621033983</v>
      </c>
      <c r="F135" s="112">
        <f>SUM(U$71:U$86)+SUM(W$71:W$86)+SUM(Y$71:Y$86)+SUM(AA$71:AA$86)</f>
        <v>5008.3729742758323</v>
      </c>
      <c r="G135" s="112">
        <f>SUM(AC$71:AC$86)+SUM(AE$71:AE$86)+SUM(AG$71:AG$86)+SUM(AI$71:AI$86)</f>
        <v>5110.0978701662971</v>
      </c>
      <c r="H135" s="112">
        <f>SUM(AK$71:AK$86)+SUM(AM$71:AM$86)+SUM(AO$71:AO$86)+SUM(AQ$71:AQ$86)</f>
        <v>154154.78340264596</v>
      </c>
      <c r="I135" s="112">
        <f>SUM(AS$71:AS$86)+SUM(AU$71:AU$86)+SUM(AW$71:AW$86)+SUM(AY$71:AY$86)</f>
        <v>67305.047242545756</v>
      </c>
      <c r="J135" s="112">
        <f>SUM(BA$71:BA$86)+SUM(BC$71:BC$86)+SUM(BE$71:BE$86)+SUM(BG$71:BG$86)</f>
        <v>5961.6745973241341</v>
      </c>
      <c r="K135" s="112">
        <f>SUM(BI$71:BI$86)+SUM(BK$71:BK$86)+SUM(BM$71:BM$86)+SUM(BO$71:BO$86)</f>
        <v>42432.897508716997</v>
      </c>
      <c r="L135" s="112">
        <f>SUM(BQ$71:BQ$86)+SUM(BS$71:BS$86)+SUM(BU$71:BU$86)+SUM(BW$71:BW$86)</f>
        <v>116142.09478241952</v>
      </c>
      <c r="M135" s="112">
        <f>SUM(BY$71:BY$86)+SUM(CA$71:CA$86)+SUM(CC$71:CC$86)+SUM(CE$71:CE$86)</f>
        <v>83348.703728720036</v>
      </c>
      <c r="N135" s="112">
        <f>SUM(CG$71:CG$86)+SUM(CI$71:CI$86)+SUM(CK$71:CK$86)+SUM(CM$71:CM$86)</f>
        <v>22329.221254084416</v>
      </c>
      <c r="O135" s="112">
        <f>SUM(CO$71:CO$86)+SUM(CQ$71:CQ$86)+SUM(CS$71:CS$86)+SUM(CU$71:CU$86)</f>
        <v>40148.912058083544</v>
      </c>
    </row>
    <row r="136" spans="2:15" x14ac:dyDescent="0.2">
      <c r="C136" s="111" t="s">
        <v>131</v>
      </c>
      <c r="D136" s="112">
        <f>SUM(E$87:E$94)+SUM(G$87:G$94)+SUM(I$87:I$94)+SUM(K$87:K$94)</f>
        <v>6230.2620543760149</v>
      </c>
      <c r="E136" s="112">
        <f>SUM(M$87:M$94)+SUM(O$87:O$94)+SUM(Q$87:Q$94)+SUM(S$87:S$94)</f>
        <v>6460.5856569912694</v>
      </c>
      <c r="F136" s="112">
        <f>SUM(U$87:U$94)+SUM(W$87:W$94)+SUM(Y$87:Y$94)+SUM(AA$87:AA$94)</f>
        <v>6084.3531493211231</v>
      </c>
      <c r="G136" s="112">
        <f>SUM(AC$87:AC$94)+SUM(AE$87:AE$94)+SUM(AG$87:AG$94)+SUM(AI$87:AI$94)</f>
        <v>5976.7798876481911</v>
      </c>
      <c r="H136" s="112">
        <f>SUM(AK$87:AK$94)+SUM(AM$87:AM$94)+SUM(AO$87:AO$94)+SUM(AQ$87:AQ$94)</f>
        <v>29515.2170389239</v>
      </c>
      <c r="I136" s="112">
        <f>SUM(AS$87:AS$94)+SUM(AU$87:AU$94)+SUM(AW$87:AW$94)+SUM(AY$87:AY$94)</f>
        <v>29862.912999455264</v>
      </c>
      <c r="J136" s="112">
        <f>SUM(BA$87:BA$94)+SUM(BC$87:BC$94)+SUM(BE$87:BE$94)+SUM(BG$87:BG$94)</f>
        <v>23505.840418082764</v>
      </c>
      <c r="K136" s="112">
        <f>SUM(BI$87:BI$94)+SUM(BK$87:BK$94)+SUM(BM$87:BM$94)+SUM(BO$87:BO$94)</f>
        <v>63802.528255629353</v>
      </c>
      <c r="L136" s="112">
        <f>SUM(BQ$87:BQ$94)+SUM(BS$87:BS$94)+SUM(BU$87:BU$94)+SUM(BW$87:BW$94)</f>
        <v>51897.847986409244</v>
      </c>
      <c r="M136" s="112">
        <f>SUM(BY$87:BY$94)+SUM(CA$87:CA$94)+SUM(CC$87:CC$94)+SUM(CE$87:CE$94)</f>
        <v>51924.407955032788</v>
      </c>
      <c r="N136" s="112">
        <f>SUM(CG$87:CG$94)+SUM(CI$87:CI$94)+SUM(CK$87:CK$94)+SUM(CM$87:CM$94)</f>
        <v>31542.055871074313</v>
      </c>
      <c r="O136" s="112">
        <f>SUM(CO$87:CO$94)+SUM(CQ$87:CQ$94)+SUM(CS$87:CS$94)+SUM(CU$87:CU$94)</f>
        <v>66836.254929865143</v>
      </c>
    </row>
    <row r="137" spans="2:15" x14ac:dyDescent="0.2">
      <c r="C137" s="111" t="s">
        <v>132</v>
      </c>
      <c r="D137" s="112">
        <f>SUM(E$95:E$105)+SUM(G$95:G$105)+SUM(I$95:I$105)+SUM(K$95:K$105)</f>
        <v>3390.7037794196799</v>
      </c>
      <c r="E137" s="112">
        <f>SUM(M$95:M$105)+SUM(O$95:O$105)+SUM(Q$95:Q$105)+SUM(S$95:S$105)</f>
        <v>11797.422488249456</v>
      </c>
      <c r="F137" s="112">
        <f>SUM(U$95:U$105)+SUM(W$95:W$105)+SUM(Y$95:Y$105)+SUM(AA$95:AA$105)</f>
        <v>8639.0690787966669</v>
      </c>
      <c r="G137" s="112">
        <f>SUM(AC$95:AC$105)+SUM(AE$95:AE$105)+SUM(AG$95:AG$105)+SUM(AI$95:AI$105)</f>
        <v>10848.484955759213</v>
      </c>
      <c r="H137" s="112">
        <f>SUM(AK$95:AK$105)+SUM(AM$95:AM$105)+SUM(AO$95:AO$105)+SUM(AQ$95:AQ$105)</f>
        <v>119137.12915945589</v>
      </c>
      <c r="I137" s="112">
        <f>SUM(AS$95:AS$105)+SUM(AU$95:AU$105)+SUM(AW$95:AW$105)+SUM(AY$95:AY$105)</f>
        <v>126499.52667584238</v>
      </c>
      <c r="J137" s="112">
        <f>SUM(BA$95:BA$105)+SUM(BC$95:BC$105)+SUM(BE$95:BE$105)+SUM(BG$95:BG$105)</f>
        <v>87135.17638448716</v>
      </c>
      <c r="K137" s="112">
        <f>SUM(BI$95:BI$105)+SUM(BK$95:BK$105)+SUM(BM$95:BM$105)+SUM(BO$95:BO$105)</f>
        <v>50382.929128018426</v>
      </c>
      <c r="L137" s="112">
        <f>SUM(BQ$95:BQ$105)+SUM(BS$95:BS$105)+SUM(BU$95:BU$105)+SUM(BW$95:BW$105)</f>
        <v>53962.281021757051</v>
      </c>
      <c r="M137" s="112">
        <f>SUM(BY$95:BY$105)+SUM(CA$95:CA$105)+SUM(CC$95:CC$105)+SUM(CE$95:CE$105)</f>
        <v>25648.33983899677</v>
      </c>
      <c r="N137" s="112">
        <f>SUM(CG$95:CG$105)+SUM(CI$95:CI$105)+SUM(CK$95:CK$105)+SUM(CM$95:CM$105)</f>
        <v>73819.476583039534</v>
      </c>
      <c r="O137" s="112">
        <f>SUM(CO$95:CO$105)+SUM(CQ$95:CQ$105)+SUM(CS$95:CS$105)+SUM(CU$95:CU$105)</f>
        <v>102686.2921200383</v>
      </c>
    </row>
    <row r="138" spans="2:15" x14ac:dyDescent="0.2">
      <c r="C138" s="111" t="s">
        <v>277</v>
      </c>
      <c r="D138" s="106">
        <f t="shared" ref="D138:O138" si="2">SUM(D$131:D$137)</f>
        <v>12926.273202994998</v>
      </c>
      <c r="E138" s="106">
        <f t="shared" si="2"/>
        <v>98410.923707148278</v>
      </c>
      <c r="F138" s="106">
        <f t="shared" si="2"/>
        <v>61203.735867974807</v>
      </c>
      <c r="G138" s="106">
        <f t="shared" si="2"/>
        <v>132167.21368584369</v>
      </c>
      <c r="H138" s="106">
        <f t="shared" si="2"/>
        <v>744099.64805690898</v>
      </c>
      <c r="I138" s="106">
        <f t="shared" si="2"/>
        <v>589815.54233180487</v>
      </c>
      <c r="J138" s="106">
        <f t="shared" si="2"/>
        <v>276957.05862186034</v>
      </c>
      <c r="K138" s="106">
        <f t="shared" si="2"/>
        <v>381128.68666675419</v>
      </c>
      <c r="L138" s="106">
        <f t="shared" si="2"/>
        <v>535458.20926361717</v>
      </c>
      <c r="M138" s="106">
        <f t="shared" si="2"/>
        <v>637057.13797610567</v>
      </c>
      <c r="N138" s="106">
        <f t="shared" si="2"/>
        <v>294211.62710391812</v>
      </c>
      <c r="O138" s="106">
        <f t="shared" si="2"/>
        <v>418113.57820220501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280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0.26390372870279916</v>
      </c>
      <c r="O6" s="106">
        <v>152.64191668169903</v>
      </c>
      <c r="P6" s="106">
        <v>8.1036198607684864E-2</v>
      </c>
      <c r="Q6" s="106">
        <v>46.871337274684926</v>
      </c>
      <c r="R6" s="106">
        <v>5.7432587562669113E-2</v>
      </c>
      <c r="S6" s="106">
        <v>33.219008646247815</v>
      </c>
      <c r="T6" s="106">
        <v>3.2134924224017827E-2</v>
      </c>
      <c r="U6" s="106">
        <v>18.586840171171911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4.7461917334247792</v>
      </c>
      <c r="AO6" s="106">
        <v>2745.1972986128922</v>
      </c>
      <c r="AP6" s="106">
        <v>3.1305392711212714</v>
      </c>
      <c r="AQ6" s="106">
        <v>1810.7039144165433</v>
      </c>
      <c r="AR6" s="106">
        <v>0.76905092074916181</v>
      </c>
      <c r="AS6" s="106">
        <v>444.81905256131517</v>
      </c>
      <c r="AT6" s="106">
        <v>4.9085696847423765</v>
      </c>
      <c r="AU6" s="106">
        <v>2839.1167056549903</v>
      </c>
      <c r="AV6" s="106">
        <v>2.3677786895778974</v>
      </c>
      <c r="AW6" s="106">
        <v>1369.5231940518559</v>
      </c>
      <c r="AX6" s="106">
        <v>3.2334457971759383</v>
      </c>
      <c r="AY6" s="106">
        <v>1870.2250490865626</v>
      </c>
      <c r="AZ6" s="106">
        <v>2.8103452847301726</v>
      </c>
      <c r="BA6" s="106">
        <v>1625.5037126879317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2.2430802892840127</v>
      </c>
      <c r="CA6" s="106">
        <v>1297.3976393218729</v>
      </c>
      <c r="CB6" s="106">
        <v>1.154094880615979</v>
      </c>
      <c r="CC6" s="106">
        <v>667.52847894828221</v>
      </c>
      <c r="CD6" s="106">
        <v>0</v>
      </c>
      <c r="CE6" s="106">
        <v>0</v>
      </c>
      <c r="CF6" s="106">
        <v>1.62227060772024</v>
      </c>
      <c r="CG6" s="106">
        <v>938.32131950538678</v>
      </c>
      <c r="CH6" s="106">
        <v>0</v>
      </c>
      <c r="CI6" s="106">
        <v>0</v>
      </c>
      <c r="CJ6" s="106">
        <v>0</v>
      </c>
      <c r="CK6" s="106">
        <v>0</v>
      </c>
      <c r="CL6" s="106">
        <v>2.0389145637339623</v>
      </c>
      <c r="CM6" s="106">
        <v>1179.3081836637236</v>
      </c>
      <c r="CN6" s="106">
        <v>1.4201443278571755</v>
      </c>
      <c r="CO6" s="106">
        <v>821.4114792325903</v>
      </c>
      <c r="CP6" s="106">
        <v>3.6200597810690969</v>
      </c>
      <c r="CQ6" s="106">
        <v>2093.8425773703657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0.25137113282985929</v>
      </c>
      <c r="O7" s="106">
        <v>198.18100112306107</v>
      </c>
      <c r="P7" s="106">
        <v>7.6544579485291864E-2</v>
      </c>
      <c r="Q7" s="106">
        <v>60.3477464662041</v>
      </c>
      <c r="R7" s="106">
        <v>6.2414333877268455E-2</v>
      </c>
      <c r="S7" s="106">
        <v>49.20746082883845</v>
      </c>
      <c r="T7" s="106">
        <v>2.8752300621489639E-2</v>
      </c>
      <c r="U7" s="106">
        <v>22.668313809982429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4.7658132327545237</v>
      </c>
      <c r="AO7" s="106">
        <v>3757.3671527036663</v>
      </c>
      <c r="AP7" s="106">
        <v>3.1305392711212714</v>
      </c>
      <c r="AQ7" s="106">
        <v>2468.1171613520105</v>
      </c>
      <c r="AR7" s="106">
        <v>0.90134077483370179</v>
      </c>
      <c r="AS7" s="106">
        <v>710.61706687889045</v>
      </c>
      <c r="AT7" s="106">
        <v>5.6097939254198588</v>
      </c>
      <c r="AU7" s="106">
        <v>4422.7615308010163</v>
      </c>
      <c r="AV7" s="106">
        <v>2.2197925214792789</v>
      </c>
      <c r="AW7" s="106">
        <v>1750.0844239342634</v>
      </c>
      <c r="AX7" s="106">
        <v>2.9172746503702243</v>
      </c>
      <c r="AY7" s="106">
        <v>2299.9793343518845</v>
      </c>
      <c r="AZ7" s="106">
        <v>2.6691453784037833</v>
      </c>
      <c r="BA7" s="106">
        <v>2104.3542163335428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2.1788654337823967</v>
      </c>
      <c r="CA7" s="106">
        <v>1717.8175079940415</v>
      </c>
      <c r="CB7" s="106">
        <v>1.0796371463826899</v>
      </c>
      <c r="CC7" s="106">
        <v>851.18592620811273</v>
      </c>
      <c r="CD7" s="106">
        <v>0</v>
      </c>
      <c r="CE7" s="106">
        <v>0</v>
      </c>
      <c r="CF7" s="106">
        <v>1.6699844491237763</v>
      </c>
      <c r="CG7" s="106">
        <v>1316.6157396891851</v>
      </c>
      <c r="CH7" s="106">
        <v>0</v>
      </c>
      <c r="CI7" s="106">
        <v>0</v>
      </c>
      <c r="CJ7" s="106">
        <v>0</v>
      </c>
      <c r="CK7" s="106">
        <v>0</v>
      </c>
      <c r="CL7" s="106">
        <v>2.0380210855035008</v>
      </c>
      <c r="CM7" s="106">
        <v>1606.77582381096</v>
      </c>
      <c r="CN7" s="106">
        <v>1.3999376738336653</v>
      </c>
      <c r="CO7" s="106">
        <v>1103.7108620504616</v>
      </c>
      <c r="CP7" s="106">
        <v>4.0679022282116657</v>
      </c>
      <c r="CQ7" s="106">
        <v>3207.1341167220771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0.25135359099154064</v>
      </c>
      <c r="O8" s="106">
        <v>77.819071770980969</v>
      </c>
      <c r="P8" s="106">
        <v>7.6560845085692789E-2</v>
      </c>
      <c r="Q8" s="106">
        <v>23.703237638530485</v>
      </c>
      <c r="R8" s="106">
        <v>6.7403646826103725E-2</v>
      </c>
      <c r="S8" s="106">
        <v>20.868169057361712</v>
      </c>
      <c r="T8" s="106">
        <v>3.2134924224017827E-2</v>
      </c>
      <c r="U8" s="106">
        <v>9.9489725397559177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5.2659157873992983</v>
      </c>
      <c r="AO8" s="106">
        <v>1630.3275277788225</v>
      </c>
      <c r="AP8" s="106">
        <v>2.8696609985278325</v>
      </c>
      <c r="AQ8" s="106">
        <v>888.44704514421687</v>
      </c>
      <c r="AR8" s="106">
        <v>0.90621803639654797</v>
      </c>
      <c r="AS8" s="106">
        <v>280.56510406837123</v>
      </c>
      <c r="AT8" s="106">
        <v>4.9085696847423765</v>
      </c>
      <c r="AU8" s="106">
        <v>1519.6931743962396</v>
      </c>
      <c r="AV8" s="106">
        <v>2.0817159095561064</v>
      </c>
      <c r="AW8" s="106">
        <v>644.4992455985705</v>
      </c>
      <c r="AX8" s="106">
        <v>3.2394236579358386</v>
      </c>
      <c r="AY8" s="106">
        <v>1002.9255644969355</v>
      </c>
      <c r="AZ8" s="106">
        <v>3.1366792626290922</v>
      </c>
      <c r="BA8" s="106">
        <v>971.11589970996681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2.2450294806610476</v>
      </c>
      <c r="CA8" s="106">
        <v>695.06112721266027</v>
      </c>
      <c r="CB8" s="106">
        <v>1.0424082792660456</v>
      </c>
      <c r="CC8" s="106">
        <v>322.7296032607677</v>
      </c>
      <c r="CD8" s="106">
        <v>0</v>
      </c>
      <c r="CE8" s="106">
        <v>0</v>
      </c>
      <c r="CF8" s="106">
        <v>1.6699844491237763</v>
      </c>
      <c r="CG8" s="106">
        <v>517.02718544872107</v>
      </c>
      <c r="CH8" s="106">
        <v>0</v>
      </c>
      <c r="CI8" s="106">
        <v>0</v>
      </c>
      <c r="CJ8" s="106">
        <v>0</v>
      </c>
      <c r="CK8" s="106">
        <v>0</v>
      </c>
      <c r="CL8" s="106">
        <v>2.292159454907996</v>
      </c>
      <c r="CM8" s="106">
        <v>709.65256723951552</v>
      </c>
      <c r="CN8" s="106">
        <v>1.5287944047186073</v>
      </c>
      <c r="CO8" s="106">
        <v>473.31474770088079</v>
      </c>
      <c r="CP8" s="106">
        <v>4.0679022282116657</v>
      </c>
      <c r="CQ8" s="106">
        <v>1259.4225298543315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0.22625331556902378</v>
      </c>
      <c r="O9" s="106">
        <v>158.82982752945469</v>
      </c>
      <c r="P9" s="106">
        <v>7.204482756269838E-2</v>
      </c>
      <c r="Q9" s="106">
        <v>50.575468949014265</v>
      </c>
      <c r="R9" s="106">
        <v>5.4932886665427526E-2</v>
      </c>
      <c r="S9" s="106">
        <v>38.562886439130125</v>
      </c>
      <c r="T9" s="106">
        <v>3.2134924224017827E-2</v>
      </c>
      <c r="U9" s="106">
        <v>22.558716805260516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4.7560024830896523</v>
      </c>
      <c r="AO9" s="106">
        <v>3338.7137431289361</v>
      </c>
      <c r="AP9" s="106">
        <v>2.8696609985278325</v>
      </c>
      <c r="AQ9" s="106">
        <v>2014.5020209665383</v>
      </c>
      <c r="AR9" s="106">
        <v>0.90621803639654797</v>
      </c>
      <c r="AS9" s="106">
        <v>636.16506155037666</v>
      </c>
      <c r="AT9" s="106">
        <v>5.6097939254198588</v>
      </c>
      <c r="AU9" s="106">
        <v>3938.0753356447408</v>
      </c>
      <c r="AV9" s="106">
        <v>2.2148377433915556</v>
      </c>
      <c r="AW9" s="106">
        <v>1554.8160958608721</v>
      </c>
      <c r="AX9" s="106">
        <v>3.2394236579358386</v>
      </c>
      <c r="AY9" s="106">
        <v>2274.0754078709588</v>
      </c>
      <c r="AZ9" s="106">
        <v>2.7626876171755921</v>
      </c>
      <c r="BA9" s="106">
        <v>1939.4067072572657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2.3111935275396984</v>
      </c>
      <c r="CA9" s="106">
        <v>1622.4578563328682</v>
      </c>
      <c r="CB9" s="106">
        <v>1.1168660134993345</v>
      </c>
      <c r="CC9" s="106">
        <v>784.03994147653282</v>
      </c>
      <c r="CD9" s="106">
        <v>0</v>
      </c>
      <c r="CE9" s="106">
        <v>0</v>
      </c>
      <c r="CF9" s="106">
        <v>1.6699844491237763</v>
      </c>
      <c r="CG9" s="106">
        <v>1172.3290832848909</v>
      </c>
      <c r="CH9" s="106">
        <v>0</v>
      </c>
      <c r="CI9" s="106">
        <v>0</v>
      </c>
      <c r="CJ9" s="106">
        <v>0</v>
      </c>
      <c r="CK9" s="106">
        <v>0</v>
      </c>
      <c r="CL9" s="106">
        <v>2.0366808681578084</v>
      </c>
      <c r="CM9" s="106">
        <v>1429.7499694467815</v>
      </c>
      <c r="CN9" s="106">
        <v>1.3778268181241846</v>
      </c>
      <c r="CO9" s="106">
        <v>967.23442632317756</v>
      </c>
      <c r="CP9" s="106">
        <v>3.8813012085689289</v>
      </c>
      <c r="CQ9" s="106">
        <v>2724.6734484153881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0.23882099511860083</v>
      </c>
      <c r="O10" s="106">
        <v>130.10967814061371</v>
      </c>
      <c r="P10" s="106">
        <v>7.2057026762999091E-2</v>
      </c>
      <c r="Q10" s="106">
        <v>39.256668180481903</v>
      </c>
      <c r="R10" s="106">
        <v>5.9919677402850827E-2</v>
      </c>
      <c r="S10" s="106">
        <v>32.644240249073128</v>
      </c>
      <c r="T10" s="106">
        <v>3.044361242275374E-2</v>
      </c>
      <c r="U10" s="106">
        <v>16.585680047916235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5.2659157873992983</v>
      </c>
      <c r="AO10" s="106">
        <v>2868.8709209751373</v>
      </c>
      <c r="AP10" s="106">
        <v>3.3914175437147112</v>
      </c>
      <c r="AQ10" s="106">
        <v>1847.6442778157746</v>
      </c>
      <c r="AR10" s="106">
        <v>0.84007310935427792</v>
      </c>
      <c r="AS10" s="106">
        <v>457.67182997621057</v>
      </c>
      <c r="AT10" s="106">
        <v>4.9085696847423765</v>
      </c>
      <c r="AU10" s="106">
        <v>2674.1887642476463</v>
      </c>
      <c r="AV10" s="106">
        <v>2.0817159095561064</v>
      </c>
      <c r="AW10" s="106">
        <v>1134.1188275261666</v>
      </c>
      <c r="AX10" s="106">
        <v>3.5496169439816532</v>
      </c>
      <c r="AY10" s="106">
        <v>1933.8313110812044</v>
      </c>
      <c r="AZ10" s="106">
        <v>2.857293713749812</v>
      </c>
      <c r="BA10" s="106">
        <v>1556.6536152508975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2.2456792111200592</v>
      </c>
      <c r="CA10" s="106">
        <v>1223.4460342182081</v>
      </c>
      <c r="CB10" s="106">
        <v>1.1913237477326235</v>
      </c>
      <c r="CC10" s="106">
        <v>649.03317776473318</v>
      </c>
      <c r="CD10" s="106">
        <v>0</v>
      </c>
      <c r="CE10" s="106">
        <v>0</v>
      </c>
      <c r="CF10" s="106">
        <v>1.7654121319308493</v>
      </c>
      <c r="CG10" s="106">
        <v>961.7965294759266</v>
      </c>
      <c r="CH10" s="106">
        <v>0</v>
      </c>
      <c r="CI10" s="106">
        <v>0</v>
      </c>
      <c r="CJ10" s="106">
        <v>0</v>
      </c>
      <c r="CK10" s="106">
        <v>0</v>
      </c>
      <c r="CL10" s="106">
        <v>1.8483107866805906</v>
      </c>
      <c r="CM10" s="106">
        <v>1006.9597165835856</v>
      </c>
      <c r="CN10" s="106">
        <v>1.4422551835666559</v>
      </c>
      <c r="CO10" s="106">
        <v>785.74062400711409</v>
      </c>
      <c r="CP10" s="106">
        <v>4.2545032478544025</v>
      </c>
      <c r="CQ10" s="106">
        <v>2317.8533694310781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0.23876836960364506</v>
      </c>
      <c r="O11" s="106">
        <v>127.21578732482207</v>
      </c>
      <c r="P11" s="106">
        <v>8.1052464208085803E-2</v>
      </c>
      <c r="Q11" s="106">
        <v>43.184752930068115</v>
      </c>
      <c r="R11" s="106">
        <v>5.7427543139845168E-2</v>
      </c>
      <c r="S11" s="106">
        <v>30.597394984909503</v>
      </c>
      <c r="T11" s="106">
        <v>3.044361242275374E-2</v>
      </c>
      <c r="U11" s="106">
        <v>16.22035669884319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4.7756239824193969</v>
      </c>
      <c r="AO11" s="106">
        <v>2544.4524578330543</v>
      </c>
      <c r="AP11" s="106">
        <v>3.3914175437147112</v>
      </c>
      <c r="AQ11" s="106">
        <v>1806.9472672911979</v>
      </c>
      <c r="AR11" s="106">
        <v>0.90621803639654797</v>
      </c>
      <c r="AS11" s="106">
        <v>482.83296979208069</v>
      </c>
      <c r="AT11" s="106">
        <v>5.2591818050811181</v>
      </c>
      <c r="AU11" s="106">
        <v>2802.0920657472193</v>
      </c>
      <c r="AV11" s="106">
        <v>2.0817159095561064</v>
      </c>
      <c r="AW11" s="106">
        <v>1109.1382366114933</v>
      </c>
      <c r="AX11" s="106">
        <v>3.5436390832217537</v>
      </c>
      <c r="AY11" s="106">
        <v>1888.0509035405503</v>
      </c>
      <c r="AZ11" s="106">
        <v>2.8106999039976426</v>
      </c>
      <c r="BA11" s="106">
        <v>1497.5409088499439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2.4409226994609532</v>
      </c>
      <c r="CA11" s="106">
        <v>1300.5236142727958</v>
      </c>
      <c r="CB11" s="106">
        <v>1.0796371463826899</v>
      </c>
      <c r="CC11" s="106">
        <v>575.23067159269715</v>
      </c>
      <c r="CD11" s="106">
        <v>0</v>
      </c>
      <c r="CE11" s="106">
        <v>0</v>
      </c>
      <c r="CF11" s="106">
        <v>1.6699844491237763</v>
      </c>
      <c r="CG11" s="106">
        <v>889.76771449314799</v>
      </c>
      <c r="CH11" s="106">
        <v>0</v>
      </c>
      <c r="CI11" s="106">
        <v>0</v>
      </c>
      <c r="CJ11" s="106">
        <v>0</v>
      </c>
      <c r="CK11" s="106">
        <v>0</v>
      </c>
      <c r="CL11" s="106">
        <v>2.0357873899273473</v>
      </c>
      <c r="CM11" s="106">
        <v>1084.6675213532906</v>
      </c>
      <c r="CN11" s="106">
        <v>1.4430712700035002</v>
      </c>
      <c r="CO11" s="106">
        <v>768.86837265786482</v>
      </c>
      <c r="CP11" s="106">
        <v>4.1052224321402129</v>
      </c>
      <c r="CQ11" s="106">
        <v>2187.2625118443052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0.26390372870279916</v>
      </c>
      <c r="O12" s="106">
        <v>148.52501851393535</v>
      </c>
      <c r="P12" s="106">
        <v>7.6556778685592575E-2</v>
      </c>
      <c r="Q12" s="106">
        <v>43.086155044251498</v>
      </c>
      <c r="R12" s="106">
        <v>6.7406169037515715E-2</v>
      </c>
      <c r="S12" s="106">
        <v>37.93619193431384</v>
      </c>
      <c r="T12" s="106">
        <v>3.3826236025281925E-2</v>
      </c>
      <c r="U12" s="106">
        <v>19.037405635028666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4.7756239824193969</v>
      </c>
      <c r="AO12" s="106">
        <v>2687.7211773056365</v>
      </c>
      <c r="AP12" s="106">
        <v>2.8696609985278325</v>
      </c>
      <c r="AQ12" s="106">
        <v>1615.0452099714639</v>
      </c>
      <c r="AR12" s="106">
        <v>0.96992433265739475</v>
      </c>
      <c r="AS12" s="106">
        <v>545.87341441958176</v>
      </c>
      <c r="AT12" s="106">
        <v>4.9085696847423765</v>
      </c>
      <c r="AU12" s="106">
        <v>2762.5430185730092</v>
      </c>
      <c r="AV12" s="106">
        <v>2.0767611314683831</v>
      </c>
      <c r="AW12" s="106">
        <v>1168.8011647904059</v>
      </c>
      <c r="AX12" s="106">
        <v>3.5496169439816532</v>
      </c>
      <c r="AY12" s="106">
        <v>1997.7244160728742</v>
      </c>
      <c r="AZ12" s="106">
        <v>3.2762833822518651</v>
      </c>
      <c r="BA12" s="106">
        <v>1843.8922875313494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1.9816727540644676</v>
      </c>
      <c r="CA12" s="106">
        <v>1115.2854259874823</v>
      </c>
      <c r="CB12" s="106">
        <v>1.0424082792660456</v>
      </c>
      <c r="CC12" s="106">
        <v>586.66737957093039</v>
      </c>
      <c r="CD12" s="106">
        <v>0</v>
      </c>
      <c r="CE12" s="106">
        <v>0</v>
      </c>
      <c r="CF12" s="106">
        <v>1.6699844491237763</v>
      </c>
      <c r="CG12" s="106">
        <v>939.86724796686121</v>
      </c>
      <c r="CH12" s="106">
        <v>0</v>
      </c>
      <c r="CI12" s="106">
        <v>0</v>
      </c>
      <c r="CJ12" s="106">
        <v>0</v>
      </c>
      <c r="CK12" s="106">
        <v>0</v>
      </c>
      <c r="CL12" s="106">
        <v>2.1002154605089323</v>
      </c>
      <c r="CM12" s="106">
        <v>1182.0012611744269</v>
      </c>
      <c r="CN12" s="106">
        <v>1.6358123087063503</v>
      </c>
      <c r="CO12" s="106">
        <v>920.6351673399339</v>
      </c>
      <c r="CP12" s="106">
        <v>3.4707789653549077</v>
      </c>
      <c r="CQ12" s="106">
        <v>1953.3544017017418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0.23880345328028221</v>
      </c>
      <c r="O13" s="106">
        <v>20.346054219480045</v>
      </c>
      <c r="P13" s="106">
        <v>7.2069225963299788E-2</v>
      </c>
      <c r="Q13" s="106">
        <v>6.1402980520731418</v>
      </c>
      <c r="R13" s="106">
        <v>6.2414333877268455E-2</v>
      </c>
      <c r="S13" s="106">
        <v>5.3177012463432725</v>
      </c>
      <c r="T13" s="106">
        <v>3.3826236025281925E-2</v>
      </c>
      <c r="U13" s="106">
        <v>2.88199530935402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5.2757265370641706</v>
      </c>
      <c r="AO13" s="106">
        <v>449.49190095786736</v>
      </c>
      <c r="AP13" s="106">
        <v>3.1305392711212714</v>
      </c>
      <c r="AQ13" s="106">
        <v>266.72194589953233</v>
      </c>
      <c r="AR13" s="106">
        <v>0.84007310935427792</v>
      </c>
      <c r="AS13" s="106">
        <v>71.574228916984481</v>
      </c>
      <c r="AT13" s="106">
        <v>5.2591818050811181</v>
      </c>
      <c r="AU13" s="106">
        <v>448.0822897929113</v>
      </c>
      <c r="AV13" s="106">
        <v>2.2247472995670021</v>
      </c>
      <c r="AW13" s="106">
        <v>189.5484699231086</v>
      </c>
      <c r="AX13" s="106">
        <v>3.2394236579358386</v>
      </c>
      <c r="AY13" s="106">
        <v>275.99889565613347</v>
      </c>
      <c r="AZ13" s="106">
        <v>3.2762833822518651</v>
      </c>
      <c r="BA13" s="106">
        <v>279.13934416785889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2.3105437970806868</v>
      </c>
      <c r="CA13" s="106">
        <v>196.85833151127451</v>
      </c>
      <c r="CB13" s="106">
        <v>1.0424082792660456</v>
      </c>
      <c r="CC13" s="106">
        <v>88.813185393467094</v>
      </c>
      <c r="CD13" s="106">
        <v>0</v>
      </c>
      <c r="CE13" s="106">
        <v>0</v>
      </c>
      <c r="CF13" s="106">
        <v>2.0039813389485315</v>
      </c>
      <c r="CG13" s="106">
        <v>170.73921007841489</v>
      </c>
      <c r="CH13" s="106">
        <v>0</v>
      </c>
      <c r="CI13" s="106">
        <v>0</v>
      </c>
      <c r="CJ13" s="106">
        <v>0</v>
      </c>
      <c r="CK13" s="106">
        <v>0</v>
      </c>
      <c r="CL13" s="106">
        <v>2.0393613028491928</v>
      </c>
      <c r="CM13" s="106">
        <v>173.75358300275124</v>
      </c>
      <c r="CN13" s="106">
        <v>1.6781298184393409</v>
      </c>
      <c r="CO13" s="106">
        <v>142.97666053103185</v>
      </c>
      <c r="CP13" s="106">
        <v>4.5530648792827817</v>
      </c>
      <c r="CQ13" s="106">
        <v>387.92112771489303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0.2262182318923866</v>
      </c>
      <c r="O14" s="106">
        <v>110.48498445624161</v>
      </c>
      <c r="P14" s="106">
        <v>7.204482756269838E-2</v>
      </c>
      <c r="Q14" s="106">
        <v>35.186693781621884</v>
      </c>
      <c r="R14" s="106">
        <v>6.2419378300092414E-2</v>
      </c>
      <c r="S14" s="106">
        <v>30.485624361765133</v>
      </c>
      <c r="T14" s="106">
        <v>3.3826236025281925E-2</v>
      </c>
      <c r="U14" s="106">
        <v>16.520733674747692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4.7756239824193969</v>
      </c>
      <c r="AO14" s="106">
        <v>2332.4147530136333</v>
      </c>
      <c r="AP14" s="106">
        <v>3.1305392711212714</v>
      </c>
      <c r="AQ14" s="106">
        <v>1528.9553800156289</v>
      </c>
      <c r="AR14" s="106">
        <v>0.90134077483370179</v>
      </c>
      <c r="AS14" s="106">
        <v>440.21483442877991</v>
      </c>
      <c r="AT14" s="106">
        <v>4.9085696847423765</v>
      </c>
      <c r="AU14" s="106">
        <v>2397.3454340281764</v>
      </c>
      <c r="AV14" s="106">
        <v>2.0817159095561064</v>
      </c>
      <c r="AW14" s="106">
        <v>1016.7100502272024</v>
      </c>
      <c r="AX14" s="106">
        <v>3.2334457971759383</v>
      </c>
      <c r="AY14" s="106">
        <v>1579.2149273407281</v>
      </c>
      <c r="AZ14" s="106">
        <v>3.2750422148157186</v>
      </c>
      <c r="BA14" s="106">
        <v>1599.5306177159969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2.3767078439593377</v>
      </c>
      <c r="CA14" s="106">
        <v>1160.7841109897404</v>
      </c>
      <c r="CB14" s="106">
        <v>1.1913237477326235</v>
      </c>
      <c r="CC14" s="106">
        <v>581.84251839261333</v>
      </c>
      <c r="CD14" s="106">
        <v>0</v>
      </c>
      <c r="CE14" s="106">
        <v>0</v>
      </c>
      <c r="CF14" s="106">
        <v>1.6699844491237763</v>
      </c>
      <c r="CG14" s="106">
        <v>815.62040495205235</v>
      </c>
      <c r="CH14" s="106">
        <v>0</v>
      </c>
      <c r="CI14" s="106">
        <v>0</v>
      </c>
      <c r="CJ14" s="106">
        <v>0</v>
      </c>
      <c r="CK14" s="106">
        <v>0</v>
      </c>
      <c r="CL14" s="106">
        <v>2.1633033137448257</v>
      </c>
      <c r="CM14" s="106">
        <v>1056.5573384329728</v>
      </c>
      <c r="CN14" s="106">
        <v>1.6565630203544233</v>
      </c>
      <c r="CO14" s="106">
        <v>809.06537914110027</v>
      </c>
      <c r="CP14" s="106">
        <v>3.6200597810690969</v>
      </c>
      <c r="CQ14" s="106">
        <v>1768.0371970741469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0.23876836960364506</v>
      </c>
      <c r="O15" s="106">
        <v>182.22801968150191</v>
      </c>
      <c r="P15" s="106">
        <v>7.2048893962798621E-2</v>
      </c>
      <c r="Q15" s="106">
        <v>54.987715872407904</v>
      </c>
      <c r="R15" s="106">
        <v>6.2416856088680438E-2</v>
      </c>
      <c r="S15" s="106">
        <v>47.636544566880907</v>
      </c>
      <c r="T15" s="106">
        <v>3.2134924224017827E-2</v>
      </c>
      <c r="U15" s="106">
        <v>24.525374167770405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5.2757265370641706</v>
      </c>
      <c r="AO15" s="106">
        <v>4026.4344930873744</v>
      </c>
      <c r="AP15" s="106">
        <v>2.8696609985278325</v>
      </c>
      <c r="AQ15" s="106">
        <v>2190.1252740764417</v>
      </c>
      <c r="AR15" s="106">
        <v>0.90621803639654797</v>
      </c>
      <c r="AS15" s="106">
        <v>691.62560537784532</v>
      </c>
      <c r="AT15" s="106">
        <v>4.9085696847423765</v>
      </c>
      <c r="AU15" s="106">
        <v>3746.2203833953813</v>
      </c>
      <c r="AV15" s="106">
        <v>2.0817159095561064</v>
      </c>
      <c r="AW15" s="106">
        <v>1588.7655821732203</v>
      </c>
      <c r="AX15" s="106">
        <v>2.9172746503702243</v>
      </c>
      <c r="AY15" s="106">
        <v>2226.4640131625551</v>
      </c>
      <c r="AZ15" s="106">
        <v>2.9953020466689684</v>
      </c>
      <c r="BA15" s="106">
        <v>2286.0145220177565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2.2424305588250006</v>
      </c>
      <c r="CA15" s="106">
        <v>1711.4230024952403</v>
      </c>
      <c r="CB15" s="106">
        <v>1.0796371463826899</v>
      </c>
      <c r="CC15" s="106">
        <v>823.97907011926884</v>
      </c>
      <c r="CD15" s="106">
        <v>0</v>
      </c>
      <c r="CE15" s="106">
        <v>0</v>
      </c>
      <c r="CF15" s="106">
        <v>1.6699844491237763</v>
      </c>
      <c r="CG15" s="106">
        <v>1274.5321315712661</v>
      </c>
      <c r="CH15" s="106">
        <v>0</v>
      </c>
      <c r="CI15" s="106">
        <v>0</v>
      </c>
      <c r="CJ15" s="106">
        <v>0</v>
      </c>
      <c r="CK15" s="106">
        <v>0</v>
      </c>
      <c r="CL15" s="106">
        <v>1.9726995366914541</v>
      </c>
      <c r="CM15" s="106">
        <v>1505.5642864029176</v>
      </c>
      <c r="CN15" s="106">
        <v>1.5921346549119526</v>
      </c>
      <c r="CO15" s="106">
        <v>1215.1171686288021</v>
      </c>
      <c r="CP15" s="106">
        <v>3.8439810046403817</v>
      </c>
      <c r="CQ15" s="106">
        <v>2933.7263027415393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0.22625331556902378</v>
      </c>
      <c r="O16" s="106">
        <v>77.107129945923305</v>
      </c>
      <c r="P16" s="106">
        <v>8.1052464208085803E-2</v>
      </c>
      <c r="Q16" s="106">
        <v>27.622679802115641</v>
      </c>
      <c r="R16" s="106">
        <v>5.7430065351257144E-2</v>
      </c>
      <c r="S16" s="106">
        <v>19.572166271708436</v>
      </c>
      <c r="T16" s="106">
        <v>3.3826236025281925E-2</v>
      </c>
      <c r="U16" s="106">
        <v>11.52798123741608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5.7954505910386906</v>
      </c>
      <c r="AO16" s="106">
        <v>1975.0895614259859</v>
      </c>
      <c r="AP16" s="106">
        <v>3.1305392711212714</v>
      </c>
      <c r="AQ16" s="106">
        <v>1066.8877835981293</v>
      </c>
      <c r="AR16" s="106">
        <v>0.84007310935427792</v>
      </c>
      <c r="AS16" s="106">
        <v>286.29691566793792</v>
      </c>
      <c r="AT16" s="106">
        <v>5.2591818050811181</v>
      </c>
      <c r="AU16" s="106">
        <v>1792.3291591716452</v>
      </c>
      <c r="AV16" s="106">
        <v>2.2197925214792789</v>
      </c>
      <c r="AW16" s="106">
        <v>756.50529132013821</v>
      </c>
      <c r="AX16" s="106">
        <v>3.2334457971759383</v>
      </c>
      <c r="AY16" s="106">
        <v>1101.9583276775597</v>
      </c>
      <c r="AZ16" s="106">
        <v>3.4176605982119885</v>
      </c>
      <c r="BA16" s="106">
        <v>1164.7387318706458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2.1153003087397932</v>
      </c>
      <c r="CA16" s="106">
        <v>720.89434521852161</v>
      </c>
      <c r="CB16" s="106">
        <v>1.0424082792660456</v>
      </c>
      <c r="CC16" s="106">
        <v>355.25274157386838</v>
      </c>
      <c r="CD16" s="106">
        <v>0</v>
      </c>
      <c r="CE16" s="106">
        <v>0</v>
      </c>
      <c r="CF16" s="106">
        <v>1.9085536561414584</v>
      </c>
      <c r="CG16" s="106">
        <v>650.43508601300903</v>
      </c>
      <c r="CH16" s="106">
        <v>0</v>
      </c>
      <c r="CI16" s="106">
        <v>0</v>
      </c>
      <c r="CJ16" s="106">
        <v>0</v>
      </c>
      <c r="CK16" s="106">
        <v>0</v>
      </c>
      <c r="CL16" s="106">
        <v>2.2272846452111801</v>
      </c>
      <c r="CM16" s="106">
        <v>759.05860708797024</v>
      </c>
      <c r="CN16" s="106">
        <v>1.7624928090930407</v>
      </c>
      <c r="CO16" s="106">
        <v>600.65754933890832</v>
      </c>
      <c r="CP16" s="106">
        <v>4.1425426360687609</v>
      </c>
      <c r="CQ16" s="106">
        <v>1411.7785303722337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0.25138867466817788</v>
      </c>
      <c r="O17" s="106">
        <v>106.18657617983833</v>
      </c>
      <c r="P17" s="106">
        <v>6.7553208440305379E-2</v>
      </c>
      <c r="Q17" s="106">
        <v>28.534475245184989</v>
      </c>
      <c r="R17" s="106">
        <v>6.7408691248927691E-2</v>
      </c>
      <c r="S17" s="106">
        <v>28.473431183547056</v>
      </c>
      <c r="T17" s="106">
        <v>2.8752300621489639E-2</v>
      </c>
      <c r="U17" s="106">
        <v>12.144971782517223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5.7954505910386906</v>
      </c>
      <c r="AO17" s="106">
        <v>2447.998329654743</v>
      </c>
      <c r="AP17" s="106">
        <v>3.1305392711212714</v>
      </c>
      <c r="AQ17" s="106">
        <v>1322.3397881216249</v>
      </c>
      <c r="AR17" s="106">
        <v>0.77148955153058485</v>
      </c>
      <c r="AS17" s="106">
        <v>325.87718656651901</v>
      </c>
      <c r="AT17" s="106">
        <v>5.9604060457586003</v>
      </c>
      <c r="AU17" s="106">
        <v>2517.6755137284326</v>
      </c>
      <c r="AV17" s="106">
        <v>2.2247472995670021</v>
      </c>
      <c r="AW17" s="106">
        <v>939.73325933710169</v>
      </c>
      <c r="AX17" s="106">
        <v>3.5555948047415527</v>
      </c>
      <c r="AY17" s="106">
        <v>1501.8832455228317</v>
      </c>
      <c r="AZ17" s="106">
        <v>3.1845142398174078</v>
      </c>
      <c r="BA17" s="106">
        <v>1345.1388148988731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2.375408383041314</v>
      </c>
      <c r="CA17" s="106">
        <v>1003.372500996651</v>
      </c>
      <c r="CB17" s="106">
        <v>1.0424082792660456</v>
      </c>
      <c r="CC17" s="106">
        <v>440.31325716197767</v>
      </c>
      <c r="CD17" s="106">
        <v>0</v>
      </c>
      <c r="CE17" s="106">
        <v>0</v>
      </c>
      <c r="CF17" s="106">
        <v>1.6699844491237763</v>
      </c>
      <c r="CG17" s="106">
        <v>705.40143130988304</v>
      </c>
      <c r="CH17" s="106">
        <v>0</v>
      </c>
      <c r="CI17" s="106">
        <v>0</v>
      </c>
      <c r="CJ17" s="106">
        <v>0</v>
      </c>
      <c r="CK17" s="106">
        <v>0</v>
      </c>
      <c r="CL17" s="106">
        <v>2.1646435310905177</v>
      </c>
      <c r="CM17" s="106">
        <v>914.34542753263463</v>
      </c>
      <c r="CN17" s="106">
        <v>1.6134294241845886</v>
      </c>
      <c r="CO17" s="106">
        <v>681.51258877557018</v>
      </c>
      <c r="CP17" s="106">
        <v>3.9186214124974756</v>
      </c>
      <c r="CQ17" s="106">
        <v>1655.2256846389337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0.25135359099154064</v>
      </c>
      <c r="O18" s="106">
        <v>164.08362419927772</v>
      </c>
      <c r="P18" s="106">
        <v>6.7553208440305379E-2</v>
      </c>
      <c r="Q18" s="106">
        <v>44.098734469831349</v>
      </c>
      <c r="R18" s="106">
        <v>5.7427543139845168E-2</v>
      </c>
      <c r="S18" s="106">
        <v>37.488700161690922</v>
      </c>
      <c r="T18" s="106">
        <v>3.3826236025281925E-2</v>
      </c>
      <c r="U18" s="106">
        <v>22.081766877304037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4.7461917334247792</v>
      </c>
      <c r="AO18" s="106">
        <v>3098.3139635796956</v>
      </c>
      <c r="AP18" s="106">
        <v>3.1305392711212714</v>
      </c>
      <c r="AQ18" s="106">
        <v>2043.6160361879658</v>
      </c>
      <c r="AR18" s="106">
        <v>0.89890214405227875</v>
      </c>
      <c r="AS18" s="106">
        <v>586.80331963732749</v>
      </c>
      <c r="AT18" s="106">
        <v>5.6097939254198588</v>
      </c>
      <c r="AU18" s="106">
        <v>3662.0734745140835</v>
      </c>
      <c r="AV18" s="106">
        <v>2.0718063533806603</v>
      </c>
      <c r="AW18" s="106">
        <v>1352.475187486895</v>
      </c>
      <c r="AX18" s="106">
        <v>3.2334457971759383</v>
      </c>
      <c r="AY18" s="106">
        <v>2110.7934163964524</v>
      </c>
      <c r="AZ18" s="106">
        <v>3.1830957627475263</v>
      </c>
      <c r="BA18" s="106">
        <v>2077.9249139215849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2.1808146251594325</v>
      </c>
      <c r="CA18" s="106">
        <v>1423.6357873040774</v>
      </c>
      <c r="CB18" s="106">
        <v>1.154094880615979</v>
      </c>
      <c r="CC18" s="106">
        <v>753.39313806611108</v>
      </c>
      <c r="CD18" s="106">
        <v>0</v>
      </c>
      <c r="CE18" s="106">
        <v>0</v>
      </c>
      <c r="CF18" s="106">
        <v>1.6699844491237763</v>
      </c>
      <c r="CG18" s="106">
        <v>1090.165848388001</v>
      </c>
      <c r="CH18" s="106">
        <v>0</v>
      </c>
      <c r="CI18" s="106">
        <v>0</v>
      </c>
      <c r="CJ18" s="106">
        <v>0</v>
      </c>
      <c r="CK18" s="106">
        <v>0</v>
      </c>
      <c r="CL18" s="106">
        <v>2.0988752431632403</v>
      </c>
      <c r="CM18" s="106">
        <v>1370.1457587369632</v>
      </c>
      <c r="CN18" s="106">
        <v>1.4438873564403443</v>
      </c>
      <c r="CO18" s="106">
        <v>942.56966628425664</v>
      </c>
      <c r="CP18" s="106">
        <v>3.6200597810690969</v>
      </c>
      <c r="CQ18" s="106">
        <v>2363.1750250819064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0.22627085740734237</v>
      </c>
      <c r="O19" s="106">
        <v>74.669382944422978</v>
      </c>
      <c r="P19" s="106">
        <v>7.6552712285492319E-2</v>
      </c>
      <c r="Q19" s="106">
        <v>25.262395054212465</v>
      </c>
      <c r="R19" s="106">
        <v>5.9927244037086748E-2</v>
      </c>
      <c r="S19" s="106">
        <v>19.775990532238627</v>
      </c>
      <c r="T19" s="106">
        <v>3.044361242275374E-2</v>
      </c>
      <c r="U19" s="106">
        <v>10.046392099508735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4.7756239824193969</v>
      </c>
      <c r="AO19" s="106">
        <v>1575.9559141984009</v>
      </c>
      <c r="AP19" s="106">
        <v>3.1305392711212714</v>
      </c>
      <c r="AQ19" s="106">
        <v>1033.0779594700196</v>
      </c>
      <c r="AR19" s="106">
        <v>0.77636681309343092</v>
      </c>
      <c r="AS19" s="106">
        <v>256.20104832083223</v>
      </c>
      <c r="AT19" s="106">
        <v>5.9604060457586003</v>
      </c>
      <c r="AU19" s="106">
        <v>1966.9339951003381</v>
      </c>
      <c r="AV19" s="106">
        <v>2.0817159095561064</v>
      </c>
      <c r="AW19" s="106">
        <v>686.96625015351515</v>
      </c>
      <c r="AX19" s="106">
        <v>3.2334457971759383</v>
      </c>
      <c r="AY19" s="106">
        <v>1067.0371130680596</v>
      </c>
      <c r="AZ19" s="106">
        <v>3.1829184531137908</v>
      </c>
      <c r="BA19" s="106">
        <v>1050.363089527551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2.4428718908379889</v>
      </c>
      <c r="CA19" s="106">
        <v>806.14772397653633</v>
      </c>
      <c r="CB19" s="106">
        <v>1.228552614849268</v>
      </c>
      <c r="CC19" s="106">
        <v>405.42236290025846</v>
      </c>
      <c r="CD19" s="106">
        <v>0</v>
      </c>
      <c r="CE19" s="106">
        <v>0</v>
      </c>
      <c r="CF19" s="106">
        <v>1.7176982905273126</v>
      </c>
      <c r="CG19" s="106">
        <v>566.84043587401311</v>
      </c>
      <c r="CH19" s="106">
        <v>0</v>
      </c>
      <c r="CI19" s="106">
        <v>0</v>
      </c>
      <c r="CJ19" s="106">
        <v>0</v>
      </c>
      <c r="CK19" s="106">
        <v>0</v>
      </c>
      <c r="CL19" s="106">
        <v>1.9767201887285306</v>
      </c>
      <c r="CM19" s="106">
        <v>652.31766228041511</v>
      </c>
      <c r="CN19" s="106">
        <v>1.4649100969006992</v>
      </c>
      <c r="CO19" s="106">
        <v>483.42033197723072</v>
      </c>
      <c r="CP19" s="106">
        <v>3.6947001889261917</v>
      </c>
      <c r="CQ19" s="106">
        <v>1219.2510623456433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1.3205536119747918</v>
      </c>
      <c r="O20" s="106">
        <v>378.73477591437029</v>
      </c>
      <c r="P20" s="106">
        <v>0.49962698661168448</v>
      </c>
      <c r="Q20" s="106">
        <v>143.29301976023112</v>
      </c>
      <c r="R20" s="106">
        <v>0.35463468434757267</v>
      </c>
      <c r="S20" s="106">
        <v>101.70922747088385</v>
      </c>
      <c r="T20" s="106">
        <v>0.21479659876054025</v>
      </c>
      <c r="U20" s="106">
        <v>61.603664524522948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9.9630537724997161</v>
      </c>
      <c r="AO20" s="106">
        <v>2857.4038219529189</v>
      </c>
      <c r="AP20" s="106">
        <v>8.6089829955834976</v>
      </c>
      <c r="AQ20" s="106">
        <v>2469.0563231333472</v>
      </c>
      <c r="AR20" s="106">
        <v>2.2778891928704086</v>
      </c>
      <c r="AS20" s="106">
        <v>653.29862051523321</v>
      </c>
      <c r="AT20" s="106">
        <v>12.622036332194684</v>
      </c>
      <c r="AU20" s="106">
        <v>3620.0000200734353</v>
      </c>
      <c r="AV20" s="106">
        <v>3.8971881514413158</v>
      </c>
      <c r="AW20" s="106">
        <v>1117.7135618333693</v>
      </c>
      <c r="AX20" s="106">
        <v>12.241662287493332</v>
      </c>
      <c r="AY20" s="106">
        <v>3510.908744053088</v>
      </c>
      <c r="AZ20" s="106">
        <v>8.8866899929555707</v>
      </c>
      <c r="BA20" s="106">
        <v>2548.7026899796579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3.2420382970538939</v>
      </c>
      <c r="CA20" s="106">
        <v>929.81658359505684</v>
      </c>
      <c r="CB20" s="106">
        <v>1.3030103490825569</v>
      </c>
      <c r="CC20" s="106">
        <v>373.7033681168773</v>
      </c>
      <c r="CD20" s="106">
        <v>0</v>
      </c>
      <c r="CE20" s="106">
        <v>0</v>
      </c>
      <c r="CF20" s="106">
        <v>2.4811197529838962</v>
      </c>
      <c r="CG20" s="106">
        <v>711.58514515578145</v>
      </c>
      <c r="CH20" s="106">
        <v>0</v>
      </c>
      <c r="CI20" s="106">
        <v>0</v>
      </c>
      <c r="CJ20" s="106">
        <v>0</v>
      </c>
      <c r="CK20" s="106">
        <v>0</v>
      </c>
      <c r="CL20" s="106">
        <v>2.6080454602026921</v>
      </c>
      <c r="CM20" s="106">
        <v>747.98743798613214</v>
      </c>
      <c r="CN20" s="106">
        <v>0.75783024990720693</v>
      </c>
      <c r="CO20" s="106">
        <v>217.34571567338696</v>
      </c>
      <c r="CP20" s="106">
        <v>1.2688869335706114</v>
      </c>
      <c r="CQ20" s="106">
        <v>363.91677254805137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1.4335925605677107</v>
      </c>
      <c r="O21" s="106">
        <v>89.456175779425138</v>
      </c>
      <c r="P21" s="106">
        <v>0.45924714491124996</v>
      </c>
      <c r="Q21" s="106">
        <v>28.657021842461997</v>
      </c>
      <c r="R21" s="106">
        <v>0.33466734370658374</v>
      </c>
      <c r="S21" s="106">
        <v>20.883242247290823</v>
      </c>
      <c r="T21" s="106">
        <v>0.23340102857444531</v>
      </c>
      <c r="U21" s="106">
        <v>14.564224183045386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10.482777826474235</v>
      </c>
      <c r="AO21" s="106">
        <v>654.12533637199226</v>
      </c>
      <c r="AP21" s="106">
        <v>8.6089829955834976</v>
      </c>
      <c r="AQ21" s="106">
        <v>537.20053892441024</v>
      </c>
      <c r="AR21" s="106">
        <v>2.3391568583498326</v>
      </c>
      <c r="AS21" s="106">
        <v>145.96338796102955</v>
      </c>
      <c r="AT21" s="106">
        <v>13.673872693210905</v>
      </c>
      <c r="AU21" s="106">
        <v>853.24965605636044</v>
      </c>
      <c r="AV21" s="106">
        <v>4.4940876019235132</v>
      </c>
      <c r="AW21" s="106">
        <v>280.43106636002722</v>
      </c>
      <c r="AX21" s="106">
        <v>11.919513279927717</v>
      </c>
      <c r="AY21" s="106">
        <v>743.77762866748947</v>
      </c>
      <c r="AZ21" s="106">
        <v>8.8393869446684601</v>
      </c>
      <c r="BA21" s="106">
        <v>551.57774534731186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3.6364236564897516</v>
      </c>
      <c r="CA21" s="106">
        <v>226.91283616496051</v>
      </c>
      <c r="CB21" s="106">
        <v>1.3030103490825569</v>
      </c>
      <c r="CC21" s="106">
        <v>81.307845782751542</v>
      </c>
      <c r="CD21" s="106">
        <v>0</v>
      </c>
      <c r="CE21" s="106">
        <v>0</v>
      </c>
      <c r="CF21" s="106">
        <v>2.3856920701768232</v>
      </c>
      <c r="CG21" s="106">
        <v>148.86718517903375</v>
      </c>
      <c r="CH21" s="106">
        <v>0</v>
      </c>
      <c r="CI21" s="106">
        <v>0</v>
      </c>
      <c r="CJ21" s="106">
        <v>0</v>
      </c>
      <c r="CK21" s="106">
        <v>0</v>
      </c>
      <c r="CL21" s="106">
        <v>2.8586099166853418</v>
      </c>
      <c r="CM21" s="106">
        <v>178.37725880116531</v>
      </c>
      <c r="CN21" s="106">
        <v>0.75783024990720693</v>
      </c>
      <c r="CO21" s="106">
        <v>47.288607594209708</v>
      </c>
      <c r="CP21" s="106">
        <v>1.4181677492848008</v>
      </c>
      <c r="CQ21" s="106">
        <v>88.493667555371573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1.3578531883421956</v>
      </c>
      <c r="O22" s="106">
        <v>254.19011685765901</v>
      </c>
      <c r="P22" s="106">
        <v>0.45928374251215209</v>
      </c>
      <c r="Q22" s="106">
        <v>85.977916598274874</v>
      </c>
      <c r="R22" s="106">
        <v>0.36458556591971147</v>
      </c>
      <c r="S22" s="106">
        <v>68.250417940169982</v>
      </c>
      <c r="T22" s="106">
        <v>0.24354889938202992</v>
      </c>
      <c r="U22" s="106">
        <v>45.592353964315997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10.472967076809361</v>
      </c>
      <c r="AO22" s="106">
        <v>1960.5394367787123</v>
      </c>
      <c r="AP22" s="106">
        <v>8.8698612681769369</v>
      </c>
      <c r="AQ22" s="106">
        <v>1660.4380294027226</v>
      </c>
      <c r="AR22" s="106">
        <v>2.4077404161735254</v>
      </c>
      <c r="AS22" s="106">
        <v>450.72900590768393</v>
      </c>
      <c r="AT22" s="106">
        <v>12.972648452533424</v>
      </c>
      <c r="AU22" s="106">
        <v>2428.4797903142567</v>
      </c>
      <c r="AV22" s="106">
        <v>3.7739758737813132</v>
      </c>
      <c r="AW22" s="106">
        <v>706.48828357186176</v>
      </c>
      <c r="AX22" s="106">
        <v>12.229706565973531</v>
      </c>
      <c r="AY22" s="106">
        <v>2289.4010691502449</v>
      </c>
      <c r="AZ22" s="106">
        <v>9.9567518305518448</v>
      </c>
      <c r="BA22" s="106">
        <v>1863.9039426793051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3.3717674689751487</v>
      </c>
      <c r="CA22" s="106">
        <v>631.19487019214785</v>
      </c>
      <c r="CB22" s="106">
        <v>1.3774680833158459</v>
      </c>
      <c r="CC22" s="106">
        <v>257.86202519672634</v>
      </c>
      <c r="CD22" s="106">
        <v>0</v>
      </c>
      <c r="CE22" s="106">
        <v>0</v>
      </c>
      <c r="CF22" s="106">
        <v>2.7196889600015788</v>
      </c>
      <c r="CG22" s="106">
        <v>509.12577331229551</v>
      </c>
      <c r="CH22" s="106">
        <v>0</v>
      </c>
      <c r="CI22" s="106">
        <v>0</v>
      </c>
      <c r="CJ22" s="106">
        <v>0</v>
      </c>
      <c r="CK22" s="106">
        <v>0</v>
      </c>
      <c r="CL22" s="106">
        <v>2.670239835208124</v>
      </c>
      <c r="CM22" s="106">
        <v>499.86889715096078</v>
      </c>
      <c r="CN22" s="106">
        <v>0.80041978845247896</v>
      </c>
      <c r="CO22" s="106">
        <v>149.83858439830405</v>
      </c>
      <c r="CP22" s="106">
        <v>1.2688869335706114</v>
      </c>
      <c r="CQ22" s="106">
        <v>237.53563396441845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1.3456889710739459</v>
      </c>
      <c r="O23" s="106">
        <v>395.63255749574012</v>
      </c>
      <c r="P23" s="106">
        <v>0.45475552578885697</v>
      </c>
      <c r="Q23" s="106">
        <v>133.69812458192396</v>
      </c>
      <c r="R23" s="106">
        <v>0.30223933175056644</v>
      </c>
      <c r="S23" s="106">
        <v>88.858363534666537</v>
      </c>
      <c r="T23" s="106">
        <v>0.22156184596559664</v>
      </c>
      <c r="U23" s="106">
        <v>65.139182713885418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9.9630537724997161</v>
      </c>
      <c r="AO23" s="106">
        <v>2929.1378091149168</v>
      </c>
      <c r="AP23" s="106">
        <v>8.0872264503966189</v>
      </c>
      <c r="AQ23" s="106">
        <v>2377.644576416606</v>
      </c>
      <c r="AR23" s="106">
        <v>2.4077404161735254</v>
      </c>
      <c r="AS23" s="106">
        <v>707.87568235501647</v>
      </c>
      <c r="AT23" s="106">
        <v>13.673872693210905</v>
      </c>
      <c r="AU23" s="106">
        <v>4020.118571804006</v>
      </c>
      <c r="AV23" s="106">
        <v>4.203070043813999</v>
      </c>
      <c r="AW23" s="106">
        <v>1235.7025928813157</v>
      </c>
      <c r="AX23" s="106">
        <v>11.931469001447516</v>
      </c>
      <c r="AY23" s="106">
        <v>3507.8518864255698</v>
      </c>
      <c r="AZ23" s="106">
        <v>8.2758284867990497</v>
      </c>
      <c r="BA23" s="106">
        <v>2433.0935751189204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3.5683104182340659</v>
      </c>
      <c r="CA23" s="106">
        <v>1049.0832629608153</v>
      </c>
      <c r="CB23" s="106">
        <v>1.3774680833158459</v>
      </c>
      <c r="CC23" s="106">
        <v>404.97561649485868</v>
      </c>
      <c r="CD23" s="106">
        <v>0</v>
      </c>
      <c r="CE23" s="106">
        <v>0</v>
      </c>
      <c r="CF23" s="106">
        <v>2.5765474357909692</v>
      </c>
      <c r="CG23" s="106">
        <v>757.50494612254499</v>
      </c>
      <c r="CH23" s="106">
        <v>0</v>
      </c>
      <c r="CI23" s="106">
        <v>0</v>
      </c>
      <c r="CJ23" s="106">
        <v>0</v>
      </c>
      <c r="CK23" s="106">
        <v>0</v>
      </c>
      <c r="CL23" s="106">
        <v>2.7328809493287869</v>
      </c>
      <c r="CM23" s="106">
        <v>803.46699910266329</v>
      </c>
      <c r="CN23" s="106">
        <v>0.82035441366370787</v>
      </c>
      <c r="CO23" s="106">
        <v>241.18419761713011</v>
      </c>
      <c r="CP23" s="106">
        <v>1.3808475453562534</v>
      </c>
      <c r="CQ23" s="106">
        <v>405.9691783347385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1.2325447714511155</v>
      </c>
      <c r="O24" s="106">
        <v>452.59044007684963</v>
      </c>
      <c r="P24" s="106">
        <v>0.40972547536212034</v>
      </c>
      <c r="Q24" s="106">
        <v>150.45119455297058</v>
      </c>
      <c r="R24" s="106">
        <v>0.29724245216749517</v>
      </c>
      <c r="S24" s="106">
        <v>109.14742843590423</v>
      </c>
      <c r="T24" s="106">
        <v>0.21479659876054025</v>
      </c>
      <c r="U24" s="106">
        <v>78.873311064870379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9.4040867198657061</v>
      </c>
      <c r="AO24" s="106">
        <v>3453.1806435346871</v>
      </c>
      <c r="AP24" s="106">
        <v>8.0872264503966189</v>
      </c>
      <c r="AQ24" s="106">
        <v>2969.6295525856385</v>
      </c>
      <c r="AR24" s="106">
        <v>2.3415954891312554</v>
      </c>
      <c r="AS24" s="106">
        <v>859.83386360899692</v>
      </c>
      <c r="AT24" s="106">
        <v>12.622036332194684</v>
      </c>
      <c r="AU24" s="106">
        <v>4634.8117411818876</v>
      </c>
      <c r="AV24" s="106">
        <v>4.1882057095508296</v>
      </c>
      <c r="AW24" s="106">
        <v>1537.9091365470647</v>
      </c>
      <c r="AX24" s="106">
        <v>12.850093138065162</v>
      </c>
      <c r="AY24" s="106">
        <v>4718.5542002975271</v>
      </c>
      <c r="AZ24" s="106">
        <v>8.2324262504541146</v>
      </c>
      <c r="BA24" s="106">
        <v>3022.9469191667508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3.4405304376898465</v>
      </c>
      <c r="CA24" s="106">
        <v>1263.3627767197115</v>
      </c>
      <c r="CB24" s="106">
        <v>1.1913237477326235</v>
      </c>
      <c r="CC24" s="106">
        <v>437.45408016741936</v>
      </c>
      <c r="CD24" s="106">
        <v>0</v>
      </c>
      <c r="CE24" s="106">
        <v>0</v>
      </c>
      <c r="CF24" s="106">
        <v>2.4334059115803597</v>
      </c>
      <c r="CG24" s="106">
        <v>893.54665073230808</v>
      </c>
      <c r="CH24" s="106">
        <v>0</v>
      </c>
      <c r="CI24" s="106">
        <v>0</v>
      </c>
      <c r="CJ24" s="106">
        <v>0</v>
      </c>
      <c r="CK24" s="106">
        <v>0</v>
      </c>
      <c r="CL24" s="106">
        <v>2.7982024981408333</v>
      </c>
      <c r="CM24" s="106">
        <v>1027.4999573173141</v>
      </c>
      <c r="CN24" s="106">
        <v>0.71524071136193479</v>
      </c>
      <c r="CO24" s="106">
        <v>262.63638921210247</v>
      </c>
      <c r="CP24" s="106">
        <v>1.3435273414277062</v>
      </c>
      <c r="CQ24" s="106">
        <v>493.3432397722537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1.3330160404944573</v>
      </c>
      <c r="O25" s="106">
        <v>707.03170787826014</v>
      </c>
      <c r="P25" s="106">
        <v>0.45912515290824296</v>
      </c>
      <c r="Q25" s="106">
        <v>243.51998110253206</v>
      </c>
      <c r="R25" s="106">
        <v>0.32968559739198433</v>
      </c>
      <c r="S25" s="106">
        <v>174.86524085670848</v>
      </c>
      <c r="T25" s="106">
        <v>0.20803135155548386</v>
      </c>
      <c r="U25" s="106">
        <v>110.33982886502864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11.453550686769164</v>
      </c>
      <c r="AO25" s="106">
        <v>6074.9632842623641</v>
      </c>
      <c r="AP25" s="106">
        <v>8.3481047229900582</v>
      </c>
      <c r="AQ25" s="106">
        <v>4427.8347450739266</v>
      </c>
      <c r="AR25" s="106">
        <v>2.2117442658281385</v>
      </c>
      <c r="AS25" s="106">
        <v>1173.1091585952447</v>
      </c>
      <c r="AT25" s="106">
        <v>13.323260572872165</v>
      </c>
      <c r="AU25" s="106">
        <v>7066.6574078513959</v>
      </c>
      <c r="AV25" s="106">
        <v>3.7492019833426973</v>
      </c>
      <c r="AW25" s="106">
        <v>1988.5767319649665</v>
      </c>
      <c r="AX25" s="106">
        <v>13.196153588670374</v>
      </c>
      <c r="AY25" s="106">
        <v>6999.2398634307656</v>
      </c>
      <c r="AZ25" s="106">
        <v>8.042504818770734</v>
      </c>
      <c r="BA25" s="106">
        <v>4265.7445558759973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3.0461450782539887</v>
      </c>
      <c r="CA25" s="106">
        <v>1615.6753495059156</v>
      </c>
      <c r="CB25" s="106">
        <v>1.154094880615979</v>
      </c>
      <c r="CC25" s="106">
        <v>612.13192467871522</v>
      </c>
      <c r="CD25" s="106">
        <v>0</v>
      </c>
      <c r="CE25" s="106">
        <v>0</v>
      </c>
      <c r="CF25" s="106">
        <v>2.4811197529838962</v>
      </c>
      <c r="CG25" s="106">
        <v>1315.9859169826584</v>
      </c>
      <c r="CH25" s="106">
        <v>0</v>
      </c>
      <c r="CI25" s="106">
        <v>0</v>
      </c>
      <c r="CJ25" s="106">
        <v>0</v>
      </c>
      <c r="CK25" s="106">
        <v>0</v>
      </c>
      <c r="CL25" s="106">
        <v>2.6711333134385851</v>
      </c>
      <c r="CM25" s="106">
        <v>1416.7691094478255</v>
      </c>
      <c r="CN25" s="106">
        <v>0.69394594208929872</v>
      </c>
      <c r="CO25" s="106">
        <v>368.06892768416401</v>
      </c>
      <c r="CP25" s="106">
        <v>1.4554879532133485</v>
      </c>
      <c r="CQ25" s="106">
        <v>771.99081038435997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1.3330511241710945</v>
      </c>
      <c r="O26" s="106">
        <v>647.86284634715196</v>
      </c>
      <c r="P26" s="106">
        <v>0.42316780152849748</v>
      </c>
      <c r="Q26" s="106">
        <v>205.65955154284978</v>
      </c>
      <c r="R26" s="106">
        <v>0.29973206421908888</v>
      </c>
      <c r="S26" s="106">
        <v>145.66978321047719</v>
      </c>
      <c r="T26" s="106">
        <v>0.20295741615169158</v>
      </c>
      <c r="U26" s="106">
        <v>98.637304249722106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10.443534827814746</v>
      </c>
      <c r="AO26" s="106">
        <v>5075.557926317967</v>
      </c>
      <c r="AP26" s="106">
        <v>8.6089829955834976</v>
      </c>
      <c r="AQ26" s="106">
        <v>4183.9657358535796</v>
      </c>
      <c r="AR26" s="106">
        <v>2.4004245238292561</v>
      </c>
      <c r="AS26" s="106">
        <v>1166.6063185810185</v>
      </c>
      <c r="AT26" s="106">
        <v>13.323260572872165</v>
      </c>
      <c r="AU26" s="106">
        <v>6475.1046384158726</v>
      </c>
      <c r="AV26" s="106">
        <v>4.0303099852767641</v>
      </c>
      <c r="AW26" s="106">
        <v>1958.7306528445074</v>
      </c>
      <c r="AX26" s="106">
        <v>12.217750844453734</v>
      </c>
      <c r="AY26" s="106">
        <v>5937.8269104045148</v>
      </c>
      <c r="AZ26" s="106">
        <v>9.0707602067256889</v>
      </c>
      <c r="BA26" s="106">
        <v>4408.3894604686848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3.4405304376898465</v>
      </c>
      <c r="CA26" s="106">
        <v>1672.0977927172653</v>
      </c>
      <c r="CB26" s="106">
        <v>1.228552614849268</v>
      </c>
      <c r="CC26" s="106">
        <v>597.07657081674427</v>
      </c>
      <c r="CD26" s="106">
        <v>0</v>
      </c>
      <c r="CE26" s="106">
        <v>0</v>
      </c>
      <c r="CF26" s="106">
        <v>2.3379782287732871</v>
      </c>
      <c r="CG26" s="106">
        <v>1136.2574191838175</v>
      </c>
      <c r="CH26" s="106">
        <v>0</v>
      </c>
      <c r="CI26" s="106">
        <v>0</v>
      </c>
      <c r="CJ26" s="106">
        <v>0</v>
      </c>
      <c r="CK26" s="106">
        <v>0</v>
      </c>
      <c r="CL26" s="106">
        <v>2.3548005690286584</v>
      </c>
      <c r="CM26" s="106">
        <v>1144.4330765479281</v>
      </c>
      <c r="CN26" s="106">
        <v>0.71578476898649757</v>
      </c>
      <c r="CO26" s="106">
        <v>347.8713977274378</v>
      </c>
      <c r="CP26" s="106">
        <v>1.4181677492848008</v>
      </c>
      <c r="CQ26" s="106">
        <v>689.2295261524132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1.2825523620746448</v>
      </c>
      <c r="O27" s="106">
        <v>547.90636907828821</v>
      </c>
      <c r="P27" s="106">
        <v>0.46817751995473289</v>
      </c>
      <c r="Q27" s="106">
        <v>200.00543652466189</v>
      </c>
      <c r="R27" s="106">
        <v>0.3022695982875101</v>
      </c>
      <c r="S27" s="106">
        <v>129.12957238842432</v>
      </c>
      <c r="T27" s="106">
        <v>0.23001840497191711</v>
      </c>
      <c r="U27" s="106">
        <v>98.263862604002981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10.472967076809361</v>
      </c>
      <c r="AO27" s="106">
        <v>4474.0515352129587</v>
      </c>
      <c r="AP27" s="106">
        <v>8.3481047229900582</v>
      </c>
      <c r="AQ27" s="106">
        <v>3566.3103376613526</v>
      </c>
      <c r="AR27" s="106">
        <v>2.2803278236518318</v>
      </c>
      <c r="AS27" s="106">
        <v>974.15604626406252</v>
      </c>
      <c r="AT27" s="106">
        <v>12.27142421185594</v>
      </c>
      <c r="AU27" s="106">
        <v>5242.3524233048574</v>
      </c>
      <c r="AV27" s="106">
        <v>3.9219620418799312</v>
      </c>
      <c r="AW27" s="106">
        <v>1675.4621842911065</v>
      </c>
      <c r="AX27" s="106">
        <v>11.281193125556387</v>
      </c>
      <c r="AY27" s="106">
        <v>4819.3257032376887</v>
      </c>
      <c r="AZ27" s="106">
        <v>8.6475151070139926</v>
      </c>
      <c r="BA27" s="106">
        <v>3694.2184537163776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3.0467948087130003</v>
      </c>
      <c r="CA27" s="106">
        <v>1301.5907422821938</v>
      </c>
      <c r="CB27" s="106">
        <v>1.2657814819659123</v>
      </c>
      <c r="CC27" s="106">
        <v>540.74184909583778</v>
      </c>
      <c r="CD27" s="106">
        <v>0</v>
      </c>
      <c r="CE27" s="106">
        <v>0</v>
      </c>
      <c r="CF27" s="106">
        <v>2.4811197529838962</v>
      </c>
      <c r="CG27" s="106">
        <v>1059.9343584747205</v>
      </c>
      <c r="CH27" s="106">
        <v>0</v>
      </c>
      <c r="CI27" s="106">
        <v>0</v>
      </c>
      <c r="CJ27" s="106">
        <v>0</v>
      </c>
      <c r="CK27" s="106">
        <v>0</v>
      </c>
      <c r="CL27" s="106">
        <v>2.5422771722754147</v>
      </c>
      <c r="CM27" s="106">
        <v>1086.0608079960571</v>
      </c>
      <c r="CN27" s="106">
        <v>0.73571939419772647</v>
      </c>
      <c r="CO27" s="106">
        <v>314.29932520126874</v>
      </c>
      <c r="CP27" s="106">
        <v>1.3435273414277062</v>
      </c>
      <c r="CQ27" s="106">
        <v>573.9548802579161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1.257364377460535</v>
      </c>
      <c r="O28" s="106">
        <v>927.93491056587482</v>
      </c>
      <c r="P28" s="106">
        <v>0.39618148919323737</v>
      </c>
      <c r="Q28" s="106">
        <v>292.38193902460915</v>
      </c>
      <c r="R28" s="106">
        <v>0.31965904947748625</v>
      </c>
      <c r="S28" s="106">
        <v>235.90837851438485</v>
      </c>
      <c r="T28" s="106">
        <v>0.20295741615169158</v>
      </c>
      <c r="U28" s="106">
        <v>149.78257311994838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10.933826632794647</v>
      </c>
      <c r="AO28" s="106">
        <v>8069.1640550024495</v>
      </c>
      <c r="AP28" s="106">
        <v>8.3481047229900582</v>
      </c>
      <c r="AQ28" s="106">
        <v>6160.9012855666633</v>
      </c>
      <c r="AR28" s="106">
        <v>2.3391568583498326</v>
      </c>
      <c r="AS28" s="106">
        <v>1726.2977614621764</v>
      </c>
      <c r="AT28" s="106">
        <v>14.024484813549648</v>
      </c>
      <c r="AU28" s="106">
        <v>10350.069792399641</v>
      </c>
      <c r="AV28" s="106">
        <v>3.9070977076167619</v>
      </c>
      <c r="AW28" s="106">
        <v>2883.4381082211703</v>
      </c>
      <c r="AX28" s="106">
        <v>12.211772983693836</v>
      </c>
      <c r="AY28" s="106">
        <v>9012.2884619660508</v>
      </c>
      <c r="AZ28" s="106">
        <v>8.8340676556564048</v>
      </c>
      <c r="BA28" s="106">
        <v>6519.5419298744264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3.3049536916374858</v>
      </c>
      <c r="CA28" s="106">
        <v>2439.0558244284643</v>
      </c>
      <c r="CB28" s="106">
        <v>1.1913237477326235</v>
      </c>
      <c r="CC28" s="106">
        <v>879.19692582667619</v>
      </c>
      <c r="CD28" s="106">
        <v>0</v>
      </c>
      <c r="CE28" s="106">
        <v>0</v>
      </c>
      <c r="CF28" s="106">
        <v>2.3379782287732871</v>
      </c>
      <c r="CG28" s="106">
        <v>1725.4279328346859</v>
      </c>
      <c r="CH28" s="106">
        <v>0</v>
      </c>
      <c r="CI28" s="106">
        <v>0</v>
      </c>
      <c r="CJ28" s="106">
        <v>0</v>
      </c>
      <c r="CK28" s="106">
        <v>0</v>
      </c>
      <c r="CL28" s="106">
        <v>2.292159454907996</v>
      </c>
      <c r="CM28" s="106">
        <v>1691.6136777221011</v>
      </c>
      <c r="CN28" s="106">
        <v>0.73626345182228947</v>
      </c>
      <c r="CO28" s="106">
        <v>543.36242744484969</v>
      </c>
      <c r="CP28" s="106">
        <v>1.2315667296420638</v>
      </c>
      <c r="CQ28" s="106">
        <v>908.8962464758431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1.2826225294279192</v>
      </c>
      <c r="O29" s="106">
        <v>434.03946395840785</v>
      </c>
      <c r="P29" s="106">
        <v>0.46825478155663736</v>
      </c>
      <c r="Q29" s="106">
        <v>158.45741807876607</v>
      </c>
      <c r="R29" s="106">
        <v>0.34213617986136474</v>
      </c>
      <c r="S29" s="106">
        <v>115.77888326508582</v>
      </c>
      <c r="T29" s="106">
        <v>0.21817922236306844</v>
      </c>
      <c r="U29" s="106">
        <v>73.831848847662357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11.453550686769164</v>
      </c>
      <c r="AO29" s="106">
        <v>3875.881552402685</v>
      </c>
      <c r="AP29" s="106">
        <v>8.6089829955834976</v>
      </c>
      <c r="AQ29" s="106">
        <v>2913.2798457054555</v>
      </c>
      <c r="AR29" s="106">
        <v>2.2117442658281385</v>
      </c>
      <c r="AS29" s="106">
        <v>748.45425955624205</v>
      </c>
      <c r="AT29" s="106">
        <v>12.972648452533424</v>
      </c>
      <c r="AU29" s="106">
        <v>4389.94423633731</v>
      </c>
      <c r="AV29" s="106">
        <v>4.0451743195399343</v>
      </c>
      <c r="AW29" s="106">
        <v>1368.8869897323136</v>
      </c>
      <c r="AX29" s="106">
        <v>12.217750844453734</v>
      </c>
      <c r="AY29" s="106">
        <v>4134.4868857631436</v>
      </c>
      <c r="AZ29" s="106">
        <v>9.7710858300781087</v>
      </c>
      <c r="BA29" s="106">
        <v>3306.5354448984317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3.2413885665948823</v>
      </c>
      <c r="CA29" s="106">
        <v>1096.8858909357082</v>
      </c>
      <c r="CB29" s="106">
        <v>1.2657814819659123</v>
      </c>
      <c r="CC29" s="106">
        <v>428.34045349726472</v>
      </c>
      <c r="CD29" s="106">
        <v>0</v>
      </c>
      <c r="CE29" s="106">
        <v>0</v>
      </c>
      <c r="CF29" s="106">
        <v>2.3856920701768232</v>
      </c>
      <c r="CG29" s="106">
        <v>807.31819654783692</v>
      </c>
      <c r="CH29" s="106">
        <v>0</v>
      </c>
      <c r="CI29" s="106">
        <v>0</v>
      </c>
      <c r="CJ29" s="106">
        <v>0</v>
      </c>
      <c r="CK29" s="106">
        <v>0</v>
      </c>
      <c r="CL29" s="106">
        <v>2.5458510851972611</v>
      </c>
      <c r="CM29" s="106">
        <v>861.51600723075308</v>
      </c>
      <c r="CN29" s="106">
        <v>0.71415259611280912</v>
      </c>
      <c r="CO29" s="106">
        <v>241.66923852457458</v>
      </c>
      <c r="CP29" s="106">
        <v>1.2688869335706114</v>
      </c>
      <c r="CQ29" s="106">
        <v>429.39133832029489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1.270265351938165</v>
      </c>
      <c r="O30" s="106">
        <v>176.82093698979256</v>
      </c>
      <c r="P30" s="106">
        <v>0.4681897191550336</v>
      </c>
      <c r="Q30" s="106">
        <v>65.172008906380668</v>
      </c>
      <c r="R30" s="106">
        <v>0.32217892806602361</v>
      </c>
      <c r="S30" s="106">
        <v>44.847306786790483</v>
      </c>
      <c r="T30" s="106">
        <v>0.2401662757795017</v>
      </c>
      <c r="U30" s="106">
        <v>33.431145588506631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9.9728645221645866</v>
      </c>
      <c r="AO30" s="106">
        <v>1388.2227414853103</v>
      </c>
      <c r="AP30" s="106">
        <v>7.8263481778031796</v>
      </c>
      <c r="AQ30" s="106">
        <v>1089.4276663502026</v>
      </c>
      <c r="AR30" s="106">
        <v>2.4028631546106793</v>
      </c>
      <c r="AS30" s="106">
        <v>334.47855112180656</v>
      </c>
      <c r="AT30" s="106">
        <v>13.323260572872165</v>
      </c>
      <c r="AU30" s="106">
        <v>1854.5978717438052</v>
      </c>
      <c r="AV30" s="106">
        <v>4.3361918776494477</v>
      </c>
      <c r="AW30" s="106">
        <v>603.59790936880302</v>
      </c>
      <c r="AX30" s="106">
        <v>11.925491140687617</v>
      </c>
      <c r="AY30" s="106">
        <v>1660.0283667837161</v>
      </c>
      <c r="AZ30" s="106">
        <v>9.7239600914247344</v>
      </c>
      <c r="BA30" s="106">
        <v>1353.5752447263228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3.1116593946736275</v>
      </c>
      <c r="CA30" s="106">
        <v>433.14298773856893</v>
      </c>
      <c r="CB30" s="106">
        <v>1.3402392161992014</v>
      </c>
      <c r="CC30" s="106">
        <v>186.56129889492883</v>
      </c>
      <c r="CD30" s="106">
        <v>0</v>
      </c>
      <c r="CE30" s="106">
        <v>0</v>
      </c>
      <c r="CF30" s="106">
        <v>2.8628304842121883</v>
      </c>
      <c r="CG30" s="106">
        <v>398.5060034023366</v>
      </c>
      <c r="CH30" s="106">
        <v>0</v>
      </c>
      <c r="CI30" s="106">
        <v>0</v>
      </c>
      <c r="CJ30" s="106">
        <v>0</v>
      </c>
      <c r="CK30" s="106">
        <v>0</v>
      </c>
      <c r="CL30" s="106">
        <v>2.8603968731462648</v>
      </c>
      <c r="CM30" s="106">
        <v>398.16724474196002</v>
      </c>
      <c r="CN30" s="106">
        <v>0.77858096155528012</v>
      </c>
      <c r="CO30" s="106">
        <v>108.37846984849499</v>
      </c>
      <c r="CP30" s="106">
        <v>1.3435273414277062</v>
      </c>
      <c r="CQ30" s="106">
        <v>187.0190059267367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1.2451650765156479</v>
      </c>
      <c r="O31" s="106">
        <v>424.35225807653279</v>
      </c>
      <c r="P31" s="106">
        <v>0.44126846922137725</v>
      </c>
      <c r="Q31" s="106">
        <v>150.38429431064537</v>
      </c>
      <c r="R31" s="106">
        <v>0.3097157345395834</v>
      </c>
      <c r="S31" s="106">
        <v>105.55112233109003</v>
      </c>
      <c r="T31" s="106">
        <v>0.20972266335674797</v>
      </c>
      <c r="U31" s="106">
        <v>71.473483671979707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10.99269113078388</v>
      </c>
      <c r="AO31" s="106">
        <v>3746.3091373711463</v>
      </c>
      <c r="AP31" s="106">
        <v>8.0872264503966189</v>
      </c>
      <c r="AQ31" s="106">
        <v>2756.1267742951677</v>
      </c>
      <c r="AR31" s="106">
        <v>2.3415954891312554</v>
      </c>
      <c r="AS31" s="106">
        <v>798.01574269593186</v>
      </c>
      <c r="AT31" s="106">
        <v>12.622036332194684</v>
      </c>
      <c r="AU31" s="106">
        <v>4301.5899820119485</v>
      </c>
      <c r="AV31" s="106">
        <v>4.05508387571538</v>
      </c>
      <c r="AW31" s="106">
        <v>1381.9725848438015</v>
      </c>
      <c r="AX31" s="106">
        <v>11.931469001447516</v>
      </c>
      <c r="AY31" s="106">
        <v>4066.2446356933133</v>
      </c>
      <c r="AZ31" s="106">
        <v>9.2553623493970143</v>
      </c>
      <c r="BA31" s="106">
        <v>3154.2274886745026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3.373716660352184</v>
      </c>
      <c r="CA31" s="106">
        <v>1149.7626378480243</v>
      </c>
      <c r="CB31" s="106">
        <v>1.1913237477326235</v>
      </c>
      <c r="CC31" s="106">
        <v>406.00313322727811</v>
      </c>
      <c r="CD31" s="106">
        <v>0</v>
      </c>
      <c r="CE31" s="106">
        <v>0</v>
      </c>
      <c r="CF31" s="106">
        <v>2.5288335943874327</v>
      </c>
      <c r="CG31" s="106">
        <v>861.82648896723708</v>
      </c>
      <c r="CH31" s="106">
        <v>0</v>
      </c>
      <c r="CI31" s="106">
        <v>0</v>
      </c>
      <c r="CJ31" s="106">
        <v>0</v>
      </c>
      <c r="CK31" s="106">
        <v>0</v>
      </c>
      <c r="CL31" s="106">
        <v>2.5422771722754147</v>
      </c>
      <c r="CM31" s="106">
        <v>866.40806031146133</v>
      </c>
      <c r="CN31" s="106">
        <v>0.84192121174862533</v>
      </c>
      <c r="CO31" s="106">
        <v>286.92674896393152</v>
      </c>
      <c r="CP31" s="106">
        <v>1.3062071374991586</v>
      </c>
      <c r="CQ31" s="106">
        <v>445.15539245971325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1.3074421354373389</v>
      </c>
      <c r="O32" s="106">
        <v>1098.2513937673646</v>
      </c>
      <c r="P32" s="106">
        <v>0.43219983657448624</v>
      </c>
      <c r="Q32" s="106">
        <v>363.04786272256842</v>
      </c>
      <c r="R32" s="106">
        <v>0.30467093293968461</v>
      </c>
      <c r="S32" s="106">
        <v>255.92358366933507</v>
      </c>
      <c r="T32" s="106">
        <v>0.1945008571453711</v>
      </c>
      <c r="U32" s="106">
        <v>163.38072000211173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10.423913328485</v>
      </c>
      <c r="AO32" s="106">
        <v>8756.0871959273991</v>
      </c>
      <c r="AP32" s="106">
        <v>8.6089829955834976</v>
      </c>
      <c r="AQ32" s="106">
        <v>7231.5457162901375</v>
      </c>
      <c r="AR32" s="106">
        <v>2.3415954891312554</v>
      </c>
      <c r="AS32" s="106">
        <v>1966.9402108702545</v>
      </c>
      <c r="AT32" s="106">
        <v>12.622036332194684</v>
      </c>
      <c r="AU32" s="106">
        <v>10602.510519043535</v>
      </c>
      <c r="AV32" s="106">
        <v>4.1683865971999365</v>
      </c>
      <c r="AW32" s="106">
        <v>3501.4447416479466</v>
      </c>
      <c r="AX32" s="106">
        <v>11.591386411602203</v>
      </c>
      <c r="AY32" s="106">
        <v>9736.7645857458501</v>
      </c>
      <c r="AZ32" s="106">
        <v>8.6034036321341159</v>
      </c>
      <c r="BA32" s="106">
        <v>7226.8590509926571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3.1077610119195569</v>
      </c>
      <c r="CA32" s="106">
        <v>2610.5192500124276</v>
      </c>
      <c r="CB32" s="106">
        <v>1.2657814819659123</v>
      </c>
      <c r="CC32" s="106">
        <v>1063.2564448513663</v>
      </c>
      <c r="CD32" s="106">
        <v>0</v>
      </c>
      <c r="CE32" s="106">
        <v>0</v>
      </c>
      <c r="CF32" s="106">
        <v>2.2425505459662141</v>
      </c>
      <c r="CG32" s="106">
        <v>1883.7424586116199</v>
      </c>
      <c r="CH32" s="106">
        <v>0</v>
      </c>
      <c r="CI32" s="106">
        <v>0</v>
      </c>
      <c r="CJ32" s="106">
        <v>0</v>
      </c>
      <c r="CK32" s="106">
        <v>0</v>
      </c>
      <c r="CL32" s="106">
        <v>2.4809762755004447</v>
      </c>
      <c r="CM32" s="106">
        <v>2084.0200714203734</v>
      </c>
      <c r="CN32" s="106">
        <v>0.75783024990720693</v>
      </c>
      <c r="CO32" s="106">
        <v>636.57740992205379</v>
      </c>
      <c r="CP32" s="106">
        <v>1.4181677492848008</v>
      </c>
      <c r="CQ32" s="106">
        <v>1191.2609093992328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1.3203606517532875</v>
      </c>
      <c r="O33" s="106">
        <v>625.85094893105827</v>
      </c>
      <c r="P33" s="106">
        <v>0.40518505943852451</v>
      </c>
      <c r="Q33" s="106">
        <v>192.05771817386062</v>
      </c>
      <c r="R33" s="106">
        <v>0.31472270296830251</v>
      </c>
      <c r="S33" s="106">
        <v>149.17856120697539</v>
      </c>
      <c r="T33" s="106">
        <v>0.20803135155548386</v>
      </c>
      <c r="U33" s="106">
        <v>98.606860637299349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9.4531404681900693</v>
      </c>
      <c r="AO33" s="106">
        <v>4480.7885819220928</v>
      </c>
      <c r="AP33" s="106">
        <v>8.6089829955834976</v>
      </c>
      <c r="AQ33" s="106">
        <v>4080.6579399065777</v>
      </c>
      <c r="AR33" s="106">
        <v>2.32940233522414</v>
      </c>
      <c r="AS33" s="106">
        <v>1104.1367068962425</v>
      </c>
      <c r="AT33" s="106">
        <v>12.27142421185594</v>
      </c>
      <c r="AU33" s="106">
        <v>5816.6550764197154</v>
      </c>
      <c r="AV33" s="106">
        <v>3.6210349275949709</v>
      </c>
      <c r="AW33" s="106">
        <v>1716.3705556800162</v>
      </c>
      <c r="AX33" s="106">
        <v>11.907557558407918</v>
      </c>
      <c r="AY33" s="106">
        <v>5644.1822826853531</v>
      </c>
      <c r="AZ33" s="106">
        <v>7.9994572016932679</v>
      </c>
      <c r="BA33" s="106">
        <v>3791.742713602609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3.2413885665948823</v>
      </c>
      <c r="CA33" s="106">
        <v>1536.4181805659741</v>
      </c>
      <c r="CB33" s="106">
        <v>1.1168660134993345</v>
      </c>
      <c r="CC33" s="106">
        <v>529.39449039868452</v>
      </c>
      <c r="CD33" s="106">
        <v>0</v>
      </c>
      <c r="CE33" s="106">
        <v>0</v>
      </c>
      <c r="CF33" s="106">
        <v>2.7674028014051149</v>
      </c>
      <c r="CG33" s="106">
        <v>1311.7489278660244</v>
      </c>
      <c r="CH33" s="106">
        <v>0</v>
      </c>
      <c r="CI33" s="106">
        <v>0</v>
      </c>
      <c r="CJ33" s="106">
        <v>0</v>
      </c>
      <c r="CK33" s="106">
        <v>0</v>
      </c>
      <c r="CL33" s="106">
        <v>2.8577164384548803</v>
      </c>
      <c r="CM33" s="106">
        <v>1354.5575918276134</v>
      </c>
      <c r="CN33" s="106">
        <v>0.75755822109492543</v>
      </c>
      <c r="CO33" s="106">
        <v>359.08259679899464</v>
      </c>
      <c r="CP33" s="106">
        <v>1.3435273414277062</v>
      </c>
      <c r="CQ33" s="106">
        <v>636.83195983673272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1.3957141035357938</v>
      </c>
      <c r="O34" s="106">
        <v>765.40961437902934</v>
      </c>
      <c r="P34" s="106">
        <v>0.4501581802638579</v>
      </c>
      <c r="Q34" s="106">
        <v>246.86674605669967</v>
      </c>
      <c r="R34" s="106">
        <v>0.32216379479755181</v>
      </c>
      <c r="S34" s="106">
        <v>176.6746250669774</v>
      </c>
      <c r="T34" s="106">
        <v>0.21987053416433255</v>
      </c>
      <c r="U34" s="106">
        <v>120.57700093571997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9.4531404681900693</v>
      </c>
      <c r="AO34" s="106">
        <v>5184.1022327554338</v>
      </c>
      <c r="AP34" s="106">
        <v>9.1307395407703762</v>
      </c>
      <c r="AQ34" s="106">
        <v>5007.2975641584744</v>
      </c>
      <c r="AR34" s="106">
        <v>2.2117442658281385</v>
      </c>
      <c r="AS34" s="106">
        <v>1212.9205553801512</v>
      </c>
      <c r="AT34" s="106">
        <v>11.920812091517201</v>
      </c>
      <c r="AU34" s="106">
        <v>6537.3733509880321</v>
      </c>
      <c r="AV34" s="106">
        <v>3.7442472052549736</v>
      </c>
      <c r="AW34" s="106">
        <v>2053.3451673618274</v>
      </c>
      <c r="AX34" s="106">
        <v>12.229706565973531</v>
      </c>
      <c r="AY34" s="106">
        <v>6706.771080779884</v>
      </c>
      <c r="AZ34" s="106">
        <v>8.1840593443645933</v>
      </c>
      <c r="BA34" s="106">
        <v>4488.1381444495428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3.3056034220964978</v>
      </c>
      <c r="CA34" s="106">
        <v>1812.7929166777194</v>
      </c>
      <c r="CB34" s="106">
        <v>1.3402392161992014</v>
      </c>
      <c r="CC34" s="106">
        <v>734.98718616364204</v>
      </c>
      <c r="CD34" s="106">
        <v>0</v>
      </c>
      <c r="CE34" s="106">
        <v>0</v>
      </c>
      <c r="CF34" s="106">
        <v>2.6719751185980418</v>
      </c>
      <c r="CG34" s="106">
        <v>1465.3111550391661</v>
      </c>
      <c r="CH34" s="106">
        <v>0</v>
      </c>
      <c r="CI34" s="106">
        <v>0</v>
      </c>
      <c r="CJ34" s="106">
        <v>0</v>
      </c>
      <c r="CK34" s="106">
        <v>0</v>
      </c>
      <c r="CL34" s="106">
        <v>2.5449576069667992</v>
      </c>
      <c r="CM34" s="106">
        <v>1395.6547516605926</v>
      </c>
      <c r="CN34" s="106">
        <v>0.75701416347036266</v>
      </c>
      <c r="CO34" s="106">
        <v>415.14656724714689</v>
      </c>
      <c r="CP34" s="106">
        <v>1.2688869335706114</v>
      </c>
      <c r="CQ34" s="106">
        <v>695.85759437012325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1.3456188037206716</v>
      </c>
      <c r="O35" s="106">
        <v>676.57713451075347</v>
      </c>
      <c r="P35" s="106">
        <v>0.4771932894003208</v>
      </c>
      <c r="Q35" s="106">
        <v>239.93278591048124</v>
      </c>
      <c r="R35" s="106">
        <v>0.32719346312897868</v>
      </c>
      <c r="S35" s="106">
        <v>164.51287326125043</v>
      </c>
      <c r="T35" s="106">
        <v>0.23001840497191711</v>
      </c>
      <c r="U35" s="106">
        <v>115.6532540198799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9.4335189688603247</v>
      </c>
      <c r="AO35" s="106">
        <v>4743.1733375429703</v>
      </c>
      <c r="AP35" s="106">
        <v>8.8698612681769369</v>
      </c>
      <c r="AQ35" s="106">
        <v>4459.7662456393628</v>
      </c>
      <c r="AR35" s="106">
        <v>2.1455993387858685</v>
      </c>
      <c r="AS35" s="106">
        <v>1078.8073475415345</v>
      </c>
      <c r="AT35" s="106">
        <v>14.024484813549648</v>
      </c>
      <c r="AU35" s="106">
        <v>7051.5109642527614</v>
      </c>
      <c r="AV35" s="106">
        <v>4.1882057095508296</v>
      </c>
      <c r="AW35" s="106">
        <v>2105.8298307621567</v>
      </c>
      <c r="AX35" s="106">
        <v>11.305104568595985</v>
      </c>
      <c r="AY35" s="106">
        <v>5684.2065770900599</v>
      </c>
      <c r="AZ35" s="106">
        <v>8.2793746794737544</v>
      </c>
      <c r="BA35" s="106">
        <v>4162.8695888394031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3.374366390811196</v>
      </c>
      <c r="CA35" s="106">
        <v>1696.6314212998691</v>
      </c>
      <c r="CB35" s="106">
        <v>1.228552614849268</v>
      </c>
      <c r="CC35" s="106">
        <v>617.7162547462118</v>
      </c>
      <c r="CD35" s="106">
        <v>0</v>
      </c>
      <c r="CE35" s="106">
        <v>0</v>
      </c>
      <c r="CF35" s="106">
        <v>2.7196889600015788</v>
      </c>
      <c r="CG35" s="106">
        <v>1367.4596090887935</v>
      </c>
      <c r="CH35" s="106">
        <v>0</v>
      </c>
      <c r="CI35" s="106">
        <v>0</v>
      </c>
      <c r="CJ35" s="106">
        <v>0</v>
      </c>
      <c r="CK35" s="106">
        <v>0</v>
      </c>
      <c r="CL35" s="106">
        <v>2.7950753243342179</v>
      </c>
      <c r="CM35" s="106">
        <v>1405.3638730752446</v>
      </c>
      <c r="CN35" s="106">
        <v>0.80014775964019746</v>
      </c>
      <c r="CO35" s="106">
        <v>402.31429354709121</v>
      </c>
      <c r="CP35" s="106">
        <v>1.2315667296420638</v>
      </c>
      <c r="CQ35" s="106">
        <v>619.23175166402962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1.2198893827099455</v>
      </c>
      <c r="O36" s="106">
        <v>928.09184236572651</v>
      </c>
      <c r="P36" s="106">
        <v>0.38271476462625881</v>
      </c>
      <c r="Q36" s="106">
        <v>291.16939292765767</v>
      </c>
      <c r="R36" s="106">
        <v>0.30967537915699173</v>
      </c>
      <c r="S36" s="106">
        <v>235.60102846263928</v>
      </c>
      <c r="T36" s="106">
        <v>0.20126610435042747</v>
      </c>
      <c r="U36" s="106">
        <v>153.12325218980521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10.933826632794647</v>
      </c>
      <c r="AO36" s="106">
        <v>8318.4553022301661</v>
      </c>
      <c r="AP36" s="106">
        <v>8.3481047229900582</v>
      </c>
      <c r="AQ36" s="106">
        <v>6351.2380732508364</v>
      </c>
      <c r="AR36" s="106">
        <v>2.3415954891312554</v>
      </c>
      <c r="AS36" s="106">
        <v>1781.4858481310589</v>
      </c>
      <c r="AT36" s="106">
        <v>13.673872693210905</v>
      </c>
      <c r="AU36" s="106">
        <v>10403.082344994857</v>
      </c>
      <c r="AV36" s="106">
        <v>3.9021429295290386</v>
      </c>
      <c r="AW36" s="106">
        <v>2968.7503407856925</v>
      </c>
      <c r="AX36" s="106">
        <v>10.970999839510574</v>
      </c>
      <c r="AY36" s="106">
        <v>8346.7366778996438</v>
      </c>
      <c r="AZ36" s="106">
        <v>7.7643604373275998</v>
      </c>
      <c r="BA36" s="106">
        <v>5907.1254207188376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2.9793313009163258</v>
      </c>
      <c r="CA36" s="106">
        <v>2266.6752537371403</v>
      </c>
      <c r="CB36" s="106">
        <v>1.154094880615979</v>
      </c>
      <c r="CC36" s="106">
        <v>878.03538517263678</v>
      </c>
      <c r="CD36" s="106">
        <v>0</v>
      </c>
      <c r="CE36" s="106">
        <v>0</v>
      </c>
      <c r="CF36" s="106">
        <v>2.3379782287732871</v>
      </c>
      <c r="CG36" s="106">
        <v>1778.7338364507168</v>
      </c>
      <c r="CH36" s="106">
        <v>0</v>
      </c>
      <c r="CI36" s="106">
        <v>0</v>
      </c>
      <c r="CJ36" s="106">
        <v>0</v>
      </c>
      <c r="CK36" s="106">
        <v>0</v>
      </c>
      <c r="CL36" s="106">
        <v>2.5422771722754147</v>
      </c>
      <c r="CM36" s="106">
        <v>1934.1644726671354</v>
      </c>
      <c r="CN36" s="106">
        <v>0.73599142301000808</v>
      </c>
      <c r="CO36" s="106">
        <v>559.94227462601407</v>
      </c>
      <c r="CP36" s="106">
        <v>1.4181677492848008</v>
      </c>
      <c r="CQ36" s="106">
        <v>1078.9420236558765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0.32668950093572863</v>
      </c>
      <c r="O37" s="106">
        <v>281.08364660510091</v>
      </c>
      <c r="P37" s="106">
        <v>7.208549156370074E-2</v>
      </c>
      <c r="Q37" s="106">
        <v>62.022356941408113</v>
      </c>
      <c r="R37" s="106">
        <v>5.9929766248498724E-2</v>
      </c>
      <c r="S37" s="106">
        <v>51.563570880208303</v>
      </c>
      <c r="T37" s="106">
        <v>9.6404772672053496E-2</v>
      </c>
      <c r="U37" s="106">
        <v>82.946666407034826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20.759529909986146</v>
      </c>
      <c r="AO37" s="106">
        <v>17861.49953455208</v>
      </c>
      <c r="AP37" s="106">
        <v>9.6524960859572548</v>
      </c>
      <c r="AQ37" s="106">
        <v>8305.0076323576213</v>
      </c>
      <c r="AR37" s="106">
        <v>0.28165012363904129</v>
      </c>
      <c r="AS37" s="106">
        <v>242.33176637903114</v>
      </c>
      <c r="AT37" s="106">
        <v>1.4024484813549647</v>
      </c>
      <c r="AU37" s="106">
        <v>1206.6666733578115</v>
      </c>
      <c r="AV37" s="106">
        <v>0.7647047309317091</v>
      </c>
      <c r="AW37" s="106">
        <v>657.95195049364247</v>
      </c>
      <c r="AX37" s="106">
        <v>1.9448497669134828</v>
      </c>
      <c r="AY37" s="106">
        <v>1673.3487394523606</v>
      </c>
      <c r="AZ37" s="106">
        <v>0.23474214509819782</v>
      </c>
      <c r="BA37" s="106">
        <v>201.97214164248939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4.7288343904167807</v>
      </c>
      <c r="CA37" s="106">
        <v>4068.6891095145979</v>
      </c>
      <c r="CB37" s="106">
        <v>2.9783093693315585</v>
      </c>
      <c r="CC37" s="106">
        <v>2562.5373813728729</v>
      </c>
      <c r="CD37" s="106">
        <v>0</v>
      </c>
      <c r="CE37" s="106">
        <v>0</v>
      </c>
      <c r="CF37" s="106">
        <v>1.1451321936848751</v>
      </c>
      <c r="CG37" s="106">
        <v>985.27173944646643</v>
      </c>
      <c r="CH37" s="106">
        <v>0</v>
      </c>
      <c r="CI37" s="106">
        <v>0</v>
      </c>
      <c r="CJ37" s="106">
        <v>0</v>
      </c>
      <c r="CK37" s="106">
        <v>0</v>
      </c>
      <c r="CL37" s="106">
        <v>1.1498770099334592</v>
      </c>
      <c r="CM37" s="106">
        <v>989.35417934674831</v>
      </c>
      <c r="CN37" s="106">
        <v>0.41439365342221596</v>
      </c>
      <c r="CO37" s="106">
        <v>356.5442994044746</v>
      </c>
      <c r="CP37" s="106">
        <v>0.55980305892821092</v>
      </c>
      <c r="CQ37" s="106">
        <v>481.65455190183263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0.31413936322447011</v>
      </c>
      <c r="O38" s="106">
        <v>390.16108912479189</v>
      </c>
      <c r="P38" s="106">
        <v>8.1056530608186031E-2</v>
      </c>
      <c r="Q38" s="106">
        <v>100.67221101536705</v>
      </c>
      <c r="R38" s="106">
        <v>5.9924721825674779E-2</v>
      </c>
      <c r="S38" s="106">
        <v>74.426504507488076</v>
      </c>
      <c r="T38" s="106">
        <v>8.7948213665733008E-2</v>
      </c>
      <c r="U38" s="106">
        <v>109.2316813728404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19.219979247392335</v>
      </c>
      <c r="AO38" s="106">
        <v>23871.214225261279</v>
      </c>
      <c r="AP38" s="106">
        <v>9.1307395407703762</v>
      </c>
      <c r="AQ38" s="106">
        <v>11340.378509636806</v>
      </c>
      <c r="AR38" s="106">
        <v>0.28165012363904129</v>
      </c>
      <c r="AS38" s="106">
        <v>349.8094535596893</v>
      </c>
      <c r="AT38" s="106">
        <v>1.4024484813549647</v>
      </c>
      <c r="AU38" s="106">
        <v>1741.8410138428662</v>
      </c>
      <c r="AV38" s="106">
        <v>0.7647047309317091</v>
      </c>
      <c r="AW38" s="106">
        <v>949.76327581718272</v>
      </c>
      <c r="AX38" s="106">
        <v>1.6167228985879691</v>
      </c>
      <c r="AY38" s="106">
        <v>2007.9698400462576</v>
      </c>
      <c r="AZ38" s="106">
        <v>0.18814833534602862</v>
      </c>
      <c r="BA38" s="106">
        <v>233.68023249976756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4.5238449451907101</v>
      </c>
      <c r="CA38" s="106">
        <v>5618.6154219268619</v>
      </c>
      <c r="CB38" s="106">
        <v>2.7177072995150473</v>
      </c>
      <c r="CC38" s="106">
        <v>3375.3924659976888</v>
      </c>
      <c r="CD38" s="106">
        <v>0</v>
      </c>
      <c r="CE38" s="106">
        <v>0</v>
      </c>
      <c r="CF38" s="106">
        <v>1.0497045108778023</v>
      </c>
      <c r="CG38" s="106">
        <v>1303.7330025102303</v>
      </c>
      <c r="CH38" s="106">
        <v>0</v>
      </c>
      <c r="CI38" s="106">
        <v>0</v>
      </c>
      <c r="CJ38" s="106">
        <v>0</v>
      </c>
      <c r="CK38" s="106">
        <v>0</v>
      </c>
      <c r="CL38" s="106">
        <v>1.086789156697566</v>
      </c>
      <c r="CM38" s="106">
        <v>1349.7921326183771</v>
      </c>
      <c r="CN38" s="106">
        <v>0.41303350936080885</v>
      </c>
      <c r="CO38" s="106">
        <v>512.98761862612457</v>
      </c>
      <c r="CP38" s="106">
        <v>0.59712326285675832</v>
      </c>
      <c r="CQ38" s="106">
        <v>741.62709246809379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0.27645386641405761</v>
      </c>
      <c r="O39" s="106">
        <v>393.44914268048683</v>
      </c>
      <c r="P39" s="106">
        <v>8.1048397807985562E-2</v>
      </c>
      <c r="Q39" s="106">
        <v>115.34807976032505</v>
      </c>
      <c r="R39" s="106">
        <v>6.2424422722916373E-2</v>
      </c>
      <c r="S39" s="106">
        <v>88.842438419254592</v>
      </c>
      <c r="T39" s="106">
        <v>8.9639525466997105E-2</v>
      </c>
      <c r="U39" s="106">
        <v>127.57497264463028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21.720492020616206</v>
      </c>
      <c r="AO39" s="106">
        <v>30912.604243740985</v>
      </c>
      <c r="AP39" s="106">
        <v>9.1307395407703762</v>
      </c>
      <c r="AQ39" s="106">
        <v>12994.868514424399</v>
      </c>
      <c r="AR39" s="106">
        <v>0.28408875442046438</v>
      </c>
      <c r="AS39" s="106">
        <v>404.3151152912049</v>
      </c>
      <c r="AT39" s="106">
        <v>1.4024484813549647</v>
      </c>
      <c r="AU39" s="106">
        <v>1995.9646786643859</v>
      </c>
      <c r="AV39" s="106">
        <v>0.7647047309317091</v>
      </c>
      <c r="AW39" s="106">
        <v>1088.3277730620084</v>
      </c>
      <c r="AX39" s="106">
        <v>1.6227007593478691</v>
      </c>
      <c r="AY39" s="106">
        <v>2309.4277207038872</v>
      </c>
      <c r="AZ39" s="106">
        <v>0.18814833534602862</v>
      </c>
      <c r="BA39" s="106">
        <v>267.77271086446797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4.1268606639188041</v>
      </c>
      <c r="CA39" s="106">
        <v>5873.3480968892418</v>
      </c>
      <c r="CB39" s="106">
        <v>2.6060206981651137</v>
      </c>
      <c r="CC39" s="106">
        <v>3708.88865762859</v>
      </c>
      <c r="CD39" s="106">
        <v>0</v>
      </c>
      <c r="CE39" s="106">
        <v>0</v>
      </c>
      <c r="CF39" s="106">
        <v>1.0974183522813388</v>
      </c>
      <c r="CG39" s="106">
        <v>1561.8457989668013</v>
      </c>
      <c r="CH39" s="106">
        <v>0</v>
      </c>
      <c r="CI39" s="106">
        <v>0</v>
      </c>
      <c r="CJ39" s="106">
        <v>0</v>
      </c>
      <c r="CK39" s="106">
        <v>0</v>
      </c>
      <c r="CL39" s="106">
        <v>1.0854489393518736</v>
      </c>
      <c r="CM39" s="106">
        <v>1544.8109304855866</v>
      </c>
      <c r="CN39" s="106">
        <v>0.41303350936080885</v>
      </c>
      <c r="CO39" s="106">
        <v>587.82929052230315</v>
      </c>
      <c r="CP39" s="106">
        <v>0.52248285499966352</v>
      </c>
      <c r="CQ39" s="106">
        <v>743.5975992355211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0.32665441725909139</v>
      </c>
      <c r="O40" s="106">
        <v>236.75912162938943</v>
      </c>
      <c r="P40" s="106">
        <v>7.6568977885893258E-2</v>
      </c>
      <c r="Q40" s="106">
        <v>55.497195171695431</v>
      </c>
      <c r="R40" s="106">
        <v>6.2431989357152294E-2</v>
      </c>
      <c r="S40" s="106">
        <v>45.250705886063983</v>
      </c>
      <c r="T40" s="106">
        <v>9.4713460870789398E-2</v>
      </c>
      <c r="U40" s="106">
        <v>68.648316439148147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19.690649553042491</v>
      </c>
      <c r="AO40" s="106">
        <v>14271.782796045196</v>
      </c>
      <c r="AP40" s="106">
        <v>9.3916178133638155</v>
      </c>
      <c r="AQ40" s="106">
        <v>6807.0445911260931</v>
      </c>
      <c r="AR40" s="106">
        <v>0.28165012363904129</v>
      </c>
      <c r="AS40" s="106">
        <v>204.14000961357712</v>
      </c>
      <c r="AT40" s="106">
        <v>1.4024484813549647</v>
      </c>
      <c r="AU40" s="106">
        <v>1016.4946592860783</v>
      </c>
      <c r="AV40" s="106">
        <v>0.90278134285488121</v>
      </c>
      <c r="AW40" s="106">
        <v>654.33591730121782</v>
      </c>
      <c r="AX40" s="106">
        <v>1.9448497669134828</v>
      </c>
      <c r="AY40" s="106">
        <v>1409.6271110588923</v>
      </c>
      <c r="AZ40" s="106">
        <v>0.18797102571229343</v>
      </c>
      <c r="BA40" s="106">
        <v>136.24139943627029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5.2600959568230241</v>
      </c>
      <c r="CA40" s="106">
        <v>3812.5175495053277</v>
      </c>
      <c r="CB40" s="106">
        <v>2.7921650337483364</v>
      </c>
      <c r="CC40" s="106">
        <v>2023.761216460794</v>
      </c>
      <c r="CD40" s="106">
        <v>0</v>
      </c>
      <c r="CE40" s="106">
        <v>0</v>
      </c>
      <c r="CF40" s="106">
        <v>1.0974183522813388</v>
      </c>
      <c r="CG40" s="106">
        <v>795.40882173351429</v>
      </c>
      <c r="CH40" s="106">
        <v>0</v>
      </c>
      <c r="CI40" s="106">
        <v>0</v>
      </c>
      <c r="CJ40" s="106">
        <v>0</v>
      </c>
      <c r="CK40" s="106">
        <v>0</v>
      </c>
      <c r="CL40" s="106">
        <v>1.0881293740432583</v>
      </c>
      <c r="CM40" s="106">
        <v>788.67617030655356</v>
      </c>
      <c r="CN40" s="106">
        <v>0.43541639388257064</v>
      </c>
      <c r="CO40" s="106">
        <v>315.58980228608721</v>
      </c>
      <c r="CP40" s="106">
        <v>0.59712326285675832</v>
      </c>
      <c r="CQ40" s="106">
        <v>432.79494091857839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0.30160676735153025</v>
      </c>
      <c r="O41" s="106">
        <v>199.06046645200996</v>
      </c>
      <c r="P41" s="106">
        <v>8.10646634083865E-2</v>
      </c>
      <c r="Q41" s="106">
        <v>53.50267784953509</v>
      </c>
      <c r="R41" s="106">
        <v>6.4924123620157967E-2</v>
      </c>
      <c r="S41" s="106">
        <v>42.849921589304259</v>
      </c>
      <c r="T41" s="106">
        <v>9.4713460870789398E-2</v>
      </c>
      <c r="U41" s="106">
        <v>62.510884174720999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20.77915140931589</v>
      </c>
      <c r="AO41" s="106">
        <v>13714.239930148487</v>
      </c>
      <c r="AP41" s="106">
        <v>8.8698612681769369</v>
      </c>
      <c r="AQ41" s="106">
        <v>5854.1084369967784</v>
      </c>
      <c r="AR41" s="106">
        <v>0.28165012363904129</v>
      </c>
      <c r="AS41" s="106">
        <v>185.88908160176726</v>
      </c>
      <c r="AT41" s="106">
        <v>1.4024484813549647</v>
      </c>
      <c r="AU41" s="106">
        <v>925.61599769427664</v>
      </c>
      <c r="AV41" s="106">
        <v>0.90773612094260447</v>
      </c>
      <c r="AW41" s="106">
        <v>599.10583982211892</v>
      </c>
      <c r="AX41" s="106">
        <v>1.9388719061535835</v>
      </c>
      <c r="AY41" s="106">
        <v>1279.6554580613652</v>
      </c>
      <c r="AZ41" s="106">
        <v>0.18814833534602862</v>
      </c>
      <c r="BA41" s="106">
        <v>124.17790132837889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4.7372808863839344</v>
      </c>
      <c r="CA41" s="106">
        <v>3126.6053850133967</v>
      </c>
      <c r="CB41" s="106">
        <v>2.7549361666316918</v>
      </c>
      <c r="CC41" s="106">
        <v>1818.2578699769167</v>
      </c>
      <c r="CD41" s="106">
        <v>0</v>
      </c>
      <c r="CE41" s="106">
        <v>0</v>
      </c>
      <c r="CF41" s="106">
        <v>1.0974183522813388</v>
      </c>
      <c r="CG41" s="106">
        <v>724.2961125056836</v>
      </c>
      <c r="CH41" s="106">
        <v>0</v>
      </c>
      <c r="CI41" s="106">
        <v>0</v>
      </c>
      <c r="CJ41" s="106">
        <v>0</v>
      </c>
      <c r="CK41" s="106">
        <v>0</v>
      </c>
      <c r="CL41" s="106">
        <v>1.0876826349280273</v>
      </c>
      <c r="CM41" s="106">
        <v>717.87053905249797</v>
      </c>
      <c r="CN41" s="106">
        <v>0.43596045150713342</v>
      </c>
      <c r="CO41" s="106">
        <v>287.73389799470806</v>
      </c>
      <c r="CP41" s="106">
        <v>0.63444346678530572</v>
      </c>
      <c r="CQ41" s="106">
        <v>418.73268807830175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0.30158922551321166</v>
      </c>
      <c r="O42" s="106">
        <v>255.14448478417705</v>
      </c>
      <c r="P42" s="106">
        <v>7.6581177086193969E-2</v>
      </c>
      <c r="Q42" s="106">
        <v>64.787675814920092</v>
      </c>
      <c r="R42" s="106">
        <v>7.2400526409174923E-2</v>
      </c>
      <c r="S42" s="106">
        <v>61.250845342161988</v>
      </c>
      <c r="T42" s="106">
        <v>0.10655264347963808</v>
      </c>
      <c r="U42" s="106">
        <v>90.143536383773821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20.200562857352136</v>
      </c>
      <c r="AO42" s="106">
        <v>17089.676177319907</v>
      </c>
      <c r="AP42" s="106">
        <v>8.8698612681769369</v>
      </c>
      <c r="AQ42" s="106">
        <v>7503.902632877689</v>
      </c>
      <c r="AR42" s="106">
        <v>0.34779505068131128</v>
      </c>
      <c r="AS42" s="106">
        <v>294.23461287638935</v>
      </c>
      <c r="AT42" s="106">
        <v>1.4024484813549647</v>
      </c>
      <c r="AU42" s="106">
        <v>1186.4714152263002</v>
      </c>
      <c r="AV42" s="106">
        <v>0.7647047309317091</v>
      </c>
      <c r="AW42" s="106">
        <v>646.94020236822587</v>
      </c>
      <c r="AX42" s="106">
        <v>1.9388719061535835</v>
      </c>
      <c r="AY42" s="106">
        <v>1640.2856326059316</v>
      </c>
      <c r="AZ42" s="106">
        <v>0.18832564497976381</v>
      </c>
      <c r="BA42" s="106">
        <v>159.32349565288018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5.1828864921411721</v>
      </c>
      <c r="CA42" s="106">
        <v>4384.7219723514318</v>
      </c>
      <c r="CB42" s="106">
        <v>2.941080502214914</v>
      </c>
      <c r="CC42" s="106">
        <v>2488.1541048738172</v>
      </c>
      <c r="CD42" s="106">
        <v>0</v>
      </c>
      <c r="CE42" s="106">
        <v>0</v>
      </c>
      <c r="CF42" s="106">
        <v>1.0019906694742657</v>
      </c>
      <c r="CG42" s="106">
        <v>847.68410637522879</v>
      </c>
      <c r="CH42" s="106">
        <v>0</v>
      </c>
      <c r="CI42" s="106">
        <v>0</v>
      </c>
      <c r="CJ42" s="106">
        <v>0</v>
      </c>
      <c r="CK42" s="106">
        <v>0</v>
      </c>
      <c r="CL42" s="106">
        <v>1.0872358958127968</v>
      </c>
      <c r="CM42" s="106">
        <v>919.80156785762608</v>
      </c>
      <c r="CN42" s="106">
        <v>0.45698319196748804</v>
      </c>
      <c r="CO42" s="106">
        <v>386.60778040449486</v>
      </c>
      <c r="CP42" s="106">
        <v>0.55980305892821092</v>
      </c>
      <c r="CQ42" s="106">
        <v>473.59338785326645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0.33923963864698703</v>
      </c>
      <c r="O43" s="106">
        <v>346.83860655267955</v>
      </c>
      <c r="P43" s="106">
        <v>8.10646634083865E-2</v>
      </c>
      <c r="Q43" s="106">
        <v>82.880511868734359</v>
      </c>
      <c r="R43" s="106">
        <v>5.99322884599107E-2</v>
      </c>
      <c r="S43" s="106">
        <v>61.274771721412698</v>
      </c>
      <c r="T43" s="106">
        <v>0.10486133167837398</v>
      </c>
      <c r="U43" s="106">
        <v>107.21022550796955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19.210168497727459</v>
      </c>
      <c r="AO43" s="106">
        <v>19640.476272076554</v>
      </c>
      <c r="AP43" s="106">
        <v>8.6089829955834976</v>
      </c>
      <c r="AQ43" s="106">
        <v>8801.8242146845678</v>
      </c>
      <c r="AR43" s="106">
        <v>0.28165012363904129</v>
      </c>
      <c r="AS43" s="106">
        <v>287.95908640855583</v>
      </c>
      <c r="AT43" s="106">
        <v>1.4024484813549647</v>
      </c>
      <c r="AU43" s="106">
        <v>1433.8633273373159</v>
      </c>
      <c r="AV43" s="106">
        <v>0.90773612094260447</v>
      </c>
      <c r="AW43" s="106">
        <v>928.06941005171882</v>
      </c>
      <c r="AX43" s="106">
        <v>1.9388719061535835</v>
      </c>
      <c r="AY43" s="106">
        <v>1982.3026368514238</v>
      </c>
      <c r="AZ43" s="106">
        <v>0.18814833534602862</v>
      </c>
      <c r="BA43" s="106">
        <v>192.36285805777965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4.6568227694070234</v>
      </c>
      <c r="CA43" s="106">
        <v>4761.1355994417409</v>
      </c>
      <c r="CB43" s="106">
        <v>3.0527671035648476</v>
      </c>
      <c r="CC43" s="106">
        <v>3121.1490866847003</v>
      </c>
      <c r="CD43" s="106">
        <v>0</v>
      </c>
      <c r="CE43" s="106">
        <v>0</v>
      </c>
      <c r="CF43" s="106">
        <v>1.0019906694742657</v>
      </c>
      <c r="CG43" s="106">
        <v>1024.4352604704893</v>
      </c>
      <c r="CH43" s="106">
        <v>0</v>
      </c>
      <c r="CI43" s="106">
        <v>0</v>
      </c>
      <c r="CJ43" s="106">
        <v>0</v>
      </c>
      <c r="CK43" s="106">
        <v>0</v>
      </c>
      <c r="CL43" s="106">
        <v>1.0237013034616729</v>
      </c>
      <c r="CM43" s="106">
        <v>1046.6322126592142</v>
      </c>
      <c r="CN43" s="106">
        <v>0.41412162460993457</v>
      </c>
      <c r="CO43" s="106">
        <v>423.39794900119711</v>
      </c>
      <c r="CP43" s="106">
        <v>0.59712326285675832</v>
      </c>
      <c r="CQ43" s="106">
        <v>610.49882394474969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0.3140867377095144</v>
      </c>
      <c r="O44" s="106">
        <v>321.12228063420753</v>
      </c>
      <c r="P44" s="106">
        <v>7.6573044285993513E-2</v>
      </c>
      <c r="Q44" s="106">
        <v>78.288280477999763</v>
      </c>
      <c r="R44" s="106">
        <v>6.9905869934757295E-2</v>
      </c>
      <c r="S44" s="106">
        <v>71.471761421295852</v>
      </c>
      <c r="T44" s="106">
        <v>9.1330837268261203E-2</v>
      </c>
      <c r="U44" s="106">
        <v>93.376648023070246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19.700460302707363</v>
      </c>
      <c r="AO44" s="106">
        <v>20141.750613488006</v>
      </c>
      <c r="AP44" s="106">
        <v>8.3481047229900582</v>
      </c>
      <c r="AQ44" s="106">
        <v>8535.1022687850345</v>
      </c>
      <c r="AR44" s="106">
        <v>0.28165012363904129</v>
      </c>
      <c r="AS44" s="106">
        <v>287.95908640855583</v>
      </c>
      <c r="AT44" s="106">
        <v>1.4024484813549647</v>
      </c>
      <c r="AU44" s="106">
        <v>1433.8633273373159</v>
      </c>
      <c r="AV44" s="106">
        <v>0.90278134285488121</v>
      </c>
      <c r="AW44" s="106">
        <v>923.0036449348305</v>
      </c>
      <c r="AX44" s="106">
        <v>1.9388719061535835</v>
      </c>
      <c r="AY44" s="106">
        <v>1982.3026368514238</v>
      </c>
      <c r="AZ44" s="106">
        <v>0.18814833534602862</v>
      </c>
      <c r="BA44" s="106">
        <v>192.36285805777965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4.7982470895904914</v>
      </c>
      <c r="CA44" s="106">
        <v>4905.7278243973187</v>
      </c>
      <c r="CB44" s="106">
        <v>2.941080502214914</v>
      </c>
      <c r="CC44" s="106">
        <v>3006.960705464528</v>
      </c>
      <c r="CD44" s="106">
        <v>0</v>
      </c>
      <c r="CE44" s="106">
        <v>0</v>
      </c>
      <c r="CF44" s="106">
        <v>1.0974183522813388</v>
      </c>
      <c r="CG44" s="106">
        <v>1122.0005233724407</v>
      </c>
      <c r="CH44" s="106">
        <v>0</v>
      </c>
      <c r="CI44" s="106">
        <v>0</v>
      </c>
      <c r="CJ44" s="106">
        <v>0</v>
      </c>
      <c r="CK44" s="106">
        <v>0</v>
      </c>
      <c r="CL44" s="106">
        <v>0.96106018934101045</v>
      </c>
      <c r="CM44" s="106">
        <v>982.58793758224908</v>
      </c>
      <c r="CN44" s="106">
        <v>0.43596045150713342</v>
      </c>
      <c r="CO44" s="106">
        <v>445.72596562089319</v>
      </c>
      <c r="CP44" s="106">
        <v>0.59712326285675832</v>
      </c>
      <c r="CQ44" s="106">
        <v>610.49882394474969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0.28902154596363466</v>
      </c>
      <c r="O45" s="106">
        <v>361.04571521777245</v>
      </c>
      <c r="P45" s="106">
        <v>8.10646634083865E-2</v>
      </c>
      <c r="Q45" s="106">
        <v>101.26597752975643</v>
      </c>
      <c r="R45" s="106">
        <v>6.4914034774510049E-2</v>
      </c>
      <c r="S45" s="106">
        <v>81.090612240317952</v>
      </c>
      <c r="T45" s="106">
        <v>9.1330837268261203E-2</v>
      </c>
      <c r="U45" s="106">
        <v>114.0904819155119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20.690854662332036</v>
      </c>
      <c r="AO45" s="106">
        <v>25847.01564418518</v>
      </c>
      <c r="AP45" s="106">
        <v>8.0872264503966189</v>
      </c>
      <c r="AQ45" s="106">
        <v>10102.563281835457</v>
      </c>
      <c r="AR45" s="106">
        <v>0.28408875442046438</v>
      </c>
      <c r="AS45" s="106">
        <v>354.8836720220441</v>
      </c>
      <c r="AT45" s="106">
        <v>1.4024484813549647</v>
      </c>
      <c r="AU45" s="106">
        <v>1751.9386429086219</v>
      </c>
      <c r="AV45" s="106">
        <v>0.75974995284398594</v>
      </c>
      <c r="AW45" s="106">
        <v>949.07964109270722</v>
      </c>
      <c r="AX45" s="106">
        <v>1.9388719061535835</v>
      </c>
      <c r="AY45" s="106">
        <v>2422.0387851670566</v>
      </c>
      <c r="AZ45" s="106">
        <v>0.18814833534602862</v>
      </c>
      <c r="BA45" s="106">
        <v>235.03490051425896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4.1359568903449704</v>
      </c>
      <c r="CA45" s="106">
        <v>5166.6373474189368</v>
      </c>
      <c r="CB45" s="106">
        <v>2.6432495652817583</v>
      </c>
      <c r="CC45" s="106">
        <v>3301.9473569499723</v>
      </c>
      <c r="CD45" s="106">
        <v>0</v>
      </c>
      <c r="CE45" s="106">
        <v>0</v>
      </c>
      <c r="CF45" s="106">
        <v>1.0974183522813388</v>
      </c>
      <c r="CG45" s="106">
        <v>1370.8950056698484</v>
      </c>
      <c r="CH45" s="106">
        <v>0</v>
      </c>
      <c r="CI45" s="106">
        <v>0</v>
      </c>
      <c r="CJ45" s="106">
        <v>0</v>
      </c>
      <c r="CK45" s="106">
        <v>0</v>
      </c>
      <c r="CL45" s="106">
        <v>1.0237013034616729</v>
      </c>
      <c r="CM45" s="106">
        <v>1278.8076682843218</v>
      </c>
      <c r="CN45" s="106">
        <v>0.3928268553372985</v>
      </c>
      <c r="CO45" s="106">
        <v>490.71930768735331</v>
      </c>
      <c r="CP45" s="106">
        <v>0.52248285499966352</v>
      </c>
      <c r="CQ45" s="106">
        <v>652.68558246557973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0.32667195909741004</v>
      </c>
      <c r="O46" s="106">
        <v>395.92641442606094</v>
      </c>
      <c r="P46" s="106">
        <v>8.1056530608186031E-2</v>
      </c>
      <c r="Q46" s="106">
        <v>98.240515097121474</v>
      </c>
      <c r="R46" s="106">
        <v>6.9910914357581247E-2</v>
      </c>
      <c r="S46" s="106">
        <v>84.732028201388474</v>
      </c>
      <c r="T46" s="106">
        <v>8.9639525466997105E-2</v>
      </c>
      <c r="U46" s="106">
        <v>108.64310486600048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21.220389465971433</v>
      </c>
      <c r="AO46" s="106">
        <v>25719.112032757377</v>
      </c>
      <c r="AP46" s="106">
        <v>8.8698612681769369</v>
      </c>
      <c r="AQ46" s="106">
        <v>10750.271857030448</v>
      </c>
      <c r="AR46" s="106">
        <v>0.28165012363904129</v>
      </c>
      <c r="AS46" s="106">
        <v>341.35994985051803</v>
      </c>
      <c r="AT46" s="106">
        <v>1.4024484813549647</v>
      </c>
      <c r="AU46" s="106">
        <v>1699.7675594022171</v>
      </c>
      <c r="AV46" s="106">
        <v>0.90773612094260447</v>
      </c>
      <c r="AW46" s="106">
        <v>1100.1761785824367</v>
      </c>
      <c r="AX46" s="106">
        <v>1.9388719061535835</v>
      </c>
      <c r="AY46" s="106">
        <v>2349.9127502581432</v>
      </c>
      <c r="AZ46" s="106">
        <v>0.23474214509819782</v>
      </c>
      <c r="BA46" s="106">
        <v>284.50747985901575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4.3954152341874799</v>
      </c>
      <c r="CA46" s="106">
        <v>5327.2432638352257</v>
      </c>
      <c r="CB46" s="106">
        <v>2.5315629639318247</v>
      </c>
      <c r="CC46" s="106">
        <v>3068.2543122853717</v>
      </c>
      <c r="CD46" s="106">
        <v>0</v>
      </c>
      <c r="CE46" s="106">
        <v>0</v>
      </c>
      <c r="CF46" s="106">
        <v>0.95427682807072922</v>
      </c>
      <c r="CG46" s="106">
        <v>1156.5835156217238</v>
      </c>
      <c r="CH46" s="106">
        <v>0</v>
      </c>
      <c r="CI46" s="106">
        <v>0</v>
      </c>
      <c r="CJ46" s="106">
        <v>0</v>
      </c>
      <c r="CK46" s="106">
        <v>0</v>
      </c>
      <c r="CL46" s="106">
        <v>0.89886581433557888</v>
      </c>
      <c r="CM46" s="106">
        <v>1089.4253669747216</v>
      </c>
      <c r="CN46" s="106">
        <v>0.37044397081553676</v>
      </c>
      <c r="CO46" s="106">
        <v>448.97809262843055</v>
      </c>
      <c r="CP46" s="106">
        <v>0.52248285499966352</v>
      </c>
      <c r="CQ46" s="106">
        <v>633.24922025959222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0.27647140825237615</v>
      </c>
      <c r="O47" s="106">
        <v>422.3377232463298</v>
      </c>
      <c r="P47" s="106">
        <v>8.1060597008286273E-2</v>
      </c>
      <c r="Q47" s="106">
        <v>123.8281679898581</v>
      </c>
      <c r="R47" s="106">
        <v>5.7432587562669113E-2</v>
      </c>
      <c r="S47" s="106">
        <v>87.73402076073333</v>
      </c>
      <c r="T47" s="106">
        <v>8.4565590063204826E-2</v>
      </c>
      <c r="U47" s="106">
        <v>129.1823953805517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19.66121730404787</v>
      </c>
      <c r="AO47" s="106">
        <v>30034.475553663524</v>
      </c>
      <c r="AP47" s="106">
        <v>8.3481047229900582</v>
      </c>
      <c r="AQ47" s="106">
        <v>12752.564774839611</v>
      </c>
      <c r="AR47" s="106">
        <v>0.35023368146273437</v>
      </c>
      <c r="AS47" s="106">
        <v>535.01697180247299</v>
      </c>
      <c r="AT47" s="106">
        <v>1.4024484813549647</v>
      </c>
      <c r="AU47" s="106">
        <v>2142.3803001178439</v>
      </c>
      <c r="AV47" s="106">
        <v>0.7647047309317091</v>
      </c>
      <c r="AW47" s="106">
        <v>1168.1629469712786</v>
      </c>
      <c r="AX47" s="106">
        <v>1.9448497669134828</v>
      </c>
      <c r="AY47" s="106">
        <v>2970.952503937036</v>
      </c>
      <c r="AZ47" s="106">
        <v>0.23456483546446266</v>
      </c>
      <c r="BA47" s="106">
        <v>358.32124265551312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4.3292511873088282</v>
      </c>
      <c r="CA47" s="106">
        <v>6613.364113732966</v>
      </c>
      <c r="CB47" s="106">
        <v>2.7921650337483364</v>
      </c>
      <c r="CC47" s="106">
        <v>4265.3113055539579</v>
      </c>
      <c r="CD47" s="106">
        <v>0</v>
      </c>
      <c r="CE47" s="106">
        <v>0</v>
      </c>
      <c r="CF47" s="106">
        <v>0.90656298666719293</v>
      </c>
      <c r="CG47" s="106">
        <v>1384.8656184328038</v>
      </c>
      <c r="CH47" s="106">
        <v>0</v>
      </c>
      <c r="CI47" s="106">
        <v>0</v>
      </c>
      <c r="CJ47" s="106">
        <v>0</v>
      </c>
      <c r="CK47" s="106">
        <v>0</v>
      </c>
      <c r="CL47" s="106">
        <v>0.8979723361051174</v>
      </c>
      <c r="CM47" s="106">
        <v>1371.7425406341772</v>
      </c>
      <c r="CN47" s="106">
        <v>0.39201076890045433</v>
      </c>
      <c r="CO47" s="106">
        <v>598.83565057233398</v>
      </c>
      <c r="CP47" s="106">
        <v>0.52248285499966352</v>
      </c>
      <c r="CQ47" s="106">
        <v>798.14480929748595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0.30157168367489312</v>
      </c>
      <c r="O48" s="106">
        <v>261.64359275633728</v>
      </c>
      <c r="P48" s="106">
        <v>7.656491148579303E-2</v>
      </c>
      <c r="Q48" s="106">
        <v>66.427717205074032</v>
      </c>
      <c r="R48" s="106">
        <v>6.7416257883163619E-2</v>
      </c>
      <c r="S48" s="106">
        <v>58.490345339432757</v>
      </c>
      <c r="T48" s="106">
        <v>9.6404772672053496E-2</v>
      </c>
      <c r="U48" s="106">
        <v>83.640780770273622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23.279664182539761</v>
      </c>
      <c r="AO48" s="106">
        <v>20197.436644771497</v>
      </c>
      <c r="AP48" s="106">
        <v>8.3481047229900582</v>
      </c>
      <c r="AQ48" s="106">
        <v>7242.815657666175</v>
      </c>
      <c r="AR48" s="106">
        <v>0.28165012363904129</v>
      </c>
      <c r="AS48" s="106">
        <v>244.35964726923223</v>
      </c>
      <c r="AT48" s="106">
        <v>1.4024484813549647</v>
      </c>
      <c r="AU48" s="106">
        <v>1216.7643024235674</v>
      </c>
      <c r="AV48" s="106">
        <v>0.90773612094260447</v>
      </c>
      <c r="AW48" s="106">
        <v>787.55185852980367</v>
      </c>
      <c r="AX48" s="106">
        <v>1.6286786201077681</v>
      </c>
      <c r="AY48" s="106">
        <v>1413.0415708054995</v>
      </c>
      <c r="AZ48" s="106">
        <v>0.18797102571229343</v>
      </c>
      <c r="BA48" s="106">
        <v>163.0836619079858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5.3891753982852668</v>
      </c>
      <c r="CA48" s="106">
        <v>4675.6485755522972</v>
      </c>
      <c r="CB48" s="106">
        <v>3.0527671035648476</v>
      </c>
      <c r="CC48" s="106">
        <v>2648.5807390528616</v>
      </c>
      <c r="CD48" s="106">
        <v>0</v>
      </c>
      <c r="CE48" s="106">
        <v>0</v>
      </c>
      <c r="CF48" s="106">
        <v>1.0497045108778023</v>
      </c>
      <c r="CG48" s="106">
        <v>910.72363363758132</v>
      </c>
      <c r="CH48" s="106">
        <v>0</v>
      </c>
      <c r="CI48" s="106">
        <v>0</v>
      </c>
      <c r="CJ48" s="106">
        <v>0</v>
      </c>
      <c r="CK48" s="106">
        <v>0</v>
      </c>
      <c r="CL48" s="106">
        <v>1.0237013034616729</v>
      </c>
      <c r="CM48" s="106">
        <v>888.16325088334736</v>
      </c>
      <c r="CN48" s="106">
        <v>0.41330553817309035</v>
      </c>
      <c r="CO48" s="106">
        <v>358.58388491897318</v>
      </c>
      <c r="CP48" s="106">
        <v>0.55980305892821092</v>
      </c>
      <c r="CQ48" s="106">
        <v>485.68513392611578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0.14444844332313617</v>
      </c>
      <c r="K49" s="106">
        <v>142.31060636195375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0.38609294196334609</v>
      </c>
      <c r="W49" s="106">
        <v>380.37876642228855</v>
      </c>
      <c r="X49" s="106">
        <v>0.59863026369837302</v>
      </c>
      <c r="Y49" s="106">
        <v>589.7705357956371</v>
      </c>
      <c r="Z49" s="106">
        <v>0</v>
      </c>
      <c r="AA49" s="106">
        <v>0</v>
      </c>
      <c r="AB49" s="106">
        <v>0</v>
      </c>
      <c r="AC49" s="106">
        <v>0</v>
      </c>
      <c r="AD49" s="106">
        <v>0.12429296684042826</v>
      </c>
      <c r="AE49" s="106">
        <v>122.45343093118991</v>
      </c>
      <c r="AF49" s="106">
        <v>4.9645651940496138E-2</v>
      </c>
      <c r="AG49" s="106">
        <v>48.910896291776794</v>
      </c>
      <c r="AH49" s="106">
        <v>0</v>
      </c>
      <c r="AI49" s="106">
        <v>0</v>
      </c>
      <c r="AJ49" s="106">
        <v>0</v>
      </c>
      <c r="AK49" s="106">
        <v>0</v>
      </c>
      <c r="AL49" s="106">
        <v>4.5846682961214795E-2</v>
      </c>
      <c r="AM49" s="106">
        <v>45.168152053388816</v>
      </c>
      <c r="AN49" s="106">
        <v>0.12119752965007759</v>
      </c>
      <c r="AO49" s="106">
        <v>119.40380621125644</v>
      </c>
      <c r="AP49" s="106">
        <v>4.8880421360209821E-2</v>
      </c>
      <c r="AQ49" s="106">
        <v>48.156991124078715</v>
      </c>
      <c r="AR49" s="106">
        <v>6.6244207020245027E-2</v>
      </c>
      <c r="AS49" s="106">
        <v>65.263792756345396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0.31927948375571397</v>
      </c>
      <c r="CK49" s="106">
        <v>314.55414739612939</v>
      </c>
      <c r="CL49" s="106">
        <v>0.59941177648589705</v>
      </c>
      <c r="CM49" s="106">
        <v>590.54048219390575</v>
      </c>
      <c r="CN49" s="106">
        <v>0</v>
      </c>
      <c r="CO49" s="106">
        <v>0</v>
      </c>
      <c r="CP49" s="106">
        <v>0.6354811063875857</v>
      </c>
      <c r="CQ49" s="106">
        <v>626.07598601304937</v>
      </c>
      <c r="CR49" s="106">
        <v>0.24998057065846918</v>
      </c>
      <c r="CS49" s="106">
        <v>246.28085821272381</v>
      </c>
      <c r="CT49" s="106">
        <v>0.34559674892600795</v>
      </c>
      <c r="CU49" s="106">
        <v>340.48191704190299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0.11321436697610476</v>
      </c>
      <c r="O50" s="106">
        <v>31.926451487261545</v>
      </c>
      <c r="P50" s="106">
        <v>5.8484575793414442E-2</v>
      </c>
      <c r="Q50" s="106">
        <v>16.492650373742872</v>
      </c>
      <c r="R50" s="106">
        <v>1.7487817435043219E-2</v>
      </c>
      <c r="S50" s="106">
        <v>4.9315645166821875</v>
      </c>
      <c r="T50" s="106">
        <v>0.1353049441011277</v>
      </c>
      <c r="U50" s="106">
        <v>38.155994236518012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5.2168620390749352</v>
      </c>
      <c r="AO50" s="106">
        <v>1471.1550950191317</v>
      </c>
      <c r="AP50" s="106">
        <v>3.1305392711212714</v>
      </c>
      <c r="AQ50" s="106">
        <v>882.8120744561985</v>
      </c>
      <c r="AR50" s="106">
        <v>0.94797665562458722</v>
      </c>
      <c r="AS50" s="106">
        <v>267.32941688613357</v>
      </c>
      <c r="AT50" s="106">
        <v>3.5061212033874121</v>
      </c>
      <c r="AU50" s="106">
        <v>988.72617935525022</v>
      </c>
      <c r="AV50" s="106">
        <v>1.9040010729311487</v>
      </c>
      <c r="AW50" s="106">
        <v>536.92830256658397</v>
      </c>
      <c r="AX50" s="106">
        <v>3.8657880907873676</v>
      </c>
      <c r="AY50" s="106">
        <v>1090.1522416020377</v>
      </c>
      <c r="AZ50" s="106">
        <v>4.4894955321456163</v>
      </c>
      <c r="BA50" s="106">
        <v>1266.0377400650639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0.53515994916031362</v>
      </c>
      <c r="CA50" s="106">
        <v>150.91510566320844</v>
      </c>
      <c r="CB50" s="106">
        <v>0.33505980404980035</v>
      </c>
      <c r="CC50" s="106">
        <v>94.486864742043693</v>
      </c>
      <c r="CD50" s="106">
        <v>0</v>
      </c>
      <c r="CE50" s="106">
        <v>0</v>
      </c>
      <c r="CF50" s="106">
        <v>0.42942457263182815</v>
      </c>
      <c r="CG50" s="106">
        <v>121.09772948217554</v>
      </c>
      <c r="CH50" s="106">
        <v>0</v>
      </c>
      <c r="CI50" s="106">
        <v>0</v>
      </c>
      <c r="CJ50" s="106">
        <v>0</v>
      </c>
      <c r="CK50" s="106">
        <v>0</v>
      </c>
      <c r="CL50" s="106">
        <v>0.45054975495586613</v>
      </c>
      <c r="CM50" s="106">
        <v>127.05503089755425</v>
      </c>
      <c r="CN50" s="106">
        <v>0.21702812491058177</v>
      </c>
      <c r="CO50" s="106">
        <v>61.201931224784055</v>
      </c>
      <c r="CP50" s="106">
        <v>0.44784244714256877</v>
      </c>
      <c r="CQ50" s="106">
        <v>126.29157009420439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0.12578204652568181</v>
      </c>
      <c r="O51" s="106">
        <v>107.46818055154253</v>
      </c>
      <c r="P51" s="106">
        <v>4.9493204748427964E-2</v>
      </c>
      <c r="Q51" s="106">
        <v>42.286994137056851</v>
      </c>
      <c r="R51" s="106">
        <v>1.7487817435043219E-2</v>
      </c>
      <c r="S51" s="106">
        <v>14.941591216500926</v>
      </c>
      <c r="T51" s="106">
        <v>0.10486133167837398</v>
      </c>
      <c r="U51" s="106">
        <v>89.593521786002725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5.1972405397451897</v>
      </c>
      <c r="AO51" s="106">
        <v>4440.5223171582902</v>
      </c>
      <c r="AP51" s="106">
        <v>3.1305392711212714</v>
      </c>
      <c r="AQ51" s="106">
        <v>2674.732753246014</v>
      </c>
      <c r="AR51" s="106">
        <v>0.88183172858231718</v>
      </c>
      <c r="AS51" s="106">
        <v>753.43702890073178</v>
      </c>
      <c r="AT51" s="106">
        <v>3.5061212033874121</v>
      </c>
      <c r="AU51" s="106">
        <v>2995.6299561742048</v>
      </c>
      <c r="AV51" s="106">
        <v>1.6179382929093582</v>
      </c>
      <c r="AW51" s="106">
        <v>1382.3664774617557</v>
      </c>
      <c r="AX51" s="106">
        <v>3.8598102300274681</v>
      </c>
      <c r="AY51" s="106">
        <v>3297.8218605354687</v>
      </c>
      <c r="AZ51" s="106">
        <v>4.4407740067886241</v>
      </c>
      <c r="BA51" s="106">
        <v>3794.1973114002003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0.46899590228166271</v>
      </c>
      <c r="CA51" s="106">
        <v>400.7100989094526</v>
      </c>
      <c r="CB51" s="106">
        <v>0.29783093693315588</v>
      </c>
      <c r="CC51" s="106">
        <v>254.46675251568837</v>
      </c>
      <c r="CD51" s="106">
        <v>0</v>
      </c>
      <c r="CE51" s="106">
        <v>0</v>
      </c>
      <c r="CF51" s="106">
        <v>0.38171073122829169</v>
      </c>
      <c r="CG51" s="106">
        <v>326.13364876145243</v>
      </c>
      <c r="CH51" s="106">
        <v>0</v>
      </c>
      <c r="CI51" s="106">
        <v>0</v>
      </c>
      <c r="CJ51" s="106">
        <v>0</v>
      </c>
      <c r="CK51" s="106">
        <v>0</v>
      </c>
      <c r="CL51" s="106">
        <v>0.4496562767254047</v>
      </c>
      <c r="CM51" s="106">
        <v>384.18632283418577</v>
      </c>
      <c r="CN51" s="106">
        <v>0.17443858636530968</v>
      </c>
      <c r="CO51" s="106">
        <v>149.0403281905206</v>
      </c>
      <c r="CP51" s="106">
        <v>0.41052224321402125</v>
      </c>
      <c r="CQ51" s="106">
        <v>350.75020460205974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0.12578204652568181</v>
      </c>
      <c r="O52" s="106">
        <v>67.922305123868185</v>
      </c>
      <c r="P52" s="106">
        <v>5.8484575793414442E-2</v>
      </c>
      <c r="Q52" s="106">
        <v>31.581670928443799</v>
      </c>
      <c r="R52" s="106">
        <v>1.7487817435043219E-2</v>
      </c>
      <c r="S52" s="106">
        <v>9.4434214149233391</v>
      </c>
      <c r="T52" s="106">
        <v>0.12008313788975085</v>
      </c>
      <c r="U52" s="106">
        <v>64.844894460465454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4.6971379851004169</v>
      </c>
      <c r="AO52" s="106">
        <v>2536.4545119542249</v>
      </c>
      <c r="AP52" s="106">
        <v>3.1305392711212714</v>
      </c>
      <c r="AQ52" s="106">
        <v>1690.4912064054865</v>
      </c>
      <c r="AR52" s="106">
        <v>0.81568680154004725</v>
      </c>
      <c r="AS52" s="106">
        <v>440.47087283162551</v>
      </c>
      <c r="AT52" s="106">
        <v>3.5061212033874121</v>
      </c>
      <c r="AU52" s="106">
        <v>1893.3054498292024</v>
      </c>
      <c r="AV52" s="106">
        <v>1.7609696829202532</v>
      </c>
      <c r="AW52" s="106">
        <v>950.92362877693677</v>
      </c>
      <c r="AX52" s="106">
        <v>4.1819592375930821</v>
      </c>
      <c r="AY52" s="106">
        <v>2258.2579883002645</v>
      </c>
      <c r="AZ52" s="106">
        <v>4.9099036777175495</v>
      </c>
      <c r="BA52" s="106">
        <v>2651.3479859674767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0.40413131632103544</v>
      </c>
      <c r="CA52" s="106">
        <v>218.23091081335915</v>
      </c>
      <c r="CB52" s="106">
        <v>0.29783093693315588</v>
      </c>
      <c r="CC52" s="106">
        <v>160.82870594390417</v>
      </c>
      <c r="CD52" s="106">
        <v>0</v>
      </c>
      <c r="CE52" s="106">
        <v>0</v>
      </c>
      <c r="CF52" s="106">
        <v>0.38171073122829169</v>
      </c>
      <c r="CG52" s="106">
        <v>206.12379486327751</v>
      </c>
      <c r="CH52" s="106">
        <v>0</v>
      </c>
      <c r="CI52" s="106">
        <v>0</v>
      </c>
      <c r="CJ52" s="106">
        <v>0</v>
      </c>
      <c r="CK52" s="106">
        <v>0</v>
      </c>
      <c r="CL52" s="106">
        <v>0.51274412996129781</v>
      </c>
      <c r="CM52" s="106">
        <v>276.8818301791008</v>
      </c>
      <c r="CN52" s="106">
        <v>0.19518929801338283</v>
      </c>
      <c r="CO52" s="106">
        <v>105.40222092722674</v>
      </c>
      <c r="CP52" s="106">
        <v>0.48516265107111611</v>
      </c>
      <c r="CQ52" s="106">
        <v>261.98783157840268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0.12578204652568181</v>
      </c>
      <c r="O53" s="106">
        <v>51.168136526647359</v>
      </c>
      <c r="P53" s="106">
        <v>5.8488642193514677E-2</v>
      </c>
      <c r="Q53" s="106">
        <v>23.793179644321771</v>
      </c>
      <c r="R53" s="106">
        <v>1.7487817435043219E-2</v>
      </c>
      <c r="S53" s="106">
        <v>7.1140441325755814</v>
      </c>
      <c r="T53" s="106">
        <v>0.1353049441011277</v>
      </c>
      <c r="U53" s="106">
        <v>55.042051260338752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5.1972405397451897</v>
      </c>
      <c r="AO53" s="106">
        <v>2114.2374515683432</v>
      </c>
      <c r="AP53" s="106">
        <v>2.8696609985278325</v>
      </c>
      <c r="AQ53" s="106">
        <v>1167.3780942011224</v>
      </c>
      <c r="AR53" s="106">
        <v>0.75198050527920035</v>
      </c>
      <c r="AS53" s="106">
        <v>305.90566954757873</v>
      </c>
      <c r="AT53" s="106">
        <v>4.2073454440648943</v>
      </c>
      <c r="AU53" s="106">
        <v>1711.548126645599</v>
      </c>
      <c r="AV53" s="106">
        <v>1.7659244610079767</v>
      </c>
      <c r="AW53" s="106">
        <v>718.37807073804493</v>
      </c>
      <c r="AX53" s="106">
        <v>4.1700035160732831</v>
      </c>
      <c r="AY53" s="106">
        <v>1696.3574303386117</v>
      </c>
      <c r="AZ53" s="106">
        <v>4.4891409128781454</v>
      </c>
      <c r="BA53" s="106">
        <v>1826.1825233588297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0.46834617182265087</v>
      </c>
      <c r="CA53" s="106">
        <v>190.52322269745437</v>
      </c>
      <c r="CB53" s="106">
        <v>0.29783093693315588</v>
      </c>
      <c r="CC53" s="106">
        <v>121.15762514440782</v>
      </c>
      <c r="CD53" s="106">
        <v>0</v>
      </c>
      <c r="CE53" s="106">
        <v>0</v>
      </c>
      <c r="CF53" s="106">
        <v>0.42942457263182815</v>
      </c>
      <c r="CG53" s="106">
        <v>174.6899161466277</v>
      </c>
      <c r="CH53" s="106">
        <v>0</v>
      </c>
      <c r="CI53" s="106">
        <v>0</v>
      </c>
      <c r="CJ53" s="106">
        <v>0</v>
      </c>
      <c r="CK53" s="106">
        <v>0</v>
      </c>
      <c r="CL53" s="106">
        <v>0.51274412996129781</v>
      </c>
      <c r="CM53" s="106">
        <v>208.58431206825597</v>
      </c>
      <c r="CN53" s="106">
        <v>0.19546132682566428</v>
      </c>
      <c r="CO53" s="106">
        <v>79.513667752680234</v>
      </c>
      <c r="CP53" s="106">
        <v>0.44784244714256877</v>
      </c>
      <c r="CQ53" s="106">
        <v>182.18230749759698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0.12574696284904463</v>
      </c>
      <c r="O54" s="106">
        <v>42.100083161860141</v>
      </c>
      <c r="P54" s="106">
        <v>5.3984823870820965E-2</v>
      </c>
      <c r="Q54" s="106">
        <v>18.074119031950861</v>
      </c>
      <c r="R54" s="106">
        <v>1.7490339646455199E-2</v>
      </c>
      <c r="S54" s="106">
        <v>5.8557657136332004</v>
      </c>
      <c r="T54" s="106">
        <v>0.12177444969101496</v>
      </c>
      <c r="U54" s="106">
        <v>40.770085756551808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4.6971379851004169</v>
      </c>
      <c r="AO54" s="106">
        <v>1572.6017974116196</v>
      </c>
      <c r="AP54" s="106">
        <v>2.8696609985278325</v>
      </c>
      <c r="AQ54" s="106">
        <v>960.76250230711833</v>
      </c>
      <c r="AR54" s="106">
        <v>0.81324817075862421</v>
      </c>
      <c r="AS54" s="106">
        <v>272.27548756998738</v>
      </c>
      <c r="AT54" s="106">
        <v>3.8567333237261532</v>
      </c>
      <c r="AU54" s="106">
        <v>1291.2343167835161</v>
      </c>
      <c r="AV54" s="106">
        <v>1.7609696829202532</v>
      </c>
      <c r="AW54" s="106">
        <v>589.57264984170081</v>
      </c>
      <c r="AX54" s="106">
        <v>3.8538323692675687</v>
      </c>
      <c r="AY54" s="106">
        <v>1290.2630772307821</v>
      </c>
      <c r="AZ54" s="106">
        <v>4.5353801033628445</v>
      </c>
      <c r="BA54" s="106">
        <v>1518.4452586058803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0.53580967961932535</v>
      </c>
      <c r="CA54" s="106">
        <v>179.38908073655014</v>
      </c>
      <c r="CB54" s="106">
        <v>0.33505980404980035</v>
      </c>
      <c r="CC54" s="106">
        <v>112.17802239587316</v>
      </c>
      <c r="CD54" s="106">
        <v>0</v>
      </c>
      <c r="CE54" s="106">
        <v>0</v>
      </c>
      <c r="CF54" s="106">
        <v>0.42942457263182815</v>
      </c>
      <c r="CG54" s="106">
        <v>143.77134691713607</v>
      </c>
      <c r="CH54" s="106">
        <v>0</v>
      </c>
      <c r="CI54" s="106">
        <v>0</v>
      </c>
      <c r="CJ54" s="106">
        <v>0</v>
      </c>
      <c r="CK54" s="106">
        <v>0</v>
      </c>
      <c r="CL54" s="106">
        <v>0.51319086907652856</v>
      </c>
      <c r="CM54" s="106">
        <v>171.81630296682178</v>
      </c>
      <c r="CN54" s="106">
        <v>0.17471061517759109</v>
      </c>
      <c r="CO54" s="106">
        <v>58.493113961457503</v>
      </c>
      <c r="CP54" s="106">
        <v>0.48516265107111611</v>
      </c>
      <c r="CQ54" s="106">
        <v>162.43245557860968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0.11323190881442335</v>
      </c>
      <c r="O55" s="106">
        <v>75.140694689251347</v>
      </c>
      <c r="P55" s="106">
        <v>4.9493204748427964E-2</v>
      </c>
      <c r="Q55" s="106">
        <v>32.843690671056798</v>
      </c>
      <c r="R55" s="106">
        <v>1.7490339646455199E-2</v>
      </c>
      <c r="S55" s="106">
        <v>11.60658938938767</v>
      </c>
      <c r="T55" s="106">
        <v>0.12515707329354311</v>
      </c>
      <c r="U55" s="106">
        <v>83.05423383759522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5.1972405397451897</v>
      </c>
      <c r="AO55" s="106">
        <v>3448.888822174908</v>
      </c>
      <c r="AP55" s="106">
        <v>3.1305392711212714</v>
      </c>
      <c r="AQ55" s="106">
        <v>2077.4258603160756</v>
      </c>
      <c r="AR55" s="106">
        <v>0.88183172858231718</v>
      </c>
      <c r="AS55" s="106">
        <v>585.18353508722566</v>
      </c>
      <c r="AT55" s="106">
        <v>3.5061212033874121</v>
      </c>
      <c r="AU55" s="106">
        <v>2326.6620305678866</v>
      </c>
      <c r="AV55" s="106">
        <v>1.7659244610079767</v>
      </c>
      <c r="AW55" s="106">
        <v>1171.8674723248935</v>
      </c>
      <c r="AX55" s="106">
        <v>3.8657880907873676</v>
      </c>
      <c r="AY55" s="106">
        <v>2565.3369770464974</v>
      </c>
      <c r="AZ55" s="106">
        <v>4.8165387485794762</v>
      </c>
      <c r="BA55" s="106">
        <v>3196.2551135573403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0.4696456327406745</v>
      </c>
      <c r="CA55" s="106">
        <v>311.65684188671162</v>
      </c>
      <c r="CB55" s="106">
        <v>0.29783093693315588</v>
      </c>
      <c r="CC55" s="106">
        <v>197.64060974884225</v>
      </c>
      <c r="CD55" s="106">
        <v>0</v>
      </c>
      <c r="CE55" s="106">
        <v>0</v>
      </c>
      <c r="CF55" s="106">
        <v>0.42942457263182815</v>
      </c>
      <c r="CG55" s="106">
        <v>284.96614639848116</v>
      </c>
      <c r="CH55" s="106">
        <v>0</v>
      </c>
      <c r="CI55" s="106">
        <v>0</v>
      </c>
      <c r="CJ55" s="106">
        <v>0</v>
      </c>
      <c r="CK55" s="106">
        <v>0</v>
      </c>
      <c r="CL55" s="106">
        <v>0.5136376081917593</v>
      </c>
      <c r="CM55" s="106">
        <v>340.8499167960515</v>
      </c>
      <c r="CN55" s="106">
        <v>0.19546132682566428</v>
      </c>
      <c r="CO55" s="106">
        <v>129.70813648151082</v>
      </c>
      <c r="CP55" s="106">
        <v>0.48516265107111611</v>
      </c>
      <c r="CQ55" s="106">
        <v>321.95393525079265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0.13413069737148359</v>
      </c>
      <c r="K56" s="106">
        <v>154.35760653510332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0.36166775393909001</v>
      </c>
      <c r="W56" s="106">
        <v>416.20725123310478</v>
      </c>
      <c r="X56" s="106">
        <v>0.6318875005705048</v>
      </c>
      <c r="Y56" s="106">
        <v>727.17613565653687</v>
      </c>
      <c r="Z56" s="106">
        <v>0</v>
      </c>
      <c r="AA56" s="106">
        <v>0</v>
      </c>
      <c r="AB56" s="106">
        <v>0</v>
      </c>
      <c r="AC56" s="106">
        <v>0</v>
      </c>
      <c r="AD56" s="106">
        <v>0.11650794885288421</v>
      </c>
      <c r="AE56" s="106">
        <v>134.07734753989914</v>
      </c>
      <c r="AF56" s="106">
        <v>4.9645651940496138E-2</v>
      </c>
      <c r="AG56" s="106">
        <v>57.132216253122955</v>
      </c>
      <c r="AH56" s="106">
        <v>0</v>
      </c>
      <c r="AI56" s="106">
        <v>0</v>
      </c>
      <c r="AJ56" s="106">
        <v>0</v>
      </c>
      <c r="AK56" s="106">
        <v>0</v>
      </c>
      <c r="AL56" s="106">
        <v>4.5906309477648788E-2</v>
      </c>
      <c r="AM56" s="106">
        <v>52.828980946878225</v>
      </c>
      <c r="AN56" s="106">
        <v>0.12119752965007759</v>
      </c>
      <c r="AO56" s="106">
        <v>139.47411712130929</v>
      </c>
      <c r="AP56" s="106">
        <v>5.3711732212306587E-2</v>
      </c>
      <c r="AQ56" s="106">
        <v>61.811461429922417</v>
      </c>
      <c r="AR56" s="106">
        <v>6.6244207020245027E-2</v>
      </c>
      <c r="AS56" s="106">
        <v>76.233833438897975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0.31805206138922476</v>
      </c>
      <c r="CK56" s="106">
        <v>366.01431224671984</v>
      </c>
      <c r="CL56" s="106">
        <v>0.52448530442515995</v>
      </c>
      <c r="CM56" s="106">
        <v>603.57768833247405</v>
      </c>
      <c r="CN56" s="106">
        <v>0</v>
      </c>
      <c r="CO56" s="106">
        <v>0</v>
      </c>
      <c r="CP56" s="106">
        <v>0.53955308429382476</v>
      </c>
      <c r="CQ56" s="106">
        <v>620.91768940533348</v>
      </c>
      <c r="CR56" s="106">
        <v>0.29498534311474395</v>
      </c>
      <c r="CS56" s="106">
        <v>339.46913285644735</v>
      </c>
      <c r="CT56" s="106">
        <v>0.34427904116578717</v>
      </c>
      <c r="CU56" s="106">
        <v>396.19632057358785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0.11319682513778619</v>
      </c>
      <c r="O57" s="106">
        <v>159.74335963444386</v>
      </c>
      <c r="P57" s="106">
        <v>4.9489138348327723E-2</v>
      </c>
      <c r="Q57" s="106">
        <v>69.839072037160079</v>
      </c>
      <c r="R57" s="106">
        <v>1.7485295223631243E-2</v>
      </c>
      <c r="S57" s="106">
        <v>24.675248619588412</v>
      </c>
      <c r="T57" s="106">
        <v>9.8096084473317594E-2</v>
      </c>
      <c r="U57" s="106">
        <v>138.43319440874581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4.6971379851004169</v>
      </c>
      <c r="AO57" s="106">
        <v>6628.6011245737081</v>
      </c>
      <c r="AP57" s="106">
        <v>2.8696609985278325</v>
      </c>
      <c r="AQ57" s="106">
        <v>4049.6656011224773</v>
      </c>
      <c r="AR57" s="106">
        <v>0.74710324371635417</v>
      </c>
      <c r="AS57" s="106">
        <v>1054.3120975325191</v>
      </c>
      <c r="AT57" s="106">
        <v>3.8567333237261532</v>
      </c>
      <c r="AU57" s="106">
        <v>5442.6220664423472</v>
      </c>
      <c r="AV57" s="106">
        <v>1.9040010729311487</v>
      </c>
      <c r="AW57" s="106">
        <v>2686.9263141204374</v>
      </c>
      <c r="AX57" s="106">
        <v>3.8598102300274681</v>
      </c>
      <c r="AY57" s="106">
        <v>5446.9641966147628</v>
      </c>
      <c r="AZ57" s="106">
        <v>3.8361183378128358</v>
      </c>
      <c r="BA57" s="106">
        <v>5413.530198321474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0.46769644136363903</v>
      </c>
      <c r="CA57" s="106">
        <v>660.01321805236739</v>
      </c>
      <c r="CB57" s="106">
        <v>0.29783093693315588</v>
      </c>
      <c r="CC57" s="106">
        <v>420.29901820006961</v>
      </c>
      <c r="CD57" s="106">
        <v>0</v>
      </c>
      <c r="CE57" s="106">
        <v>0</v>
      </c>
      <c r="CF57" s="106">
        <v>0.42942457263182815</v>
      </c>
      <c r="CG57" s="106">
        <v>606.00395689803588</v>
      </c>
      <c r="CH57" s="106">
        <v>0</v>
      </c>
      <c r="CI57" s="106">
        <v>0</v>
      </c>
      <c r="CJ57" s="106">
        <v>0</v>
      </c>
      <c r="CK57" s="106">
        <v>0</v>
      </c>
      <c r="CL57" s="106">
        <v>0.45010301584063539</v>
      </c>
      <c r="CM57" s="106">
        <v>635.18537595430473</v>
      </c>
      <c r="CN57" s="106">
        <v>0.19546132682566428</v>
      </c>
      <c r="CO57" s="106">
        <v>275.83502441637745</v>
      </c>
      <c r="CP57" s="106">
        <v>0.44784244714256877</v>
      </c>
      <c r="CQ57" s="106">
        <v>631.99526140759303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0.12381295141983101</v>
      </c>
      <c r="K58" s="106">
        <v>145.75260641142506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0.43500800823184183</v>
      </c>
      <c r="W58" s="106">
        <v>512.09142729052417</v>
      </c>
      <c r="X58" s="106">
        <v>0.57645877245028498</v>
      </c>
      <c r="Y58" s="106">
        <v>678.6072669284755</v>
      </c>
      <c r="Z58" s="106">
        <v>0</v>
      </c>
      <c r="AA58" s="106">
        <v>0</v>
      </c>
      <c r="AB58" s="106">
        <v>0</v>
      </c>
      <c r="AC58" s="106">
        <v>0</v>
      </c>
      <c r="AD58" s="106">
        <v>0.11653879357906995</v>
      </c>
      <c r="AE58" s="106">
        <v>137.18946780128115</v>
      </c>
      <c r="AF58" s="106">
        <v>4.6542798694215126E-2</v>
      </c>
      <c r="AG58" s="106">
        <v>54.790182622830052</v>
      </c>
      <c r="AH58" s="106">
        <v>0</v>
      </c>
      <c r="AI58" s="106">
        <v>0</v>
      </c>
      <c r="AJ58" s="106">
        <v>0</v>
      </c>
      <c r="AK58" s="106">
        <v>0</v>
      </c>
      <c r="AL58" s="106">
        <v>4.1345491788100895E-2</v>
      </c>
      <c r="AM58" s="106">
        <v>48.671912932952374</v>
      </c>
      <c r="AN58" s="106">
        <v>0.12110044128530145</v>
      </c>
      <c r="AO58" s="106">
        <v>142.55943948105687</v>
      </c>
      <c r="AP58" s="106">
        <v>4.8880421360209821E-2</v>
      </c>
      <c r="AQ58" s="106">
        <v>57.542032025239003</v>
      </c>
      <c r="AR58" s="106">
        <v>7.1747160099371793E-2</v>
      </c>
      <c r="AS58" s="106">
        <v>84.460756868980482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0.38018956682728267</v>
      </c>
      <c r="CK58" s="106">
        <v>447.55915806907717</v>
      </c>
      <c r="CL58" s="106">
        <v>0.59941177648589705</v>
      </c>
      <c r="CM58" s="106">
        <v>705.62754327919799</v>
      </c>
      <c r="CN58" s="106">
        <v>0</v>
      </c>
      <c r="CO58" s="106">
        <v>0</v>
      </c>
      <c r="CP58" s="106">
        <v>0.53872901789533245</v>
      </c>
      <c r="CQ58" s="106">
        <v>634.1917998663854</v>
      </c>
      <c r="CR58" s="106">
        <v>0.27223752467171081</v>
      </c>
      <c r="CS58" s="106">
        <v>320.478014043538</v>
      </c>
      <c r="CT58" s="106">
        <v>0.3817514041040771</v>
      </c>
      <c r="CU58" s="106">
        <v>449.39775291131957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0.13831464239862168</v>
      </c>
      <c r="O59" s="106">
        <v>41.992325432221534</v>
      </c>
      <c r="P59" s="106">
        <v>6.2980261315907671E-2</v>
      </c>
      <c r="Q59" s="106">
        <v>19.120807335509568</v>
      </c>
      <c r="R59" s="106">
        <v>1.9984996120872831E-2</v>
      </c>
      <c r="S59" s="106">
        <v>6.0674448222969906</v>
      </c>
      <c r="T59" s="106">
        <v>0.11839182608848677</v>
      </c>
      <c r="U59" s="106">
        <v>35.943758400464581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4.7069487347652892</v>
      </c>
      <c r="AO59" s="106">
        <v>1429.0296358747416</v>
      </c>
      <c r="AP59" s="106">
        <v>2.8696609985278325</v>
      </c>
      <c r="AQ59" s="106">
        <v>871.22907915304984</v>
      </c>
      <c r="AR59" s="106">
        <v>0.88183172858231718</v>
      </c>
      <c r="AS59" s="106">
        <v>267.72411279759149</v>
      </c>
      <c r="AT59" s="106">
        <v>3.8567333237261532</v>
      </c>
      <c r="AU59" s="106">
        <v>1170.9042370832599</v>
      </c>
      <c r="AV59" s="106">
        <v>1.7659244610079767</v>
      </c>
      <c r="AW59" s="106">
        <v>536.13466636202168</v>
      </c>
      <c r="AX59" s="106">
        <v>4.1819592375930821</v>
      </c>
      <c r="AY59" s="106">
        <v>1269.6428245332595</v>
      </c>
      <c r="AZ59" s="106">
        <v>4.3971944608099536</v>
      </c>
      <c r="BA59" s="106">
        <v>1334.9882383019017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0.47029536319968623</v>
      </c>
      <c r="CA59" s="106">
        <v>142.78167226742474</v>
      </c>
      <c r="CB59" s="106">
        <v>0.33505980404980035</v>
      </c>
      <c r="CC59" s="106">
        <v>101.72415650951937</v>
      </c>
      <c r="CD59" s="106">
        <v>0</v>
      </c>
      <c r="CE59" s="106">
        <v>0</v>
      </c>
      <c r="CF59" s="106">
        <v>0.42942457263182815</v>
      </c>
      <c r="CG59" s="106">
        <v>130.37330025102301</v>
      </c>
      <c r="CH59" s="106">
        <v>0</v>
      </c>
      <c r="CI59" s="106">
        <v>0</v>
      </c>
      <c r="CJ59" s="106">
        <v>0</v>
      </c>
      <c r="CK59" s="106">
        <v>0</v>
      </c>
      <c r="CL59" s="106">
        <v>0.45099649407109693</v>
      </c>
      <c r="CM59" s="106">
        <v>136.92253559998503</v>
      </c>
      <c r="CN59" s="106">
        <v>0.19573335563794569</v>
      </c>
      <c r="CO59" s="106">
        <v>59.424646771680308</v>
      </c>
      <c r="CP59" s="106">
        <v>0.44784244714256877</v>
      </c>
      <c r="CQ59" s="106">
        <v>135.96496695248385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0.12578204652568181</v>
      </c>
      <c r="O60" s="106">
        <v>81.959581516134278</v>
      </c>
      <c r="P60" s="106">
        <v>5.8480509393314201E-2</v>
      </c>
      <c r="Q60" s="106">
        <v>38.105899920683534</v>
      </c>
      <c r="R60" s="106">
        <v>1.7487817435043219E-2</v>
      </c>
      <c r="S60" s="106">
        <v>11.395061840674162</v>
      </c>
      <c r="T60" s="106">
        <v>0.12177444969101496</v>
      </c>
      <c r="U60" s="106">
        <v>79.34823141866535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4.6873272354355437</v>
      </c>
      <c r="AO60" s="106">
        <v>3054.2624266098005</v>
      </c>
      <c r="AP60" s="106">
        <v>3.1305392711212714</v>
      </c>
      <c r="AQ60" s="106">
        <v>2039.8593890626205</v>
      </c>
      <c r="AR60" s="106">
        <v>0.81568680154004725</v>
      </c>
      <c r="AS60" s="106">
        <v>531.50151988349478</v>
      </c>
      <c r="AT60" s="106">
        <v>3.5061212033874121</v>
      </c>
      <c r="AU60" s="106">
        <v>2284.588576127238</v>
      </c>
      <c r="AV60" s="106">
        <v>1.7609696829202532</v>
      </c>
      <c r="AW60" s="106">
        <v>1147.4478453908371</v>
      </c>
      <c r="AX60" s="106">
        <v>4.486174662878998</v>
      </c>
      <c r="AY60" s="106">
        <v>2923.191410331955</v>
      </c>
      <c r="AZ60" s="106">
        <v>4.7210461038365805</v>
      </c>
      <c r="BA60" s="106">
        <v>3076.2336412599161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0.46834617182265087</v>
      </c>
      <c r="CA60" s="106">
        <v>305.17436555963934</v>
      </c>
      <c r="CB60" s="106">
        <v>0.33505980404980035</v>
      </c>
      <c r="CC60" s="106">
        <v>218.32496831884993</v>
      </c>
      <c r="CD60" s="106">
        <v>0</v>
      </c>
      <c r="CE60" s="106">
        <v>0</v>
      </c>
      <c r="CF60" s="106">
        <v>0.42942457263182815</v>
      </c>
      <c r="CG60" s="106">
        <v>279.81305152689924</v>
      </c>
      <c r="CH60" s="106">
        <v>0</v>
      </c>
      <c r="CI60" s="106">
        <v>0</v>
      </c>
      <c r="CJ60" s="106">
        <v>0</v>
      </c>
      <c r="CK60" s="106">
        <v>0</v>
      </c>
      <c r="CL60" s="106">
        <v>0.44920953761017407</v>
      </c>
      <c r="CM60" s="106">
        <v>292.70493470678946</v>
      </c>
      <c r="CN60" s="106">
        <v>0.19600538445022717</v>
      </c>
      <c r="CO60" s="106">
        <v>127.71710850776803</v>
      </c>
      <c r="CP60" s="106">
        <v>0.44784244714256877</v>
      </c>
      <c r="CQ60" s="106">
        <v>291.8141385580978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0.12578204652568181</v>
      </c>
      <c r="O61" s="106">
        <v>119.6941954738388</v>
      </c>
      <c r="P61" s="106">
        <v>4.9489138348327723E-2</v>
      </c>
      <c r="Q61" s="106">
        <v>47.093864052268657</v>
      </c>
      <c r="R61" s="106">
        <v>1.9982473909460858E-2</v>
      </c>
      <c r="S61" s="106">
        <v>19.01532217224295</v>
      </c>
      <c r="T61" s="106">
        <v>0.10824395528090218</v>
      </c>
      <c r="U61" s="106">
        <v>103.0049478453065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4.1970354304556423</v>
      </c>
      <c r="AO61" s="106">
        <v>3993.8989156215889</v>
      </c>
      <c r="AP61" s="106">
        <v>2.6087827259343932</v>
      </c>
      <c r="AQ61" s="106">
        <v>2482.5176419991685</v>
      </c>
      <c r="AR61" s="106">
        <v>0.88183172858231718</v>
      </c>
      <c r="AS61" s="106">
        <v>839.15107291893298</v>
      </c>
      <c r="AT61" s="106">
        <v>3.8567333237261532</v>
      </c>
      <c r="AU61" s="106">
        <v>3670.0674308578068</v>
      </c>
      <c r="AV61" s="106">
        <v>1.7659244610079767</v>
      </c>
      <c r="AW61" s="106">
        <v>1680.4537170951905</v>
      </c>
      <c r="AX61" s="106">
        <v>4.1759813768331826</v>
      </c>
      <c r="AY61" s="106">
        <v>3973.863878194456</v>
      </c>
      <c r="AZ61" s="106">
        <v>4.5360893418977852</v>
      </c>
      <c r="BA61" s="106">
        <v>4316.5426177499321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0.46834617182265087</v>
      </c>
      <c r="CA61" s="106">
        <v>445.67821710643454</v>
      </c>
      <c r="CB61" s="106">
        <v>0.26060206981651141</v>
      </c>
      <c r="CC61" s="106">
        <v>247.98892963739223</v>
      </c>
      <c r="CD61" s="106">
        <v>0</v>
      </c>
      <c r="CE61" s="106">
        <v>0</v>
      </c>
      <c r="CF61" s="106">
        <v>0.42942457263182815</v>
      </c>
      <c r="CG61" s="106">
        <v>408.64042331644765</v>
      </c>
      <c r="CH61" s="106">
        <v>0</v>
      </c>
      <c r="CI61" s="106">
        <v>0</v>
      </c>
      <c r="CJ61" s="106">
        <v>0</v>
      </c>
      <c r="CK61" s="106">
        <v>0</v>
      </c>
      <c r="CL61" s="106">
        <v>0.45054975495586613</v>
      </c>
      <c r="CM61" s="106">
        <v>428.7431468160022</v>
      </c>
      <c r="CN61" s="106">
        <v>0.19573335563794569</v>
      </c>
      <c r="CO61" s="106">
        <v>186.2598612250691</v>
      </c>
      <c r="CP61" s="106">
        <v>0.48516265107111611</v>
      </c>
      <c r="CQ61" s="106">
        <v>461.68077875927406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0.11323190881442335</v>
      </c>
      <c r="O62" s="106">
        <v>193.0830509103547</v>
      </c>
      <c r="P62" s="106">
        <v>4.4993452825834487E-2</v>
      </c>
      <c r="Q62" s="106">
        <v>76.722835758612973</v>
      </c>
      <c r="R62" s="106">
        <v>1.4990638749213608E-2</v>
      </c>
      <c r="S62" s="106">
        <v>25.562037195159046</v>
      </c>
      <c r="T62" s="106">
        <v>0.10147870807584579</v>
      </c>
      <c r="U62" s="106">
        <v>173.04149301093224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4.18722468079077</v>
      </c>
      <c r="AO62" s="106">
        <v>7140.0555256844209</v>
      </c>
      <c r="AP62" s="106">
        <v>2.3479044533409539</v>
      </c>
      <c r="AQ62" s="106">
        <v>4003.6466738369945</v>
      </c>
      <c r="AR62" s="106">
        <v>0.68095831667408424</v>
      </c>
      <c r="AS62" s="106">
        <v>1161.1701215926485</v>
      </c>
      <c r="AT62" s="106">
        <v>3.5061212033874121</v>
      </c>
      <c r="AU62" s="106">
        <v>5978.6378760162152</v>
      </c>
      <c r="AV62" s="106">
        <v>1.75601490483253</v>
      </c>
      <c r="AW62" s="106">
        <v>2994.35661572043</v>
      </c>
      <c r="AX62" s="106">
        <v>3.5376612224618542</v>
      </c>
      <c r="AY62" s="106">
        <v>6032.4199165419541</v>
      </c>
      <c r="AZ62" s="106">
        <v>3.8332813836730733</v>
      </c>
      <c r="BA62" s="106">
        <v>6536.511415439325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0.40218212494399996</v>
      </c>
      <c r="CA62" s="106">
        <v>685.80095945450876</v>
      </c>
      <c r="CB62" s="106">
        <v>0.29783093693315588</v>
      </c>
      <c r="CC62" s="106">
        <v>507.86131365841743</v>
      </c>
      <c r="CD62" s="106">
        <v>0</v>
      </c>
      <c r="CE62" s="106">
        <v>0</v>
      </c>
      <c r="CF62" s="106">
        <v>0.38171073122829169</v>
      </c>
      <c r="CG62" s="106">
        <v>650.89313889048299</v>
      </c>
      <c r="CH62" s="106">
        <v>0</v>
      </c>
      <c r="CI62" s="106">
        <v>0</v>
      </c>
      <c r="CJ62" s="106">
        <v>0</v>
      </c>
      <c r="CK62" s="106">
        <v>0</v>
      </c>
      <c r="CL62" s="106">
        <v>0.38701516260474228</v>
      </c>
      <c r="CM62" s="106">
        <v>659.9382552736065</v>
      </c>
      <c r="CN62" s="106">
        <v>0.15232773065582936</v>
      </c>
      <c r="CO62" s="106">
        <v>259.7492463143202</v>
      </c>
      <c r="CP62" s="106">
        <v>0.44784244714256877</v>
      </c>
      <c r="CQ62" s="106">
        <v>763.66094086750832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0.12578204652568181</v>
      </c>
      <c r="O63" s="106">
        <v>100.07219621583245</v>
      </c>
      <c r="P63" s="106">
        <v>5.3988890270921207E-2</v>
      </c>
      <c r="Q63" s="106">
        <v>42.953561099544913</v>
      </c>
      <c r="R63" s="106">
        <v>1.9979951698048878E-2</v>
      </c>
      <c r="S63" s="106">
        <v>15.896049570967689</v>
      </c>
      <c r="T63" s="106">
        <v>0.11839182608848677</v>
      </c>
      <c r="U63" s="106">
        <v>94.192536836000073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4.6971379851004169</v>
      </c>
      <c r="AO63" s="106">
        <v>3737.0429809458919</v>
      </c>
      <c r="AP63" s="106">
        <v>2.8696609985278325</v>
      </c>
      <c r="AQ63" s="106">
        <v>2283.1022904287438</v>
      </c>
      <c r="AR63" s="106">
        <v>0.81812543232147028</v>
      </c>
      <c r="AS63" s="106">
        <v>650.90059395496178</v>
      </c>
      <c r="AT63" s="106">
        <v>3.8567333237261532</v>
      </c>
      <c r="AU63" s="106">
        <v>3068.4170323565277</v>
      </c>
      <c r="AV63" s="106">
        <v>1.9089558510188718</v>
      </c>
      <c r="AW63" s="106">
        <v>1518.7652750706145</v>
      </c>
      <c r="AX63" s="106">
        <v>3.8657880907873676</v>
      </c>
      <c r="AY63" s="106">
        <v>3075.6210050304298</v>
      </c>
      <c r="AZ63" s="106">
        <v>4.7678172232224858</v>
      </c>
      <c r="BA63" s="106">
        <v>3793.2753827958099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0.46899590228166271</v>
      </c>
      <c r="CA63" s="106">
        <v>373.13313985529089</v>
      </c>
      <c r="CB63" s="106">
        <v>0.29783093693315588</v>
      </c>
      <c r="CC63" s="106">
        <v>236.95429342401883</v>
      </c>
      <c r="CD63" s="106">
        <v>0</v>
      </c>
      <c r="CE63" s="106">
        <v>0</v>
      </c>
      <c r="CF63" s="106">
        <v>0.38171073122829169</v>
      </c>
      <c r="CG63" s="106">
        <v>303.68905776522888</v>
      </c>
      <c r="CH63" s="106">
        <v>0</v>
      </c>
      <c r="CI63" s="106">
        <v>0</v>
      </c>
      <c r="CJ63" s="106">
        <v>0</v>
      </c>
      <c r="CK63" s="106">
        <v>0</v>
      </c>
      <c r="CL63" s="106">
        <v>0.5136376081917593</v>
      </c>
      <c r="CM63" s="106">
        <v>408.65008107736372</v>
      </c>
      <c r="CN63" s="106">
        <v>0.19573335563794569</v>
      </c>
      <c r="CO63" s="106">
        <v>155.72545774554959</v>
      </c>
      <c r="CP63" s="106">
        <v>0.44784244714256877</v>
      </c>
      <c r="CQ63" s="106">
        <v>356.30345094662772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0.12574696284904463</v>
      </c>
      <c r="O64" s="106">
        <v>126.90383490725581</v>
      </c>
      <c r="P64" s="106">
        <v>4.9493204748427964E-2</v>
      </c>
      <c r="Q64" s="106">
        <v>49.948542232113496</v>
      </c>
      <c r="R64" s="106">
        <v>1.9984996120872831E-2</v>
      </c>
      <c r="S64" s="106">
        <v>20.168858085184858</v>
      </c>
      <c r="T64" s="106">
        <v>0.10147870807584579</v>
      </c>
      <c r="U64" s="106">
        <v>102.41231219014355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4.6971379851004169</v>
      </c>
      <c r="AO64" s="106">
        <v>4740.3516545633402</v>
      </c>
      <c r="AP64" s="106">
        <v>2.8696609985278325</v>
      </c>
      <c r="AQ64" s="106">
        <v>2896.0618797142879</v>
      </c>
      <c r="AR64" s="106">
        <v>0.81324817075862421</v>
      </c>
      <c r="AS64" s="106">
        <v>820.7300539296034</v>
      </c>
      <c r="AT64" s="106">
        <v>3.8567333237261532</v>
      </c>
      <c r="AU64" s="106">
        <v>3892.215270304433</v>
      </c>
      <c r="AV64" s="106">
        <v>1.6179382929093582</v>
      </c>
      <c r="AW64" s="106">
        <v>1632.8233252041241</v>
      </c>
      <c r="AX64" s="106">
        <v>4.1700035160732831</v>
      </c>
      <c r="AY64" s="106">
        <v>4208.3675484211562</v>
      </c>
      <c r="AZ64" s="106">
        <v>3.7897018376944018</v>
      </c>
      <c r="BA64" s="106">
        <v>3824.5670946011896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0.46834617182265087</v>
      </c>
      <c r="CA64" s="106">
        <v>472.65495660341918</v>
      </c>
      <c r="CB64" s="106">
        <v>0.29783093693315588</v>
      </c>
      <c r="CC64" s="106">
        <v>300.57098155294085</v>
      </c>
      <c r="CD64" s="106">
        <v>0</v>
      </c>
      <c r="CE64" s="106">
        <v>0</v>
      </c>
      <c r="CF64" s="106">
        <v>0.42942457263182815</v>
      </c>
      <c r="CG64" s="106">
        <v>433.37527870004089</v>
      </c>
      <c r="CH64" s="106">
        <v>0</v>
      </c>
      <c r="CI64" s="106">
        <v>0</v>
      </c>
      <c r="CJ64" s="106">
        <v>0</v>
      </c>
      <c r="CK64" s="106">
        <v>0</v>
      </c>
      <c r="CL64" s="106">
        <v>0.51274412996129781</v>
      </c>
      <c r="CM64" s="106">
        <v>517.46137595694165</v>
      </c>
      <c r="CN64" s="106">
        <v>0.17443858636530968</v>
      </c>
      <c r="CO64" s="106">
        <v>176.04342135987051</v>
      </c>
      <c r="CP64" s="106">
        <v>0.48516265107111611</v>
      </c>
      <c r="CQ64" s="106">
        <v>489.62614746097029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0.12576450468736322</v>
      </c>
      <c r="O65" s="106">
        <v>129.03438180923467</v>
      </c>
      <c r="P65" s="106">
        <v>5.3988890270921207E-2</v>
      </c>
      <c r="Q65" s="106">
        <v>55.39260141796516</v>
      </c>
      <c r="R65" s="106">
        <v>1.9979951698048878E-2</v>
      </c>
      <c r="S65" s="106">
        <v>20.49943044219815</v>
      </c>
      <c r="T65" s="106">
        <v>9.9787396274581691E-2</v>
      </c>
      <c r="U65" s="106">
        <v>102.38186857772081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4.6873272354355437</v>
      </c>
      <c r="AO65" s="106">
        <v>4809.1977435568679</v>
      </c>
      <c r="AP65" s="106">
        <v>2.6087827259343932</v>
      </c>
      <c r="AQ65" s="106">
        <v>2676.6110768086874</v>
      </c>
      <c r="AR65" s="106">
        <v>0.81324817075862421</v>
      </c>
      <c r="AS65" s="106">
        <v>834.39262319834847</v>
      </c>
      <c r="AT65" s="106">
        <v>3.8567333237261532</v>
      </c>
      <c r="AU65" s="106">
        <v>3957.008390143033</v>
      </c>
      <c r="AV65" s="106">
        <v>1.75601490483253</v>
      </c>
      <c r="AW65" s="106">
        <v>1801.6712923581758</v>
      </c>
      <c r="AX65" s="106">
        <v>3.5436390832217537</v>
      </c>
      <c r="AY65" s="106">
        <v>3635.7736993855192</v>
      </c>
      <c r="AZ65" s="106">
        <v>4.5344935551941683</v>
      </c>
      <c r="BA65" s="106">
        <v>4652.390387629217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0.46899590228166271</v>
      </c>
      <c r="CA65" s="106">
        <v>481.18979574098597</v>
      </c>
      <c r="CB65" s="106">
        <v>0.26060206981651141</v>
      </c>
      <c r="CC65" s="106">
        <v>267.37772363174071</v>
      </c>
      <c r="CD65" s="106">
        <v>0</v>
      </c>
      <c r="CE65" s="106">
        <v>0</v>
      </c>
      <c r="CF65" s="106">
        <v>0.42942457263182815</v>
      </c>
      <c r="CG65" s="106">
        <v>440.58961152025569</v>
      </c>
      <c r="CH65" s="106">
        <v>0</v>
      </c>
      <c r="CI65" s="106">
        <v>0</v>
      </c>
      <c r="CJ65" s="106">
        <v>0</v>
      </c>
      <c r="CK65" s="106">
        <v>0</v>
      </c>
      <c r="CL65" s="106">
        <v>0.4496562767254047</v>
      </c>
      <c r="CM65" s="106">
        <v>461.3473399202652</v>
      </c>
      <c r="CN65" s="106">
        <v>0.19518929801338283</v>
      </c>
      <c r="CO65" s="106">
        <v>200.2642197617308</v>
      </c>
      <c r="CP65" s="106">
        <v>0.41052224321402125</v>
      </c>
      <c r="CQ65" s="106">
        <v>421.1958215375858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0.12574696284904463</v>
      </c>
      <c r="O66" s="106">
        <v>149.68918457550271</v>
      </c>
      <c r="P66" s="106">
        <v>5.3984823870820965E-2</v>
      </c>
      <c r="Q66" s="106">
        <v>64.26353433582527</v>
      </c>
      <c r="R66" s="106">
        <v>1.7487817435043219E-2</v>
      </c>
      <c r="S66" s="106">
        <v>20.817497874675446</v>
      </c>
      <c r="T66" s="106">
        <v>9.8096084473317594E-2</v>
      </c>
      <c r="U66" s="106">
        <v>116.77357895703724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4.6971379851004169</v>
      </c>
      <c r="AO66" s="106">
        <v>5591.473057463536</v>
      </c>
      <c r="AP66" s="106">
        <v>2.6087827259343932</v>
      </c>
      <c r="AQ66" s="106">
        <v>3105.4949569523014</v>
      </c>
      <c r="AR66" s="106">
        <v>0.81568680154004725</v>
      </c>
      <c r="AS66" s="106">
        <v>970.9935685532721</v>
      </c>
      <c r="AT66" s="106">
        <v>3.5061212033874121</v>
      </c>
      <c r="AU66" s="106">
        <v>4173.6866805123746</v>
      </c>
      <c r="AV66" s="106">
        <v>1.6179382929093582</v>
      </c>
      <c r="AW66" s="106">
        <v>1925.9937438792997</v>
      </c>
      <c r="AX66" s="106">
        <v>3.8598102300274681</v>
      </c>
      <c r="AY66" s="106">
        <v>4594.7180978246979</v>
      </c>
      <c r="AZ66" s="106">
        <v>3.7886379798919907</v>
      </c>
      <c r="BA66" s="106">
        <v>4509.9946512634251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0.40218212494399996</v>
      </c>
      <c r="CA66" s="106">
        <v>478.75760153333749</v>
      </c>
      <c r="CB66" s="106">
        <v>0.26060206981651141</v>
      </c>
      <c r="CC66" s="106">
        <v>310.22070390957515</v>
      </c>
      <c r="CD66" s="106">
        <v>0</v>
      </c>
      <c r="CE66" s="106">
        <v>0</v>
      </c>
      <c r="CF66" s="106">
        <v>0.38171073122829169</v>
      </c>
      <c r="CG66" s="106">
        <v>454.38845445415836</v>
      </c>
      <c r="CH66" s="106">
        <v>0</v>
      </c>
      <c r="CI66" s="106">
        <v>0</v>
      </c>
      <c r="CJ66" s="106">
        <v>0</v>
      </c>
      <c r="CK66" s="106">
        <v>0</v>
      </c>
      <c r="CL66" s="106">
        <v>0.4496562767254047</v>
      </c>
      <c r="CM66" s="106">
        <v>535.27083181392175</v>
      </c>
      <c r="CN66" s="106">
        <v>0.17416655755302823</v>
      </c>
      <c r="CO66" s="106">
        <v>207.32787011112478</v>
      </c>
      <c r="CP66" s="106">
        <v>0.44784244714256877</v>
      </c>
      <c r="CQ66" s="106">
        <v>533.11164907851378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0.11323190881442335</v>
      </c>
      <c r="O67" s="106">
        <v>127.18207998036031</v>
      </c>
      <c r="P67" s="106">
        <v>5.3988890270921207E-2</v>
      </c>
      <c r="Q67" s="106">
        <v>60.640321552298701</v>
      </c>
      <c r="R67" s="106">
        <v>1.4993160960625583E-2</v>
      </c>
      <c r="S67" s="106">
        <v>16.840318390974655</v>
      </c>
      <c r="T67" s="106">
        <v>0.10486133167837398</v>
      </c>
      <c r="U67" s="106">
        <v>117.78024774114967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4.6873272354355437</v>
      </c>
      <c r="AO67" s="106">
        <v>5264.8059508412025</v>
      </c>
      <c r="AP67" s="106">
        <v>2.6087827259343932</v>
      </c>
      <c r="AQ67" s="106">
        <v>2930.1847577695107</v>
      </c>
      <c r="AR67" s="106">
        <v>0.74954187449777721</v>
      </c>
      <c r="AS67" s="106">
        <v>841.88543343590334</v>
      </c>
      <c r="AT67" s="106">
        <v>3.5061212033874121</v>
      </c>
      <c r="AU67" s="106">
        <v>3938.0753356447412</v>
      </c>
      <c r="AV67" s="106">
        <v>1.6179382929093582</v>
      </c>
      <c r="AW67" s="106">
        <v>1817.2682905957913</v>
      </c>
      <c r="AX67" s="106">
        <v>3.8598102300274681</v>
      </c>
      <c r="AY67" s="106">
        <v>4335.3388503668521</v>
      </c>
      <c r="AZ67" s="106">
        <v>3.6943865025852411</v>
      </c>
      <c r="BA67" s="106">
        <v>4149.5349197037431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0.40283185540301175</v>
      </c>
      <c r="CA67" s="106">
        <v>452.46073998866279</v>
      </c>
      <c r="CB67" s="106">
        <v>0.29783093693315588</v>
      </c>
      <c r="CC67" s="106">
        <v>334.52370836332068</v>
      </c>
      <c r="CD67" s="106">
        <v>0</v>
      </c>
      <c r="CE67" s="106">
        <v>0</v>
      </c>
      <c r="CF67" s="106">
        <v>0.38171073122829169</v>
      </c>
      <c r="CG67" s="106">
        <v>428.73749331561726</v>
      </c>
      <c r="CH67" s="106">
        <v>0</v>
      </c>
      <c r="CI67" s="106">
        <v>0</v>
      </c>
      <c r="CJ67" s="106">
        <v>0</v>
      </c>
      <c r="CK67" s="106">
        <v>0</v>
      </c>
      <c r="CL67" s="106">
        <v>0.51319086907652856</v>
      </c>
      <c r="CM67" s="106">
        <v>576.41598414675684</v>
      </c>
      <c r="CN67" s="106">
        <v>0.17389452874074682</v>
      </c>
      <c r="CO67" s="106">
        <v>195.31833468160684</v>
      </c>
      <c r="CP67" s="106">
        <v>0.41052224321402125</v>
      </c>
      <c r="CQ67" s="106">
        <v>461.09858357798868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0.11323190881442335</v>
      </c>
      <c r="O68" s="106">
        <v>116.99120818706221</v>
      </c>
      <c r="P68" s="106">
        <v>4.9493204748427964E-2</v>
      </c>
      <c r="Q68" s="106">
        <v>51.136379146075775</v>
      </c>
      <c r="R68" s="106">
        <v>1.7490339646455199E-2</v>
      </c>
      <c r="S68" s="106">
        <v>18.071018922717514</v>
      </c>
      <c r="T68" s="106">
        <v>0.10147870807584579</v>
      </c>
      <c r="U68" s="106">
        <v>104.84780118396387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4.6873272354355437</v>
      </c>
      <c r="AO68" s="106">
        <v>4842.9464996520037</v>
      </c>
      <c r="AP68" s="106">
        <v>2.6087827259343932</v>
      </c>
      <c r="AQ68" s="106">
        <v>2695.394312435415</v>
      </c>
      <c r="AR68" s="106">
        <v>0.81324817075862421</v>
      </c>
      <c r="AS68" s="106">
        <v>840.24801002781055</v>
      </c>
      <c r="AT68" s="106">
        <v>3.5061212033874121</v>
      </c>
      <c r="AU68" s="106">
        <v>3622.5244273398744</v>
      </c>
      <c r="AV68" s="106">
        <v>1.6179382929093582</v>
      </c>
      <c r="AW68" s="106">
        <v>1671.653844233949</v>
      </c>
      <c r="AX68" s="106">
        <v>4.1700035160732831</v>
      </c>
      <c r="AY68" s="106">
        <v>4308.4476328069159</v>
      </c>
      <c r="AZ68" s="106">
        <v>3.7886379798919907</v>
      </c>
      <c r="BA68" s="106">
        <v>3914.4207608244051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0.46834617182265087</v>
      </c>
      <c r="CA68" s="106">
        <v>483.8952647271629</v>
      </c>
      <c r="CB68" s="106">
        <v>0.29783093693315588</v>
      </c>
      <c r="CC68" s="106">
        <v>307.71892403933668</v>
      </c>
      <c r="CD68" s="106">
        <v>0</v>
      </c>
      <c r="CE68" s="106">
        <v>0</v>
      </c>
      <c r="CF68" s="106">
        <v>0.38171073122829169</v>
      </c>
      <c r="CG68" s="106">
        <v>394.38352750507102</v>
      </c>
      <c r="CH68" s="106">
        <v>0</v>
      </c>
      <c r="CI68" s="106">
        <v>0</v>
      </c>
      <c r="CJ68" s="106">
        <v>0</v>
      </c>
      <c r="CK68" s="106">
        <v>0</v>
      </c>
      <c r="CL68" s="106">
        <v>0.45054975495586613</v>
      </c>
      <c r="CM68" s="106">
        <v>465.50800682040091</v>
      </c>
      <c r="CN68" s="106">
        <v>0.19573335563794569</v>
      </c>
      <c r="CO68" s="106">
        <v>202.2317030451255</v>
      </c>
      <c r="CP68" s="106">
        <v>0.41052224321402125</v>
      </c>
      <c r="CQ68" s="106">
        <v>424.15158168872676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0.12576450468736322</v>
      </c>
      <c r="O69" s="106">
        <v>95.379800354896261</v>
      </c>
      <c r="P69" s="106">
        <v>4.9493204748427964E-2</v>
      </c>
      <c r="Q69" s="106">
        <v>37.53564648120777</v>
      </c>
      <c r="R69" s="106">
        <v>1.7490339646455199E-2</v>
      </c>
      <c r="S69" s="106">
        <v>13.264673587871622</v>
      </c>
      <c r="T69" s="106">
        <v>0.11839182608848677</v>
      </c>
      <c r="U69" s="106">
        <v>89.788360905508355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5.1972405397451897</v>
      </c>
      <c r="AO69" s="106">
        <v>3941.5872253427519</v>
      </c>
      <c r="AP69" s="106">
        <v>2.8696609985278325</v>
      </c>
      <c r="AQ69" s="106">
        <v>2176.3509012835079</v>
      </c>
      <c r="AR69" s="106">
        <v>0.74954187449777721</v>
      </c>
      <c r="AS69" s="106">
        <v>568.45255761911426</v>
      </c>
      <c r="AT69" s="106">
        <v>3.8567333237261532</v>
      </c>
      <c r="AU69" s="106">
        <v>2924.9465527139146</v>
      </c>
      <c r="AV69" s="106">
        <v>1.6179382929093582</v>
      </c>
      <c r="AW69" s="106">
        <v>1227.0444013424571</v>
      </c>
      <c r="AX69" s="106">
        <v>4.1759813768331826</v>
      </c>
      <c r="AY69" s="106">
        <v>3167.0642761902855</v>
      </c>
      <c r="AZ69" s="106">
        <v>4.1633388638804316</v>
      </c>
      <c r="BA69" s="106">
        <v>3157.4761943669191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0.46834617182265087</v>
      </c>
      <c r="CA69" s="106">
        <v>355.19373671029842</v>
      </c>
      <c r="CB69" s="106">
        <v>0.29783093693315588</v>
      </c>
      <c r="CC69" s="106">
        <v>225.8749825701054</v>
      </c>
      <c r="CD69" s="106">
        <v>0</v>
      </c>
      <c r="CE69" s="106">
        <v>0</v>
      </c>
      <c r="CF69" s="106">
        <v>0.42942457263182815</v>
      </c>
      <c r="CG69" s="106">
        <v>325.67559588397847</v>
      </c>
      <c r="CH69" s="106">
        <v>0</v>
      </c>
      <c r="CI69" s="106">
        <v>0</v>
      </c>
      <c r="CJ69" s="106">
        <v>0</v>
      </c>
      <c r="CK69" s="106">
        <v>0</v>
      </c>
      <c r="CL69" s="106">
        <v>0.5136376081917593</v>
      </c>
      <c r="CM69" s="106">
        <v>389.54276205263022</v>
      </c>
      <c r="CN69" s="106">
        <v>0.17389452874074682</v>
      </c>
      <c r="CO69" s="106">
        <v>131.88161059698237</v>
      </c>
      <c r="CP69" s="106">
        <v>0.44784244714256877</v>
      </c>
      <c r="CQ69" s="106">
        <v>339.64371191292412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0.11319682513778619</v>
      </c>
      <c r="O70" s="106">
        <v>60.582940813743157</v>
      </c>
      <c r="P70" s="106">
        <v>5.8480509393314201E-2</v>
      </c>
      <c r="Q70" s="106">
        <v>31.298768627301754</v>
      </c>
      <c r="R70" s="106">
        <v>1.7487817435043219E-2</v>
      </c>
      <c r="S70" s="106">
        <v>9.3594798912351305</v>
      </c>
      <c r="T70" s="106">
        <v>0.12346576149227904</v>
      </c>
      <c r="U70" s="106">
        <v>66.078875550667732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5.2070512894100629</v>
      </c>
      <c r="AO70" s="106">
        <v>2786.8138500922655</v>
      </c>
      <c r="AP70" s="106">
        <v>2.6087827259343932</v>
      </c>
      <c r="AQ70" s="106">
        <v>1396.220514920087</v>
      </c>
      <c r="AR70" s="106">
        <v>0.88183172858231718</v>
      </c>
      <c r="AS70" s="106">
        <v>471.95634113725612</v>
      </c>
      <c r="AT70" s="106">
        <v>3.5061212033874121</v>
      </c>
      <c r="AU70" s="106">
        <v>1876.4760680529428</v>
      </c>
      <c r="AV70" s="106">
        <v>1.7659244610079767</v>
      </c>
      <c r="AW70" s="106">
        <v>945.12277153146897</v>
      </c>
      <c r="AX70" s="106">
        <v>3.8538323692675687</v>
      </c>
      <c r="AY70" s="106">
        <v>2062.5710840320025</v>
      </c>
      <c r="AZ70" s="106">
        <v>4.8174252967481523</v>
      </c>
      <c r="BA70" s="106">
        <v>2578.2860188196109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0.46899590228166271</v>
      </c>
      <c r="CA70" s="106">
        <v>251.00660690114586</v>
      </c>
      <c r="CB70" s="106">
        <v>0.29783093693315588</v>
      </c>
      <c r="CC70" s="106">
        <v>159.39911744662501</v>
      </c>
      <c r="CD70" s="106">
        <v>0</v>
      </c>
      <c r="CE70" s="106">
        <v>0</v>
      </c>
      <c r="CF70" s="106">
        <v>0.47713841403536461</v>
      </c>
      <c r="CG70" s="106">
        <v>255.3644791917271</v>
      </c>
      <c r="CH70" s="106">
        <v>0</v>
      </c>
      <c r="CI70" s="106">
        <v>0</v>
      </c>
      <c r="CJ70" s="106">
        <v>0</v>
      </c>
      <c r="CK70" s="106">
        <v>0</v>
      </c>
      <c r="CL70" s="106">
        <v>0.5136376081917593</v>
      </c>
      <c r="CM70" s="106">
        <v>274.89884790422957</v>
      </c>
      <c r="CN70" s="106">
        <v>0.19546132682566428</v>
      </c>
      <c r="CO70" s="106">
        <v>104.61090211709551</v>
      </c>
      <c r="CP70" s="106">
        <v>0.44784244714256877</v>
      </c>
      <c r="CQ70" s="106">
        <v>239.68527771070276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0.10317745951652582</v>
      </c>
      <c r="K71" s="106">
        <v>58.192087167320565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5.5436458852787973E-2</v>
      </c>
      <c r="W71" s="106">
        <v>31.266162792972416</v>
      </c>
      <c r="X71" s="106">
        <v>0.11085745624043944</v>
      </c>
      <c r="Y71" s="106">
        <v>62.523605319607846</v>
      </c>
      <c r="Z71" s="106">
        <v>0</v>
      </c>
      <c r="AA71" s="106">
        <v>0</v>
      </c>
      <c r="AB71" s="106">
        <v>0</v>
      </c>
      <c r="AC71" s="106">
        <v>0</v>
      </c>
      <c r="AD71" s="106">
        <v>0.10876405716692115</v>
      </c>
      <c r="AE71" s="106">
        <v>61.342928242143529</v>
      </c>
      <c r="AF71" s="106">
        <v>2.7925679216529078E-2</v>
      </c>
      <c r="AG71" s="106">
        <v>15.750083078122399</v>
      </c>
      <c r="AH71" s="106">
        <v>0</v>
      </c>
      <c r="AI71" s="106">
        <v>0</v>
      </c>
      <c r="AJ71" s="106">
        <v>0</v>
      </c>
      <c r="AK71" s="106">
        <v>0</v>
      </c>
      <c r="AL71" s="106">
        <v>0.18577179250221856</v>
      </c>
      <c r="AM71" s="106">
        <v>104.77529097125127</v>
      </c>
      <c r="AN71" s="106">
        <v>0.35316829886320983</v>
      </c>
      <c r="AO71" s="106">
        <v>199.18692055885035</v>
      </c>
      <c r="AP71" s="106">
        <v>0.17432776489639781</v>
      </c>
      <c r="AQ71" s="106">
        <v>98.32085940156837</v>
      </c>
      <c r="AR71" s="106">
        <v>0.23323782628940312</v>
      </c>
      <c r="AS71" s="106">
        <v>131.54613402722336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0.25407342240143305</v>
      </c>
      <c r="CK71" s="106">
        <v>143.29741023440823</v>
      </c>
      <c r="CL71" s="106">
        <v>0.44955883236442284</v>
      </c>
      <c r="CM71" s="106">
        <v>253.5511814535345</v>
      </c>
      <c r="CN71" s="106">
        <v>0</v>
      </c>
      <c r="CO71" s="106">
        <v>0</v>
      </c>
      <c r="CP71" s="106">
        <v>0.4432130290008176</v>
      </c>
      <c r="CQ71" s="106">
        <v>249.97214835646113</v>
      </c>
      <c r="CR71" s="106">
        <v>0.20718468813625654</v>
      </c>
      <c r="CS71" s="106">
        <v>116.85216410884868</v>
      </c>
      <c r="CT71" s="106">
        <v>0.23186195235091728</v>
      </c>
      <c r="CU71" s="106">
        <v>130.77014112591735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0.11349520546817841</v>
      </c>
      <c r="K72" s="106">
        <v>8.4440432868324731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6.1634400337162103E-2</v>
      </c>
      <c r="W72" s="106">
        <v>4.5855993850848602</v>
      </c>
      <c r="X72" s="106">
        <v>0.13302894748852734</v>
      </c>
      <c r="Y72" s="106">
        <v>9.8973536931464334</v>
      </c>
      <c r="Z72" s="106">
        <v>0</v>
      </c>
      <c r="AA72" s="106">
        <v>0</v>
      </c>
      <c r="AB72" s="106">
        <v>0</v>
      </c>
      <c r="AC72" s="106">
        <v>0</v>
      </c>
      <c r="AD72" s="106">
        <v>0.10102016548095812</v>
      </c>
      <c r="AE72" s="106">
        <v>7.515900311783283</v>
      </c>
      <c r="AF72" s="106">
        <v>2.7925679216529078E-2</v>
      </c>
      <c r="AG72" s="106">
        <v>2.077670533709763</v>
      </c>
      <c r="AH72" s="106">
        <v>0</v>
      </c>
      <c r="AI72" s="106">
        <v>0</v>
      </c>
      <c r="AJ72" s="106">
        <v>0</v>
      </c>
      <c r="AK72" s="106">
        <v>0</v>
      </c>
      <c r="AL72" s="106">
        <v>0.20839700140065601</v>
      </c>
      <c r="AM72" s="106">
        <v>15.504736904208805</v>
      </c>
      <c r="AN72" s="106">
        <v>0.43357829850415697</v>
      </c>
      <c r="AO72" s="106">
        <v>32.258225408709272</v>
      </c>
      <c r="AP72" s="106">
        <v>0.17909604098857881</v>
      </c>
      <c r="AQ72" s="106">
        <v>13.324745449550262</v>
      </c>
      <c r="AR72" s="106">
        <v>0.26119622808532517</v>
      </c>
      <c r="AS72" s="106">
        <v>19.432999369548192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0.28606274189532893</v>
      </c>
      <c r="CK72" s="106">
        <v>21.28306799701247</v>
      </c>
      <c r="CL72" s="106">
        <v>0.44955883236442284</v>
      </c>
      <c r="CM72" s="106">
        <v>33.447177127913058</v>
      </c>
      <c r="CN72" s="106">
        <v>0</v>
      </c>
      <c r="CO72" s="106">
        <v>0</v>
      </c>
      <c r="CP72" s="106">
        <v>0.49323720604392912</v>
      </c>
      <c r="CQ72" s="106">
        <v>36.696848129668325</v>
      </c>
      <c r="CR72" s="106">
        <v>0.25194402837763552</v>
      </c>
      <c r="CS72" s="106">
        <v>18.74463571129608</v>
      </c>
      <c r="CT72" s="106">
        <v>0.23317966011113805</v>
      </c>
      <c r="CU72" s="106">
        <v>17.348566712268671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0.11349520546817841</v>
      </c>
      <c r="K73" s="106">
        <v>63.466518897805365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5.5458022259449173E-2</v>
      </c>
      <c r="W73" s="106">
        <v>31.012126047483974</v>
      </c>
      <c r="X73" s="106">
        <v>0.13302894748852734</v>
      </c>
      <c r="Y73" s="106">
        <v>74.389787435584481</v>
      </c>
      <c r="Z73" s="106">
        <v>0</v>
      </c>
      <c r="AA73" s="106">
        <v>0</v>
      </c>
      <c r="AB73" s="106">
        <v>0</v>
      </c>
      <c r="AC73" s="106">
        <v>0</v>
      </c>
      <c r="AD73" s="106">
        <v>0.10876405716692115</v>
      </c>
      <c r="AE73" s="106">
        <v>60.820860767742303</v>
      </c>
      <c r="AF73" s="106">
        <v>2.7925679216529078E-2</v>
      </c>
      <c r="AG73" s="106">
        <v>15.616039817883058</v>
      </c>
      <c r="AH73" s="106">
        <v>0</v>
      </c>
      <c r="AI73" s="106">
        <v>0</v>
      </c>
      <c r="AJ73" s="106">
        <v>0</v>
      </c>
      <c r="AK73" s="106">
        <v>0</v>
      </c>
      <c r="AL73" s="106">
        <v>0.2073833506212783</v>
      </c>
      <c r="AM73" s="106">
        <v>115.96876966741881</v>
      </c>
      <c r="AN73" s="106">
        <v>0.4207267992977306</v>
      </c>
      <c r="AO73" s="106">
        <v>235.27042616729094</v>
      </c>
      <c r="AP73" s="106">
        <v>0.18424252564025451</v>
      </c>
      <c r="AQ73" s="106">
        <v>103.0284203380303</v>
      </c>
      <c r="AR73" s="106">
        <v>0.27199336417285486</v>
      </c>
      <c r="AS73" s="106">
        <v>152.09868924546041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0.28544903071208433</v>
      </c>
      <c r="CK73" s="106">
        <v>159.62309797419755</v>
      </c>
      <c r="CL73" s="106">
        <v>0.44955883236442284</v>
      </c>
      <c r="CM73" s="106">
        <v>251.39329905818522</v>
      </c>
      <c r="CN73" s="106">
        <v>0</v>
      </c>
      <c r="CO73" s="106">
        <v>0</v>
      </c>
      <c r="CP73" s="106">
        <v>0.44444912859855629</v>
      </c>
      <c r="CQ73" s="106">
        <v>248.53595271231265</v>
      </c>
      <c r="CR73" s="106">
        <v>0.20644839149156918</v>
      </c>
      <c r="CS73" s="106">
        <v>115.44594052208548</v>
      </c>
      <c r="CT73" s="106">
        <v>0.23274042419106444</v>
      </c>
      <c r="CU73" s="106">
        <v>130.14844520764322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0.10317745951652582</v>
      </c>
      <c r="K74" s="106">
        <v>41.601151677063207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6.1569710117178489E-2</v>
      </c>
      <c r="W74" s="106">
        <v>24.824907119246365</v>
      </c>
      <c r="X74" s="106">
        <v>0.13302894748852734</v>
      </c>
      <c r="Y74" s="106">
        <v>53.637271627374218</v>
      </c>
      <c r="Z74" s="106">
        <v>0</v>
      </c>
      <c r="AA74" s="106">
        <v>0</v>
      </c>
      <c r="AB74" s="106">
        <v>0</v>
      </c>
      <c r="AC74" s="106">
        <v>0</v>
      </c>
      <c r="AD74" s="106">
        <v>0.10100988390556286</v>
      </c>
      <c r="AE74" s="106">
        <v>40.727185190722942</v>
      </c>
      <c r="AF74" s="106">
        <v>2.4822825970248069E-2</v>
      </c>
      <c r="AG74" s="106">
        <v>10.008563431204021</v>
      </c>
      <c r="AH74" s="106">
        <v>0</v>
      </c>
      <c r="AI74" s="106">
        <v>0</v>
      </c>
      <c r="AJ74" s="106">
        <v>0</v>
      </c>
      <c r="AK74" s="106">
        <v>0</v>
      </c>
      <c r="AL74" s="106">
        <v>0.20803924230205215</v>
      </c>
      <c r="AM74" s="106">
        <v>83.881422496187426</v>
      </c>
      <c r="AN74" s="106">
        <v>0.38081306457158537</v>
      </c>
      <c r="AO74" s="106">
        <v>153.54382763526323</v>
      </c>
      <c r="AP74" s="106">
        <v>0.18907383649235129</v>
      </c>
      <c r="AQ74" s="106">
        <v>76.234570873716038</v>
      </c>
      <c r="AR74" s="106">
        <v>0.2663077372818447</v>
      </c>
      <c r="AS74" s="106">
        <v>107.37527967203978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0.25468713358467765</v>
      </c>
      <c r="CK74" s="106">
        <v>102.68985226134203</v>
      </c>
      <c r="CL74" s="106">
        <v>0.44955883236442284</v>
      </c>
      <c r="CM74" s="106">
        <v>181.26212120933528</v>
      </c>
      <c r="CN74" s="106">
        <v>0</v>
      </c>
      <c r="CO74" s="106">
        <v>0</v>
      </c>
      <c r="CP74" s="106">
        <v>0.39607308435242966</v>
      </c>
      <c r="CQ74" s="106">
        <v>159.69666761089962</v>
      </c>
      <c r="CR74" s="106">
        <v>0.22895077771970657</v>
      </c>
      <c r="CS74" s="106">
        <v>92.312953576585684</v>
      </c>
      <c r="CT74" s="106">
        <v>0.23317966011113805</v>
      </c>
      <c r="CU74" s="106">
        <v>94.018038956810855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0.11349520546817841</v>
      </c>
      <c r="K75" s="106">
        <v>73.000116157132354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6.1612836930500903E-2</v>
      </c>
      <c r="W75" s="106">
        <v>39.629376713698178</v>
      </c>
      <c r="X75" s="106">
        <v>0.13302894748852734</v>
      </c>
      <c r="Y75" s="106">
        <v>85.564219024620769</v>
      </c>
      <c r="Z75" s="106">
        <v>0</v>
      </c>
      <c r="AA75" s="106">
        <v>0</v>
      </c>
      <c r="AB75" s="106">
        <v>0</v>
      </c>
      <c r="AC75" s="106">
        <v>0</v>
      </c>
      <c r="AD75" s="106">
        <v>9.3255710644204556E-2</v>
      </c>
      <c r="AE75" s="106">
        <v>59.982073086352365</v>
      </c>
      <c r="AF75" s="106">
        <v>2.4822825970248069E-2</v>
      </c>
      <c r="AG75" s="106">
        <v>15.966041664063557</v>
      </c>
      <c r="AH75" s="106">
        <v>0</v>
      </c>
      <c r="AI75" s="106">
        <v>0</v>
      </c>
      <c r="AJ75" s="106">
        <v>0</v>
      </c>
      <c r="AK75" s="106">
        <v>0</v>
      </c>
      <c r="AL75" s="106">
        <v>0.20347842461250423</v>
      </c>
      <c r="AM75" s="106">
        <v>130.87732271076271</v>
      </c>
      <c r="AN75" s="106">
        <v>0.35307121049843365</v>
      </c>
      <c r="AO75" s="106">
        <v>227.09540259259251</v>
      </c>
      <c r="AP75" s="106">
        <v>0.17909604098857881</v>
      </c>
      <c r="AQ75" s="106">
        <v>115.19457356385388</v>
      </c>
      <c r="AR75" s="106">
        <v>0.25545840867663405</v>
      </c>
      <c r="AS75" s="106">
        <v>164.310848460811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0.28544903071208433</v>
      </c>
      <c r="CK75" s="106">
        <v>183.60081655401262</v>
      </c>
      <c r="CL75" s="106">
        <v>0.44955883236442284</v>
      </c>
      <c r="CM75" s="106">
        <v>289.15624097679677</v>
      </c>
      <c r="CN75" s="106">
        <v>0</v>
      </c>
      <c r="CO75" s="106">
        <v>0</v>
      </c>
      <c r="CP75" s="106">
        <v>0.39483698475469098</v>
      </c>
      <c r="CQ75" s="106">
        <v>253.9591485942172</v>
      </c>
      <c r="CR75" s="106">
        <v>0.20644839149156918</v>
      </c>
      <c r="CS75" s="106">
        <v>132.78760540737727</v>
      </c>
      <c r="CT75" s="106">
        <v>0.23274042419106444</v>
      </c>
      <c r="CU75" s="106">
        <v>149.69864083969264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0.10317745951652582</v>
      </c>
      <c r="K76" s="106">
        <v>80.354605471470308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5.5414895446126759E-2</v>
      </c>
      <c r="W76" s="106">
        <v>43.157120573443521</v>
      </c>
      <c r="X76" s="106">
        <v>0.13302894748852734</v>
      </c>
      <c r="Y76" s="106">
        <v>103.60294430406509</v>
      </c>
      <c r="Z76" s="106">
        <v>0</v>
      </c>
      <c r="AA76" s="106">
        <v>0</v>
      </c>
      <c r="AB76" s="106">
        <v>0</v>
      </c>
      <c r="AC76" s="106">
        <v>0</v>
      </c>
      <c r="AD76" s="106">
        <v>0.10102016548095812</v>
      </c>
      <c r="AE76" s="106">
        <v>78.674504876570182</v>
      </c>
      <c r="AF76" s="106">
        <v>2.4822825970248069E-2</v>
      </c>
      <c r="AG76" s="106">
        <v>19.332016865629196</v>
      </c>
      <c r="AH76" s="106">
        <v>0</v>
      </c>
      <c r="AI76" s="106">
        <v>0</v>
      </c>
      <c r="AJ76" s="106">
        <v>0</v>
      </c>
      <c r="AK76" s="106">
        <v>0</v>
      </c>
      <c r="AL76" s="106">
        <v>0.18547365992004861</v>
      </c>
      <c r="AM76" s="106">
        <v>144.44688634573384</v>
      </c>
      <c r="AN76" s="106">
        <v>0.33963718110335045</v>
      </c>
      <c r="AO76" s="106">
        <v>264.50943664328929</v>
      </c>
      <c r="AP76" s="106">
        <v>0.16949645404430105</v>
      </c>
      <c r="AQ76" s="106">
        <v>132.00383840970164</v>
      </c>
      <c r="AR76" s="106">
        <v>0.26628164102300422</v>
      </c>
      <c r="AS76" s="106">
        <v>207.38014202871568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0.25530084476792225</v>
      </c>
      <c r="CK76" s="106">
        <v>198.82829790525784</v>
      </c>
      <c r="CL76" s="106">
        <v>0.44955883236442284</v>
      </c>
      <c r="CM76" s="106">
        <v>350.11641864541247</v>
      </c>
      <c r="CN76" s="106">
        <v>0</v>
      </c>
      <c r="CO76" s="106">
        <v>0</v>
      </c>
      <c r="CP76" s="106">
        <v>0.39607308435242966</v>
      </c>
      <c r="CQ76" s="106">
        <v>308.46171809367218</v>
      </c>
      <c r="CR76" s="106">
        <v>0.22968707436439392</v>
      </c>
      <c r="CS76" s="106">
        <v>178.88029351498997</v>
      </c>
      <c r="CT76" s="106">
        <v>0.19438958941262729</v>
      </c>
      <c r="CU76" s="106">
        <v>151.39061223455414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0.11349520546817841</v>
      </c>
      <c r="K77" s="106">
        <v>31.597065202340868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6.7724524788230211E-2</v>
      </c>
      <c r="W77" s="106">
        <v>18.854507701043289</v>
      </c>
      <c r="X77" s="106">
        <v>0.12194320186448339</v>
      </c>
      <c r="Y77" s="106">
        <v>33.948987399072173</v>
      </c>
      <c r="Z77" s="106">
        <v>0</v>
      </c>
      <c r="AA77" s="106">
        <v>0</v>
      </c>
      <c r="AB77" s="106">
        <v>0</v>
      </c>
      <c r="AC77" s="106">
        <v>0</v>
      </c>
      <c r="AD77" s="106">
        <v>0.10876405716692115</v>
      </c>
      <c r="AE77" s="106">
        <v>30.279913515270849</v>
      </c>
      <c r="AF77" s="106">
        <v>2.4822825970248069E-2</v>
      </c>
      <c r="AG77" s="106">
        <v>6.910674750117062</v>
      </c>
      <c r="AH77" s="106">
        <v>0</v>
      </c>
      <c r="AI77" s="106">
        <v>0</v>
      </c>
      <c r="AJ77" s="106">
        <v>0</v>
      </c>
      <c r="AK77" s="106">
        <v>0</v>
      </c>
      <c r="AL77" s="106">
        <v>0.20353805112893822</v>
      </c>
      <c r="AM77" s="106">
        <v>56.664993434296399</v>
      </c>
      <c r="AN77" s="106">
        <v>0.42033844583862601</v>
      </c>
      <c r="AO77" s="106">
        <v>117.02222332147348</v>
      </c>
      <c r="AP77" s="106">
        <v>0.16498031699178328</v>
      </c>
      <c r="AQ77" s="106">
        <v>45.930520250512465</v>
      </c>
      <c r="AR77" s="106">
        <v>0.29397908023052144</v>
      </c>
      <c r="AS77" s="106">
        <v>81.843775936177167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0.28544903071208433</v>
      </c>
      <c r="CK77" s="106">
        <v>79.469010150244273</v>
      </c>
      <c r="CL77" s="106">
        <v>0.44955883236442284</v>
      </c>
      <c r="CM77" s="106">
        <v>125.15717893025531</v>
      </c>
      <c r="CN77" s="106">
        <v>0</v>
      </c>
      <c r="CO77" s="106">
        <v>0</v>
      </c>
      <c r="CP77" s="106">
        <v>0.39524901795393724</v>
      </c>
      <c r="CQ77" s="106">
        <v>110.03732659837613</v>
      </c>
      <c r="CR77" s="106">
        <v>0.25218946059253133</v>
      </c>
      <c r="CS77" s="106">
        <v>70.209545828960714</v>
      </c>
      <c r="CT77" s="106">
        <v>0.23317966011113805</v>
      </c>
      <c r="CU77" s="106">
        <v>64.917217374940833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0.11349520546817841</v>
      </c>
      <c r="K78" s="106">
        <v>62.649353418434487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5.5436458852787973E-2</v>
      </c>
      <c r="W78" s="106">
        <v>30.60092528673896</v>
      </c>
      <c r="X78" s="106">
        <v>0.11085745624043944</v>
      </c>
      <c r="Y78" s="106">
        <v>61.193315844722569</v>
      </c>
      <c r="Z78" s="106">
        <v>0</v>
      </c>
      <c r="AA78" s="106">
        <v>0</v>
      </c>
      <c r="AB78" s="106">
        <v>0</v>
      </c>
      <c r="AC78" s="106">
        <v>0</v>
      </c>
      <c r="AD78" s="106">
        <v>9.3276273794995063E-2</v>
      </c>
      <c r="AE78" s="106">
        <v>51.488503134837273</v>
      </c>
      <c r="AF78" s="106">
        <v>2.4822825970248069E-2</v>
      </c>
      <c r="AG78" s="106">
        <v>13.702199935576933</v>
      </c>
      <c r="AH78" s="106">
        <v>0</v>
      </c>
      <c r="AI78" s="106">
        <v>0</v>
      </c>
      <c r="AJ78" s="106">
        <v>0</v>
      </c>
      <c r="AK78" s="106">
        <v>0</v>
      </c>
      <c r="AL78" s="106">
        <v>0.2117652887615242</v>
      </c>
      <c r="AM78" s="106">
        <v>116.89443939636136</v>
      </c>
      <c r="AN78" s="106">
        <v>0.36747612354127834</v>
      </c>
      <c r="AO78" s="106">
        <v>202.84682019478564</v>
      </c>
      <c r="AP78" s="106">
        <v>0.16892914120505889</v>
      </c>
      <c r="AQ78" s="106">
        <v>93.248885945192512</v>
      </c>
      <c r="AR78" s="106">
        <v>0.24426982870649716</v>
      </c>
      <c r="AS78" s="106">
        <v>134.83694544598643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0.28606274189532893</v>
      </c>
      <c r="CK78" s="106">
        <v>157.90663352622158</v>
      </c>
      <c r="CL78" s="106">
        <v>0.44955883236442284</v>
      </c>
      <c r="CM78" s="106">
        <v>248.15647546516141</v>
      </c>
      <c r="CN78" s="106">
        <v>0</v>
      </c>
      <c r="CO78" s="106">
        <v>0</v>
      </c>
      <c r="CP78" s="106">
        <v>0.44362506220006392</v>
      </c>
      <c r="CQ78" s="106">
        <v>244.8810343344353</v>
      </c>
      <c r="CR78" s="106">
        <v>0.25194402837763552</v>
      </c>
      <c r="CS78" s="106">
        <v>139.07310366445481</v>
      </c>
      <c r="CT78" s="106">
        <v>0.23186195235091728</v>
      </c>
      <c r="CU78" s="106">
        <v>127.98779769770634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0.11349520546817841</v>
      </c>
      <c r="K79" s="106">
        <v>85.938569580504691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6.1548146710517282E-2</v>
      </c>
      <c r="W79" s="106">
        <v>46.60425668920368</v>
      </c>
      <c r="X79" s="106">
        <v>0.13302894748852734</v>
      </c>
      <c r="Y79" s="106">
        <v>100.72951903831289</v>
      </c>
      <c r="Z79" s="106">
        <v>0</v>
      </c>
      <c r="AA79" s="106">
        <v>0</v>
      </c>
      <c r="AB79" s="106">
        <v>0</v>
      </c>
      <c r="AC79" s="106">
        <v>0</v>
      </c>
      <c r="AD79" s="106">
        <v>9.324542906880931E-2</v>
      </c>
      <c r="AE79" s="106">
        <v>70.605438890902406</v>
      </c>
      <c r="AF79" s="106">
        <v>2.4822825970248069E-2</v>
      </c>
      <c r="AG79" s="106">
        <v>18.795843824671838</v>
      </c>
      <c r="AH79" s="106">
        <v>0</v>
      </c>
      <c r="AI79" s="106">
        <v>0</v>
      </c>
      <c r="AJ79" s="106">
        <v>0</v>
      </c>
      <c r="AK79" s="106">
        <v>0</v>
      </c>
      <c r="AL79" s="106">
        <v>0.18463888868997283</v>
      </c>
      <c r="AM79" s="106">
        <v>139.80856651604742</v>
      </c>
      <c r="AN79" s="106">
        <v>0.35297412213365753</v>
      </c>
      <c r="AO79" s="106">
        <v>267.27200527960548</v>
      </c>
      <c r="AP79" s="106">
        <v>0.17388652157698722</v>
      </c>
      <c r="AQ79" s="106">
        <v>131.66687413809473</v>
      </c>
      <c r="AR79" s="106">
        <v>0.24458298381258295</v>
      </c>
      <c r="AS79" s="106">
        <v>185.19823534288778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0.28544903071208433</v>
      </c>
      <c r="CK79" s="106">
        <v>216.14200605519022</v>
      </c>
      <c r="CL79" s="106">
        <v>0.44955883236442284</v>
      </c>
      <c r="CM79" s="106">
        <v>340.40594786634097</v>
      </c>
      <c r="CN79" s="106">
        <v>0</v>
      </c>
      <c r="CO79" s="106">
        <v>0</v>
      </c>
      <c r="CP79" s="106">
        <v>0.44362506220006392</v>
      </c>
      <c r="CQ79" s="106">
        <v>335.91289709788839</v>
      </c>
      <c r="CR79" s="106">
        <v>0.22944164214949814</v>
      </c>
      <c r="CS79" s="106">
        <v>173.73321143559997</v>
      </c>
      <c r="CT79" s="106">
        <v>0.23230118827099083</v>
      </c>
      <c r="CU79" s="106">
        <v>175.89845975879425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0.10317745951652582</v>
      </c>
      <c r="K80" s="106">
        <v>83.078490402706578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6.1569710117178489E-2</v>
      </c>
      <c r="W80" s="106">
        <v>49.575930586352115</v>
      </c>
      <c r="X80" s="106">
        <v>0.12194320186448339</v>
      </c>
      <c r="Y80" s="106">
        <v>98.188666141282013</v>
      </c>
      <c r="Z80" s="106">
        <v>0</v>
      </c>
      <c r="AA80" s="106">
        <v>0</v>
      </c>
      <c r="AB80" s="106">
        <v>0</v>
      </c>
      <c r="AC80" s="106">
        <v>0</v>
      </c>
      <c r="AD80" s="106">
        <v>9.3265992219599816E-2</v>
      </c>
      <c r="AE80" s="106">
        <v>75.097776935221759</v>
      </c>
      <c r="AF80" s="106">
        <v>2.4822825970248069E-2</v>
      </c>
      <c r="AG80" s="106">
        <v>19.987339471243743</v>
      </c>
      <c r="AH80" s="106">
        <v>0</v>
      </c>
      <c r="AI80" s="106">
        <v>0</v>
      </c>
      <c r="AJ80" s="106">
        <v>0</v>
      </c>
      <c r="AK80" s="106">
        <v>0</v>
      </c>
      <c r="AL80" s="106">
        <v>0.18991522457672855</v>
      </c>
      <c r="AM80" s="106">
        <v>152.91973882918182</v>
      </c>
      <c r="AN80" s="106">
        <v>0.35268285703932911</v>
      </c>
      <c r="AO80" s="106">
        <v>283.98023648806776</v>
      </c>
      <c r="AP80" s="106">
        <v>0.16409783035296216</v>
      </c>
      <c r="AQ80" s="106">
        <v>132.13157300020512</v>
      </c>
      <c r="AR80" s="106">
        <v>0.2277087769514359</v>
      </c>
      <c r="AS80" s="106">
        <v>183.35110720129617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0.25407342240143305</v>
      </c>
      <c r="CK80" s="106">
        <v>204.57991971763389</v>
      </c>
      <c r="CL80" s="106">
        <v>0.44955883236442284</v>
      </c>
      <c r="CM80" s="106">
        <v>361.98477181983327</v>
      </c>
      <c r="CN80" s="106">
        <v>0</v>
      </c>
      <c r="CO80" s="106">
        <v>0</v>
      </c>
      <c r="CP80" s="106">
        <v>0.39524901795393724</v>
      </c>
      <c r="CQ80" s="106">
        <v>318.25450925651023</v>
      </c>
      <c r="CR80" s="106">
        <v>0.22944164214949814</v>
      </c>
      <c r="CS80" s="106">
        <v>184.74641025877588</v>
      </c>
      <c r="CT80" s="106">
        <v>0.23274042419106444</v>
      </c>
      <c r="CU80" s="106">
        <v>187.40258955864508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0.10317745951652582</v>
      </c>
      <c r="K81" s="106">
        <v>77.754533491653859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5.5501149072771587E-2</v>
      </c>
      <c r="W81" s="106">
        <v>41.825665941240672</v>
      </c>
      <c r="X81" s="106">
        <v>0.12194320186448339</v>
      </c>
      <c r="Y81" s="106">
        <v>91.896396925074683</v>
      </c>
      <c r="Z81" s="106">
        <v>0</v>
      </c>
      <c r="AA81" s="106">
        <v>0</v>
      </c>
      <c r="AB81" s="106">
        <v>0</v>
      </c>
      <c r="AC81" s="106">
        <v>0</v>
      </c>
      <c r="AD81" s="106">
        <v>9.323514749341405E-2</v>
      </c>
      <c r="AE81" s="106">
        <v>70.262007151036826</v>
      </c>
      <c r="AF81" s="106">
        <v>2.4822825970248069E-2</v>
      </c>
      <c r="AG81" s="106">
        <v>18.706481651178944</v>
      </c>
      <c r="AH81" s="106">
        <v>0</v>
      </c>
      <c r="AI81" s="106">
        <v>0</v>
      </c>
      <c r="AJ81" s="106">
        <v>0</v>
      </c>
      <c r="AK81" s="106">
        <v>0</v>
      </c>
      <c r="AL81" s="106">
        <v>0.19844059479148446</v>
      </c>
      <c r="AM81" s="106">
        <v>149.5448322348627</v>
      </c>
      <c r="AN81" s="106">
        <v>0.40612770952533361</v>
      </c>
      <c r="AO81" s="106">
        <v>306.05784189829143</v>
      </c>
      <c r="AP81" s="106">
        <v>0.17394955633690307</v>
      </c>
      <c r="AQ81" s="106">
        <v>131.08838565549016</v>
      </c>
      <c r="AR81" s="106">
        <v>0.25558888997083651</v>
      </c>
      <c r="AS81" s="106">
        <v>192.61178748202241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0.28544903071208433</v>
      </c>
      <c r="CK81" s="106">
        <v>215.11438954462676</v>
      </c>
      <c r="CL81" s="106">
        <v>0.44955883236442284</v>
      </c>
      <c r="CM81" s="106">
        <v>338.78753606982906</v>
      </c>
      <c r="CN81" s="106">
        <v>0</v>
      </c>
      <c r="CO81" s="106">
        <v>0</v>
      </c>
      <c r="CP81" s="106">
        <v>0.44403709539931013</v>
      </c>
      <c r="CQ81" s="106">
        <v>334.62635509292011</v>
      </c>
      <c r="CR81" s="106">
        <v>0.20644839149156918</v>
      </c>
      <c r="CS81" s="106">
        <v>155.57950782804653</v>
      </c>
      <c r="CT81" s="106">
        <v>0.23186195235091728</v>
      </c>
      <c r="CU81" s="106">
        <v>174.73116729165127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0.10317745951652582</v>
      </c>
      <c r="K82" s="106">
        <v>52.496691402008331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6.1612836930500903E-2</v>
      </c>
      <c r="W82" s="106">
        <v>31.348611430238854</v>
      </c>
      <c r="X82" s="106">
        <v>0.11085745624043944</v>
      </c>
      <c r="Y82" s="106">
        <v>56.404273735135575</v>
      </c>
      <c r="Z82" s="106">
        <v>0</v>
      </c>
      <c r="AA82" s="106">
        <v>0</v>
      </c>
      <c r="AB82" s="106">
        <v>0</v>
      </c>
      <c r="AC82" s="106">
        <v>0</v>
      </c>
      <c r="AD82" s="106">
        <v>0.10875377559152591</v>
      </c>
      <c r="AE82" s="106">
        <v>55.333921020968369</v>
      </c>
      <c r="AF82" s="106">
        <v>2.4822825970248069E-2</v>
      </c>
      <c r="AG82" s="106">
        <v>12.629853853662215</v>
      </c>
      <c r="AH82" s="106">
        <v>0</v>
      </c>
      <c r="AI82" s="106">
        <v>0</v>
      </c>
      <c r="AJ82" s="106">
        <v>0</v>
      </c>
      <c r="AK82" s="106">
        <v>0</v>
      </c>
      <c r="AL82" s="106">
        <v>0.20288215944816437</v>
      </c>
      <c r="AM82" s="106">
        <v>103.22644272722601</v>
      </c>
      <c r="AN82" s="106">
        <v>0.37964800419427175</v>
      </c>
      <c r="AO82" s="106">
        <v>193.16490453404543</v>
      </c>
      <c r="AP82" s="106">
        <v>0.16002293661985489</v>
      </c>
      <c r="AQ82" s="106">
        <v>81.41967015218215</v>
      </c>
      <c r="AR82" s="106">
        <v>0.28318194414299169</v>
      </c>
      <c r="AS82" s="106">
        <v>144.08297317995414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0.28606274189532893</v>
      </c>
      <c r="CK82" s="106">
        <v>145.54872307634332</v>
      </c>
      <c r="CL82" s="106">
        <v>0.44955883236442284</v>
      </c>
      <c r="CM82" s="106">
        <v>228.73553390701829</v>
      </c>
      <c r="CN82" s="106">
        <v>0</v>
      </c>
      <c r="CO82" s="106">
        <v>0</v>
      </c>
      <c r="CP82" s="106">
        <v>0.44362506220006392</v>
      </c>
      <c r="CQ82" s="106">
        <v>225.71643164739248</v>
      </c>
      <c r="CR82" s="106">
        <v>0.22968707436439392</v>
      </c>
      <c r="CS82" s="106">
        <v>116.8647834366036</v>
      </c>
      <c r="CT82" s="106">
        <v>0.23317966011113805</v>
      </c>
      <c r="CU82" s="106">
        <v>118.64181106454701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0.11349520546817841</v>
      </c>
      <c r="K83" s="106">
        <v>97.6512747848207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6.1526583303856075E-2</v>
      </c>
      <c r="W83" s="106">
        <v>52.937472274637763</v>
      </c>
      <c r="X83" s="106">
        <v>0.12194320186448339</v>
      </c>
      <c r="Y83" s="106">
        <v>104.91993088420151</v>
      </c>
      <c r="Z83" s="106">
        <v>0</v>
      </c>
      <c r="AA83" s="106">
        <v>0</v>
      </c>
      <c r="AB83" s="106">
        <v>0</v>
      </c>
      <c r="AC83" s="106">
        <v>0</v>
      </c>
      <c r="AD83" s="106">
        <v>0.10102016548095812</v>
      </c>
      <c r="AE83" s="106">
        <v>86.917750379816354</v>
      </c>
      <c r="AF83" s="106">
        <v>2.4822825970248069E-2</v>
      </c>
      <c r="AG83" s="106">
        <v>21.357559464801437</v>
      </c>
      <c r="AH83" s="106">
        <v>0</v>
      </c>
      <c r="AI83" s="106">
        <v>0</v>
      </c>
      <c r="AJ83" s="106">
        <v>0</v>
      </c>
      <c r="AK83" s="106">
        <v>0</v>
      </c>
      <c r="AL83" s="106">
        <v>0.18085321571406676</v>
      </c>
      <c r="AM83" s="106">
        <v>155.60610680038303</v>
      </c>
      <c r="AN83" s="106">
        <v>0.3932762103189073</v>
      </c>
      <c r="AO83" s="106">
        <v>338.37485135838784</v>
      </c>
      <c r="AP83" s="106">
        <v>0.16911824548480628</v>
      </c>
      <c r="AQ83" s="106">
        <v>145.50933841512733</v>
      </c>
      <c r="AR83" s="106">
        <v>0.25532792738243165</v>
      </c>
      <c r="AS83" s="106">
        <v>219.68414871984419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0.28483531952883973</v>
      </c>
      <c r="CK83" s="106">
        <v>245.0723089226137</v>
      </c>
      <c r="CL83" s="106">
        <v>0.44955883236442284</v>
      </c>
      <c r="CM83" s="106">
        <v>386.80041936634939</v>
      </c>
      <c r="CN83" s="106">
        <v>0</v>
      </c>
      <c r="CO83" s="106">
        <v>0</v>
      </c>
      <c r="CP83" s="106">
        <v>0.39524901795393724</v>
      </c>
      <c r="CQ83" s="106">
        <v>340.07225504756758</v>
      </c>
      <c r="CR83" s="106">
        <v>0.22968707436439392</v>
      </c>
      <c r="CS83" s="106">
        <v>197.62275878312454</v>
      </c>
      <c r="CT83" s="106">
        <v>0.23274042419106444</v>
      </c>
      <c r="CU83" s="106">
        <v>200.24986097399184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0.10317745951652582</v>
      </c>
      <c r="K84" s="106">
        <v>80.602231374309966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5.5436458852787973E-2</v>
      </c>
      <c r="W84" s="106">
        <v>43.306961655797963</v>
      </c>
      <c r="X84" s="106">
        <v>0.12194320186448339</v>
      </c>
      <c r="Y84" s="106">
        <v>95.262029296534422</v>
      </c>
      <c r="Z84" s="106">
        <v>0</v>
      </c>
      <c r="AA84" s="106">
        <v>0</v>
      </c>
      <c r="AB84" s="106">
        <v>0</v>
      </c>
      <c r="AC84" s="106">
        <v>0</v>
      </c>
      <c r="AD84" s="106">
        <v>0.10100988390556286</v>
      </c>
      <c r="AE84" s="106">
        <v>78.908921307025693</v>
      </c>
      <c r="AF84" s="106">
        <v>2.4822825970248069E-2</v>
      </c>
      <c r="AG84" s="106">
        <v>19.391591647957789</v>
      </c>
      <c r="AH84" s="106">
        <v>0</v>
      </c>
      <c r="AI84" s="106">
        <v>0</v>
      </c>
      <c r="AJ84" s="106">
        <v>0</v>
      </c>
      <c r="AK84" s="106">
        <v>0</v>
      </c>
      <c r="AL84" s="106">
        <v>0.19808283569288054</v>
      </c>
      <c r="AM84" s="106">
        <v>154.74231124327827</v>
      </c>
      <c r="AN84" s="106">
        <v>0.40729276990264734</v>
      </c>
      <c r="AO84" s="106">
        <v>318.17711184794808</v>
      </c>
      <c r="AP84" s="106">
        <v>0.14991907159625079</v>
      </c>
      <c r="AQ84" s="106">
        <v>117.1167787309911</v>
      </c>
      <c r="AR84" s="106">
        <v>0.22765658443375494</v>
      </c>
      <c r="AS84" s="106">
        <v>177.84532375964935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0.25468713358467765</v>
      </c>
      <c r="CK84" s="106">
        <v>198.96158875635015</v>
      </c>
      <c r="CL84" s="106">
        <v>0.37463236030368569</v>
      </c>
      <c r="CM84" s="106">
        <v>292.66279986923922</v>
      </c>
      <c r="CN84" s="106">
        <v>0</v>
      </c>
      <c r="CO84" s="106">
        <v>0</v>
      </c>
      <c r="CP84" s="106">
        <v>0.4432130290008176</v>
      </c>
      <c r="CQ84" s="106">
        <v>346.2380182554387</v>
      </c>
      <c r="CR84" s="106">
        <v>0.22919620993460232</v>
      </c>
      <c r="CS84" s="106">
        <v>179.04807920091133</v>
      </c>
      <c r="CT84" s="106">
        <v>0.23274042419106444</v>
      </c>
      <c r="CU84" s="106">
        <v>181.81681937805953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0.11349520546817841</v>
      </c>
      <c r="K85" s="106">
        <v>17.024280820226764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6.7659834568246605E-2</v>
      </c>
      <c r="W85" s="106">
        <v>10.14897518523699</v>
      </c>
      <c r="X85" s="106">
        <v>0.12194320186448339</v>
      </c>
      <c r="Y85" s="106">
        <v>18.291480279672509</v>
      </c>
      <c r="Z85" s="106">
        <v>0</v>
      </c>
      <c r="AA85" s="106">
        <v>0</v>
      </c>
      <c r="AB85" s="106">
        <v>0</v>
      </c>
      <c r="AC85" s="106">
        <v>0</v>
      </c>
      <c r="AD85" s="106">
        <v>9.3265992219599816E-2</v>
      </c>
      <c r="AE85" s="106">
        <v>13.989898832939973</v>
      </c>
      <c r="AF85" s="106">
        <v>2.4822825970248069E-2</v>
      </c>
      <c r="AG85" s="106">
        <v>3.7234238955372105</v>
      </c>
      <c r="AH85" s="106">
        <v>0</v>
      </c>
      <c r="AI85" s="106">
        <v>0</v>
      </c>
      <c r="AJ85" s="106">
        <v>0</v>
      </c>
      <c r="AK85" s="106">
        <v>0</v>
      </c>
      <c r="AL85" s="106">
        <v>0.20863550746639195</v>
      </c>
      <c r="AM85" s="106">
        <v>31.295326119958794</v>
      </c>
      <c r="AN85" s="106">
        <v>0.42062971093295443</v>
      </c>
      <c r="AO85" s="106">
        <v>63.094456639943161</v>
      </c>
      <c r="AP85" s="106">
        <v>0.16491728223186744</v>
      </c>
      <c r="AQ85" s="106">
        <v>24.737592334780118</v>
      </c>
      <c r="AR85" s="106">
        <v>0.29400517648936186</v>
      </c>
      <c r="AS85" s="106">
        <v>44.100776473404281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0.31621092783949095</v>
      </c>
      <c r="CK85" s="106">
        <v>47.431639175923642</v>
      </c>
      <c r="CL85" s="106">
        <v>0.44955883236442284</v>
      </c>
      <c r="CM85" s="106">
        <v>67.433824854663428</v>
      </c>
      <c r="CN85" s="106">
        <v>0</v>
      </c>
      <c r="CO85" s="106">
        <v>0</v>
      </c>
      <c r="CP85" s="106">
        <v>0.44403709539931013</v>
      </c>
      <c r="CQ85" s="106">
        <v>66.605564309896522</v>
      </c>
      <c r="CR85" s="106">
        <v>0.25169859616273971</v>
      </c>
      <c r="CS85" s="106">
        <v>37.754789424410959</v>
      </c>
      <c r="CT85" s="106">
        <v>0.27065202304942798</v>
      </c>
      <c r="CU85" s="106">
        <v>40.597803457414194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0.10317745951652582</v>
      </c>
      <c r="K86" s="106">
        <v>55.715828138923946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6.1591273523839696E-2</v>
      </c>
      <c r="W86" s="106">
        <v>33.259287702873436</v>
      </c>
      <c r="X86" s="106">
        <v>0.12194320186448339</v>
      </c>
      <c r="Y86" s="106">
        <v>65.849329006821023</v>
      </c>
      <c r="Z86" s="106">
        <v>0</v>
      </c>
      <c r="AA86" s="106">
        <v>0</v>
      </c>
      <c r="AB86" s="106">
        <v>0</v>
      </c>
      <c r="AC86" s="106">
        <v>0</v>
      </c>
      <c r="AD86" s="106">
        <v>9.3265992219599816E-2</v>
      </c>
      <c r="AE86" s="106">
        <v>50.3636357985839</v>
      </c>
      <c r="AF86" s="106">
        <v>2.4822825970248069E-2</v>
      </c>
      <c r="AG86" s="106">
        <v>13.404326023933958</v>
      </c>
      <c r="AH86" s="106">
        <v>0</v>
      </c>
      <c r="AI86" s="106">
        <v>0</v>
      </c>
      <c r="AJ86" s="106">
        <v>0</v>
      </c>
      <c r="AK86" s="106">
        <v>0</v>
      </c>
      <c r="AL86" s="106">
        <v>0.1847581417228408</v>
      </c>
      <c r="AM86" s="106">
        <v>99.769396530334035</v>
      </c>
      <c r="AN86" s="106">
        <v>0.35355665232231442</v>
      </c>
      <c r="AO86" s="106">
        <v>190.92059225404978</v>
      </c>
      <c r="AP86" s="106">
        <v>0.15519162576775811</v>
      </c>
      <c r="AQ86" s="106">
        <v>83.803477914589379</v>
      </c>
      <c r="AR86" s="106">
        <v>0.24450469503606148</v>
      </c>
      <c r="AS86" s="106">
        <v>132.0325353194732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0.25468713358467765</v>
      </c>
      <c r="CK86" s="106">
        <v>137.53105213572593</v>
      </c>
      <c r="CL86" s="106">
        <v>0.37463236030368569</v>
      </c>
      <c r="CM86" s="106">
        <v>202.30147456399027</v>
      </c>
      <c r="CN86" s="106">
        <v>0</v>
      </c>
      <c r="CO86" s="106">
        <v>0</v>
      </c>
      <c r="CP86" s="106">
        <v>0.4448611617978025</v>
      </c>
      <c r="CQ86" s="106">
        <v>240.22502737081334</v>
      </c>
      <c r="CR86" s="106">
        <v>0.22919620993460232</v>
      </c>
      <c r="CS86" s="106">
        <v>123.76595336468526</v>
      </c>
      <c r="CT86" s="106">
        <v>0.23186195235091728</v>
      </c>
      <c r="CU86" s="106">
        <v>125.20545426949533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0.18571942712974648</v>
      </c>
      <c r="K87" s="106">
        <v>363.04433615322841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3.6972014839632784E-2</v>
      </c>
      <c r="W87" s="106">
        <v>72.272894608514164</v>
      </c>
      <c r="X87" s="106">
        <v>7.7600219368307605E-2</v>
      </c>
      <c r="Y87" s="106">
        <v>151.69290882116769</v>
      </c>
      <c r="Z87" s="106">
        <v>0</v>
      </c>
      <c r="AA87" s="106">
        <v>0</v>
      </c>
      <c r="AB87" s="106">
        <v>0</v>
      </c>
      <c r="AC87" s="106">
        <v>0</v>
      </c>
      <c r="AD87" s="106">
        <v>5.4392310158855824E-2</v>
      </c>
      <c r="AE87" s="106">
        <v>106.32608789853136</v>
      </c>
      <c r="AF87" s="106">
        <v>2.171997272396706E-2</v>
      </c>
      <c r="AG87" s="106">
        <v>42.458202680810807</v>
      </c>
      <c r="AH87" s="106">
        <v>0</v>
      </c>
      <c r="AI87" s="106">
        <v>0</v>
      </c>
      <c r="AJ87" s="106">
        <v>0</v>
      </c>
      <c r="AK87" s="106">
        <v>0</v>
      </c>
      <c r="AL87" s="106">
        <v>2.7663038719457231E-2</v>
      </c>
      <c r="AM87" s="106">
        <v>54.075708088794997</v>
      </c>
      <c r="AN87" s="106">
        <v>5.4027382674661381E-2</v>
      </c>
      <c r="AO87" s="106">
        <v>105.61272765242806</v>
      </c>
      <c r="AP87" s="106">
        <v>2.9366073672075371E-2</v>
      </c>
      <c r="AQ87" s="106">
        <v>57.40480081417293</v>
      </c>
      <c r="AR87" s="106">
        <v>5.0074599147790999E-2</v>
      </c>
      <c r="AS87" s="106">
        <v>97.885826414101842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0.19132220578013054</v>
      </c>
      <c r="CK87" s="106">
        <v>373.99664785899915</v>
      </c>
      <c r="CL87" s="106">
        <v>0.52448530442515995</v>
      </c>
      <c r="CM87" s="106">
        <v>1025.2638730903027</v>
      </c>
      <c r="CN87" s="106">
        <v>0</v>
      </c>
      <c r="CO87" s="106">
        <v>0</v>
      </c>
      <c r="CP87" s="106">
        <v>0.82774918377435358</v>
      </c>
      <c r="CQ87" s="106">
        <v>1618.0841044421063</v>
      </c>
      <c r="CR87" s="106">
        <v>0.36470139173321825</v>
      </c>
      <c r="CS87" s="106">
        <v>712.91828056009501</v>
      </c>
      <c r="CT87" s="106">
        <v>0.4558176581405099</v>
      </c>
      <c r="CU87" s="106">
        <v>891.03235813306867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0.20635491903305164</v>
      </c>
      <c r="K88" s="106">
        <v>390.50604877814692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3.6950451432971577E-2</v>
      </c>
      <c r="W88" s="106">
        <v>69.925034291755409</v>
      </c>
      <c r="X88" s="106">
        <v>7.7600219368307605E-2</v>
      </c>
      <c r="Y88" s="106">
        <v>146.8506551325853</v>
      </c>
      <c r="Z88" s="106">
        <v>0</v>
      </c>
      <c r="AA88" s="106">
        <v>0</v>
      </c>
      <c r="AB88" s="106">
        <v>0</v>
      </c>
      <c r="AC88" s="106">
        <v>0</v>
      </c>
      <c r="AD88" s="106">
        <v>5.4402591734251077E-2</v>
      </c>
      <c r="AE88" s="106">
        <v>102.95146459789673</v>
      </c>
      <c r="AF88" s="106">
        <v>2.171997272396706E-2</v>
      </c>
      <c r="AG88" s="106">
        <v>41.102876382835262</v>
      </c>
      <c r="AH88" s="106">
        <v>0</v>
      </c>
      <c r="AI88" s="106">
        <v>0</v>
      </c>
      <c r="AJ88" s="106">
        <v>0</v>
      </c>
      <c r="AK88" s="106">
        <v>0</v>
      </c>
      <c r="AL88" s="106">
        <v>2.7603412203023248E-2</v>
      </c>
      <c r="AM88" s="106">
        <v>52.236697253001189</v>
      </c>
      <c r="AN88" s="106">
        <v>5.4027382674661381E-2</v>
      </c>
      <c r="AO88" s="106">
        <v>102.24141897352919</v>
      </c>
      <c r="AP88" s="106">
        <v>2.9366073672075371E-2</v>
      </c>
      <c r="AQ88" s="106">
        <v>55.572357817035424</v>
      </c>
      <c r="AR88" s="106">
        <v>4.4545549809823753E-2</v>
      </c>
      <c r="AS88" s="106">
        <v>84.297998460110463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0.19132220578013054</v>
      </c>
      <c r="CK88" s="106">
        <v>362.05814221831901</v>
      </c>
      <c r="CL88" s="106">
        <v>0.52448530442515995</v>
      </c>
      <c r="CM88" s="106">
        <v>992.53599009417258</v>
      </c>
      <c r="CN88" s="106">
        <v>0</v>
      </c>
      <c r="CO88" s="106">
        <v>0</v>
      </c>
      <c r="CP88" s="106">
        <v>0.77978517272747327</v>
      </c>
      <c r="CQ88" s="106">
        <v>1475.6654608694703</v>
      </c>
      <c r="CR88" s="106">
        <v>0.36494682394811401</v>
      </c>
      <c r="CS88" s="106">
        <v>690.62536963941091</v>
      </c>
      <c r="CT88" s="106">
        <v>0.53076238401708986</v>
      </c>
      <c r="CU88" s="106">
        <v>1004.4147355139407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0.17540168117809393</v>
      </c>
      <c r="K89" s="106">
        <v>420.54307079259797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3.6993578246293984E-2</v>
      </c>
      <c r="W89" s="106">
        <v>88.695803203314455</v>
      </c>
      <c r="X89" s="106">
        <v>6.6514473744263669E-2</v>
      </c>
      <c r="Y89" s="106">
        <v>159.47510224924656</v>
      </c>
      <c r="Z89" s="106">
        <v>0</v>
      </c>
      <c r="AA89" s="106">
        <v>0</v>
      </c>
      <c r="AB89" s="106">
        <v>0</v>
      </c>
      <c r="AC89" s="106">
        <v>0</v>
      </c>
      <c r="AD89" s="106">
        <v>4.6658700048288031E-2</v>
      </c>
      <c r="AE89" s="106">
        <v>111.86889923577537</v>
      </c>
      <c r="AF89" s="106">
        <v>1.8617119477686052E-2</v>
      </c>
      <c r="AG89" s="106">
        <v>44.636405659700074</v>
      </c>
      <c r="AH89" s="106">
        <v>0</v>
      </c>
      <c r="AI89" s="106">
        <v>0</v>
      </c>
      <c r="AJ89" s="106">
        <v>0</v>
      </c>
      <c r="AK89" s="106">
        <v>0</v>
      </c>
      <c r="AL89" s="106">
        <v>2.7603412203023248E-2</v>
      </c>
      <c r="AM89" s="106">
        <v>66.181941097968533</v>
      </c>
      <c r="AN89" s="106">
        <v>5.4027382674661381E-2</v>
      </c>
      <c r="AO89" s="106">
        <v>129.53605270076812</v>
      </c>
      <c r="AP89" s="106">
        <v>2.4534762819978601E-2</v>
      </c>
      <c r="AQ89" s="106">
        <v>58.82454733718069</v>
      </c>
      <c r="AR89" s="106">
        <v>4.4493357292142793E-2</v>
      </c>
      <c r="AS89" s="106">
        <v>106.67727344364155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0.15994659746947926</v>
      </c>
      <c r="CK89" s="106">
        <v>383.48796209282347</v>
      </c>
      <c r="CL89" s="106">
        <v>0.52448530442515995</v>
      </c>
      <c r="CM89" s="106">
        <v>1257.5059658897635</v>
      </c>
      <c r="CN89" s="106">
        <v>0</v>
      </c>
      <c r="CO89" s="106">
        <v>0</v>
      </c>
      <c r="CP89" s="106">
        <v>0.73099709528210044</v>
      </c>
      <c r="CQ89" s="106">
        <v>1752.638635648364</v>
      </c>
      <c r="CR89" s="106">
        <v>0.38744921017625145</v>
      </c>
      <c r="CS89" s="106">
        <v>928.9482263185804</v>
      </c>
      <c r="CT89" s="106">
        <v>0.49372925699887349</v>
      </c>
      <c r="CU89" s="106">
        <v>1183.765266580499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0.20635491903305164</v>
      </c>
      <c r="K90" s="106">
        <v>453.40302809942102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3.6993578246293984E-2</v>
      </c>
      <c r="W90" s="106">
        <v>81.282290122757132</v>
      </c>
      <c r="X90" s="106">
        <v>6.6514473744263669E-2</v>
      </c>
      <c r="Y90" s="106">
        <v>146.14560171089613</v>
      </c>
      <c r="Z90" s="106">
        <v>0</v>
      </c>
      <c r="AA90" s="106">
        <v>0</v>
      </c>
      <c r="AB90" s="106">
        <v>0</v>
      </c>
      <c r="AC90" s="106">
        <v>0</v>
      </c>
      <c r="AD90" s="106">
        <v>4.6658700048288031E-2</v>
      </c>
      <c r="AE90" s="106">
        <v>102.51849574609845</v>
      </c>
      <c r="AF90" s="106">
        <v>2.171997272396706E-2</v>
      </c>
      <c r="AG90" s="106">
        <v>47.723124069100422</v>
      </c>
      <c r="AH90" s="106">
        <v>0</v>
      </c>
      <c r="AI90" s="106">
        <v>0</v>
      </c>
      <c r="AJ90" s="106">
        <v>0</v>
      </c>
      <c r="AK90" s="106">
        <v>0</v>
      </c>
      <c r="AL90" s="106">
        <v>2.7663038719457231E-2</v>
      </c>
      <c r="AM90" s="106">
        <v>60.781228674391421</v>
      </c>
      <c r="AN90" s="106">
        <v>5.4027382674661381E-2</v>
      </c>
      <c r="AO90" s="106">
        <v>118.70896521276597</v>
      </c>
      <c r="AP90" s="106">
        <v>2.9366073672075371E-2</v>
      </c>
      <c r="AQ90" s="106">
        <v>64.523137072284001</v>
      </c>
      <c r="AR90" s="106">
        <v>4.4545549809823753E-2</v>
      </c>
      <c r="AS90" s="106">
        <v>97.875482042144739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0.19132220578013054</v>
      </c>
      <c r="CK90" s="106">
        <v>420.37315054010281</v>
      </c>
      <c r="CL90" s="106">
        <v>0.52448530442515995</v>
      </c>
      <c r="CM90" s="106">
        <v>1152.3991108829614</v>
      </c>
      <c r="CN90" s="106">
        <v>0</v>
      </c>
      <c r="CO90" s="106">
        <v>0</v>
      </c>
      <c r="CP90" s="106">
        <v>0.6822090178367276</v>
      </c>
      <c r="CQ90" s="106">
        <v>1498.9496539908578</v>
      </c>
      <c r="CR90" s="106">
        <v>0.36519225616300988</v>
      </c>
      <c r="CS90" s="106">
        <v>802.40042524136527</v>
      </c>
      <c r="CT90" s="106">
        <v>0.4558176581405099</v>
      </c>
      <c r="CU90" s="106">
        <v>1001.5225584663283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0.18571942712974648</v>
      </c>
      <c r="K91" s="106">
        <v>426.5603802316017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3.6993578246293984E-2</v>
      </c>
      <c r="W91" s="106">
        <v>84.966850516088016</v>
      </c>
      <c r="X91" s="106">
        <v>6.6514473744263669E-2</v>
      </c>
      <c r="Y91" s="106">
        <v>152.77044329582478</v>
      </c>
      <c r="Z91" s="106">
        <v>0</v>
      </c>
      <c r="AA91" s="106">
        <v>0</v>
      </c>
      <c r="AB91" s="106">
        <v>0</v>
      </c>
      <c r="AC91" s="106">
        <v>0</v>
      </c>
      <c r="AD91" s="106">
        <v>5.4402591734251077E-2</v>
      </c>
      <c r="AE91" s="106">
        <v>124.95187269522786</v>
      </c>
      <c r="AF91" s="106">
        <v>2.171997272396706E-2</v>
      </c>
      <c r="AG91" s="106">
        <v>49.886433352407536</v>
      </c>
      <c r="AH91" s="106">
        <v>0</v>
      </c>
      <c r="AI91" s="106">
        <v>0</v>
      </c>
      <c r="AJ91" s="106">
        <v>0</v>
      </c>
      <c r="AK91" s="106">
        <v>0</v>
      </c>
      <c r="AL91" s="106">
        <v>2.7603412203023248E-2</v>
      </c>
      <c r="AM91" s="106">
        <v>63.399517147903786</v>
      </c>
      <c r="AN91" s="106">
        <v>5.3930294309885246E-2</v>
      </c>
      <c r="AO91" s="106">
        <v>123.86709997094442</v>
      </c>
      <c r="AP91" s="106">
        <v>2.9366073672075371E-2</v>
      </c>
      <c r="AQ91" s="106">
        <v>67.447998010022701</v>
      </c>
      <c r="AR91" s="106">
        <v>4.457164606866424E-2</v>
      </c>
      <c r="AS91" s="106">
        <v>102.37215669050802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0.19193591696337511</v>
      </c>
      <c r="CK91" s="106">
        <v>440.83841408147993</v>
      </c>
      <c r="CL91" s="106">
        <v>0.44955883236442284</v>
      </c>
      <c r="CM91" s="106">
        <v>1032.5467261746062</v>
      </c>
      <c r="CN91" s="106">
        <v>0</v>
      </c>
      <c r="CO91" s="106">
        <v>0</v>
      </c>
      <c r="CP91" s="106">
        <v>0.68303308423521991</v>
      </c>
      <c r="CQ91" s="106">
        <v>1568.7903878714528</v>
      </c>
      <c r="CR91" s="106">
        <v>0.38744921017625145</v>
      </c>
      <c r="CS91" s="106">
        <v>889.89334593281421</v>
      </c>
      <c r="CT91" s="106">
        <v>0.49329002107879988</v>
      </c>
      <c r="CU91" s="106">
        <v>1132.9885204137875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0.19603717308139909</v>
      </c>
      <c r="K92" s="106">
        <v>278.52961551405184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3.6972014839632784E-2</v>
      </c>
      <c r="W92" s="106">
        <v>52.529838684150256</v>
      </c>
      <c r="X92" s="106">
        <v>7.7600219368307605E-2</v>
      </c>
      <c r="Y92" s="106">
        <v>110.25439167849144</v>
      </c>
      <c r="Z92" s="106">
        <v>0</v>
      </c>
      <c r="AA92" s="106">
        <v>0</v>
      </c>
      <c r="AB92" s="106">
        <v>0</v>
      </c>
      <c r="AC92" s="106">
        <v>0</v>
      </c>
      <c r="AD92" s="106">
        <v>5.4423154885041576E-2</v>
      </c>
      <c r="AE92" s="106">
        <v>77.324418460667076</v>
      </c>
      <c r="AF92" s="106">
        <v>2.171997272396706E-2</v>
      </c>
      <c r="AG92" s="106">
        <v>30.859737246212397</v>
      </c>
      <c r="AH92" s="106">
        <v>0</v>
      </c>
      <c r="AI92" s="106">
        <v>0</v>
      </c>
      <c r="AJ92" s="106">
        <v>0</v>
      </c>
      <c r="AK92" s="106">
        <v>0</v>
      </c>
      <c r="AL92" s="106">
        <v>2.7603412203023248E-2</v>
      </c>
      <c r="AM92" s="106">
        <v>39.218928058055432</v>
      </c>
      <c r="AN92" s="106">
        <v>5.4027382674661381E-2</v>
      </c>
      <c r="AO92" s="106">
        <v>76.762105304158894</v>
      </c>
      <c r="AP92" s="106">
        <v>3.4260419284087934E-2</v>
      </c>
      <c r="AQ92" s="106">
        <v>48.677203718832132</v>
      </c>
      <c r="AR92" s="106">
        <v>4.457164606866424E-2</v>
      </c>
      <c r="AS92" s="106">
        <v>63.327394734358151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0.19132220578013054</v>
      </c>
      <c r="CK92" s="106">
        <v>271.83058997240948</v>
      </c>
      <c r="CL92" s="106">
        <v>0.52448530442515995</v>
      </c>
      <c r="CM92" s="106">
        <v>745.18872052726726</v>
      </c>
      <c r="CN92" s="106">
        <v>0</v>
      </c>
      <c r="CO92" s="106">
        <v>0</v>
      </c>
      <c r="CP92" s="106">
        <v>0.82816121697359979</v>
      </c>
      <c r="CQ92" s="106">
        <v>1176.6514570760905</v>
      </c>
      <c r="CR92" s="106">
        <v>0.36543768837790563</v>
      </c>
      <c r="CS92" s="106">
        <v>519.21386764732836</v>
      </c>
      <c r="CT92" s="106">
        <v>0.53164085585723697</v>
      </c>
      <c r="CU92" s="106">
        <v>755.35532800196222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0.21667266498470425</v>
      </c>
      <c r="K93" s="106">
        <v>384.03063141888975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3.7015141652955191E-2</v>
      </c>
      <c r="W93" s="106">
        <v>65.605637065697778</v>
      </c>
      <c r="X93" s="106">
        <v>6.6514473744263669E-2</v>
      </c>
      <c r="Y93" s="106">
        <v>117.89025326433291</v>
      </c>
      <c r="Z93" s="106">
        <v>0</v>
      </c>
      <c r="AA93" s="106">
        <v>0</v>
      </c>
      <c r="AB93" s="106">
        <v>0</v>
      </c>
      <c r="AC93" s="106">
        <v>0</v>
      </c>
      <c r="AD93" s="106">
        <v>5.4402591734251077E-2</v>
      </c>
      <c r="AE93" s="106">
        <v>96.423153589786608</v>
      </c>
      <c r="AF93" s="106">
        <v>2.171997272396706E-2</v>
      </c>
      <c r="AG93" s="106">
        <v>38.496479655959213</v>
      </c>
      <c r="AH93" s="106">
        <v>0</v>
      </c>
      <c r="AI93" s="106">
        <v>0</v>
      </c>
      <c r="AJ93" s="106">
        <v>0</v>
      </c>
      <c r="AK93" s="106">
        <v>0</v>
      </c>
      <c r="AL93" s="106">
        <v>2.7663038719457231E-2</v>
      </c>
      <c r="AM93" s="106">
        <v>49.029969826365992</v>
      </c>
      <c r="AN93" s="106">
        <v>5.4027382674661381E-2</v>
      </c>
      <c r="AO93" s="106">
        <v>95.758133052569818</v>
      </c>
      <c r="AP93" s="106">
        <v>2.9429108431991167E-2</v>
      </c>
      <c r="AQ93" s="106">
        <v>52.160151784861142</v>
      </c>
      <c r="AR93" s="106">
        <v>4.457164606866424E-2</v>
      </c>
      <c r="AS93" s="106">
        <v>78.998785492100495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0.19193591696337511</v>
      </c>
      <c r="CK93" s="106">
        <v>340.18721922588605</v>
      </c>
      <c r="CL93" s="106">
        <v>0.44955883236442284</v>
      </c>
      <c r="CM93" s="106">
        <v>796.79807448270299</v>
      </c>
      <c r="CN93" s="106">
        <v>0</v>
      </c>
      <c r="CO93" s="106">
        <v>0</v>
      </c>
      <c r="CP93" s="106">
        <v>0.87653726121972653</v>
      </c>
      <c r="CQ93" s="106">
        <v>1553.5746417858431</v>
      </c>
      <c r="CR93" s="106">
        <v>0.34293530214976825</v>
      </c>
      <c r="CS93" s="106">
        <v>607.81852953024918</v>
      </c>
      <c r="CT93" s="106">
        <v>0.45625689406058351</v>
      </c>
      <c r="CU93" s="106">
        <v>808.66971903297815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0.17540168117809393</v>
      </c>
      <c r="K94" s="106">
        <v>420.12210675777055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3.6972014839632784E-2</v>
      </c>
      <c r="W94" s="106">
        <v>88.555369943888437</v>
      </c>
      <c r="X94" s="106">
        <v>6.6514473744263669E-2</v>
      </c>
      <c r="Y94" s="106">
        <v>159.31546751226034</v>
      </c>
      <c r="Z94" s="106">
        <v>0</v>
      </c>
      <c r="AA94" s="106">
        <v>0</v>
      </c>
      <c r="AB94" s="106">
        <v>0</v>
      </c>
      <c r="AC94" s="106">
        <v>0</v>
      </c>
      <c r="AD94" s="106">
        <v>4.6648418472892778E-2</v>
      </c>
      <c r="AE94" s="106">
        <v>111.73229192627278</v>
      </c>
      <c r="AF94" s="106">
        <v>2.171997272396706E-2</v>
      </c>
      <c r="AG94" s="106">
        <v>52.023678668445896</v>
      </c>
      <c r="AH94" s="106">
        <v>0</v>
      </c>
      <c r="AI94" s="106">
        <v>0</v>
      </c>
      <c r="AJ94" s="106">
        <v>0</v>
      </c>
      <c r="AK94" s="106">
        <v>0</v>
      </c>
      <c r="AL94" s="106">
        <v>2.3102221029909348E-2</v>
      </c>
      <c r="AM94" s="106">
        <v>55.334439810838866</v>
      </c>
      <c r="AN94" s="106">
        <v>5.4027382674661381E-2</v>
      </c>
      <c r="AO94" s="106">
        <v>129.40638698234892</v>
      </c>
      <c r="AP94" s="106">
        <v>2.9366073672075371E-2</v>
      </c>
      <c r="AQ94" s="106">
        <v>70.337619659354928</v>
      </c>
      <c r="AR94" s="106">
        <v>4.4545549809823753E-2</v>
      </c>
      <c r="AS94" s="106">
        <v>106.69550090448985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0.15994659746947926</v>
      </c>
      <c r="CK94" s="106">
        <v>383.10409025889669</v>
      </c>
      <c r="CL94" s="106">
        <v>0.44955883236442284</v>
      </c>
      <c r="CM94" s="106">
        <v>1076.7833152792655</v>
      </c>
      <c r="CN94" s="106">
        <v>0</v>
      </c>
      <c r="CO94" s="106">
        <v>0</v>
      </c>
      <c r="CP94" s="106">
        <v>0.77896110632898086</v>
      </c>
      <c r="CQ94" s="106">
        <v>1865.7676418791748</v>
      </c>
      <c r="CR94" s="106">
        <v>0.36494682394811401</v>
      </c>
      <c r="CS94" s="106">
        <v>874.12063272052262</v>
      </c>
      <c r="CT94" s="106">
        <v>0.49285078515872627</v>
      </c>
      <c r="CU94" s="106">
        <v>1180.4762006121812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0.10317745951652582</v>
      </c>
      <c r="K95" s="106">
        <v>178.78590185023594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6.7508890721618156E-2</v>
      </c>
      <c r="W95" s="106">
        <v>116.97940584241994</v>
      </c>
      <c r="X95" s="106">
        <v>0.19954342123279098</v>
      </c>
      <c r="Y95" s="106">
        <v>345.7688403121802</v>
      </c>
      <c r="Z95" s="106">
        <v>0</v>
      </c>
      <c r="AA95" s="106">
        <v>0</v>
      </c>
      <c r="AB95" s="106">
        <v>0</v>
      </c>
      <c r="AC95" s="106">
        <v>0</v>
      </c>
      <c r="AD95" s="106">
        <v>0.10878462031771165</v>
      </c>
      <c r="AE95" s="106">
        <v>188.50199008653072</v>
      </c>
      <c r="AF95" s="106">
        <v>4.3439945447934121E-2</v>
      </c>
      <c r="AG95" s="106">
        <v>75.272737472180239</v>
      </c>
      <c r="AH95" s="106">
        <v>0</v>
      </c>
      <c r="AI95" s="106">
        <v>0</v>
      </c>
      <c r="AJ95" s="106">
        <v>0</v>
      </c>
      <c r="AK95" s="106">
        <v>0</v>
      </c>
      <c r="AL95" s="106">
        <v>0.15423303021455234</v>
      </c>
      <c r="AM95" s="106">
        <v>267.25499475577629</v>
      </c>
      <c r="AN95" s="106">
        <v>0.28308550094450946</v>
      </c>
      <c r="AO95" s="106">
        <v>490.53055603664598</v>
      </c>
      <c r="AP95" s="106">
        <v>0.15147257493272626</v>
      </c>
      <c r="AQ95" s="106">
        <v>262.47167784342804</v>
      </c>
      <c r="AR95" s="106">
        <v>0.49526577712140885</v>
      </c>
      <c r="AS95" s="106">
        <v>858.19653859597724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0.56782950550794564</v>
      </c>
      <c r="CK95" s="106">
        <v>983.93496714416813</v>
      </c>
      <c r="CL95" s="106">
        <v>1.1238970809110571</v>
      </c>
      <c r="CM95" s="106">
        <v>1947.4888618026798</v>
      </c>
      <c r="CN95" s="106">
        <v>0</v>
      </c>
      <c r="CO95" s="106">
        <v>0</v>
      </c>
      <c r="CP95" s="106">
        <v>0.92779753786057662</v>
      </c>
      <c r="CQ95" s="106">
        <v>1607.6875736048071</v>
      </c>
      <c r="CR95" s="106">
        <v>0.45372920778618459</v>
      </c>
      <c r="CS95" s="106">
        <v>786.22197125190064</v>
      </c>
      <c r="CT95" s="106">
        <v>0.49285078515872627</v>
      </c>
      <c r="CU95" s="106">
        <v>854.01184052304086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0.11349520546817841</v>
      </c>
      <c r="K96" s="106">
        <v>93.429253141404459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7.3663705392669893E-2</v>
      </c>
      <c r="W96" s="106">
        <v>60.63996227924585</v>
      </c>
      <c r="X96" s="106">
        <v>0.21062916685683494</v>
      </c>
      <c r="Y96" s="106">
        <v>173.38993015654651</v>
      </c>
      <c r="Z96" s="106">
        <v>0</v>
      </c>
      <c r="AA96" s="106">
        <v>0</v>
      </c>
      <c r="AB96" s="106">
        <v>0</v>
      </c>
      <c r="AC96" s="106">
        <v>0</v>
      </c>
      <c r="AD96" s="106">
        <v>0.1088154650438974</v>
      </c>
      <c r="AE96" s="106">
        <v>89.576890824136328</v>
      </c>
      <c r="AF96" s="106">
        <v>5.274850518677715E-2</v>
      </c>
      <c r="AG96" s="106">
        <v>43.422569469754947</v>
      </c>
      <c r="AH96" s="106">
        <v>0</v>
      </c>
      <c r="AI96" s="106">
        <v>0</v>
      </c>
      <c r="AJ96" s="106">
        <v>0</v>
      </c>
      <c r="AK96" s="106">
        <v>0</v>
      </c>
      <c r="AL96" s="106">
        <v>0.14985109207430644</v>
      </c>
      <c r="AM96" s="106">
        <v>123.35741899556905</v>
      </c>
      <c r="AN96" s="106">
        <v>0.31014773646422816</v>
      </c>
      <c r="AO96" s="106">
        <v>255.31361665735261</v>
      </c>
      <c r="AP96" s="106">
        <v>0.15178774873230522</v>
      </c>
      <c r="AQ96" s="106">
        <v>124.95167475643365</v>
      </c>
      <c r="AR96" s="106">
        <v>0.51375795203066577</v>
      </c>
      <c r="AS96" s="106">
        <v>422.925546111644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0.66072890807341023</v>
      </c>
      <c r="CK96" s="106">
        <v>543.91203712603124</v>
      </c>
      <c r="CL96" s="106">
        <v>1.2737500250325313</v>
      </c>
      <c r="CM96" s="106">
        <v>1048.5510206067797</v>
      </c>
      <c r="CN96" s="106">
        <v>0</v>
      </c>
      <c r="CO96" s="106">
        <v>0</v>
      </c>
      <c r="CP96" s="106">
        <v>1.1225378144428217</v>
      </c>
      <c r="CQ96" s="106">
        <v>924.07312884933083</v>
      </c>
      <c r="CR96" s="106">
        <v>0.49947027688714685</v>
      </c>
      <c r="CS96" s="106">
        <v>411.16393193349927</v>
      </c>
      <c r="CT96" s="106">
        <v>0.64361870875203342</v>
      </c>
      <c r="CU96" s="106">
        <v>529.8269210446739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9.2859713564873242E-2</v>
      </c>
      <c r="K97" s="106">
        <v>169.82184416744019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6.7552017534940584E-2</v>
      </c>
      <c r="W97" s="106">
        <v>123.53912966789933</v>
      </c>
      <c r="X97" s="106">
        <v>0.17737192998470311</v>
      </c>
      <c r="Y97" s="106">
        <v>324.37778555602506</v>
      </c>
      <c r="Z97" s="106">
        <v>0</v>
      </c>
      <c r="AA97" s="106">
        <v>0</v>
      </c>
      <c r="AB97" s="106">
        <v>0</v>
      </c>
      <c r="AC97" s="106">
        <v>0</v>
      </c>
      <c r="AD97" s="106">
        <v>0.11653879357906995</v>
      </c>
      <c r="AE97" s="106">
        <v>213.1261456974031</v>
      </c>
      <c r="AF97" s="106">
        <v>4.0337092201653109E-2</v>
      </c>
      <c r="AG97" s="106">
        <v>73.768474218383204</v>
      </c>
      <c r="AH97" s="106">
        <v>0</v>
      </c>
      <c r="AI97" s="106">
        <v>0</v>
      </c>
      <c r="AJ97" s="106">
        <v>0</v>
      </c>
      <c r="AK97" s="106">
        <v>0</v>
      </c>
      <c r="AL97" s="106">
        <v>0.13172707434898284</v>
      </c>
      <c r="AM97" s="106">
        <v>240.90247356941981</v>
      </c>
      <c r="AN97" s="106">
        <v>0.29632535361004042</v>
      </c>
      <c r="AO97" s="106">
        <v>541.91980668204189</v>
      </c>
      <c r="AP97" s="106">
        <v>0.13221036628425498</v>
      </c>
      <c r="AQ97" s="106">
        <v>241.78631786064548</v>
      </c>
      <c r="AR97" s="106">
        <v>0.41272148093450733</v>
      </c>
      <c r="AS97" s="106">
        <v>754.78504433302703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0.53522647483080521</v>
      </c>
      <c r="CK97" s="106">
        <v>978.82217717057654</v>
      </c>
      <c r="CL97" s="106">
        <v>0.97404413678958279</v>
      </c>
      <c r="CM97" s="106">
        <v>1781.331917360789</v>
      </c>
      <c r="CN97" s="106">
        <v>0</v>
      </c>
      <c r="CO97" s="106">
        <v>0</v>
      </c>
      <c r="CP97" s="106">
        <v>0.92779753786057662</v>
      </c>
      <c r="CQ97" s="106">
        <v>1696.7561372394225</v>
      </c>
      <c r="CR97" s="106">
        <v>0.45422007221597616</v>
      </c>
      <c r="CS97" s="106">
        <v>830.67766806857719</v>
      </c>
      <c r="CT97" s="106">
        <v>0.56867398287545345</v>
      </c>
      <c r="CU97" s="106">
        <v>1039.9909798826293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0.10317745951652582</v>
      </c>
      <c r="K98" s="106">
        <v>130.37503784508201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7.9753829843738008E-2</v>
      </c>
      <c r="W98" s="106">
        <v>100.77693939054734</v>
      </c>
      <c r="X98" s="106">
        <v>0.17737192998470311</v>
      </c>
      <c r="Y98" s="106">
        <v>224.12717072867082</v>
      </c>
      <c r="Z98" s="106">
        <v>0</v>
      </c>
      <c r="AA98" s="106">
        <v>0</v>
      </c>
      <c r="AB98" s="106">
        <v>0</v>
      </c>
      <c r="AC98" s="106">
        <v>0</v>
      </c>
      <c r="AD98" s="106">
        <v>0.12431352999121874</v>
      </c>
      <c r="AE98" s="106">
        <v>157.08257649690398</v>
      </c>
      <c r="AF98" s="106">
        <v>4.3439945447934121E-2</v>
      </c>
      <c r="AG98" s="106">
        <v>54.890715068009548</v>
      </c>
      <c r="AH98" s="106">
        <v>0</v>
      </c>
      <c r="AI98" s="106">
        <v>0</v>
      </c>
      <c r="AJ98" s="106">
        <v>0</v>
      </c>
      <c r="AK98" s="106">
        <v>0</v>
      </c>
      <c r="AL98" s="106">
        <v>0.14072945669521064</v>
      </c>
      <c r="AM98" s="106">
        <v>177.82574148006816</v>
      </c>
      <c r="AN98" s="106">
        <v>0.28298841257973334</v>
      </c>
      <c r="AO98" s="106">
        <v>357.58415813575101</v>
      </c>
      <c r="AP98" s="106">
        <v>0.14708250740004003</v>
      </c>
      <c r="AQ98" s="106">
        <v>185.85345635069058</v>
      </c>
      <c r="AR98" s="106">
        <v>0.50627168327966232</v>
      </c>
      <c r="AS98" s="106">
        <v>639.72489899218124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0.56721579432470104</v>
      </c>
      <c r="CK98" s="106">
        <v>716.73387770869215</v>
      </c>
      <c r="CL98" s="106">
        <v>1.0489706088503199</v>
      </c>
      <c r="CM98" s="106">
        <v>1325.4792613432642</v>
      </c>
      <c r="CN98" s="106">
        <v>0</v>
      </c>
      <c r="CO98" s="106">
        <v>0</v>
      </c>
      <c r="CP98" s="106">
        <v>0.97699764850519555</v>
      </c>
      <c r="CQ98" s="106">
        <v>1234.534228651165</v>
      </c>
      <c r="CR98" s="106">
        <v>0.5442296171285258</v>
      </c>
      <c r="CS98" s="106">
        <v>687.68854420360515</v>
      </c>
      <c r="CT98" s="106">
        <v>0.60614634581374349</v>
      </c>
      <c r="CU98" s="106">
        <v>765.92652257024622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7.2224221661568083E-2</v>
      </c>
      <c r="K99" s="106">
        <v>395.90429346005158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5.5242388192837111E-2</v>
      </c>
      <c r="W99" s="106">
        <v>302.81667511785588</v>
      </c>
      <c r="X99" s="106">
        <v>0.14411469311257125</v>
      </c>
      <c r="Y99" s="106">
        <v>789.9791017658705</v>
      </c>
      <c r="Z99" s="106">
        <v>0</v>
      </c>
      <c r="AA99" s="106">
        <v>0</v>
      </c>
      <c r="AB99" s="106">
        <v>0</v>
      </c>
      <c r="AC99" s="106">
        <v>0</v>
      </c>
      <c r="AD99" s="106">
        <v>7.7706237819906973E-2</v>
      </c>
      <c r="AE99" s="106">
        <v>425.95451323360203</v>
      </c>
      <c r="AF99" s="106">
        <v>3.1028532462810086E-2</v>
      </c>
      <c r="AG99" s="106">
        <v>170.08600354813976</v>
      </c>
      <c r="AH99" s="106">
        <v>0</v>
      </c>
      <c r="AI99" s="106">
        <v>0</v>
      </c>
      <c r="AJ99" s="106">
        <v>0</v>
      </c>
      <c r="AK99" s="106">
        <v>0</v>
      </c>
      <c r="AL99" s="106">
        <v>9.5479038898335686E-2</v>
      </c>
      <c r="AM99" s="106">
        <v>523.37789962511681</v>
      </c>
      <c r="AN99" s="106">
        <v>0.20209297111490546</v>
      </c>
      <c r="AO99" s="106">
        <v>1107.7928304634656</v>
      </c>
      <c r="AP99" s="106">
        <v>9.7949947000167029E-2</v>
      </c>
      <c r="AQ99" s="106">
        <v>536.92242947611555</v>
      </c>
      <c r="AR99" s="106">
        <v>0.24763288856070442</v>
      </c>
      <c r="AS99" s="106">
        <v>1357.4244419343572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0.37896214446079346</v>
      </c>
      <c r="CK99" s="106">
        <v>2077.3188910762851</v>
      </c>
      <c r="CL99" s="106">
        <v>0.82419119266810836</v>
      </c>
      <c r="CM99" s="106">
        <v>4517.8864417295026</v>
      </c>
      <c r="CN99" s="106">
        <v>0</v>
      </c>
      <c r="CO99" s="106">
        <v>0</v>
      </c>
      <c r="CP99" s="106">
        <v>0.68344511743446612</v>
      </c>
      <c r="CQ99" s="106">
        <v>3746.3727557287693</v>
      </c>
      <c r="CR99" s="106">
        <v>0.36298336622894767</v>
      </c>
      <c r="CS99" s="106">
        <v>1989.7296203205995</v>
      </c>
      <c r="CT99" s="106">
        <v>0.41746682336207275</v>
      </c>
      <c r="CU99" s="106">
        <v>2288.3861389415379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9.2859713564873242E-2</v>
      </c>
      <c r="K100" s="106">
        <v>150.65559928765035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7.3663705392669893E-2</v>
      </c>
      <c r="W100" s="106">
        <v>119.51199562906763</v>
      </c>
      <c r="X100" s="106">
        <v>0.17737192998470311</v>
      </c>
      <c r="Y100" s="106">
        <v>287.76821920718231</v>
      </c>
      <c r="Z100" s="106">
        <v>0</v>
      </c>
      <c r="AA100" s="106">
        <v>0</v>
      </c>
      <c r="AB100" s="106">
        <v>0</v>
      </c>
      <c r="AC100" s="106">
        <v>0</v>
      </c>
      <c r="AD100" s="106">
        <v>0.11656963830525571</v>
      </c>
      <c r="AE100" s="106">
        <v>189.12258118644687</v>
      </c>
      <c r="AF100" s="106">
        <v>4.3439945447934121E-2</v>
      </c>
      <c r="AG100" s="106">
        <v>70.476967494728314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0.1499107185907404</v>
      </c>
      <c r="AM100" s="106">
        <v>243.2151498416172</v>
      </c>
      <c r="AN100" s="106">
        <v>0.29642244197481654</v>
      </c>
      <c r="AO100" s="106">
        <v>480.91576985994232</v>
      </c>
      <c r="AP100" s="106">
        <v>0.1418729879884485</v>
      </c>
      <c r="AQ100" s="106">
        <v>230.17473571245881</v>
      </c>
      <c r="AR100" s="106">
        <v>0.50627168327966232</v>
      </c>
      <c r="AS100" s="106">
        <v>821.3751789529241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0.53706760838053891</v>
      </c>
      <c r="CK100" s="106">
        <v>871.3384878365863</v>
      </c>
      <c r="CL100" s="106">
        <v>0.97404413678958279</v>
      </c>
      <c r="CM100" s="106">
        <v>1580.289207527419</v>
      </c>
      <c r="CN100" s="106">
        <v>0</v>
      </c>
      <c r="CO100" s="106">
        <v>0</v>
      </c>
      <c r="CP100" s="106">
        <v>0.97576154890745714</v>
      </c>
      <c r="CQ100" s="106">
        <v>1583.0755369474584</v>
      </c>
      <c r="CR100" s="106">
        <v>0.49897941245735522</v>
      </c>
      <c r="CS100" s="106">
        <v>809.54419877081307</v>
      </c>
      <c r="CT100" s="106">
        <v>0.60570710989366983</v>
      </c>
      <c r="CU100" s="106">
        <v>982.6992150914898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0.10317745951652582</v>
      </c>
      <c r="K101" s="106">
        <v>122.82244780847232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6.7530454128279363E-2</v>
      </c>
      <c r="W101" s="106">
        <v>80.388252594303751</v>
      </c>
      <c r="X101" s="106">
        <v>0.18845767560874704</v>
      </c>
      <c r="Y101" s="106">
        <v>224.34001704465246</v>
      </c>
      <c r="Z101" s="106">
        <v>0</v>
      </c>
      <c r="AA101" s="106">
        <v>0</v>
      </c>
      <c r="AB101" s="106">
        <v>0</v>
      </c>
      <c r="AC101" s="106">
        <v>0</v>
      </c>
      <c r="AD101" s="106">
        <v>0.11656963830525571</v>
      </c>
      <c r="AE101" s="106">
        <v>138.7644974385764</v>
      </c>
      <c r="AF101" s="106">
        <v>4.6542798694215126E-2</v>
      </c>
      <c r="AG101" s="106">
        <v>55.404547565593681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0.1499107185907404</v>
      </c>
      <c r="AM101" s="106">
        <v>178.45371941041736</v>
      </c>
      <c r="AN101" s="106">
        <v>0.29651953033959272</v>
      </c>
      <c r="AO101" s="106">
        <v>352.97684891625113</v>
      </c>
      <c r="AP101" s="106">
        <v>0.13716774665618331</v>
      </c>
      <c r="AQ101" s="106">
        <v>163.28448561952058</v>
      </c>
      <c r="AR101" s="106">
        <v>0.47325396480490178</v>
      </c>
      <c r="AS101" s="106">
        <v>563.36151970375499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0.53768131956378351</v>
      </c>
      <c r="CK101" s="106">
        <v>640.05584280872779</v>
      </c>
      <c r="CL101" s="106">
        <v>1.0489706088503199</v>
      </c>
      <c r="CM101" s="106">
        <v>1248.6946127754206</v>
      </c>
      <c r="CN101" s="106">
        <v>0</v>
      </c>
      <c r="CO101" s="106">
        <v>0</v>
      </c>
      <c r="CP101" s="106">
        <v>1.0737497369974491</v>
      </c>
      <c r="CQ101" s="106">
        <v>1278.1916869217632</v>
      </c>
      <c r="CR101" s="106">
        <v>0.52123636647059679</v>
      </c>
      <c r="CS101" s="106">
        <v>620.47977064659835</v>
      </c>
      <c r="CT101" s="106">
        <v>0.56911321879552701</v>
      </c>
      <c r="CU101" s="106">
        <v>677.47237565419528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0.10317745951652582</v>
      </c>
      <c r="K102" s="106">
        <v>200.08172949444685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6.1397202863888847E-2</v>
      </c>
      <c r="W102" s="106">
        <v>119.06145579365324</v>
      </c>
      <c r="X102" s="106">
        <v>0.16628618436065914</v>
      </c>
      <c r="Y102" s="106">
        <v>322.46216871219019</v>
      </c>
      <c r="Z102" s="106">
        <v>0</v>
      </c>
      <c r="AA102" s="106">
        <v>0</v>
      </c>
      <c r="AB102" s="106">
        <v>0</v>
      </c>
      <c r="AC102" s="106">
        <v>0</v>
      </c>
      <c r="AD102" s="106">
        <v>0.11656963830525571</v>
      </c>
      <c r="AE102" s="106">
        <v>226.05184260155187</v>
      </c>
      <c r="AF102" s="106">
        <v>4.3439945447934121E-2</v>
      </c>
      <c r="AG102" s="106">
        <v>84.238742212633838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0.14534990090119251</v>
      </c>
      <c r="AM102" s="106">
        <v>281.86252782759249</v>
      </c>
      <c r="AN102" s="106">
        <v>0.29613117688048812</v>
      </c>
      <c r="AO102" s="106">
        <v>574.25757820664251</v>
      </c>
      <c r="AP102" s="106">
        <v>0.13729381617601491</v>
      </c>
      <c r="AQ102" s="106">
        <v>266.24016832852811</v>
      </c>
      <c r="AR102" s="106">
        <v>0.48425987096315531</v>
      </c>
      <c r="AS102" s="106">
        <v>939.07674177175068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0.56660208314145644</v>
      </c>
      <c r="CK102" s="106">
        <v>1098.7547596279121</v>
      </c>
      <c r="CL102" s="106">
        <v>1.1238970809110571</v>
      </c>
      <c r="CM102" s="106">
        <v>2179.4612193027219</v>
      </c>
      <c r="CN102" s="106">
        <v>0</v>
      </c>
      <c r="CO102" s="106">
        <v>0</v>
      </c>
      <c r="CP102" s="106">
        <v>0.92820957105982282</v>
      </c>
      <c r="CQ102" s="106">
        <v>1799.9840001992081</v>
      </c>
      <c r="CR102" s="106">
        <v>0.45397464000108045</v>
      </c>
      <c r="CS102" s="106">
        <v>880.34762189009518</v>
      </c>
      <c r="CT102" s="106">
        <v>0.56779551103530623</v>
      </c>
      <c r="CU102" s="106">
        <v>1101.0690549996657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0.10317745951652582</v>
      </c>
      <c r="K103" s="106">
        <v>209.24388789951436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6.7530454128279363E-2</v>
      </c>
      <c r="W103" s="106">
        <v>136.95176097215054</v>
      </c>
      <c r="X103" s="106">
        <v>0.18845767560874704</v>
      </c>
      <c r="Y103" s="106">
        <v>382.19216613453898</v>
      </c>
      <c r="Z103" s="106">
        <v>0</v>
      </c>
      <c r="AA103" s="106">
        <v>0</v>
      </c>
      <c r="AB103" s="106">
        <v>0</v>
      </c>
      <c r="AC103" s="106">
        <v>0</v>
      </c>
      <c r="AD103" s="106">
        <v>0.10102016548095812</v>
      </c>
      <c r="AE103" s="106">
        <v>204.86889559538307</v>
      </c>
      <c r="AF103" s="106">
        <v>4.0337092201653109E-2</v>
      </c>
      <c r="AG103" s="106">
        <v>81.803622984952511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0.12722588317586894</v>
      </c>
      <c r="AM103" s="106">
        <v>258.01409108066224</v>
      </c>
      <c r="AN103" s="106">
        <v>0.25612035378956682</v>
      </c>
      <c r="AO103" s="106">
        <v>519.41207748524153</v>
      </c>
      <c r="AP103" s="106">
        <v>0.14689340312029267</v>
      </c>
      <c r="AQ103" s="106">
        <v>297.89982152795352</v>
      </c>
      <c r="AR103" s="106">
        <v>0.45674510556752146</v>
      </c>
      <c r="AS103" s="106">
        <v>926.27907409093348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0.53522647483080521</v>
      </c>
      <c r="CK103" s="106">
        <v>1085.439290956873</v>
      </c>
      <c r="CL103" s="106">
        <v>1.1238970809110571</v>
      </c>
      <c r="CM103" s="106">
        <v>2279.263280087624</v>
      </c>
      <c r="CN103" s="106">
        <v>0</v>
      </c>
      <c r="CO103" s="106">
        <v>0</v>
      </c>
      <c r="CP103" s="106">
        <v>0.87900946041520389</v>
      </c>
      <c r="CQ103" s="106">
        <v>1782.6311857220335</v>
      </c>
      <c r="CR103" s="106">
        <v>0.43147225377294302</v>
      </c>
      <c r="CS103" s="106">
        <v>875.02573065152842</v>
      </c>
      <c r="CT103" s="106">
        <v>0.49285078515872627</v>
      </c>
      <c r="CU103" s="106">
        <v>999.50139230189689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0.10317745951652582</v>
      </c>
      <c r="K104" s="106">
        <v>213.82496710204813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6.141876627055004E-2</v>
      </c>
      <c r="W104" s="106">
        <v>127.28425121908791</v>
      </c>
      <c r="X104" s="106">
        <v>0.17737192998470311</v>
      </c>
      <c r="Y104" s="106">
        <v>367.58558770029873</v>
      </c>
      <c r="Z104" s="106">
        <v>0</v>
      </c>
      <c r="AA104" s="106">
        <v>0</v>
      </c>
      <c r="AB104" s="106">
        <v>0</v>
      </c>
      <c r="AC104" s="106">
        <v>0</v>
      </c>
      <c r="AD104" s="106">
        <v>0.11654907515446521</v>
      </c>
      <c r="AE104" s="106">
        <v>241.53630335011371</v>
      </c>
      <c r="AF104" s="106">
        <v>4.3439945447934121E-2</v>
      </c>
      <c r="AG104" s="106">
        <v>90.02494294629868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0.1272855096923029</v>
      </c>
      <c r="AM104" s="106">
        <v>263.78649028632856</v>
      </c>
      <c r="AN104" s="106">
        <v>0.28318258930928558</v>
      </c>
      <c r="AO104" s="106">
        <v>586.8675980845635</v>
      </c>
      <c r="AP104" s="106">
        <v>0.1275681597119056</v>
      </c>
      <c r="AQ104" s="106">
        <v>264.37225418695317</v>
      </c>
      <c r="AR104" s="106">
        <v>0.41272148093450733</v>
      </c>
      <c r="AS104" s="106">
        <v>855.32399708867308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0.56660208314145644</v>
      </c>
      <c r="CK104" s="106">
        <v>1174.2261571023544</v>
      </c>
      <c r="CL104" s="106">
        <v>1.1238970809110571</v>
      </c>
      <c r="CM104" s="106">
        <v>2329.1643104800751</v>
      </c>
      <c r="CN104" s="106">
        <v>0</v>
      </c>
      <c r="CO104" s="106">
        <v>0</v>
      </c>
      <c r="CP104" s="106">
        <v>1.02454962635283</v>
      </c>
      <c r="CQ104" s="106">
        <v>2123.2766456536051</v>
      </c>
      <c r="CR104" s="106">
        <v>0.43147225377294302</v>
      </c>
      <c r="CS104" s="106">
        <v>894.18309871904717</v>
      </c>
      <c r="CT104" s="106">
        <v>0.56735627511523268</v>
      </c>
      <c r="CU104" s="106">
        <v>1175.7891445488083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9.2859713564873242E-2</v>
      </c>
      <c r="K105" s="106">
        <v>185.53370770261674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6.1440329677211261E-2</v>
      </c>
      <c r="W105" s="106">
        <v>122.7577786950681</v>
      </c>
      <c r="X105" s="106">
        <v>0.18845767560874704</v>
      </c>
      <c r="Y105" s="106">
        <v>376.53843586627659</v>
      </c>
      <c r="Z105" s="106">
        <v>0</v>
      </c>
      <c r="AA105" s="106">
        <v>0</v>
      </c>
      <c r="AB105" s="106">
        <v>0</v>
      </c>
      <c r="AC105" s="106">
        <v>0</v>
      </c>
      <c r="AD105" s="106">
        <v>0.10878462031771165</v>
      </c>
      <c r="AE105" s="106">
        <v>217.35167139478787</v>
      </c>
      <c r="AF105" s="106">
        <v>4.0337092201653109E-2</v>
      </c>
      <c r="AG105" s="106">
        <v>80.593510218902907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0.13166744783254886</v>
      </c>
      <c r="AM105" s="106">
        <v>263.07156076943261</v>
      </c>
      <c r="AN105" s="106">
        <v>0.29642244197481654</v>
      </c>
      <c r="AO105" s="106">
        <v>592.25203906568345</v>
      </c>
      <c r="AP105" s="106">
        <v>0.1418729879884485</v>
      </c>
      <c r="AQ105" s="106">
        <v>283.4622300009201</v>
      </c>
      <c r="AR105" s="106">
        <v>0.4347332932510144</v>
      </c>
      <c r="AS105" s="106">
        <v>868.59711991552672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0.53461276364756061</v>
      </c>
      <c r="CK105" s="106">
        <v>1068.1563017678261</v>
      </c>
      <c r="CL105" s="106">
        <v>1.1238970809110571</v>
      </c>
      <c r="CM105" s="106">
        <v>2245.5463676602922</v>
      </c>
      <c r="CN105" s="106">
        <v>0</v>
      </c>
      <c r="CO105" s="106">
        <v>0</v>
      </c>
      <c r="CP105" s="106">
        <v>0.87900946041520389</v>
      </c>
      <c r="CQ105" s="106">
        <v>1756.2609019095773</v>
      </c>
      <c r="CR105" s="106">
        <v>0.49873398024245941</v>
      </c>
      <c r="CS105" s="106">
        <v>996.47049252443389</v>
      </c>
      <c r="CT105" s="106">
        <v>0.53076238401708986</v>
      </c>
      <c r="CU105" s="106">
        <v>1060.4632432661456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5.2945395727465359</v>
      </c>
      <c r="F109" s="106">
        <f>SUM(T$6:T$19)+SUM(V$6:V$19)+SUM(X$6:X$19)+SUM(Z$6:Z$19)</f>
        <v>0.44650631553372144</v>
      </c>
      <c r="G109" s="106">
        <f>SUM(AB$6:AB$19)+SUM(AD$6:AD$19)+SUM(AF$6:AF$19)+SUM(AH$6:AH$19)</f>
        <v>0</v>
      </c>
      <c r="H109" s="106">
        <f>SUM(AJ$6:AJ$19)+SUM(AL$6:AL$19)+SUM(AN$6:AN$19)+SUM(AP$6:AP$19)</f>
        <v>114.09667419388657</v>
      </c>
      <c r="I109" s="106">
        <f>SUM(AR$6:AR$19)+SUM(AT$6:AT$19)+SUM(AV$6:AV$19)+SUM(AX$6:AX$19)</f>
        <v>162.14174023047565</v>
      </c>
      <c r="J109" s="106">
        <f>SUM(AZ$6:AZ$19)+SUM(BB$6:BB$19)+SUM(BD$6:BD$19)+SUM(BF$6:BF$19)</f>
        <v>42.837951240565232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47.177729524080291</v>
      </c>
      <c r="N109" s="106">
        <f>SUM(CF$6:CF$19)+SUM(CH$6:CH$19)+SUM(CJ$6:CJ$19)+SUM(CL$6:CL$19)</f>
        <v>53.080753438281462</v>
      </c>
      <c r="O109" s="106">
        <f>SUM(CN$6:CN$19)+SUM(CP$6:CP$19)+SUM(CR$6:CR$19)+SUM(CT$6:CT$19)</f>
        <v>76.32008894209919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35.294922784383012</v>
      </c>
      <c r="F110" s="106">
        <f>SUM(T$20:T$36)+SUM(V$20:V$36)+SUM(X$20:X$36)+SUM(Z$20:Z$36)</f>
        <v>3.6938249739607869</v>
      </c>
      <c r="G110" s="106">
        <f>SUM(AB$20:AB$36)+SUM(AD$20:AD$36)+SUM(AF$20:AF$36)+SUM(AH$20:AH$36)</f>
        <v>0</v>
      </c>
      <c r="H110" s="106">
        <f>SUM(AJ$20:AJ$36)+SUM(AL$20:AL$36)+SUM(AN$20:AN$36)+SUM(AP$20:AP$36)</f>
        <v>319.71127107015286</v>
      </c>
      <c r="I110" s="106">
        <f>SUM(AR$20:AR$36)+SUM(AT$20:AT$36)+SUM(AV$20:AV$36)+SUM(AX$20:AX$36)</f>
        <v>533.65373513307384</v>
      </c>
      <c r="J110" s="106">
        <f>SUM(AZ$20:AZ$36)+SUM(BB$20:BB$36)+SUM(BD$20:BD$36)+SUM(BF$20:BF$36)</f>
        <v>148.36699485948907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77.127621599416841</v>
      </c>
      <c r="N110" s="106">
        <f>SUM(CF$20:CF$36)+SUM(CH$20:CH$36)+SUM(CJ$20:CJ$36)+SUM(CL$20:CL$36)</f>
        <v>87.449479014935804</v>
      </c>
      <c r="O110" s="106">
        <f>SUM(CN$20:CN$36)+SUM(CP$20:CP$36)+SUM(CR$20:CR$36)+SUM(CT$20:CT$36)</f>
        <v>35.604589749413122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5.4115332657644508</v>
      </c>
      <c r="F111" s="106">
        <f>SUM(T$37:T$48)+SUM(V$37:V$48)+SUM(X$37:X$48)+SUM(Z$37:Z$48)</f>
        <v>1.1281049714431521</v>
      </c>
      <c r="G111" s="106">
        <f>SUM(AB$37:AB$48)+SUM(AD$37:AD$48)+SUM(AF$37:AF$48)+SUM(AH$37:AH$48)</f>
        <v>0</v>
      </c>
      <c r="H111" s="106">
        <f>SUM(AJ$37:AJ$48)+SUM(AL$37:AL$48)+SUM(AN$37:AN$48)+SUM(AP$37:AP$48)</f>
        <v>351.78881981337406</v>
      </c>
      <c r="I111" s="106">
        <f>SUM(AR$37:AR$48)+SUM(AT$37:AT$48)+SUM(AV$37:AV$48)+SUM(AX$37:AX$48)</f>
        <v>52.704452799045143</v>
      </c>
      <c r="J111" s="106">
        <f>SUM(AZ$37:AZ$48)+SUM(BB$37:BB$48)+SUM(BD$37:BD$48)+SUM(BF$37:BF$48)</f>
        <v>2.397206834141381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90.068483245911665</v>
      </c>
      <c r="N111" s="106">
        <f>SUM(CF$37:CF$48)+SUM(CH$37:CH$48)+SUM(CJ$37:CJ$48)+SUM(CL$37:CL$48)</f>
        <v>25.010619391467333</v>
      </c>
      <c r="O111" s="106">
        <f>SUM(CN$37:CN$48)+SUM(CP$37:CP$48)+SUM(CR$37:CR$48)+SUM(CT$37:CT$48)</f>
        <v>11.779767033840098</v>
      </c>
    </row>
    <row r="112" spans="2:99" x14ac:dyDescent="0.2">
      <c r="C112" s="105" t="s">
        <v>129</v>
      </c>
      <c r="D112" s="106">
        <f>SUM(D$49:D$70)+SUM(F$49:F$70)+SUM(H$49:H$70)+SUM(J$49:J$70)</f>
        <v>0.40239209211445076</v>
      </c>
      <c r="E112" s="106">
        <f>SUM(L$49:L$70)+SUM(N$49:N$70)+SUM(P$49:P$70)+SUM(R$49:R$70)</f>
        <v>3.6708431627977567</v>
      </c>
      <c r="F112" s="106">
        <f>SUM(T$49:T$70)+SUM(V$49:V$70)+SUM(X$49:X$70)+SUM(Z$49:Z$70)</f>
        <v>5.1461677874651635</v>
      </c>
      <c r="G112" s="106">
        <f>SUM(AB$49:AB$70)+SUM(AD$49:AD$70)+SUM(AF$49:AF$70)+SUM(AH$49:AH$70)</f>
        <v>0.5031738118475898</v>
      </c>
      <c r="H112" s="106">
        <f>SUM(AJ$49:AJ$70)+SUM(AL$49:AL$70)+SUM(AN$49:AN$70)+SUM(AP$49:AP$70)</f>
        <v>145.62521189981578</v>
      </c>
      <c r="I112" s="106">
        <f>SUM(AR$49:AR$70)+SUM(AT$49:AT$70)+SUM(AV$49:AV$70)+SUM(AX$49:AX$70)</f>
        <v>194.4678848695107</v>
      </c>
      <c r="J112" s="106">
        <f>SUM(AZ$49:AZ$70)+SUM(BB$49:BB$70)+SUM(BD$49:BD$70)+SUM(BF$49:BF$70)</f>
        <v>82.349401848611336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14.472011796604846</v>
      </c>
      <c r="N112" s="106">
        <f>SUM(CF$49:CF$70)+SUM(CH$49:CH$70)+SUM(CJ$49:CJ$70)+SUM(CL$49:CL$70)</f>
        <v>19.670720666927139</v>
      </c>
      <c r="O112" s="106">
        <f>SUM(CN$49:CN$70)+SUM(CP$49:CP$70)+SUM(CR$49:CR$70)+SUM(CT$49:CT$70)</f>
        <v>15.714982509695467</v>
      </c>
    </row>
    <row r="113" spans="2:15" x14ac:dyDescent="0.2">
      <c r="C113" s="105" t="s">
        <v>130</v>
      </c>
      <c r="D113" s="106">
        <f>SUM(D$71:D$86)+SUM(F$71:F$86)+SUM(H$71:H$86)+SUM(J$71:J$86)</f>
        <v>1.7333813198776336</v>
      </c>
      <c r="E113" s="106">
        <f>SUM(L$71:L$86)+SUM(N$71:N$86)+SUM(P$71:P$86)+SUM(R$71:R$86)</f>
        <v>0</v>
      </c>
      <c r="F113" s="106">
        <f>SUM(T$71:T$86)+SUM(V$71:V$86)+SUM(X$71:X$86)+SUM(Z$71:Z$86)</f>
        <v>2.9450817673677889</v>
      </c>
      <c r="G113" s="106">
        <f>SUM(AB$71:AB$86)+SUM(AD$71:AD$86)+SUM(AF$71:AF$86)+SUM(AH$71:AH$86)</f>
        <v>1.9994105242693241</v>
      </c>
      <c r="H113" s="106">
        <f>SUM(AJ$71:AJ$86)+SUM(AL$71:AL$86)+SUM(AN$71:AN$86)+SUM(AP$71:AP$86)</f>
        <v>12.017396029154231</v>
      </c>
      <c r="I113" s="106">
        <f>SUM(AR$71:AR$86)+SUM(AT$71:AT$86)+SUM(AV$71:AV$86)+SUM(AX$71:AX$86)</f>
        <v>4.1252810926855421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11.457077090648848</v>
      </c>
      <c r="O113" s="106">
        <f>SUM(CN$71:CN$86)+SUM(CP$71:CP$86)+SUM(CR$71:CR$86)+SUM(CT$71:CT$86)</f>
        <v>14.251458191801284</v>
      </c>
    </row>
    <row r="114" spans="2:15" x14ac:dyDescent="0.2">
      <c r="C114" s="105" t="s">
        <v>131</v>
      </c>
      <c r="D114" s="106">
        <f>SUM(D$87:D$94)+SUM(F$87:F$94)+SUM(H$87:H$94)+SUM(J$87:J$94)</f>
        <v>1.5476618927478871</v>
      </c>
      <c r="E114" s="106">
        <f>SUM(L$87:L$94)+SUM(N$87:N$94)+SUM(P$87:P$94)+SUM(R$87:R$94)</f>
        <v>0</v>
      </c>
      <c r="F114" s="106">
        <f>SUM(T$87:T$94)+SUM(V$87:V$94)+SUM(X$87:X$94)+SUM(Z$87:Z$94)</f>
        <v>0.86123539916994818</v>
      </c>
      <c r="G114" s="106">
        <f>SUM(AB$87:AB$94)+SUM(AD$87:AD$94)+SUM(AF$87:AF$94)+SUM(AH$87:AH$94)</f>
        <v>0.58264598736157491</v>
      </c>
      <c r="H114" s="106">
        <f>SUM(AJ$87:AJ$94)+SUM(AL$87:AL$94)+SUM(AN$87:AN$94)+SUM(AP$87:AP$94)</f>
        <v>0.88368161792932365</v>
      </c>
      <c r="I114" s="106">
        <f>SUM(AR$87:AR$94)+SUM(AT$87:AT$94)+SUM(AV$87:AV$94)+SUM(AX$87:AX$94)</f>
        <v>0.36191954407539784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5.4401568712052999</v>
      </c>
      <c r="O114" s="106">
        <f>SUM(CN$87:CN$94)+SUM(CP$87:CP$94)+SUM(CR$87:CR$94)+SUM(CT$87:CT$94)</f>
        <v>13.040657358503145</v>
      </c>
    </row>
    <row r="115" spans="2:15" x14ac:dyDescent="0.2">
      <c r="C115" s="105" t="s">
        <v>132</v>
      </c>
      <c r="D115" s="106">
        <f>SUM(D$95:D$105)+SUM(F$95:F$105)+SUM(H$95:H$105)+SUM(J$95:J$105)</f>
        <v>1.0833633249235211</v>
      </c>
      <c r="E115" s="106">
        <f>SUM(L$95:L$105)+SUM(N$95:N$105)+SUM(P$95:P$105)+SUM(R$95:R$105)</f>
        <v>0</v>
      </c>
      <c r="F115" s="106">
        <f>SUM(T$95:T$105)+SUM(V$95:V$105)+SUM(X$95:X$105)+SUM(Z$95:Z$105)</f>
        <v>2.7321359564745924</v>
      </c>
      <c r="G115" s="106">
        <f>SUM(AB$95:AB$105)+SUM(AD$95:AD$105)+SUM(AF$95:AF$105)+SUM(AH$95:AH$105)</f>
        <v>1.6807522628091389</v>
      </c>
      <c r="H115" s="106">
        <f>SUM(AJ$95:AJ$105)+SUM(AL$95:AL$105)+SUM(AN$95:AN$105)+SUM(AP$95:AP$105)</f>
        <v>6.115980625987552</v>
      </c>
      <c r="I115" s="106">
        <f>SUM(AR$95:AR$105)+SUM(AT$95:AT$105)+SUM(AV$95:AV$105)+SUM(AX$95:AX$105)</f>
        <v>4.9436351807277115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17.751211273438987</v>
      </c>
      <c r="O115" s="106">
        <f>SUM(CN$95:CN$105)+SUM(CP$95:CP$105)+SUM(CR$95:CR$105)+SUM(CT$95:CT$105)</f>
        <v>21.611708437193343</v>
      </c>
    </row>
    <row r="116" spans="2:15" x14ac:dyDescent="0.2">
      <c r="C116" s="105" t="s">
        <v>277</v>
      </c>
      <c r="D116" s="106">
        <f t="shared" ref="D116:O116" si="0">SUM(D$109:D$115)</f>
        <v>4.7667986296634925</v>
      </c>
      <c r="E116" s="106">
        <f t="shared" si="0"/>
        <v>49.671838785691754</v>
      </c>
      <c r="F116" s="106">
        <f t="shared" si="0"/>
        <v>16.953057171415153</v>
      </c>
      <c r="G116" s="106">
        <f t="shared" si="0"/>
        <v>4.7659825862876275</v>
      </c>
      <c r="H116" s="106">
        <f t="shared" si="0"/>
        <v>950.23903525030039</v>
      </c>
      <c r="I116" s="106">
        <f t="shared" si="0"/>
        <v>952.398648849594</v>
      </c>
      <c r="J116" s="106">
        <f t="shared" si="0"/>
        <v>275.95155478280702</v>
      </c>
      <c r="K116" s="106">
        <f t="shared" si="0"/>
        <v>0</v>
      </c>
      <c r="L116" s="106">
        <f t="shared" si="0"/>
        <v>0</v>
      </c>
      <c r="M116" s="106">
        <f t="shared" si="0"/>
        <v>228.84584616601364</v>
      </c>
      <c r="N116" s="106">
        <f t="shared" si="0"/>
        <v>219.86001774690487</v>
      </c>
      <c r="O116" s="106">
        <f t="shared" si="0"/>
        <v>188.32325222254565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20596.984729785905</v>
      </c>
      <c r="F120" s="106">
        <f>F109*pricing!F24*2000</f>
        <v>1737.0129425683488</v>
      </c>
      <c r="G120" s="106">
        <f>G109*pricing!G24*2000</f>
        <v>0</v>
      </c>
      <c r="H120" s="106">
        <f>H109*pricing!H24*2000</f>
        <v>592029.96881724487</v>
      </c>
      <c r="I120" s="106">
        <f>I109*pricing!I24*2000</f>
        <v>831068.27197702823</v>
      </c>
      <c r="J120" s="106">
        <f>J109*pricing!J24*2000</f>
        <v>106195.7086481146</v>
      </c>
      <c r="K120" s="106">
        <f>K109*pricing!K24*2000</f>
        <v>0</v>
      </c>
      <c r="L120" s="106">
        <f>L109*pricing!L24*2000</f>
        <v>0</v>
      </c>
      <c r="M120" s="106">
        <f>M109*pricing!M24*2000</f>
        <v>155869.70138387074</v>
      </c>
      <c r="N120" s="106">
        <f>N109*pricing!N24*2000</f>
        <v>175372.60209677488</v>
      </c>
      <c r="O120" s="106">
        <f>O109*pricing!O24*2000</f>
        <v>178550.44358356966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79857.681689780831</v>
      </c>
      <c r="F121" s="106">
        <f>F110*pricing!F25*2000</f>
        <v>8357.5844829116268</v>
      </c>
      <c r="G121" s="106">
        <f>G110*pricing!G25*2000</f>
        <v>0</v>
      </c>
      <c r="H121" s="106">
        <f>H110*pricing!H25*2000</f>
        <v>1404839.5619817125</v>
      </c>
      <c r="I121" s="106">
        <f>I110*pricing!I25*2000</f>
        <v>2316325.0406141286</v>
      </c>
      <c r="J121" s="106">
        <f>J110*pricing!J25*2000</f>
        <v>303115.40253487957</v>
      </c>
      <c r="K121" s="106">
        <f>K110*pricing!K25*2000</f>
        <v>0</v>
      </c>
      <c r="L121" s="106">
        <f>L110*pricing!L25*2000</f>
        <v>0</v>
      </c>
      <c r="M121" s="106">
        <f>M110*pricing!M25*2000</f>
        <v>281320.37127452885</v>
      </c>
      <c r="N121" s="106">
        <f>N110*pricing!N25*2000</f>
        <v>318968.99442873354</v>
      </c>
      <c r="O121" s="106">
        <f>O110*pricing!O25*2000</f>
        <v>125273.07276922467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21862.306283657315</v>
      </c>
      <c r="F122" s="106">
        <f>F111*pricing!F26*2000</f>
        <v>2528.1012229973489</v>
      </c>
      <c r="G122" s="106">
        <f>G111*pricing!G26*2000</f>
        <v>0</v>
      </c>
      <c r="H122" s="106">
        <f>H111*pricing!H26*2000</f>
        <v>1079526.612007265</v>
      </c>
      <c r="I122" s="106">
        <f>I111*pricing!I26*2000</f>
        <v>421635.62239236117</v>
      </c>
      <c r="J122" s="106">
        <f>J111*pricing!J26*2000</f>
        <v>19177.654673131048</v>
      </c>
      <c r="K122" s="106">
        <f>K111*pricing!K26*2000</f>
        <v>0</v>
      </c>
      <c r="L122" s="106">
        <f>L111*pricing!L26*2000</f>
        <v>0</v>
      </c>
      <c r="M122" s="106">
        <f>M111*pricing!M26*2000</f>
        <v>196345.88888742073</v>
      </c>
      <c r="N122" s="106">
        <f>N111*pricing!N26*2000</f>
        <v>101041.57077615162</v>
      </c>
      <c r="O122" s="106">
        <f>O111*pricing!O26*2000</f>
        <v>47589.631661917119</v>
      </c>
    </row>
    <row r="123" spans="2:15" x14ac:dyDescent="0.2">
      <c r="C123" s="105" t="s">
        <v>129</v>
      </c>
      <c r="D123" s="106">
        <f>D112*pricing!D27*2000</f>
        <v>1678.4307492572632</v>
      </c>
      <c r="E123" s="106">
        <f>E112*pricing!E27*2000</f>
        <v>18119.518400703138</v>
      </c>
      <c r="F123" s="106">
        <f>F112*pricing!F27*2000</f>
        <v>11185.32701625747</v>
      </c>
      <c r="G123" s="106">
        <f>G112*pricing!G27*2000</f>
        <v>2050.527799447746</v>
      </c>
      <c r="H123" s="106">
        <f>H112*pricing!H27*2000</f>
        <v>736591.96954285773</v>
      </c>
      <c r="I123" s="106">
        <f>I112*pricing!I27*2000</f>
        <v>972467.01861617423</v>
      </c>
      <c r="J123" s="106">
        <f>J112*pricing!J27*2000</f>
        <v>149218.77960760109</v>
      </c>
      <c r="K123" s="106">
        <f>K112*pricing!K27*2000</f>
        <v>0</v>
      </c>
      <c r="L123" s="106">
        <f>L112*pricing!L27*2000</f>
        <v>0</v>
      </c>
      <c r="M123" s="106">
        <f>M112*pricing!M27*2000</f>
        <v>72658.218027183306</v>
      </c>
      <c r="N123" s="106">
        <f>N112*pricing!N27*2000</f>
        <v>97649.218432417838</v>
      </c>
      <c r="O123" s="106">
        <f>O112*pricing!O27*2000</f>
        <v>77125.675918534267</v>
      </c>
    </row>
    <row r="124" spans="2:15" x14ac:dyDescent="0.2">
      <c r="C124" s="105" t="s">
        <v>130</v>
      </c>
      <c r="D124" s="106">
        <f>D113*pricing!D28*2000</f>
        <v>9096.1601440814975</v>
      </c>
      <c r="E124" s="106">
        <f>E113*pricing!E28*2000</f>
        <v>0</v>
      </c>
      <c r="F124" s="106">
        <f>F113*pricing!F28*2000</f>
        <v>14253.382499180858</v>
      </c>
      <c r="G124" s="106">
        <f>G113*pricing!G28*2000</f>
        <v>9424.2838877518152</v>
      </c>
      <c r="H124" s="106">
        <f>H113*pricing!H28*2000</f>
        <v>30785.754152543108</v>
      </c>
      <c r="I124" s="106">
        <f>I113*pricing!I28*2000</f>
        <v>10568.004018628451</v>
      </c>
      <c r="J124" s="106">
        <f>J113*pricing!J28*2000</f>
        <v>0</v>
      </c>
      <c r="K124" s="106">
        <f>K113*pricing!K28*2000</f>
        <v>0</v>
      </c>
      <c r="L124" s="106">
        <f>L113*pricing!L28*2000</f>
        <v>0</v>
      </c>
      <c r="M124" s="106">
        <f>M113*pricing!M28*2000</f>
        <v>0</v>
      </c>
      <c r="N124" s="106">
        <f>N113*pricing!N28*2000</f>
        <v>61520.809527705656</v>
      </c>
      <c r="O124" s="106">
        <f>O113*pricing!O28*2000</f>
        <v>75656.124382271359</v>
      </c>
    </row>
    <row r="125" spans="2:15" x14ac:dyDescent="0.2">
      <c r="C125" s="105" t="s">
        <v>131</v>
      </c>
      <c r="D125" s="106">
        <f>D114*pricing!D29*2000</f>
        <v>4999.9616630686633</v>
      </c>
      <c r="E125" s="106">
        <f>E114*pricing!E29*2000</f>
        <v>0</v>
      </c>
      <c r="F125" s="106">
        <f>F114*pricing!F29*2000</f>
        <v>4549.2920534586965</v>
      </c>
      <c r="G125" s="106">
        <f>G114*pricing!G29*2000</f>
        <v>3481.5426930453177</v>
      </c>
      <c r="H125" s="106">
        <f>H114*pricing!H29*2000</f>
        <v>5362.7444473708756</v>
      </c>
      <c r="I125" s="106">
        <f>I114*pricing!I29*2000</f>
        <v>1598.7175601816064</v>
      </c>
      <c r="J125" s="106">
        <f>J114*pricing!J29*2000</f>
        <v>0</v>
      </c>
      <c r="K125" s="106">
        <f>K114*pricing!K29*2000</f>
        <v>0</v>
      </c>
      <c r="L125" s="106">
        <f>L114*pricing!L29*2000</f>
        <v>0</v>
      </c>
      <c r="M125" s="106">
        <f>M114*pricing!M29*2000</f>
        <v>0</v>
      </c>
      <c r="N125" s="106">
        <f>N114*pricing!N29*2000</f>
        <v>32377.560384437893</v>
      </c>
      <c r="O125" s="106">
        <f>O114*pricing!O29*2000</f>
        <v>56639.412512626623</v>
      </c>
    </row>
    <row r="126" spans="2:15" x14ac:dyDescent="0.2">
      <c r="C126" s="105" t="s">
        <v>132</v>
      </c>
      <c r="D126" s="106">
        <f>D115*pricing!D30*2000</f>
        <v>7001.702221905899</v>
      </c>
      <c r="E126" s="106">
        <f>E115*pricing!E30*2000</f>
        <v>0</v>
      </c>
      <c r="F126" s="106">
        <f>F115*pricing!F30*2000</f>
        <v>13829.469721053265</v>
      </c>
      <c r="G126" s="106">
        <f>G115*pricing!G30*2000</f>
        <v>7130.7940056154403</v>
      </c>
      <c r="H126" s="106">
        <f>H115*pricing!H30*2000</f>
        <v>22825.307568703429</v>
      </c>
      <c r="I126" s="106">
        <f>I115*pricing!I30*2000</f>
        <v>11452.629135188668</v>
      </c>
      <c r="J126" s="106">
        <f>J115*pricing!J30*2000</f>
        <v>0</v>
      </c>
      <c r="K126" s="106">
        <f>K115*pricing!K30*2000</f>
        <v>0</v>
      </c>
      <c r="L126" s="106">
        <f>L115*pricing!L30*2000</f>
        <v>0</v>
      </c>
      <c r="M126" s="106">
        <f>M115*pricing!M30*2000</f>
        <v>0</v>
      </c>
      <c r="N126" s="106">
        <f>N115*pricing!N30*2000</f>
        <v>81814.016329452264</v>
      </c>
      <c r="O126" s="106">
        <f>O115*pricing!O30*2000</f>
        <v>99606.761462726427</v>
      </c>
    </row>
    <row r="127" spans="2:15" x14ac:dyDescent="0.2">
      <c r="C127" s="105" t="s">
        <v>277</v>
      </c>
      <c r="D127" s="106">
        <f t="shared" ref="D127:O127" si="1">SUM(D$120:D$126)</f>
        <v>22776.254778313323</v>
      </c>
      <c r="E127" s="106">
        <f t="shared" si="1"/>
        <v>140436.4911039272</v>
      </c>
      <c r="F127" s="106">
        <f t="shared" si="1"/>
        <v>56440.169938427614</v>
      </c>
      <c r="G127" s="106">
        <f t="shared" si="1"/>
        <v>22087.148385860317</v>
      </c>
      <c r="H127" s="106">
        <f t="shared" si="1"/>
        <v>3871961.9185176971</v>
      </c>
      <c r="I127" s="106">
        <f t="shared" si="1"/>
        <v>4565115.3043136904</v>
      </c>
      <c r="J127" s="106">
        <f t="shared" si="1"/>
        <v>577707.54546372627</v>
      </c>
      <c r="K127" s="106">
        <f t="shared" si="1"/>
        <v>0</v>
      </c>
      <c r="L127" s="106">
        <f t="shared" si="1"/>
        <v>0</v>
      </c>
      <c r="M127" s="106">
        <f t="shared" si="1"/>
        <v>706194.17957300367</v>
      </c>
      <c r="N127" s="106">
        <f t="shared" si="1"/>
        <v>868744.77197567374</v>
      </c>
      <c r="O127" s="106">
        <f t="shared" si="1"/>
        <v>660441.12229087017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2689.0719419359843</v>
      </c>
      <c r="F131" s="112">
        <f>SUM(U$6:U$19)+SUM(W$6:W$19)+SUM(Y$6:Y$19)+SUM(AA$6:AA$19)</f>
        <v>225.335500856577</v>
      </c>
      <c r="G131" s="112">
        <f>SUM(AC$6:AC$19)+SUM(AE$6:AE$19)+SUM(AG$6:AG$19)+SUM(AI$6:AI$19)</f>
        <v>0</v>
      </c>
      <c r="H131" s="112">
        <f>SUM(AK$6:AK$19)+SUM(AM$6:AM$19)+SUM(AO$6:AO$19)+SUM(AQ$6:AQ$19)</f>
        <v>57381.480258582931</v>
      </c>
      <c r="I131" s="112">
        <f>SUM(AS$6:AS$19)+SUM(AU$6:AU$19)+SUM(AW$6:AW$19)+SUM(AY$6:AY$19)</f>
        <v>82098.115687278987</v>
      </c>
      <c r="J131" s="112">
        <f>SUM(BA$6:BA$19)+SUM(BC$6:BC$19)+SUM(BE$6:BE$19)+SUM(BG$6:BG$19)</f>
        <v>21341.317381741166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23880.536460261592</v>
      </c>
      <c r="N131" s="112">
        <f>SUM(CG$6:CG$19)+SUM(CI$6:CI$19)+SUM(CK$6:CK$19)+SUM(CM$6:CM$19)</f>
        <v>26640.31707479967</v>
      </c>
      <c r="O131" s="112">
        <f>SUM(CO$6:CO$19)+SUM(CQ$6:CQ$19)+SUM(CS$6:CS$19)+SUM(CU$6:CU$19)</f>
        <v>38198.892909297501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15043.955544238914</v>
      </c>
      <c r="F132" s="112">
        <f>SUM(U$20:U$36)+SUM(W$20:W$36)+SUM(Y$20:Y$36)+SUM(AA$20:AA$36)</f>
        <v>1552.8738711823071</v>
      </c>
      <c r="G132" s="112">
        <f>SUM(AC$20:AC$36)+SUM(AE$20:AE$36)+SUM(AG$20:AG$36)+SUM(AI$20:AI$36)</f>
        <v>0</v>
      </c>
      <c r="H132" s="112">
        <f>SUM(AK$20:AK$36)+SUM(AM$20:AM$36)+SUM(AO$20:AO$36)+SUM(AQ$20:AQ$36)</f>
        <v>138283.46488040063</v>
      </c>
      <c r="I132" s="112">
        <f>SUM(AS$20:AS$36)+SUM(AU$20:AU$36)+SUM(AW$20:AW$36)+SUM(AY$20:AY$36)</f>
        <v>229134.4634534092</v>
      </c>
      <c r="J132" s="112">
        <f>SUM(BA$20:BA$36)+SUM(BC$20:BC$36)+SUM(BE$20:BE$36)+SUM(BG$20:BG$36)</f>
        <v>62699.192369129734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32760.363430510584</v>
      </c>
      <c r="N132" s="112">
        <f>SUM(CG$20:CG$36)+SUM(CI$20:CI$36)+SUM(CK$20:CK$36)+SUM(CM$20:CM$36)</f>
        <v>37028.811298958863</v>
      </c>
      <c r="O132" s="112">
        <f>SUM(CO$20:CO$36)+SUM(CQ$20:CQ$36)+SUM(CS$20:CS$36)+SUM(CU$20:CU$36)</f>
        <v>15318.953103109263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5676.3111771402009</v>
      </c>
      <c r="F133" s="112">
        <f>SUM(U$37:U$48)+SUM(W$37:W$48)+SUM(Y$37:Y$48)+SUM(AA$37:AA$48)</f>
        <v>1177.1996938855259</v>
      </c>
      <c r="G133" s="112">
        <f>SUM(AC$37:AC$48)+SUM(AE$37:AE$48)+SUM(AG$37:AG$48)+SUM(AI$37:AI$48)</f>
        <v>0</v>
      </c>
      <c r="H133" s="112">
        <f>SUM(AK$37:AK$48)+SUM(AM$37:AM$48)+SUM(AO$37:AO$48)+SUM(AQ$37:AQ$48)</f>
        <v>370291.73604027077</v>
      </c>
      <c r="I133" s="112">
        <f>SUM(AS$37:AS$48)+SUM(AU$37:AU$48)+SUM(AW$37:AW$48)+SUM(AY$37:AY$48)</f>
        <v>55377.224375508085</v>
      </c>
      <c r="J133" s="112">
        <f>SUM(BA$37:BA$48)+SUM(BC$37:BC$48)+SUM(BE$37:BE$48)+SUM(BG$37:BG$48)</f>
        <v>2548.8408824765875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93723.449461881421</v>
      </c>
      <c r="N133" s="112">
        <f>SUM(CG$37:CG$48)+SUM(CI$37:CI$48)+SUM(CK$37:CK$48)+SUM(CM$37:CM$48)</f>
        <v>26155.407635428237</v>
      </c>
      <c r="O133" s="112">
        <f>SUM(CO$37:CO$48)+SUM(CQ$37:CQ$48)+SUM(CS$37:CS$48)+SUM(CU$37:CU$48)</f>
        <v>12296.29619396124</v>
      </c>
    </row>
    <row r="134" spans="2:15" x14ac:dyDescent="0.2">
      <c r="C134" s="111" t="s">
        <v>129</v>
      </c>
      <c r="D134" s="112">
        <f>SUM(E$49:E$70)+SUM(G$49:G$70)+SUM(I$49:I$70)+SUM(K$49:K$70)</f>
        <v>442.42081930848212</v>
      </c>
      <c r="E134" s="112">
        <f>SUM(M$49:M$70)+SUM(O$49:O$70)+SUM(Q$49:Q$70)+SUM(S$49:S$70)</f>
        <v>2962.6835479339425</v>
      </c>
      <c r="F134" s="112">
        <f>SUM(U$49:U$70)+SUM(W$49:W$70)+SUM(Y$49:Y$70)+SUM(AA$49:AA$70)</f>
        <v>4999.7193716903448</v>
      </c>
      <c r="G134" s="112">
        <f>SUM(AC$49:AC$70)+SUM(AE$49:AE$70)+SUM(AG$49:AG$70)+SUM(AI$49:AI$70)</f>
        <v>554.55354144010005</v>
      </c>
      <c r="H134" s="112">
        <f>SUM(AK$49:AK$70)+SUM(AM$49:AM$70)+SUM(AO$49:AO$70)+SUM(AQ$49:AQ$70)</f>
        <v>117319.48504585359</v>
      </c>
      <c r="I134" s="112">
        <f>SUM(AS$49:AS$70)+SUM(AU$49:AU$70)+SUM(AW$49:AW$70)+SUM(AY$49:AY$70)</f>
        <v>158079.12720336195</v>
      </c>
      <c r="J134" s="112">
        <f>SUM(BA$49:BA$70)+SUM(BC$49:BC$70)+SUM(BE$49:BE$70)+SUM(BG$49:BG$70)</f>
        <v>65510.217454031663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11618.762936960084</v>
      </c>
      <c r="N134" s="112">
        <f>SUM(CG$49:CG$70)+SUM(CI$49:CI$70)+SUM(CK$49:CK$70)+SUM(CM$49:CM$70)</f>
        <v>16688.546477090789</v>
      </c>
      <c r="O134" s="112">
        <f>SUM(CO$49:CO$70)+SUM(CQ$49:CQ$70)+SUM(CS$49:CS$70)+SUM(CU$49:CU$70)</f>
        <v>13794.768891177431</v>
      </c>
    </row>
    <row r="135" spans="2:15" x14ac:dyDescent="0.2">
      <c r="C135" s="111" t="s">
        <v>130</v>
      </c>
      <c r="D135" s="112">
        <f>SUM(E$71:E$86)+SUM(G$71:G$86)+SUM(I$71:I$86)+SUM(K$71:K$86)</f>
        <v>969.56684127355447</v>
      </c>
      <c r="E135" s="112">
        <f>SUM(M$71:M$86)+SUM(O$71:O$86)+SUM(Q$71:Q$86)+SUM(S$71:S$86)</f>
        <v>0</v>
      </c>
      <c r="F135" s="112">
        <f>SUM(U$71:U$86)+SUM(W$71:W$86)+SUM(Y$71:Y$86)+SUM(AA$71:AA$86)</f>
        <v>1649.2369970405211</v>
      </c>
      <c r="G135" s="112">
        <f>SUM(AC$71:AC$86)+SUM(AE$71:AE$86)+SUM(AG$71:AG$86)+SUM(AI$71:AI$86)</f>
        <v>1119.670929351211</v>
      </c>
      <c r="H135" s="112">
        <f>SUM(AK$71:AK$86)+SUM(AM$71:AM$86)+SUM(AO$71:AO$86)+SUM(AQ$71:AQ$86)</f>
        <v>6673.4619703236722</v>
      </c>
      <c r="I135" s="112">
        <f>SUM(AS$71:AS$86)+SUM(AU$71:AU$86)+SUM(AW$71:AW$86)+SUM(AY$71:AY$86)</f>
        <v>2277.7317016644934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6408.4322151709612</v>
      </c>
      <c r="O135" s="112">
        <f>SUM(CO$71:CO$86)+SUM(CQ$71:CQ$86)+SUM(CS$71:CS$86)+SUM(CU$71:CU$86)</f>
        <v>7924.1370644773597</v>
      </c>
    </row>
    <row r="136" spans="2:15" x14ac:dyDescent="0.2">
      <c r="C136" s="111" t="s">
        <v>131</v>
      </c>
      <c r="D136" s="112">
        <f>SUM(E$87:E$94)+SUM(G$87:G$94)+SUM(I$87:I$94)+SUM(K$87:K$94)</f>
        <v>3136.7392177457086</v>
      </c>
      <c r="E136" s="112">
        <f>SUM(M$87:M$94)+SUM(O$87:O$94)+SUM(Q$87:Q$94)+SUM(S$87:S$94)</f>
        <v>0</v>
      </c>
      <c r="F136" s="112">
        <f>SUM(U$87:U$94)+SUM(W$87:W$94)+SUM(Y$87:Y$94)+SUM(AA$87:AA$94)</f>
        <v>1748.2285421009706</v>
      </c>
      <c r="G136" s="112">
        <f>SUM(AC$87:AC$94)+SUM(AE$87:AE$94)+SUM(AG$87:AG$94)+SUM(AI$87:AI$94)</f>
        <v>1181.2836218657276</v>
      </c>
      <c r="H136" s="112">
        <f>SUM(AK$87:AK$94)+SUM(AM$87:AM$94)+SUM(AO$87:AO$94)+SUM(AQ$87:AQ$94)</f>
        <v>1797.0991360205776</v>
      </c>
      <c r="I136" s="112">
        <f>SUM(AS$87:AS$94)+SUM(AU$87:AU$94)+SUM(AW$87:AW$94)+SUM(AY$87:AY$94)</f>
        <v>738.13041818145507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11054.897992669958</v>
      </c>
      <c r="O136" s="112">
        <f>SUM(CO$87:CO$94)+SUM(CQ$87:CQ$94)+SUM(CS$87:CS$94)+SUM(CU$87:CU$94)</f>
        <v>26494.285347908466</v>
      </c>
    </row>
    <row r="137" spans="2:15" x14ac:dyDescent="0.2">
      <c r="C137" s="111" t="s">
        <v>132</v>
      </c>
      <c r="D137" s="112">
        <f>SUM(E$95:E$105)+SUM(G$95:G$105)+SUM(I$95:I$105)+SUM(K$95:K$105)</f>
        <v>2050.478669758963</v>
      </c>
      <c r="E137" s="112">
        <f>SUM(M$95:M$105)+SUM(O$95:O$105)+SUM(Q$95:Q$105)+SUM(S$95:S$105)</f>
        <v>0</v>
      </c>
      <c r="F137" s="112">
        <f>SUM(U$95:U$105)+SUM(W$95:W$105)+SUM(Y$95:Y$105)+SUM(AA$95:AA$105)</f>
        <v>5229.2370303857324</v>
      </c>
      <c r="G137" s="112">
        <f>SUM(AC$95:AC$105)+SUM(AE$95:AE$105)+SUM(AG$95:AG$105)+SUM(AI$95:AI$105)</f>
        <v>3171.9207411050138</v>
      </c>
      <c r="H137" s="112">
        <f>SUM(AK$95:AK$105)+SUM(AM$95:AM$105)+SUM(AO$95:AO$105)+SUM(AQ$95:AQ$105)</f>
        <v>11538.364198899231</v>
      </c>
      <c r="I137" s="112">
        <f>SUM(AS$95:AS$105)+SUM(AU$95:AU$105)+SUM(AW$95:AW$105)+SUM(AY$95:AY$105)</f>
        <v>9007.0701014907499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33721.849291002603</v>
      </c>
      <c r="O137" s="112">
        <f>SUM(CO$95:CO$105)+SUM(CQ$95:CQ$105)+SUM(CS$95:CS$105)+SUM(CU$95:CU$105)</f>
        <v>40789.513259232168</v>
      </c>
    </row>
    <row r="138" spans="2:15" x14ac:dyDescent="0.2">
      <c r="C138" s="111" t="s">
        <v>277</v>
      </c>
      <c r="D138" s="106">
        <f t="shared" ref="D138:O138" si="2">SUM(D$131:D$137)</f>
        <v>6599.2055480867075</v>
      </c>
      <c r="E138" s="106">
        <f t="shared" si="2"/>
        <v>26372.022211249041</v>
      </c>
      <c r="F138" s="106">
        <f t="shared" si="2"/>
        <v>16581.83100714198</v>
      </c>
      <c r="G138" s="106">
        <f t="shared" si="2"/>
        <v>6027.4288337620528</v>
      </c>
      <c r="H138" s="106">
        <f t="shared" si="2"/>
        <v>703285.09153035132</v>
      </c>
      <c r="I138" s="106">
        <f t="shared" si="2"/>
        <v>536711.86294089479</v>
      </c>
      <c r="J138" s="106">
        <f t="shared" si="2"/>
        <v>152099.56808737916</v>
      </c>
      <c r="K138" s="106">
        <f t="shared" si="2"/>
        <v>0</v>
      </c>
      <c r="L138" s="106">
        <f t="shared" si="2"/>
        <v>0</v>
      </c>
      <c r="M138" s="106">
        <f t="shared" si="2"/>
        <v>161983.11228961369</v>
      </c>
      <c r="N138" s="106">
        <f t="shared" si="2"/>
        <v>157698.26198512106</v>
      </c>
      <c r="O138" s="106">
        <f t="shared" si="2"/>
        <v>154816.84676916341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271</v>
      </c>
    </row>
    <row r="3" spans="1:99" x14ac:dyDescent="0.2">
      <c r="B3" s="109" t="s">
        <v>272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3.2386528232563823</v>
      </c>
      <c r="M6" s="106">
        <v>1873.2367929714915</v>
      </c>
      <c r="N6" s="106">
        <v>1.1064625816944471</v>
      </c>
      <c r="O6" s="106">
        <v>639.97795725206822</v>
      </c>
      <c r="P6" s="106">
        <v>1.0815403465053874</v>
      </c>
      <c r="Q6" s="106">
        <v>625.56293641871605</v>
      </c>
      <c r="R6" s="106">
        <v>1.1413426837788523</v>
      </c>
      <c r="S6" s="106">
        <v>660.15260829768818</v>
      </c>
      <c r="T6" s="106">
        <v>0</v>
      </c>
      <c r="U6" s="106">
        <v>0</v>
      </c>
      <c r="V6" s="106">
        <v>0.53297800683360641</v>
      </c>
      <c r="W6" s="106">
        <v>308.27447915255794</v>
      </c>
      <c r="X6" s="106">
        <v>0.19893800047404372</v>
      </c>
      <c r="Y6" s="106">
        <v>115.06573947418688</v>
      </c>
      <c r="Z6" s="106">
        <v>0.21158706968594768</v>
      </c>
      <c r="AA6" s="106">
        <v>122.38196110635214</v>
      </c>
      <c r="AB6" s="106">
        <v>0</v>
      </c>
      <c r="AC6" s="106">
        <v>0</v>
      </c>
      <c r="AD6" s="106">
        <v>0.46935216444506805</v>
      </c>
      <c r="AE6" s="106">
        <v>271.47329191502735</v>
      </c>
      <c r="AF6" s="106">
        <v>6.5950966323458511</v>
      </c>
      <c r="AG6" s="106">
        <v>3814.6038921488403</v>
      </c>
      <c r="AH6" s="106">
        <v>0.40030606043022043</v>
      </c>
      <c r="AI6" s="106">
        <v>231.53702535283949</v>
      </c>
      <c r="AJ6" s="106">
        <v>0</v>
      </c>
      <c r="AK6" s="106">
        <v>0</v>
      </c>
      <c r="AL6" s="106">
        <v>9</v>
      </c>
      <c r="AM6" s="106">
        <v>5205.5999999999995</v>
      </c>
      <c r="AN6" s="106">
        <v>8.3078405550733372</v>
      </c>
      <c r="AO6" s="106">
        <v>4805.2549770544183</v>
      </c>
      <c r="AP6" s="106">
        <v>2.2145762999495844</v>
      </c>
      <c r="AQ6" s="106">
        <v>1280.9109318908395</v>
      </c>
      <c r="AR6" s="106">
        <v>5.5235607451360256</v>
      </c>
      <c r="AS6" s="106">
        <v>3194.8275349866772</v>
      </c>
      <c r="AT6" s="106">
        <v>4.3241166686479549</v>
      </c>
      <c r="AU6" s="106">
        <v>2501.0690811459772</v>
      </c>
      <c r="AV6" s="106">
        <v>6.4796923417573646</v>
      </c>
      <c r="AW6" s="106">
        <v>3747.8540504724597</v>
      </c>
      <c r="AX6" s="106">
        <v>6.2268844891240924</v>
      </c>
      <c r="AY6" s="106">
        <v>3601.6299885093749</v>
      </c>
      <c r="AZ6" s="106">
        <v>9.1475937313688025</v>
      </c>
      <c r="BA6" s="106">
        <v>5290.9682142237152</v>
      </c>
      <c r="BB6" s="106">
        <v>0</v>
      </c>
      <c r="BC6" s="106">
        <v>0</v>
      </c>
      <c r="BD6" s="106">
        <v>4.841377671511963</v>
      </c>
      <c r="BE6" s="106">
        <v>2800.2528452025194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19.557476719403237</v>
      </c>
      <c r="BM6" s="106">
        <v>11312.044534502831</v>
      </c>
      <c r="BN6" s="106">
        <v>26.749290646098704</v>
      </c>
      <c r="BO6" s="106">
        <v>15471.789709703489</v>
      </c>
      <c r="BP6" s="106">
        <v>23</v>
      </c>
      <c r="BQ6" s="106">
        <v>13303.199999999999</v>
      </c>
      <c r="BR6" s="106">
        <v>17.409530591239665</v>
      </c>
      <c r="BS6" s="106">
        <v>10069.672493973023</v>
      </c>
      <c r="BT6" s="106">
        <v>17.598275314653552</v>
      </c>
      <c r="BU6" s="106">
        <v>10178.842441995614</v>
      </c>
      <c r="BV6" s="106">
        <v>0</v>
      </c>
      <c r="BW6" s="106">
        <v>0</v>
      </c>
      <c r="BX6" s="106">
        <v>14.512659847414657</v>
      </c>
      <c r="BY6" s="106">
        <v>8394.1224557446367</v>
      </c>
      <c r="BZ6" s="106">
        <v>8.4352498759458445</v>
      </c>
      <c r="CA6" s="106">
        <v>4878.948528247076</v>
      </c>
      <c r="CB6" s="106">
        <v>0</v>
      </c>
      <c r="CC6" s="106">
        <v>0</v>
      </c>
      <c r="CD6" s="106">
        <v>12.031078686322507</v>
      </c>
      <c r="CE6" s="106">
        <v>6958.7759121689378</v>
      </c>
      <c r="CF6" s="106">
        <v>0</v>
      </c>
      <c r="CG6" s="106">
        <v>0</v>
      </c>
      <c r="CH6" s="106">
        <v>0</v>
      </c>
      <c r="CI6" s="106">
        <v>0</v>
      </c>
      <c r="CJ6" s="106">
        <v>19.489316232307651</v>
      </c>
      <c r="CK6" s="106">
        <v>11272.620508766744</v>
      </c>
      <c r="CL6" s="106">
        <v>9.2434611007151553</v>
      </c>
      <c r="CM6" s="106">
        <v>5346.417900653646</v>
      </c>
      <c r="CN6" s="106">
        <v>24.282010893727097</v>
      </c>
      <c r="CO6" s="106">
        <v>14044.715100931753</v>
      </c>
      <c r="CP6" s="106">
        <v>0</v>
      </c>
      <c r="CQ6" s="106">
        <v>0</v>
      </c>
      <c r="CR6" s="106">
        <v>0</v>
      </c>
      <c r="CS6" s="106">
        <v>0</v>
      </c>
      <c r="CT6" s="106">
        <v>24.671531464884136</v>
      </c>
      <c r="CU6" s="106">
        <v>14270.013799288983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3.2386528232563823</v>
      </c>
      <c r="M7" s="106">
        <v>2553.3538858553316</v>
      </c>
      <c r="N7" s="106">
        <v>1.1065812916385518</v>
      </c>
      <c r="O7" s="106">
        <v>872.42869032783426</v>
      </c>
      <c r="P7" s="106">
        <v>0.89111431978349953</v>
      </c>
      <c r="Q7" s="106">
        <v>702.55452971731097</v>
      </c>
      <c r="R7" s="106">
        <v>1.1415630035157494</v>
      </c>
      <c r="S7" s="106">
        <v>900.00827197181673</v>
      </c>
      <c r="T7" s="106">
        <v>0</v>
      </c>
      <c r="U7" s="106">
        <v>0</v>
      </c>
      <c r="V7" s="106">
        <v>0.47968020615024576</v>
      </c>
      <c r="W7" s="106">
        <v>378.17987452885376</v>
      </c>
      <c r="X7" s="106">
        <v>0.19893800047404372</v>
      </c>
      <c r="Y7" s="106">
        <v>156.84271957373608</v>
      </c>
      <c r="Z7" s="106">
        <v>0.21158706968594768</v>
      </c>
      <c r="AA7" s="106">
        <v>166.81524574040114</v>
      </c>
      <c r="AB7" s="106">
        <v>0</v>
      </c>
      <c r="AC7" s="106">
        <v>0</v>
      </c>
      <c r="AD7" s="106">
        <v>0.46935216444506805</v>
      </c>
      <c r="AE7" s="106">
        <v>370.03724644849166</v>
      </c>
      <c r="AF7" s="106">
        <v>6.9422069814166854</v>
      </c>
      <c r="AG7" s="106">
        <v>5473.2359841489142</v>
      </c>
      <c r="AH7" s="106">
        <v>0.32024484834417638</v>
      </c>
      <c r="AI7" s="106">
        <v>252.48103843454865</v>
      </c>
      <c r="AJ7" s="106">
        <v>0</v>
      </c>
      <c r="AK7" s="106">
        <v>0</v>
      </c>
      <c r="AL7" s="106">
        <v>9</v>
      </c>
      <c r="AM7" s="106">
        <v>7095.5999999999995</v>
      </c>
      <c r="AN7" s="106">
        <v>7.346320624457503</v>
      </c>
      <c r="AO7" s="106">
        <v>5791.8391803222949</v>
      </c>
      <c r="AP7" s="106">
        <v>2.2145762999495844</v>
      </c>
      <c r="AQ7" s="106">
        <v>1745.9719548802523</v>
      </c>
      <c r="AR7" s="106">
        <v>4.6136221087073315</v>
      </c>
      <c r="AS7" s="106">
        <v>3637.3796705048599</v>
      </c>
      <c r="AT7" s="106">
        <v>4.3241166686479549</v>
      </c>
      <c r="AU7" s="106">
        <v>3409.1335815620473</v>
      </c>
      <c r="AV7" s="106">
        <v>6.387211570397529</v>
      </c>
      <c r="AW7" s="106">
        <v>5035.677602101412</v>
      </c>
      <c r="AX7" s="106">
        <v>6.2268844891240924</v>
      </c>
      <c r="AY7" s="106">
        <v>4909.2757312254344</v>
      </c>
      <c r="AZ7" s="106">
        <v>8.2552277621886105</v>
      </c>
      <c r="BA7" s="106">
        <v>6508.4215677095008</v>
      </c>
      <c r="BB7" s="106">
        <v>0</v>
      </c>
      <c r="BC7" s="106">
        <v>0</v>
      </c>
      <c r="BD7" s="106">
        <v>5.1752657867886507</v>
      </c>
      <c r="BE7" s="106">
        <v>4080.1795463041722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21.283136429938818</v>
      </c>
      <c r="BM7" s="106">
        <v>16779.624761363764</v>
      </c>
      <c r="BN7" s="106">
        <v>24.838627028520225</v>
      </c>
      <c r="BO7" s="106">
        <v>19582.773549285346</v>
      </c>
      <c r="BP7" s="106">
        <v>21</v>
      </c>
      <c r="BQ7" s="106">
        <v>16556.399999999998</v>
      </c>
      <c r="BR7" s="106">
        <v>15.576948423740753</v>
      </c>
      <c r="BS7" s="106">
        <v>12280.866137277209</v>
      </c>
      <c r="BT7" s="106">
        <v>15.567705086039682</v>
      </c>
      <c r="BU7" s="106">
        <v>12273.578689833685</v>
      </c>
      <c r="BV7" s="106">
        <v>0</v>
      </c>
      <c r="BW7" s="106">
        <v>0</v>
      </c>
      <c r="BX7" s="106">
        <v>12.698577366487827</v>
      </c>
      <c r="BY7" s="106">
        <v>10011.558395739003</v>
      </c>
      <c r="BZ7" s="106">
        <v>7.9819144816650693</v>
      </c>
      <c r="CA7" s="106">
        <v>6292.9413773447404</v>
      </c>
      <c r="CB7" s="106">
        <v>0</v>
      </c>
      <c r="CC7" s="106">
        <v>0</v>
      </c>
      <c r="CD7" s="106">
        <v>12.031078686322507</v>
      </c>
      <c r="CE7" s="106">
        <v>9485.3024362966644</v>
      </c>
      <c r="CF7" s="106">
        <v>0</v>
      </c>
      <c r="CG7" s="106">
        <v>0</v>
      </c>
      <c r="CH7" s="106">
        <v>0</v>
      </c>
      <c r="CI7" s="106">
        <v>0</v>
      </c>
      <c r="CJ7" s="106">
        <v>19.489316232307651</v>
      </c>
      <c r="CK7" s="106">
        <v>15365.376917551352</v>
      </c>
      <c r="CL7" s="106">
        <v>8.5360605058035048</v>
      </c>
      <c r="CM7" s="106">
        <v>6729.8301027754833</v>
      </c>
      <c r="CN7" s="106">
        <v>21.940066084379868</v>
      </c>
      <c r="CO7" s="106">
        <v>17297.548100925087</v>
      </c>
      <c r="CP7" s="106">
        <v>0</v>
      </c>
      <c r="CQ7" s="106">
        <v>0</v>
      </c>
      <c r="CR7" s="106">
        <v>0</v>
      </c>
      <c r="CS7" s="106">
        <v>0</v>
      </c>
      <c r="CT7" s="106">
        <v>23.062518543261259</v>
      </c>
      <c r="CU7" s="106">
        <v>18182.489619507174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3.5085405585277476</v>
      </c>
      <c r="M8" s="106">
        <v>1086.2441569201906</v>
      </c>
      <c r="N8" s="106">
        <v>1.1913924572953976</v>
      </c>
      <c r="O8" s="106">
        <v>368.85510477865506</v>
      </c>
      <c r="P8" s="106">
        <v>1.1447514083301693</v>
      </c>
      <c r="Q8" s="106">
        <v>354.41503601902036</v>
      </c>
      <c r="R8" s="106">
        <v>1.1417836578900922</v>
      </c>
      <c r="S8" s="106">
        <v>353.49622048277251</v>
      </c>
      <c r="T8" s="106">
        <v>0</v>
      </c>
      <c r="U8" s="106">
        <v>0</v>
      </c>
      <c r="V8" s="106">
        <v>0.53297800683360641</v>
      </c>
      <c r="W8" s="106">
        <v>165.00999091568454</v>
      </c>
      <c r="X8" s="106">
        <v>0.19893800047404372</v>
      </c>
      <c r="Y8" s="106">
        <v>61.591204946763931</v>
      </c>
      <c r="Z8" s="106">
        <v>0.23274577665454244</v>
      </c>
      <c r="AA8" s="106">
        <v>72.058092452246328</v>
      </c>
      <c r="AB8" s="106">
        <v>0</v>
      </c>
      <c r="AC8" s="106">
        <v>0</v>
      </c>
      <c r="AD8" s="106">
        <v>0.49542728469201625</v>
      </c>
      <c r="AE8" s="106">
        <v>153.3842873406482</v>
      </c>
      <c r="AF8" s="106">
        <v>6.2479862832750168</v>
      </c>
      <c r="AG8" s="106">
        <v>1934.376553301945</v>
      </c>
      <c r="AH8" s="106">
        <v>0.34693191903952436</v>
      </c>
      <c r="AI8" s="106">
        <v>107.41012213463674</v>
      </c>
      <c r="AJ8" s="106">
        <v>0</v>
      </c>
      <c r="AK8" s="106">
        <v>0</v>
      </c>
      <c r="AL8" s="106">
        <v>9</v>
      </c>
      <c r="AM8" s="106">
        <v>2786.3999999999996</v>
      </c>
      <c r="AN8" s="106">
        <v>8.3270805897654192</v>
      </c>
      <c r="AO8" s="106">
        <v>2578.0641505913736</v>
      </c>
      <c r="AP8" s="106">
        <v>2.2145762999495844</v>
      </c>
      <c r="AQ8" s="106">
        <v>685.63282246439121</v>
      </c>
      <c r="AR8" s="106">
        <v>5.6169424905301373</v>
      </c>
      <c r="AS8" s="106">
        <v>1739.0053950681304</v>
      </c>
      <c r="AT8" s="106">
        <v>5.044802780089281</v>
      </c>
      <c r="AU8" s="106">
        <v>1561.8709407156412</v>
      </c>
      <c r="AV8" s="106">
        <v>7.3009235629338995</v>
      </c>
      <c r="AW8" s="106">
        <v>2260.365935084335</v>
      </c>
      <c r="AX8" s="106">
        <v>7.2457915298844329</v>
      </c>
      <c r="AY8" s="106">
        <v>2243.2970576522202</v>
      </c>
      <c r="AZ8" s="106">
        <v>9.1484362786406539</v>
      </c>
      <c r="BA8" s="106">
        <v>2832.3558718671461</v>
      </c>
      <c r="BB8" s="106">
        <v>0</v>
      </c>
      <c r="BC8" s="106">
        <v>0</v>
      </c>
      <c r="BD8" s="106">
        <v>6.343874190257055</v>
      </c>
      <c r="BE8" s="106">
        <v>1964.0634493035841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20.707916526426956</v>
      </c>
      <c r="BM8" s="106">
        <v>6411.1709565817846</v>
      </c>
      <c r="BN8" s="106">
        <v>31.5259496900449</v>
      </c>
      <c r="BO8" s="106">
        <v>9760.4340240379006</v>
      </c>
      <c r="BP8" s="106">
        <v>22</v>
      </c>
      <c r="BQ8" s="106">
        <v>6811.1999999999989</v>
      </c>
      <c r="BR8" s="106">
        <v>19.242112758738578</v>
      </c>
      <c r="BS8" s="106">
        <v>5957.3581101054633</v>
      </c>
      <c r="BT8" s="106">
        <v>18.275132057524846</v>
      </c>
      <c r="BU8" s="106">
        <v>5657.9808850096915</v>
      </c>
      <c r="BV8" s="106">
        <v>0</v>
      </c>
      <c r="BW8" s="106">
        <v>0</v>
      </c>
      <c r="BX8" s="106">
        <v>15.419701087878073</v>
      </c>
      <c r="BY8" s="106">
        <v>4773.9394568070511</v>
      </c>
      <c r="BZ8" s="106">
        <v>8.4490105148904391</v>
      </c>
      <c r="CA8" s="106">
        <v>2615.8136554100797</v>
      </c>
      <c r="CB8" s="106">
        <v>0</v>
      </c>
      <c r="CC8" s="106">
        <v>0</v>
      </c>
      <c r="CD8" s="106">
        <v>12.031078686322507</v>
      </c>
      <c r="CE8" s="106">
        <v>3724.8219612854477</v>
      </c>
      <c r="CF8" s="106">
        <v>0</v>
      </c>
      <c r="CG8" s="106">
        <v>0</v>
      </c>
      <c r="CH8" s="106">
        <v>0</v>
      </c>
      <c r="CI8" s="106">
        <v>0</v>
      </c>
      <c r="CJ8" s="106">
        <v>20.185363240604353</v>
      </c>
      <c r="CK8" s="106">
        <v>6249.3884592911072</v>
      </c>
      <c r="CL8" s="106">
        <v>9.599648417479596</v>
      </c>
      <c r="CM8" s="106">
        <v>2972.0511500516827</v>
      </c>
      <c r="CN8" s="106">
        <v>24.317287443781947</v>
      </c>
      <c r="CO8" s="106">
        <v>7528.6321925948896</v>
      </c>
      <c r="CP8" s="106">
        <v>0</v>
      </c>
      <c r="CQ8" s="106">
        <v>0</v>
      </c>
      <c r="CR8" s="106">
        <v>0</v>
      </c>
      <c r="CS8" s="106">
        <v>0</v>
      </c>
      <c r="CT8" s="106">
        <v>28.962232589211808</v>
      </c>
      <c r="CU8" s="106">
        <v>8966.7072096199754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3.5085405585277476</v>
      </c>
      <c r="M9" s="106">
        <v>2462.9954720864789</v>
      </c>
      <c r="N9" s="106">
        <v>1.0215327060934967</v>
      </c>
      <c r="O9" s="106">
        <v>717.11595967763469</v>
      </c>
      <c r="P9" s="106">
        <v>0.95432430200094887</v>
      </c>
      <c r="Q9" s="106">
        <v>669.93566000466615</v>
      </c>
      <c r="R9" s="106">
        <v>1.1412321335000499</v>
      </c>
      <c r="S9" s="106">
        <v>801.14495771703503</v>
      </c>
      <c r="T9" s="106">
        <v>0</v>
      </c>
      <c r="U9" s="106">
        <v>0</v>
      </c>
      <c r="V9" s="106">
        <v>0.53297800683360641</v>
      </c>
      <c r="W9" s="106">
        <v>374.1505607971917</v>
      </c>
      <c r="X9" s="106">
        <v>0.17904420042663938</v>
      </c>
      <c r="Y9" s="106">
        <v>125.68902869950084</v>
      </c>
      <c r="Z9" s="106">
        <v>0.21158706968594768</v>
      </c>
      <c r="AA9" s="106">
        <v>148.53412291953526</v>
      </c>
      <c r="AB9" s="106">
        <v>0</v>
      </c>
      <c r="AC9" s="106">
        <v>0</v>
      </c>
      <c r="AD9" s="106">
        <v>0.46935216444506805</v>
      </c>
      <c r="AE9" s="106">
        <v>329.48521944043779</v>
      </c>
      <c r="AF9" s="106">
        <v>7.2893173304875196</v>
      </c>
      <c r="AG9" s="106">
        <v>5117.1007660022387</v>
      </c>
      <c r="AH9" s="106">
        <v>0.34693191903952436</v>
      </c>
      <c r="AI9" s="106">
        <v>243.5462071657461</v>
      </c>
      <c r="AJ9" s="106">
        <v>0</v>
      </c>
      <c r="AK9" s="106">
        <v>0</v>
      </c>
      <c r="AL9" s="106">
        <v>9</v>
      </c>
      <c r="AM9" s="106">
        <v>6318</v>
      </c>
      <c r="AN9" s="106">
        <v>7.3270805897654201</v>
      </c>
      <c r="AO9" s="106">
        <v>5143.6105740153253</v>
      </c>
      <c r="AP9" s="106">
        <v>2.4606403332773157</v>
      </c>
      <c r="AQ9" s="106">
        <v>1727.3695139606757</v>
      </c>
      <c r="AR9" s="106">
        <v>5.6169424905301373</v>
      </c>
      <c r="AS9" s="106">
        <v>3943.0936283521564</v>
      </c>
      <c r="AT9" s="106">
        <v>4.3241166686479549</v>
      </c>
      <c r="AU9" s="106">
        <v>3035.5299013908643</v>
      </c>
      <c r="AV9" s="106">
        <v>6.3841151884494263</v>
      </c>
      <c r="AW9" s="106">
        <v>4481.6488622914976</v>
      </c>
      <c r="AX9" s="106">
        <v>7.2457915298844329</v>
      </c>
      <c r="AY9" s="106">
        <v>5086.545653978872</v>
      </c>
      <c r="AZ9" s="106">
        <v>8.4783192544836599</v>
      </c>
      <c r="BA9" s="106">
        <v>5951.7801166475292</v>
      </c>
      <c r="BB9" s="106">
        <v>0</v>
      </c>
      <c r="BC9" s="106">
        <v>0</v>
      </c>
      <c r="BD9" s="106">
        <v>5.5091539020653375</v>
      </c>
      <c r="BE9" s="106">
        <v>3867.4260392498668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21.283136429938818</v>
      </c>
      <c r="BM9" s="106">
        <v>14940.76177381705</v>
      </c>
      <c r="BN9" s="106">
        <v>26.271624741704084</v>
      </c>
      <c r="BO9" s="106">
        <v>18442.680568676267</v>
      </c>
      <c r="BP9" s="106">
        <v>22</v>
      </c>
      <c r="BQ9" s="106">
        <v>15444</v>
      </c>
      <c r="BR9" s="106">
        <v>17.409530591239665</v>
      </c>
      <c r="BS9" s="106">
        <v>12221.490475050245</v>
      </c>
      <c r="BT9" s="106">
        <v>14.890848343168392</v>
      </c>
      <c r="BU9" s="106">
        <v>10453.37553690421</v>
      </c>
      <c r="BV9" s="106">
        <v>0</v>
      </c>
      <c r="BW9" s="106">
        <v>0</v>
      </c>
      <c r="BX9" s="106">
        <v>14.512659847414657</v>
      </c>
      <c r="BY9" s="106">
        <v>10187.887212885089</v>
      </c>
      <c r="BZ9" s="106">
        <v>7.9910882409614645</v>
      </c>
      <c r="CA9" s="106">
        <v>5609.7439451549481</v>
      </c>
      <c r="CB9" s="106">
        <v>0</v>
      </c>
      <c r="CC9" s="106">
        <v>0</v>
      </c>
      <c r="CD9" s="106">
        <v>12.445943468609491</v>
      </c>
      <c r="CE9" s="106">
        <v>8737.052314963863</v>
      </c>
      <c r="CF9" s="106">
        <v>0</v>
      </c>
      <c r="CG9" s="106">
        <v>0</v>
      </c>
      <c r="CH9" s="106">
        <v>0</v>
      </c>
      <c r="CI9" s="106">
        <v>0</v>
      </c>
      <c r="CJ9" s="106">
        <v>20.185363240604353</v>
      </c>
      <c r="CK9" s="106">
        <v>14170.124994904256</v>
      </c>
      <c r="CL9" s="106">
        <v>8.5285994478776583</v>
      </c>
      <c r="CM9" s="106">
        <v>5987.076812410116</v>
      </c>
      <c r="CN9" s="106">
        <v>20.998733481015837</v>
      </c>
      <c r="CO9" s="106">
        <v>14741.110903673118</v>
      </c>
      <c r="CP9" s="106">
        <v>0</v>
      </c>
      <c r="CQ9" s="106">
        <v>0</v>
      </c>
      <c r="CR9" s="106">
        <v>0</v>
      </c>
      <c r="CS9" s="106">
        <v>0</v>
      </c>
      <c r="CT9" s="106">
        <v>23.062518543261259</v>
      </c>
      <c r="CU9" s="106">
        <v>16189.888017369403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3.5085405585277476</v>
      </c>
      <c r="M10" s="106">
        <v>1911.4528962859167</v>
      </c>
      <c r="N10" s="106">
        <v>1.1065812916385518</v>
      </c>
      <c r="O10" s="106">
        <v>602.86548768468299</v>
      </c>
      <c r="P10" s="106">
        <v>0.95432484180461508</v>
      </c>
      <c r="Q10" s="106">
        <v>519.91617381515425</v>
      </c>
      <c r="R10" s="106">
        <v>1.2047194932433536</v>
      </c>
      <c r="S10" s="106">
        <v>656.33117991897893</v>
      </c>
      <c r="T10" s="106">
        <v>0</v>
      </c>
      <c r="U10" s="106">
        <v>0</v>
      </c>
      <c r="V10" s="106">
        <v>0.47968020615024576</v>
      </c>
      <c r="W10" s="106">
        <v>261.32977631065387</v>
      </c>
      <c r="X10" s="106">
        <v>0.19893800047404372</v>
      </c>
      <c r="Y10" s="106">
        <v>108.38142265825901</v>
      </c>
      <c r="Z10" s="106">
        <v>0.21158706968594768</v>
      </c>
      <c r="AA10" s="106">
        <v>115.27263556490428</v>
      </c>
      <c r="AB10" s="106">
        <v>0</v>
      </c>
      <c r="AC10" s="106">
        <v>0</v>
      </c>
      <c r="AD10" s="106">
        <v>0.46935216444506805</v>
      </c>
      <c r="AE10" s="106">
        <v>255.70305918967304</v>
      </c>
      <c r="AF10" s="106">
        <v>6.5950966323458511</v>
      </c>
      <c r="AG10" s="106">
        <v>3593.0086453020194</v>
      </c>
      <c r="AH10" s="106">
        <v>0.37361898973487245</v>
      </c>
      <c r="AI10" s="106">
        <v>203.5476256075585</v>
      </c>
      <c r="AJ10" s="106">
        <v>0</v>
      </c>
      <c r="AK10" s="106">
        <v>0</v>
      </c>
      <c r="AL10" s="106">
        <v>8</v>
      </c>
      <c r="AM10" s="106">
        <v>4358.3999999999996</v>
      </c>
      <c r="AN10" s="106">
        <v>9.3270805897654192</v>
      </c>
      <c r="AO10" s="106">
        <v>5081.3935053041996</v>
      </c>
      <c r="AP10" s="106">
        <v>2.2145762999495844</v>
      </c>
      <c r="AQ10" s="106">
        <v>1206.5011682125335</v>
      </c>
      <c r="AR10" s="106">
        <v>5.5719118087444839</v>
      </c>
      <c r="AS10" s="106">
        <v>3035.5775534039944</v>
      </c>
      <c r="AT10" s="106">
        <v>4.3241166686479549</v>
      </c>
      <c r="AU10" s="106">
        <v>2355.7787610794057</v>
      </c>
      <c r="AV10" s="106">
        <v>6.3009235629338995</v>
      </c>
      <c r="AW10" s="106">
        <v>3432.7431570863882</v>
      </c>
      <c r="AX10" s="106">
        <v>7.2268844891240924</v>
      </c>
      <c r="AY10" s="106">
        <v>3937.2066696748052</v>
      </c>
      <c r="AZ10" s="106">
        <v>8.7064660304098229</v>
      </c>
      <c r="BA10" s="106">
        <v>4743.2826933672713</v>
      </c>
      <c r="BB10" s="106">
        <v>0</v>
      </c>
      <c r="BC10" s="106">
        <v>0</v>
      </c>
      <c r="BD10" s="106">
        <v>5.0083217291503059</v>
      </c>
      <c r="BE10" s="106">
        <v>2728.5336780410867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21.858356333450679</v>
      </c>
      <c r="BM10" s="106">
        <v>11908.43253046393</v>
      </c>
      <c r="BN10" s="106">
        <v>27.226956550493323</v>
      </c>
      <c r="BO10" s="106">
        <v>14833.24592870876</v>
      </c>
      <c r="BP10" s="106">
        <v>20</v>
      </c>
      <c r="BQ10" s="106">
        <v>10896</v>
      </c>
      <c r="BR10" s="106">
        <v>15.576948423740753</v>
      </c>
      <c r="BS10" s="106">
        <v>8486.3215012539604</v>
      </c>
      <c r="BT10" s="106">
        <v>18.275132057524846</v>
      </c>
      <c r="BU10" s="106">
        <v>9956.2919449395358</v>
      </c>
      <c r="BV10" s="106">
        <v>0</v>
      </c>
      <c r="BW10" s="106">
        <v>0</v>
      </c>
      <c r="BX10" s="106">
        <v>15.419701087878073</v>
      </c>
      <c r="BY10" s="106">
        <v>8400.6531526759736</v>
      </c>
      <c r="BZ10" s="106">
        <v>8.4535973945386367</v>
      </c>
      <c r="CA10" s="106">
        <v>4605.5198605446485</v>
      </c>
      <c r="CB10" s="106">
        <v>0</v>
      </c>
      <c r="CC10" s="106">
        <v>0</v>
      </c>
      <c r="CD10" s="106">
        <v>12.445943468609491</v>
      </c>
      <c r="CE10" s="106">
        <v>6780.5500016984497</v>
      </c>
      <c r="CF10" s="106">
        <v>0</v>
      </c>
      <c r="CG10" s="106">
        <v>0</v>
      </c>
      <c r="CH10" s="106">
        <v>0</v>
      </c>
      <c r="CI10" s="106">
        <v>0</v>
      </c>
      <c r="CJ10" s="106">
        <v>18.793269224010949</v>
      </c>
      <c r="CK10" s="106">
        <v>10238.573073241165</v>
      </c>
      <c r="CL10" s="106">
        <v>9.2360000427893088</v>
      </c>
      <c r="CM10" s="106">
        <v>5031.772823311615</v>
      </c>
      <c r="CN10" s="106">
        <v>24.756266676110474</v>
      </c>
      <c r="CO10" s="106">
        <v>13487.214085144986</v>
      </c>
      <c r="CP10" s="106">
        <v>0</v>
      </c>
      <c r="CQ10" s="106">
        <v>0</v>
      </c>
      <c r="CR10" s="106">
        <v>0</v>
      </c>
      <c r="CS10" s="106">
        <v>0</v>
      </c>
      <c r="CT10" s="106">
        <v>26.816882027047974</v>
      </c>
      <c r="CU10" s="106">
        <v>14609.837328335736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3.5085405585277476</v>
      </c>
      <c r="M11" s="106">
        <v>1869.3504095835838</v>
      </c>
      <c r="N11" s="106">
        <v>1.1911550374071882</v>
      </c>
      <c r="O11" s="106">
        <v>634.64740393054979</v>
      </c>
      <c r="P11" s="106">
        <v>1.0181319740414971</v>
      </c>
      <c r="Q11" s="106">
        <v>542.46071576930967</v>
      </c>
      <c r="R11" s="106">
        <v>1.0148088268576696</v>
      </c>
      <c r="S11" s="106">
        <v>540.69014294976637</v>
      </c>
      <c r="T11" s="106">
        <v>0</v>
      </c>
      <c r="U11" s="106">
        <v>0</v>
      </c>
      <c r="V11" s="106">
        <v>0.47968020615024576</v>
      </c>
      <c r="W11" s="106">
        <v>255.57361383685091</v>
      </c>
      <c r="X11" s="106">
        <v>0.19893800047404372</v>
      </c>
      <c r="Y11" s="106">
        <v>105.99416665257048</v>
      </c>
      <c r="Z11" s="106">
        <v>0.21158706968594768</v>
      </c>
      <c r="AA11" s="106">
        <v>112.73359072867291</v>
      </c>
      <c r="AB11" s="106">
        <v>0</v>
      </c>
      <c r="AC11" s="106">
        <v>0</v>
      </c>
      <c r="AD11" s="106">
        <v>0.44327704419811981</v>
      </c>
      <c r="AE11" s="106">
        <v>236.17800914875821</v>
      </c>
      <c r="AF11" s="106">
        <v>5.9008759342041825</v>
      </c>
      <c r="AG11" s="106">
        <v>3143.9866977439883</v>
      </c>
      <c r="AH11" s="106">
        <v>0.37361898973487245</v>
      </c>
      <c r="AI11" s="106">
        <v>199.06419773074003</v>
      </c>
      <c r="AJ11" s="106">
        <v>0</v>
      </c>
      <c r="AK11" s="106">
        <v>0</v>
      </c>
      <c r="AL11" s="106">
        <v>9</v>
      </c>
      <c r="AM11" s="106">
        <v>4795.2</v>
      </c>
      <c r="AN11" s="106">
        <v>7.3655606591495868</v>
      </c>
      <c r="AO11" s="106">
        <v>3924.3707191948997</v>
      </c>
      <c r="AP11" s="106">
        <v>2.4606403332773157</v>
      </c>
      <c r="AQ11" s="106">
        <v>1311.0291695701537</v>
      </c>
      <c r="AR11" s="106">
        <v>5.6169424905301373</v>
      </c>
      <c r="AS11" s="106">
        <v>2992.7069589544567</v>
      </c>
      <c r="AT11" s="106">
        <v>5.044802780089281</v>
      </c>
      <c r="AU11" s="106">
        <v>2687.8709212315684</v>
      </c>
      <c r="AV11" s="106">
        <v>6.3009235629338995</v>
      </c>
      <c r="AW11" s="106">
        <v>3357.1320743311812</v>
      </c>
      <c r="AX11" s="106">
        <v>6.2079774483637511</v>
      </c>
      <c r="AY11" s="106">
        <v>3307.6103844882064</v>
      </c>
      <c r="AZ11" s="106">
        <v>8.0422468371557958</v>
      </c>
      <c r="BA11" s="106">
        <v>4284.9091148366078</v>
      </c>
      <c r="BB11" s="106">
        <v>0</v>
      </c>
      <c r="BC11" s="106">
        <v>0</v>
      </c>
      <c r="BD11" s="106">
        <v>5.6760979597036805</v>
      </c>
      <c r="BE11" s="106">
        <v>3024.2249929301206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19.557476719403237</v>
      </c>
      <c r="BM11" s="106">
        <v>10420.223596098043</v>
      </c>
      <c r="BN11" s="106">
        <v>31.5259496900449</v>
      </c>
      <c r="BO11" s="106">
        <v>16797.025994855921</v>
      </c>
      <c r="BP11" s="106">
        <v>23</v>
      </c>
      <c r="BQ11" s="106">
        <v>12254.4</v>
      </c>
      <c r="BR11" s="106">
        <v>17.409530591239665</v>
      </c>
      <c r="BS11" s="106">
        <v>9275.7978990124921</v>
      </c>
      <c r="BT11" s="106">
        <v>18.275132057524846</v>
      </c>
      <c r="BU11" s="106">
        <v>9736.9903602492377</v>
      </c>
      <c r="BV11" s="106">
        <v>0</v>
      </c>
      <c r="BW11" s="106">
        <v>0</v>
      </c>
      <c r="BX11" s="106">
        <v>13.605618606951241</v>
      </c>
      <c r="BY11" s="106">
        <v>7249.0735937836207</v>
      </c>
      <c r="BZ11" s="106">
        <v>8.4444236352422397</v>
      </c>
      <c r="CA11" s="106">
        <v>4499.1889128570647</v>
      </c>
      <c r="CB11" s="106">
        <v>0</v>
      </c>
      <c r="CC11" s="106">
        <v>0</v>
      </c>
      <c r="CD11" s="106">
        <v>10.786484339461557</v>
      </c>
      <c r="CE11" s="106">
        <v>5747.0388560651172</v>
      </c>
      <c r="CF11" s="106">
        <v>0</v>
      </c>
      <c r="CG11" s="106">
        <v>0</v>
      </c>
      <c r="CH11" s="106">
        <v>0</v>
      </c>
      <c r="CI11" s="106">
        <v>0</v>
      </c>
      <c r="CJ11" s="106">
        <v>18.097222215714247</v>
      </c>
      <c r="CK11" s="106">
        <v>9642.1999965325504</v>
      </c>
      <c r="CL11" s="106">
        <v>8.874838687407637</v>
      </c>
      <c r="CM11" s="106">
        <v>4728.5140526507885</v>
      </c>
      <c r="CN11" s="106">
        <v>24.289454822397857</v>
      </c>
      <c r="CO11" s="106">
        <v>12941.421529373578</v>
      </c>
      <c r="CP11" s="106">
        <v>0</v>
      </c>
      <c r="CQ11" s="106">
        <v>0</v>
      </c>
      <c r="CR11" s="106">
        <v>0</v>
      </c>
      <c r="CS11" s="106">
        <v>0</v>
      </c>
      <c r="CT11" s="106">
        <v>27.889557308129895</v>
      </c>
      <c r="CU11" s="106">
        <v>14859.556133771606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3.2386528232563823</v>
      </c>
      <c r="M12" s="106">
        <v>1822.7138089286918</v>
      </c>
      <c r="N12" s="106">
        <v>1.1064625816944471</v>
      </c>
      <c r="O12" s="106">
        <v>622.71714097763481</v>
      </c>
      <c r="P12" s="106">
        <v>1.0813421361935016</v>
      </c>
      <c r="Q12" s="106">
        <v>608.57935424970265</v>
      </c>
      <c r="R12" s="106">
        <v>1.1417837694359079</v>
      </c>
      <c r="S12" s="106">
        <v>642.59590543852892</v>
      </c>
      <c r="T12" s="106">
        <v>0</v>
      </c>
      <c r="U12" s="106">
        <v>0</v>
      </c>
      <c r="V12" s="106">
        <v>0.47968020615024576</v>
      </c>
      <c r="W12" s="106">
        <v>269.96402002135829</v>
      </c>
      <c r="X12" s="106">
        <v>0.19893800047404372</v>
      </c>
      <c r="Y12" s="106">
        <v>111.9623066667918</v>
      </c>
      <c r="Z12" s="106">
        <v>0.21158706968594768</v>
      </c>
      <c r="AA12" s="106">
        <v>119.08120281925135</v>
      </c>
      <c r="AB12" s="106">
        <v>0</v>
      </c>
      <c r="AC12" s="106">
        <v>0</v>
      </c>
      <c r="AD12" s="106">
        <v>0.41720192395117156</v>
      </c>
      <c r="AE12" s="106">
        <v>234.80124279971935</v>
      </c>
      <c r="AF12" s="106">
        <v>6.2479862832750168</v>
      </c>
      <c r="AG12" s="106">
        <v>3516.3666802271791</v>
      </c>
      <c r="AH12" s="106">
        <v>0.37361898973487245</v>
      </c>
      <c r="AI12" s="106">
        <v>210.27276742278619</v>
      </c>
      <c r="AJ12" s="106">
        <v>0</v>
      </c>
      <c r="AK12" s="106">
        <v>0</v>
      </c>
      <c r="AL12" s="106">
        <v>9</v>
      </c>
      <c r="AM12" s="106">
        <v>5065.2</v>
      </c>
      <c r="AN12" s="106">
        <v>7.3655606591495868</v>
      </c>
      <c r="AO12" s="106">
        <v>4145.3375389693874</v>
      </c>
      <c r="AP12" s="106">
        <v>2.4606403332773157</v>
      </c>
      <c r="AQ12" s="106">
        <v>1384.8483795684731</v>
      </c>
      <c r="AR12" s="106">
        <v>5.6603129814043873</v>
      </c>
      <c r="AS12" s="106">
        <v>3185.6241459343887</v>
      </c>
      <c r="AT12" s="106">
        <v>4.3241166686479549</v>
      </c>
      <c r="AU12" s="106">
        <v>2433.6128611150689</v>
      </c>
      <c r="AV12" s="106">
        <v>7.2978271809857969</v>
      </c>
      <c r="AW12" s="106">
        <v>4107.2171374588061</v>
      </c>
      <c r="AX12" s="106">
        <v>7.2268844891240924</v>
      </c>
      <c r="AY12" s="106">
        <v>4067.2905904790391</v>
      </c>
      <c r="AZ12" s="106">
        <v>8.040561742612093</v>
      </c>
      <c r="BA12" s="106">
        <v>4525.228148742086</v>
      </c>
      <c r="BB12" s="106">
        <v>0</v>
      </c>
      <c r="BC12" s="106">
        <v>0</v>
      </c>
      <c r="BD12" s="106">
        <v>5.8430420173420243</v>
      </c>
      <c r="BE12" s="106">
        <v>3288.4640473600912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19.557476719403237</v>
      </c>
      <c r="BM12" s="106">
        <v>11006.94789768014</v>
      </c>
      <c r="BN12" s="106">
        <v>31.04828378565028</v>
      </c>
      <c r="BO12" s="106">
        <v>17473.974114563978</v>
      </c>
      <c r="BP12" s="106">
        <v>21</v>
      </c>
      <c r="BQ12" s="106">
        <v>11818.8</v>
      </c>
      <c r="BR12" s="106">
        <v>17.409530591239665</v>
      </c>
      <c r="BS12" s="106">
        <v>9798.0838167496822</v>
      </c>
      <c r="BT12" s="106">
        <v>16.921418571782265</v>
      </c>
      <c r="BU12" s="106">
        <v>9523.3743721990577</v>
      </c>
      <c r="BV12" s="106">
        <v>0</v>
      </c>
      <c r="BW12" s="106">
        <v>0</v>
      </c>
      <c r="BX12" s="106">
        <v>14.512659847414657</v>
      </c>
      <c r="BY12" s="106">
        <v>8167.7249621249684</v>
      </c>
      <c r="BZ12" s="106">
        <v>7.5148184484396987</v>
      </c>
      <c r="CA12" s="106">
        <v>4229.3398227818625</v>
      </c>
      <c r="CB12" s="106">
        <v>0</v>
      </c>
      <c r="CC12" s="106">
        <v>0</v>
      </c>
      <c r="CD12" s="106">
        <v>11.616213904035524</v>
      </c>
      <c r="CE12" s="106">
        <v>6537.6051851911925</v>
      </c>
      <c r="CF12" s="106">
        <v>0</v>
      </c>
      <c r="CG12" s="106">
        <v>0</v>
      </c>
      <c r="CH12" s="106">
        <v>0</v>
      </c>
      <c r="CI12" s="106">
        <v>0</v>
      </c>
      <c r="CJ12" s="106">
        <v>20.881410248901052</v>
      </c>
      <c r="CK12" s="106">
        <v>11752.057688081512</v>
      </c>
      <c r="CL12" s="106">
        <v>8.1798731890390624</v>
      </c>
      <c r="CM12" s="106">
        <v>4603.6326307911841</v>
      </c>
      <c r="CN12" s="106">
        <v>21.549573133416793</v>
      </c>
      <c r="CO12" s="106">
        <v>12128.09975948697</v>
      </c>
      <c r="CP12" s="106">
        <v>0</v>
      </c>
      <c r="CQ12" s="106">
        <v>0</v>
      </c>
      <c r="CR12" s="106">
        <v>0</v>
      </c>
      <c r="CS12" s="106">
        <v>0</v>
      </c>
      <c r="CT12" s="106">
        <v>27.353219667588935</v>
      </c>
      <c r="CU12" s="106">
        <v>15394.392028919052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3.5085405585277476</v>
      </c>
      <c r="M13" s="106">
        <v>298.92765558656413</v>
      </c>
      <c r="N13" s="106">
        <v>1.2763223328963478</v>
      </c>
      <c r="O13" s="106">
        <v>108.74266276276883</v>
      </c>
      <c r="P13" s="106">
        <v>1.0177344738103933</v>
      </c>
      <c r="Q13" s="106">
        <v>86.710977168645513</v>
      </c>
      <c r="R13" s="106">
        <v>1.1415630035157494</v>
      </c>
      <c r="S13" s="106">
        <v>97.261167899541846</v>
      </c>
      <c r="T13" s="106">
        <v>0</v>
      </c>
      <c r="U13" s="106">
        <v>0</v>
      </c>
      <c r="V13" s="106">
        <v>0.58627580751696706</v>
      </c>
      <c r="W13" s="106">
        <v>49.950698800445593</v>
      </c>
      <c r="X13" s="106">
        <v>0.19893800047404372</v>
      </c>
      <c r="Y13" s="106">
        <v>16.949517640388525</v>
      </c>
      <c r="Z13" s="106">
        <v>0.19042836271735292</v>
      </c>
      <c r="AA13" s="106">
        <v>16.22449650351847</v>
      </c>
      <c r="AB13" s="106">
        <v>0</v>
      </c>
      <c r="AC13" s="106">
        <v>0</v>
      </c>
      <c r="AD13" s="106">
        <v>0.49542728469201625</v>
      </c>
      <c r="AE13" s="106">
        <v>42.210404655759788</v>
      </c>
      <c r="AF13" s="106">
        <v>6.9422069814166854</v>
      </c>
      <c r="AG13" s="106">
        <v>591.4760348167016</v>
      </c>
      <c r="AH13" s="106">
        <v>0.40030606043022043</v>
      </c>
      <c r="AI13" s="106">
        <v>34.106076348654781</v>
      </c>
      <c r="AJ13" s="106">
        <v>0</v>
      </c>
      <c r="AK13" s="106">
        <v>0</v>
      </c>
      <c r="AL13" s="106">
        <v>10</v>
      </c>
      <c r="AM13" s="106">
        <v>852</v>
      </c>
      <c r="AN13" s="106">
        <v>8.346320624457503</v>
      </c>
      <c r="AO13" s="106">
        <v>711.10651720377928</v>
      </c>
      <c r="AP13" s="106">
        <v>2.2145762999495844</v>
      </c>
      <c r="AQ13" s="106">
        <v>188.68190075570459</v>
      </c>
      <c r="AR13" s="106">
        <v>5.5719118087444839</v>
      </c>
      <c r="AS13" s="106">
        <v>474.72688610503002</v>
      </c>
      <c r="AT13" s="106">
        <v>4.3241166686479549</v>
      </c>
      <c r="AU13" s="106">
        <v>368.41474016880579</v>
      </c>
      <c r="AV13" s="106">
        <v>6.3903079523456316</v>
      </c>
      <c r="AW13" s="106">
        <v>544.45423753984778</v>
      </c>
      <c r="AX13" s="106">
        <v>6.2457915298844329</v>
      </c>
      <c r="AY13" s="106">
        <v>532.14143834615368</v>
      </c>
      <c r="AZ13" s="106">
        <v>9.3690001291201455</v>
      </c>
      <c r="BA13" s="106">
        <v>798.23881100103642</v>
      </c>
      <c r="BB13" s="106">
        <v>0</v>
      </c>
      <c r="BC13" s="106">
        <v>0</v>
      </c>
      <c r="BD13" s="106">
        <v>5.8430420173420243</v>
      </c>
      <c r="BE13" s="106">
        <v>497.82717987754052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23.008796140474399</v>
      </c>
      <c r="BM13" s="106">
        <v>1960.3494311684187</v>
      </c>
      <c r="BN13" s="106">
        <v>30.092951976861041</v>
      </c>
      <c r="BO13" s="106">
        <v>2563.9195084285607</v>
      </c>
      <c r="BP13" s="106">
        <v>22</v>
      </c>
      <c r="BQ13" s="106">
        <v>1874.4</v>
      </c>
      <c r="BR13" s="106">
        <v>20.158403842488035</v>
      </c>
      <c r="BS13" s="106">
        <v>1717.4960073799807</v>
      </c>
      <c r="BT13" s="106">
        <v>18.275132057524846</v>
      </c>
      <c r="BU13" s="106">
        <v>1557.041251301117</v>
      </c>
      <c r="BV13" s="106">
        <v>0</v>
      </c>
      <c r="BW13" s="106">
        <v>0</v>
      </c>
      <c r="BX13" s="106">
        <v>14.512659847414657</v>
      </c>
      <c r="BY13" s="106">
        <v>1236.4786189997287</v>
      </c>
      <c r="BZ13" s="106">
        <v>8.4490105148904391</v>
      </c>
      <c r="CA13" s="106">
        <v>719.85569586866541</v>
      </c>
      <c r="CB13" s="106">
        <v>0</v>
      </c>
      <c r="CC13" s="106">
        <v>0</v>
      </c>
      <c r="CD13" s="106">
        <v>11.616213904035524</v>
      </c>
      <c r="CE13" s="106">
        <v>989.70142462382671</v>
      </c>
      <c r="CF13" s="106">
        <v>0</v>
      </c>
      <c r="CG13" s="106">
        <v>0</v>
      </c>
      <c r="CH13" s="106">
        <v>0</v>
      </c>
      <c r="CI13" s="106">
        <v>0</v>
      </c>
      <c r="CJ13" s="106">
        <v>20.185363240604353</v>
      </c>
      <c r="CK13" s="106">
        <v>1719.792948099491</v>
      </c>
      <c r="CL13" s="106">
        <v>9.9483746763181919</v>
      </c>
      <c r="CM13" s="106">
        <v>847.60152242230993</v>
      </c>
      <c r="CN13" s="106">
        <v>24.832850546128057</v>
      </c>
      <c r="CO13" s="106">
        <v>2115.7588665301105</v>
      </c>
      <c r="CP13" s="106">
        <v>0</v>
      </c>
      <c r="CQ13" s="106">
        <v>0</v>
      </c>
      <c r="CR13" s="106">
        <v>0</v>
      </c>
      <c r="CS13" s="106">
        <v>0</v>
      </c>
      <c r="CT13" s="106">
        <v>25.207869105425097</v>
      </c>
      <c r="CU13" s="106">
        <v>2147.7104477822181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3.2386528232563823</v>
      </c>
      <c r="M14" s="106">
        <v>1581.758038878417</v>
      </c>
      <c r="N14" s="106">
        <v>1.1911550374071882</v>
      </c>
      <c r="O14" s="106">
        <v>581.76012026967067</v>
      </c>
      <c r="P14" s="106">
        <v>1.0811424864051726</v>
      </c>
      <c r="Q14" s="106">
        <v>528.02999036028632</v>
      </c>
      <c r="R14" s="106">
        <v>1.1415632266073801</v>
      </c>
      <c r="S14" s="106">
        <v>557.53947987504444</v>
      </c>
      <c r="T14" s="106">
        <v>0</v>
      </c>
      <c r="U14" s="106">
        <v>0</v>
      </c>
      <c r="V14" s="106">
        <v>0.53297800683360641</v>
      </c>
      <c r="W14" s="106">
        <v>260.30645853753333</v>
      </c>
      <c r="X14" s="106">
        <v>0.19893800047404372</v>
      </c>
      <c r="Y14" s="106">
        <v>97.161319431522955</v>
      </c>
      <c r="Z14" s="106">
        <v>0.21158706968594768</v>
      </c>
      <c r="AA14" s="106">
        <v>103.33912483461684</v>
      </c>
      <c r="AB14" s="106">
        <v>0</v>
      </c>
      <c r="AC14" s="106">
        <v>0</v>
      </c>
      <c r="AD14" s="106">
        <v>0.49542728469201625</v>
      </c>
      <c r="AE14" s="106">
        <v>241.96668584358073</v>
      </c>
      <c r="AF14" s="106">
        <v>6.2479862832750168</v>
      </c>
      <c r="AG14" s="106">
        <v>3051.5165007515179</v>
      </c>
      <c r="AH14" s="106">
        <v>0.34693191903952436</v>
      </c>
      <c r="AI14" s="106">
        <v>169.44154925890368</v>
      </c>
      <c r="AJ14" s="106">
        <v>0</v>
      </c>
      <c r="AK14" s="106">
        <v>0</v>
      </c>
      <c r="AL14" s="106">
        <v>10</v>
      </c>
      <c r="AM14" s="106">
        <v>4884</v>
      </c>
      <c r="AN14" s="106">
        <v>8.3655606591495868</v>
      </c>
      <c r="AO14" s="106">
        <v>4085.7398259286579</v>
      </c>
      <c r="AP14" s="106">
        <v>2.4606403332773157</v>
      </c>
      <c r="AQ14" s="106">
        <v>1201.776738772641</v>
      </c>
      <c r="AR14" s="106">
        <v>5.6136221087073315</v>
      </c>
      <c r="AS14" s="106">
        <v>2741.6930378926604</v>
      </c>
      <c r="AT14" s="106">
        <v>4.3241166686479549</v>
      </c>
      <c r="AU14" s="106">
        <v>2111.898580967661</v>
      </c>
      <c r="AV14" s="106">
        <v>6.3009235629338995</v>
      </c>
      <c r="AW14" s="106">
        <v>3077.3710681369166</v>
      </c>
      <c r="AX14" s="106">
        <v>6.2268844891240924</v>
      </c>
      <c r="AY14" s="106">
        <v>3041.2103844882067</v>
      </c>
      <c r="AZ14" s="106">
        <v>8.9202895027144908</v>
      </c>
      <c r="BA14" s="106">
        <v>4356.6693931257569</v>
      </c>
      <c r="BB14" s="106">
        <v>0</v>
      </c>
      <c r="BC14" s="106">
        <v>0</v>
      </c>
      <c r="BD14" s="106">
        <v>5.8430420173420243</v>
      </c>
      <c r="BE14" s="106">
        <v>2853.7417212698447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19.557476719403237</v>
      </c>
      <c r="BM14" s="106">
        <v>9551.8716297565406</v>
      </c>
      <c r="BN14" s="106">
        <v>32.003615594439516</v>
      </c>
      <c r="BO14" s="106">
        <v>15630.56585632426</v>
      </c>
      <c r="BP14" s="106">
        <v>21</v>
      </c>
      <c r="BQ14" s="106">
        <v>10256.4</v>
      </c>
      <c r="BR14" s="106">
        <v>17.409530591239665</v>
      </c>
      <c r="BS14" s="106">
        <v>8502.8147407614524</v>
      </c>
      <c r="BT14" s="106">
        <v>14.890848343168392</v>
      </c>
      <c r="BU14" s="106">
        <v>7272.6903308034425</v>
      </c>
      <c r="BV14" s="106">
        <v>0</v>
      </c>
      <c r="BW14" s="106">
        <v>0</v>
      </c>
      <c r="BX14" s="106">
        <v>13.605618606951241</v>
      </c>
      <c r="BY14" s="106">
        <v>6644.9841276349862</v>
      </c>
      <c r="BZ14" s="106">
        <v>8.9161065481158079</v>
      </c>
      <c r="CA14" s="106">
        <v>4354.62643809976</v>
      </c>
      <c r="CB14" s="106">
        <v>0</v>
      </c>
      <c r="CC14" s="106">
        <v>0</v>
      </c>
      <c r="CD14" s="106">
        <v>10.786484339461557</v>
      </c>
      <c r="CE14" s="106">
        <v>5268.118951393024</v>
      </c>
      <c r="CF14" s="106">
        <v>0</v>
      </c>
      <c r="CG14" s="106">
        <v>0</v>
      </c>
      <c r="CH14" s="106">
        <v>0</v>
      </c>
      <c r="CI14" s="106">
        <v>0</v>
      </c>
      <c r="CJ14" s="106">
        <v>21.577457257197754</v>
      </c>
      <c r="CK14" s="106">
        <v>10538.430124415383</v>
      </c>
      <c r="CL14" s="106">
        <v>8.1798731890390624</v>
      </c>
      <c r="CM14" s="106">
        <v>3995.0500655266778</v>
      </c>
      <c r="CN14" s="106">
        <v>22.957540945648073</v>
      </c>
      <c r="CO14" s="106">
        <v>11212.462997854518</v>
      </c>
      <c r="CP14" s="106">
        <v>0</v>
      </c>
      <c r="CQ14" s="106">
        <v>0</v>
      </c>
      <c r="CR14" s="106">
        <v>0</v>
      </c>
      <c r="CS14" s="106">
        <v>0</v>
      </c>
      <c r="CT14" s="106">
        <v>23.062518543261259</v>
      </c>
      <c r="CU14" s="106">
        <v>11263.734056528798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3.5085405585277476</v>
      </c>
      <c r="M15" s="106">
        <v>2677.7181542683766</v>
      </c>
      <c r="N15" s="106">
        <v>1.1911550374071882</v>
      </c>
      <c r="O15" s="106">
        <v>909.08952454916596</v>
      </c>
      <c r="P15" s="106">
        <v>1.0177335741376163</v>
      </c>
      <c r="Q15" s="106">
        <v>776.73426378182876</v>
      </c>
      <c r="R15" s="106">
        <v>1.0782962981467887</v>
      </c>
      <c r="S15" s="106">
        <v>822.95573474562912</v>
      </c>
      <c r="T15" s="106">
        <v>0</v>
      </c>
      <c r="U15" s="106">
        <v>0</v>
      </c>
      <c r="V15" s="106">
        <v>0.47968020615024576</v>
      </c>
      <c r="W15" s="106">
        <v>366.09193333386753</v>
      </c>
      <c r="X15" s="106">
        <v>0.159150400379235</v>
      </c>
      <c r="Y15" s="106">
        <v>121.46358556943214</v>
      </c>
      <c r="Z15" s="106">
        <v>0.19042836271735292</v>
      </c>
      <c r="AA15" s="106">
        <v>145.33492642588374</v>
      </c>
      <c r="AB15" s="106">
        <v>0</v>
      </c>
      <c r="AC15" s="106">
        <v>0</v>
      </c>
      <c r="AD15" s="106">
        <v>0.46935216444506805</v>
      </c>
      <c r="AE15" s="106">
        <v>358.20957190447592</v>
      </c>
      <c r="AF15" s="106">
        <v>6.2479862832750168</v>
      </c>
      <c r="AG15" s="106">
        <v>4768.4631313954924</v>
      </c>
      <c r="AH15" s="106">
        <v>0.34693191903952436</v>
      </c>
      <c r="AI15" s="106">
        <v>264.77844061096499</v>
      </c>
      <c r="AJ15" s="106">
        <v>0</v>
      </c>
      <c r="AK15" s="106">
        <v>0</v>
      </c>
      <c r="AL15" s="106">
        <v>9</v>
      </c>
      <c r="AM15" s="106">
        <v>6868.7999999999993</v>
      </c>
      <c r="AN15" s="106">
        <v>8.346320624457503</v>
      </c>
      <c r="AO15" s="106">
        <v>6369.9119005859657</v>
      </c>
      <c r="AP15" s="106">
        <v>2.2145762999495844</v>
      </c>
      <c r="AQ15" s="106">
        <v>1690.1646321215226</v>
      </c>
      <c r="AR15" s="106">
        <v>5.6169424905301373</v>
      </c>
      <c r="AS15" s="106">
        <v>4286.8505087726007</v>
      </c>
      <c r="AT15" s="106">
        <v>4.3241166686479549</v>
      </c>
      <c r="AU15" s="106">
        <v>3300.1658415121187</v>
      </c>
      <c r="AV15" s="106">
        <v>6.3009235629338995</v>
      </c>
      <c r="AW15" s="106">
        <v>4808.8648632311515</v>
      </c>
      <c r="AX15" s="106">
        <v>6.2268844891240924</v>
      </c>
      <c r="AY15" s="106">
        <v>4752.3582420995072</v>
      </c>
      <c r="AZ15" s="106">
        <v>9.1408533531939788</v>
      </c>
      <c r="BA15" s="106">
        <v>6976.2992791576444</v>
      </c>
      <c r="BB15" s="106">
        <v>0</v>
      </c>
      <c r="BC15" s="106">
        <v>0</v>
      </c>
      <c r="BD15" s="106">
        <v>5.0083217291503059</v>
      </c>
      <c r="BE15" s="106">
        <v>3822.3511436875133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20.132696622915098</v>
      </c>
      <c r="BM15" s="106">
        <v>15365.274062608802</v>
      </c>
      <c r="BN15" s="106">
        <v>24.838627028520225</v>
      </c>
      <c r="BO15" s="106">
        <v>18956.840148166633</v>
      </c>
      <c r="BP15" s="106">
        <v>21</v>
      </c>
      <c r="BQ15" s="106">
        <v>16027.199999999999</v>
      </c>
      <c r="BR15" s="106">
        <v>17.409530591239665</v>
      </c>
      <c r="BS15" s="106">
        <v>13286.953747234111</v>
      </c>
      <c r="BT15" s="106">
        <v>14.890848343168392</v>
      </c>
      <c r="BU15" s="106">
        <v>11364.695455506115</v>
      </c>
      <c r="BV15" s="106">
        <v>0</v>
      </c>
      <c r="BW15" s="106">
        <v>0</v>
      </c>
      <c r="BX15" s="106">
        <v>12.698577366487827</v>
      </c>
      <c r="BY15" s="106">
        <v>9691.5542461035093</v>
      </c>
      <c r="BZ15" s="106">
        <v>7.9681538427204748</v>
      </c>
      <c r="CA15" s="106">
        <v>6081.2950127642662</v>
      </c>
      <c r="CB15" s="106">
        <v>0</v>
      </c>
      <c r="CC15" s="106">
        <v>0</v>
      </c>
      <c r="CD15" s="106">
        <v>10.786484339461557</v>
      </c>
      <c r="CE15" s="106">
        <v>8232.2448478770602</v>
      </c>
      <c r="CF15" s="106">
        <v>0</v>
      </c>
      <c r="CG15" s="106">
        <v>0</v>
      </c>
      <c r="CH15" s="106">
        <v>0</v>
      </c>
      <c r="CI15" s="106">
        <v>0</v>
      </c>
      <c r="CJ15" s="106">
        <v>20.185363240604353</v>
      </c>
      <c r="CK15" s="106">
        <v>15405.469225229241</v>
      </c>
      <c r="CL15" s="106">
        <v>7.821198852966007</v>
      </c>
      <c r="CM15" s="106">
        <v>5969.1389645836562</v>
      </c>
      <c r="CN15" s="106">
        <v>21.068315034476058</v>
      </c>
      <c r="CO15" s="106">
        <v>16079.338034312126</v>
      </c>
      <c r="CP15" s="106">
        <v>0</v>
      </c>
      <c r="CQ15" s="106">
        <v>0</v>
      </c>
      <c r="CR15" s="106">
        <v>0</v>
      </c>
      <c r="CS15" s="106">
        <v>0</v>
      </c>
      <c r="CT15" s="106">
        <v>26.280544386507017</v>
      </c>
      <c r="CU15" s="106">
        <v>20057.311475782153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3.7784282937991125</v>
      </c>
      <c r="M16" s="106">
        <v>1287.6883625267376</v>
      </c>
      <c r="N16" s="106">
        <v>1.0215327060934967</v>
      </c>
      <c r="O16" s="106">
        <v>348.13834623666366</v>
      </c>
      <c r="P16" s="106">
        <v>1.0815410662436091</v>
      </c>
      <c r="Q16" s="106">
        <v>368.58919537582199</v>
      </c>
      <c r="R16" s="106">
        <v>1.2678762060625888</v>
      </c>
      <c r="S16" s="106">
        <v>432.09221102613026</v>
      </c>
      <c r="T16" s="106">
        <v>0</v>
      </c>
      <c r="U16" s="106">
        <v>0</v>
      </c>
      <c r="V16" s="106">
        <v>0.53297800683360641</v>
      </c>
      <c r="W16" s="106">
        <v>181.63890472889307</v>
      </c>
      <c r="X16" s="106">
        <v>0.17904420042663938</v>
      </c>
      <c r="Y16" s="106">
        <v>61.0182635053987</v>
      </c>
      <c r="Z16" s="106">
        <v>0.21158706968594768</v>
      </c>
      <c r="AA16" s="106">
        <v>72.108873348970974</v>
      </c>
      <c r="AB16" s="106">
        <v>0</v>
      </c>
      <c r="AC16" s="106">
        <v>0</v>
      </c>
      <c r="AD16" s="106">
        <v>0.46935216444506805</v>
      </c>
      <c r="AE16" s="106">
        <v>159.95521764287921</v>
      </c>
      <c r="AF16" s="106">
        <v>7.2893173304875196</v>
      </c>
      <c r="AG16" s="106">
        <v>2484.1993462301466</v>
      </c>
      <c r="AH16" s="106">
        <v>0.40030606043022043</v>
      </c>
      <c r="AI16" s="106">
        <v>136.42430539461913</v>
      </c>
      <c r="AJ16" s="106">
        <v>0</v>
      </c>
      <c r="AK16" s="106">
        <v>0</v>
      </c>
      <c r="AL16" s="106">
        <v>9</v>
      </c>
      <c r="AM16" s="106">
        <v>3067.2000000000003</v>
      </c>
      <c r="AN16" s="106">
        <v>7.3655606591495868</v>
      </c>
      <c r="AO16" s="106">
        <v>2510.1830726381791</v>
      </c>
      <c r="AP16" s="106">
        <v>2.2145762999495844</v>
      </c>
      <c r="AQ16" s="106">
        <v>754.72760302281836</v>
      </c>
      <c r="AR16" s="106">
        <v>5.5719118087444839</v>
      </c>
      <c r="AS16" s="106">
        <v>1898.9075444201201</v>
      </c>
      <c r="AT16" s="106">
        <v>5.044802780089281</v>
      </c>
      <c r="AU16" s="106">
        <v>1719.268787454427</v>
      </c>
      <c r="AV16" s="106">
        <v>6.387211570397529</v>
      </c>
      <c r="AW16" s="106">
        <v>2176.7617031914779</v>
      </c>
      <c r="AX16" s="106">
        <v>7.2268844891240924</v>
      </c>
      <c r="AY16" s="106">
        <v>2462.9222338934906</v>
      </c>
      <c r="AZ16" s="106">
        <v>10.040802247820844</v>
      </c>
      <c r="BA16" s="106">
        <v>3421.905406057344</v>
      </c>
      <c r="BB16" s="106">
        <v>0</v>
      </c>
      <c r="BC16" s="106">
        <v>0</v>
      </c>
      <c r="BD16" s="106">
        <v>5.5091539020653375</v>
      </c>
      <c r="BE16" s="106">
        <v>1877.519649823867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21.283136429938818</v>
      </c>
      <c r="BM16" s="106">
        <v>7253.2928953231494</v>
      </c>
      <c r="BN16" s="106">
        <v>27.226956550493323</v>
      </c>
      <c r="BO16" s="106">
        <v>9278.9467924081255</v>
      </c>
      <c r="BP16" s="106">
        <v>22</v>
      </c>
      <c r="BQ16" s="106">
        <v>7497.6</v>
      </c>
      <c r="BR16" s="106">
        <v>18.325821674989118</v>
      </c>
      <c r="BS16" s="106">
        <v>6245.4400268362915</v>
      </c>
      <c r="BT16" s="106">
        <v>18.275132057524846</v>
      </c>
      <c r="BU16" s="106">
        <v>6228.1650052044679</v>
      </c>
      <c r="BV16" s="106">
        <v>0</v>
      </c>
      <c r="BW16" s="106">
        <v>0</v>
      </c>
      <c r="BX16" s="106">
        <v>15.419701087878073</v>
      </c>
      <c r="BY16" s="106">
        <v>5255.034130748847</v>
      </c>
      <c r="BZ16" s="106">
        <v>8.9206934277640055</v>
      </c>
      <c r="CA16" s="106">
        <v>3040.1723201819732</v>
      </c>
      <c r="CB16" s="106">
        <v>0</v>
      </c>
      <c r="CC16" s="106">
        <v>0</v>
      </c>
      <c r="CD16" s="106">
        <v>12.860808250896474</v>
      </c>
      <c r="CE16" s="106">
        <v>4382.963451905518</v>
      </c>
      <c r="CF16" s="106">
        <v>0</v>
      </c>
      <c r="CG16" s="106">
        <v>0</v>
      </c>
      <c r="CH16" s="106">
        <v>0</v>
      </c>
      <c r="CI16" s="106">
        <v>0</v>
      </c>
      <c r="CJ16" s="106">
        <v>22.273504265494456</v>
      </c>
      <c r="CK16" s="106">
        <v>7590.8102536805109</v>
      </c>
      <c r="CL16" s="106">
        <v>9.5897003402451357</v>
      </c>
      <c r="CM16" s="106">
        <v>3268.1698759555425</v>
      </c>
      <c r="CN16" s="106">
        <v>25.79439519736005</v>
      </c>
      <c r="CO16" s="106">
        <v>8790.7298832603046</v>
      </c>
      <c r="CP16" s="106">
        <v>0</v>
      </c>
      <c r="CQ16" s="106">
        <v>0</v>
      </c>
      <c r="CR16" s="106">
        <v>0</v>
      </c>
      <c r="CS16" s="106">
        <v>0</v>
      </c>
      <c r="CT16" s="106">
        <v>24.135193824343176</v>
      </c>
      <c r="CU16" s="106">
        <v>8225.2740553361546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3.5085405585277476</v>
      </c>
      <c r="M17" s="106">
        <v>1482.0075319221205</v>
      </c>
      <c r="N17" s="106">
        <v>1.1067000015826562</v>
      </c>
      <c r="O17" s="106">
        <v>467.47008066851396</v>
      </c>
      <c r="P17" s="106">
        <v>0.95412555188539694</v>
      </c>
      <c r="Q17" s="106">
        <v>403.02263311639166</v>
      </c>
      <c r="R17" s="106">
        <v>1.0152502471521712</v>
      </c>
      <c r="S17" s="106">
        <v>428.84170439707708</v>
      </c>
      <c r="T17" s="106">
        <v>0</v>
      </c>
      <c r="U17" s="106">
        <v>0</v>
      </c>
      <c r="V17" s="106">
        <v>0.53297800683360641</v>
      </c>
      <c r="W17" s="106">
        <v>225.12991008651534</v>
      </c>
      <c r="X17" s="106">
        <v>0.17904420042663938</v>
      </c>
      <c r="Y17" s="106">
        <v>75.628270260212474</v>
      </c>
      <c r="Z17" s="106">
        <v>0.21158706968594768</v>
      </c>
      <c r="AA17" s="106">
        <v>89.374378235344295</v>
      </c>
      <c r="AB17" s="106">
        <v>0</v>
      </c>
      <c r="AC17" s="106">
        <v>0</v>
      </c>
      <c r="AD17" s="106">
        <v>0.46935216444506805</v>
      </c>
      <c r="AE17" s="106">
        <v>198.25435426159675</v>
      </c>
      <c r="AF17" s="106">
        <v>6.5950966323458511</v>
      </c>
      <c r="AG17" s="106">
        <v>2785.7688175028875</v>
      </c>
      <c r="AH17" s="106">
        <v>0.37361898973487245</v>
      </c>
      <c r="AI17" s="106">
        <v>157.81666126401012</v>
      </c>
      <c r="AJ17" s="106">
        <v>0</v>
      </c>
      <c r="AK17" s="106">
        <v>0</v>
      </c>
      <c r="AL17" s="106">
        <v>9</v>
      </c>
      <c r="AM17" s="106">
        <v>3801.6</v>
      </c>
      <c r="AN17" s="106">
        <v>8.3655606591495868</v>
      </c>
      <c r="AO17" s="106">
        <v>3533.6128224247855</v>
      </c>
      <c r="AP17" s="106">
        <v>2.4606403332773157</v>
      </c>
      <c r="AQ17" s="106">
        <v>1039.374476776338</v>
      </c>
      <c r="AR17" s="106">
        <v>5.525220936047428</v>
      </c>
      <c r="AS17" s="106">
        <v>2333.8533233864337</v>
      </c>
      <c r="AT17" s="106">
        <v>4.3241166686479549</v>
      </c>
      <c r="AU17" s="106">
        <v>1826.506880836896</v>
      </c>
      <c r="AV17" s="106">
        <v>6.3903079523456316</v>
      </c>
      <c r="AW17" s="106">
        <v>2699.2660790707946</v>
      </c>
      <c r="AX17" s="106">
        <v>6.2457915298844329</v>
      </c>
      <c r="AY17" s="106">
        <v>2638.2223422231841</v>
      </c>
      <c r="AZ17" s="106">
        <v>9.1543341095436226</v>
      </c>
      <c r="BA17" s="106">
        <v>3866.790727871226</v>
      </c>
      <c r="BB17" s="106">
        <v>0</v>
      </c>
      <c r="BC17" s="106">
        <v>0</v>
      </c>
      <c r="BD17" s="106">
        <v>5.8430420173420243</v>
      </c>
      <c r="BE17" s="106">
        <v>2468.1009481252709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19.557476719403237</v>
      </c>
      <c r="BM17" s="106">
        <v>8261.0781662759273</v>
      </c>
      <c r="BN17" s="106">
        <v>28.182288359282563</v>
      </c>
      <c r="BO17" s="106">
        <v>11904.198602960954</v>
      </c>
      <c r="BP17" s="106">
        <v>25</v>
      </c>
      <c r="BQ17" s="106">
        <v>10560</v>
      </c>
      <c r="BR17" s="106">
        <v>16.493239507490209</v>
      </c>
      <c r="BS17" s="106">
        <v>6966.7443679638636</v>
      </c>
      <c r="BT17" s="106">
        <v>16.244561828910975</v>
      </c>
      <c r="BU17" s="106">
        <v>6861.7029165319955</v>
      </c>
      <c r="BV17" s="106">
        <v>0</v>
      </c>
      <c r="BW17" s="106">
        <v>0</v>
      </c>
      <c r="BX17" s="106">
        <v>15.419701087878073</v>
      </c>
      <c r="BY17" s="106">
        <v>6513.2817395196971</v>
      </c>
      <c r="BZ17" s="106">
        <v>7.9819144816650693</v>
      </c>
      <c r="CA17" s="106">
        <v>3371.560677055325</v>
      </c>
      <c r="CB17" s="106">
        <v>0</v>
      </c>
      <c r="CC17" s="106">
        <v>0</v>
      </c>
      <c r="CD17" s="106">
        <v>11.201349121748541</v>
      </c>
      <c r="CE17" s="106">
        <v>4731.4498690265837</v>
      </c>
      <c r="CF17" s="106">
        <v>0</v>
      </c>
      <c r="CG17" s="106">
        <v>0</v>
      </c>
      <c r="CH17" s="106">
        <v>0</v>
      </c>
      <c r="CI17" s="106">
        <v>0</v>
      </c>
      <c r="CJ17" s="106">
        <v>20.881410248901052</v>
      </c>
      <c r="CK17" s="106">
        <v>8820.3076891358032</v>
      </c>
      <c r="CL17" s="106">
        <v>8.5385475251121203</v>
      </c>
      <c r="CM17" s="106">
        <v>3606.6824746073594</v>
      </c>
      <c r="CN17" s="106">
        <v>22.476459491552699</v>
      </c>
      <c r="CO17" s="106">
        <v>9494.0564892318598</v>
      </c>
      <c r="CP17" s="106">
        <v>0</v>
      </c>
      <c r="CQ17" s="106">
        <v>0</v>
      </c>
      <c r="CR17" s="106">
        <v>0</v>
      </c>
      <c r="CS17" s="106">
        <v>0</v>
      </c>
      <c r="CT17" s="106">
        <v>27.353219667588935</v>
      </c>
      <c r="CU17" s="106">
        <v>11553.999987589565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3.5085405585277476</v>
      </c>
      <c r="M18" s="106">
        <v>2290.3752766069133</v>
      </c>
      <c r="N18" s="106">
        <v>1.1913924572953976</v>
      </c>
      <c r="O18" s="106">
        <v>777.74099612243549</v>
      </c>
      <c r="P18" s="106">
        <v>0.89071645968328483</v>
      </c>
      <c r="Q18" s="106">
        <v>581.45970488124829</v>
      </c>
      <c r="R18" s="106">
        <v>1.0780756437724455</v>
      </c>
      <c r="S18" s="106">
        <v>703.76778025465239</v>
      </c>
      <c r="T18" s="106">
        <v>0</v>
      </c>
      <c r="U18" s="106">
        <v>0</v>
      </c>
      <c r="V18" s="106">
        <v>0.42638240546688516</v>
      </c>
      <c r="W18" s="106">
        <v>278.34243428878261</v>
      </c>
      <c r="X18" s="106">
        <v>0.19893800047404372</v>
      </c>
      <c r="Y18" s="106">
        <v>129.86672670945575</v>
      </c>
      <c r="Z18" s="106">
        <v>0.19042836271735292</v>
      </c>
      <c r="AA18" s="106">
        <v>124.31163518188798</v>
      </c>
      <c r="AB18" s="106">
        <v>0</v>
      </c>
      <c r="AC18" s="106">
        <v>0</v>
      </c>
      <c r="AD18" s="106">
        <v>0.44327704419811981</v>
      </c>
      <c r="AE18" s="106">
        <v>289.37125445253258</v>
      </c>
      <c r="AF18" s="106">
        <v>6.2479862832750168</v>
      </c>
      <c r="AG18" s="106">
        <v>4078.6854457219306</v>
      </c>
      <c r="AH18" s="106">
        <v>0.34693191903952436</v>
      </c>
      <c r="AI18" s="106">
        <v>226.47715674900149</v>
      </c>
      <c r="AJ18" s="106">
        <v>0</v>
      </c>
      <c r="AK18" s="106">
        <v>0</v>
      </c>
      <c r="AL18" s="106">
        <v>8</v>
      </c>
      <c r="AM18" s="106">
        <v>5222.3999999999996</v>
      </c>
      <c r="AN18" s="106">
        <v>9.3078405550733372</v>
      </c>
      <c r="AO18" s="106">
        <v>6076.1583143518737</v>
      </c>
      <c r="AP18" s="106">
        <v>2.2145762999495844</v>
      </c>
      <c r="AQ18" s="106">
        <v>1445.6754086070887</v>
      </c>
      <c r="AR18" s="106">
        <v>5.611961917795929</v>
      </c>
      <c r="AS18" s="106">
        <v>3663.4887399371823</v>
      </c>
      <c r="AT18" s="106">
        <v>4.3241166686479549</v>
      </c>
      <c r="AU18" s="106">
        <v>2822.7833612933846</v>
      </c>
      <c r="AV18" s="106">
        <v>6.2947307990376942</v>
      </c>
      <c r="AW18" s="106">
        <v>4109.2002656118066</v>
      </c>
      <c r="AX18" s="106">
        <v>6.2268844891240924</v>
      </c>
      <c r="AY18" s="106">
        <v>4064.9101945002071</v>
      </c>
      <c r="AZ18" s="106">
        <v>7.8191553448607491</v>
      </c>
      <c r="BA18" s="106">
        <v>5104.3446091250971</v>
      </c>
      <c r="BB18" s="106">
        <v>0</v>
      </c>
      <c r="BC18" s="106">
        <v>0</v>
      </c>
      <c r="BD18" s="106">
        <v>4.841377671511963</v>
      </c>
      <c r="BE18" s="106">
        <v>3160.4513439630091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20.132696622915098</v>
      </c>
      <c r="BM18" s="106">
        <v>13142.624355438975</v>
      </c>
      <c r="BN18" s="106">
        <v>26.749290646098704</v>
      </c>
      <c r="BO18" s="106">
        <v>17461.936933773231</v>
      </c>
      <c r="BP18" s="106">
        <v>22</v>
      </c>
      <c r="BQ18" s="106">
        <v>14361.599999999999</v>
      </c>
      <c r="BR18" s="106">
        <v>17.409530591239665</v>
      </c>
      <c r="BS18" s="106">
        <v>11364.941569961253</v>
      </c>
      <c r="BT18" s="106">
        <v>16.921418571782265</v>
      </c>
      <c r="BU18" s="106">
        <v>11046.302043659462</v>
      </c>
      <c r="BV18" s="106">
        <v>0</v>
      </c>
      <c r="BW18" s="106">
        <v>0</v>
      </c>
      <c r="BX18" s="106">
        <v>13.605618606951241</v>
      </c>
      <c r="BY18" s="106">
        <v>8881.7478266177695</v>
      </c>
      <c r="BZ18" s="106">
        <v>7.5331659670324917</v>
      </c>
      <c r="CA18" s="106">
        <v>4917.6507432788103</v>
      </c>
      <c r="CB18" s="106">
        <v>0</v>
      </c>
      <c r="CC18" s="106">
        <v>0</v>
      </c>
      <c r="CD18" s="106">
        <v>12.031078686322507</v>
      </c>
      <c r="CE18" s="106">
        <v>7853.8881664313321</v>
      </c>
      <c r="CF18" s="106">
        <v>0</v>
      </c>
      <c r="CG18" s="106">
        <v>0</v>
      </c>
      <c r="CH18" s="106">
        <v>0</v>
      </c>
      <c r="CI18" s="106">
        <v>0</v>
      </c>
      <c r="CJ18" s="106">
        <v>21.577457257197754</v>
      </c>
      <c r="CK18" s="106">
        <v>14085.764097498693</v>
      </c>
      <c r="CL18" s="106">
        <v>8.874838687407637</v>
      </c>
      <c r="CM18" s="106">
        <v>5793.4946951397051</v>
      </c>
      <c r="CN18" s="106">
        <v>20.553105221820669</v>
      </c>
      <c r="CO18" s="106">
        <v>13417.067088804532</v>
      </c>
      <c r="CP18" s="106">
        <v>0</v>
      </c>
      <c r="CQ18" s="106">
        <v>0</v>
      </c>
      <c r="CR18" s="106">
        <v>0</v>
      </c>
      <c r="CS18" s="106">
        <v>0</v>
      </c>
      <c r="CT18" s="106">
        <v>26.280544386507017</v>
      </c>
      <c r="CU18" s="106">
        <v>17155.939375511778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3.2386528232563823</v>
      </c>
      <c r="M19" s="106">
        <v>1068.7554316746061</v>
      </c>
      <c r="N19" s="106">
        <v>1.191511167239502</v>
      </c>
      <c r="O19" s="106">
        <v>393.19868518903564</v>
      </c>
      <c r="P19" s="106">
        <v>1.0179328640568344</v>
      </c>
      <c r="Q19" s="106">
        <v>335.91784513875535</v>
      </c>
      <c r="R19" s="106">
        <v>1.1414530109660237</v>
      </c>
      <c r="S19" s="106">
        <v>376.67949361878783</v>
      </c>
      <c r="T19" s="106">
        <v>0</v>
      </c>
      <c r="U19" s="106">
        <v>0</v>
      </c>
      <c r="V19" s="106">
        <v>0.53297800683360641</v>
      </c>
      <c r="W19" s="106">
        <v>175.88274225509011</v>
      </c>
      <c r="X19" s="106">
        <v>0.17904420042663938</v>
      </c>
      <c r="Y19" s="106">
        <v>59.084586140790996</v>
      </c>
      <c r="Z19" s="106">
        <v>0.23274577665454244</v>
      </c>
      <c r="AA19" s="106">
        <v>76.806106295999001</v>
      </c>
      <c r="AB19" s="106">
        <v>0</v>
      </c>
      <c r="AC19" s="106">
        <v>0</v>
      </c>
      <c r="AD19" s="106">
        <v>0.41720192395117156</v>
      </c>
      <c r="AE19" s="106">
        <v>137.67663490388662</v>
      </c>
      <c r="AF19" s="106">
        <v>6.2479862832750168</v>
      </c>
      <c r="AG19" s="106">
        <v>2061.8354734807554</v>
      </c>
      <c r="AH19" s="106">
        <v>0.37361898973487245</v>
      </c>
      <c r="AI19" s="106">
        <v>123.29426661250791</v>
      </c>
      <c r="AJ19" s="106">
        <v>0</v>
      </c>
      <c r="AK19" s="106">
        <v>0</v>
      </c>
      <c r="AL19" s="106">
        <v>10</v>
      </c>
      <c r="AM19" s="106">
        <v>3300</v>
      </c>
      <c r="AN19" s="106">
        <v>8.3655606591495868</v>
      </c>
      <c r="AO19" s="106">
        <v>2760.6350175193638</v>
      </c>
      <c r="AP19" s="106">
        <v>2.4606403332773157</v>
      </c>
      <c r="AQ19" s="106">
        <v>812.01130998151416</v>
      </c>
      <c r="AR19" s="106">
        <v>5.5285413178702338</v>
      </c>
      <c r="AS19" s="106">
        <v>1824.4186348971771</v>
      </c>
      <c r="AT19" s="106">
        <v>5.044802780089281</v>
      </c>
      <c r="AU19" s="106">
        <v>1664.7849174294627</v>
      </c>
      <c r="AV19" s="106">
        <v>7.3009235629338995</v>
      </c>
      <c r="AW19" s="106">
        <v>2409.304775768187</v>
      </c>
      <c r="AX19" s="106">
        <v>6.2268844891240924</v>
      </c>
      <c r="AY19" s="106">
        <v>2054.8718814109507</v>
      </c>
      <c r="AZ19" s="106">
        <v>8.9253447863456064</v>
      </c>
      <c r="BA19" s="106">
        <v>2945.36377949405</v>
      </c>
      <c r="BB19" s="106">
        <v>0</v>
      </c>
      <c r="BC19" s="106">
        <v>0</v>
      </c>
      <c r="BD19" s="106">
        <v>5.3422098444269936</v>
      </c>
      <c r="BE19" s="106">
        <v>1762.9292486609079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19.557476719403237</v>
      </c>
      <c r="BM19" s="106">
        <v>6453.9673174030686</v>
      </c>
      <c r="BN19" s="106">
        <v>30.092951976861041</v>
      </c>
      <c r="BO19" s="106">
        <v>9930.6741523641431</v>
      </c>
      <c r="BP19" s="106">
        <v>23</v>
      </c>
      <c r="BQ19" s="106">
        <v>7590</v>
      </c>
      <c r="BR19" s="106">
        <v>19.242112758738578</v>
      </c>
      <c r="BS19" s="106">
        <v>6349.8972103837305</v>
      </c>
      <c r="BT19" s="106">
        <v>16.921418571782265</v>
      </c>
      <c r="BU19" s="106">
        <v>5584.0681286881472</v>
      </c>
      <c r="BV19" s="106">
        <v>0</v>
      </c>
      <c r="BW19" s="106">
        <v>0</v>
      </c>
      <c r="BX19" s="106">
        <v>14.512659847414657</v>
      </c>
      <c r="BY19" s="106">
        <v>4789.1777496468367</v>
      </c>
      <c r="BZ19" s="106">
        <v>8.9206934277640055</v>
      </c>
      <c r="CA19" s="106">
        <v>2943.8288311621218</v>
      </c>
      <c r="CB19" s="106">
        <v>0</v>
      </c>
      <c r="CC19" s="106">
        <v>0</v>
      </c>
      <c r="CD19" s="106">
        <v>12.860808250896474</v>
      </c>
      <c r="CE19" s="106">
        <v>4244.0667227958365</v>
      </c>
      <c r="CF19" s="106">
        <v>0</v>
      </c>
      <c r="CG19" s="106">
        <v>0</v>
      </c>
      <c r="CH19" s="106">
        <v>0</v>
      </c>
      <c r="CI19" s="106">
        <v>0</v>
      </c>
      <c r="CJ19" s="106">
        <v>22.273504265494456</v>
      </c>
      <c r="CK19" s="106">
        <v>7350.2564076131703</v>
      </c>
      <c r="CL19" s="106">
        <v>8.5460085830379668</v>
      </c>
      <c r="CM19" s="106">
        <v>2820.1828324025291</v>
      </c>
      <c r="CN19" s="106">
        <v>24.763622282358554</v>
      </c>
      <c r="CO19" s="106">
        <v>8171.9953531783231</v>
      </c>
      <c r="CP19" s="106">
        <v>0</v>
      </c>
      <c r="CQ19" s="106">
        <v>0</v>
      </c>
      <c r="CR19" s="106">
        <v>0</v>
      </c>
      <c r="CS19" s="106">
        <v>0</v>
      </c>
      <c r="CT19" s="106">
        <v>24.671531464884136</v>
      </c>
      <c r="CU19" s="106">
        <v>8141.6053834117647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10.255733940311877</v>
      </c>
      <c r="M20" s="106">
        <v>2941.3444940814466</v>
      </c>
      <c r="N20" s="106">
        <v>4.265368661160152</v>
      </c>
      <c r="O20" s="106">
        <v>1223.3077320207317</v>
      </c>
      <c r="P20" s="106">
        <v>2.1146080884803666</v>
      </c>
      <c r="Q20" s="106">
        <v>606.46959977616916</v>
      </c>
      <c r="R20" s="106">
        <v>2.2932892706574974</v>
      </c>
      <c r="S20" s="106">
        <v>657.71536282457032</v>
      </c>
      <c r="T20" s="106">
        <v>0</v>
      </c>
      <c r="U20" s="106">
        <v>0</v>
      </c>
      <c r="V20" s="106">
        <v>2.8247834362181141</v>
      </c>
      <c r="W20" s="106">
        <v>810.14788950735522</v>
      </c>
      <c r="X20" s="106">
        <v>0.75596440180136615</v>
      </c>
      <c r="Y20" s="106">
        <v>216.81059043663183</v>
      </c>
      <c r="Z20" s="106">
        <v>0.95214181358676464</v>
      </c>
      <c r="AA20" s="106">
        <v>273.0742721366841</v>
      </c>
      <c r="AB20" s="106">
        <v>0</v>
      </c>
      <c r="AC20" s="106">
        <v>0</v>
      </c>
      <c r="AD20" s="106">
        <v>1.1212301706187737</v>
      </c>
      <c r="AE20" s="106">
        <v>321.5688129334643</v>
      </c>
      <c r="AF20" s="106">
        <v>17.008407104470876</v>
      </c>
      <c r="AG20" s="106">
        <v>4878.0111575622477</v>
      </c>
      <c r="AH20" s="106">
        <v>1.1475440398999655</v>
      </c>
      <c r="AI20" s="106">
        <v>329.11563064331011</v>
      </c>
      <c r="AJ20" s="106">
        <v>0</v>
      </c>
      <c r="AK20" s="106">
        <v>0</v>
      </c>
      <c r="AL20" s="106">
        <v>10</v>
      </c>
      <c r="AM20" s="106">
        <v>2868</v>
      </c>
      <c r="AN20" s="106">
        <v>7.5387209713783383</v>
      </c>
      <c r="AO20" s="106">
        <v>2162.1051745913073</v>
      </c>
      <c r="AP20" s="106">
        <v>2.2145762999495844</v>
      </c>
      <c r="AQ20" s="106">
        <v>635.14048282554086</v>
      </c>
      <c r="AR20" s="106">
        <v>9.5507599444712472</v>
      </c>
      <c r="AS20" s="106">
        <v>2739.1579520743539</v>
      </c>
      <c r="AT20" s="106">
        <v>7.9275472258545836</v>
      </c>
      <c r="AU20" s="106">
        <v>2273.6205443750946</v>
      </c>
      <c r="AV20" s="106">
        <v>8.4354638748367456</v>
      </c>
      <c r="AW20" s="106">
        <v>2419.2910393031789</v>
      </c>
      <c r="AX20" s="106">
        <v>9.7184675488929582</v>
      </c>
      <c r="AY20" s="106">
        <v>2787.2564930225003</v>
      </c>
      <c r="AZ20" s="106">
        <v>15.88078076926916</v>
      </c>
      <c r="BA20" s="106">
        <v>4554.6079246263953</v>
      </c>
      <c r="BB20" s="106">
        <v>0</v>
      </c>
      <c r="BC20" s="106">
        <v>0</v>
      </c>
      <c r="BD20" s="106">
        <v>11.018307804130675</v>
      </c>
      <c r="BE20" s="106">
        <v>3160.0506782246775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10.353958263213478</v>
      </c>
      <c r="BM20" s="106">
        <v>2969.5152298896255</v>
      </c>
      <c r="BN20" s="106">
        <v>9.5533180878923947</v>
      </c>
      <c r="BO20" s="106">
        <v>2739.8916276075388</v>
      </c>
      <c r="BP20" s="106">
        <v>12</v>
      </c>
      <c r="BQ20" s="106">
        <v>3441.6000000000004</v>
      </c>
      <c r="BR20" s="106">
        <v>17.409530591239665</v>
      </c>
      <c r="BS20" s="106">
        <v>4993.0533735675363</v>
      </c>
      <c r="BT20" s="106">
        <v>15.567705086039682</v>
      </c>
      <c r="BU20" s="106">
        <v>4464.8178186761807</v>
      </c>
      <c r="BV20" s="106">
        <v>0</v>
      </c>
      <c r="BW20" s="106">
        <v>0</v>
      </c>
      <c r="BX20" s="106">
        <v>13.605618606951241</v>
      </c>
      <c r="BY20" s="106">
        <v>3902.0914164736159</v>
      </c>
      <c r="BZ20" s="106">
        <v>6.2373760992649432</v>
      </c>
      <c r="CA20" s="106">
        <v>1788.8794652691859</v>
      </c>
      <c r="CB20" s="106">
        <v>0</v>
      </c>
      <c r="CC20" s="106">
        <v>0</v>
      </c>
      <c r="CD20" s="106">
        <v>7.4675660811656934</v>
      </c>
      <c r="CE20" s="106">
        <v>2141.6979520783211</v>
      </c>
      <c r="CF20" s="106">
        <v>0</v>
      </c>
      <c r="CG20" s="106">
        <v>0</v>
      </c>
      <c r="CH20" s="106">
        <v>0</v>
      </c>
      <c r="CI20" s="106">
        <v>0</v>
      </c>
      <c r="CJ20" s="106">
        <v>13.920940165934036</v>
      </c>
      <c r="CK20" s="106">
        <v>3992.5256395898818</v>
      </c>
      <c r="CL20" s="106">
        <v>5.3875760990216923</v>
      </c>
      <c r="CM20" s="106">
        <v>1545.1568251994215</v>
      </c>
      <c r="CN20" s="106">
        <v>7.7192817618476246</v>
      </c>
      <c r="CO20" s="106">
        <v>2213.8900092978988</v>
      </c>
      <c r="CP20" s="106">
        <v>0</v>
      </c>
      <c r="CQ20" s="106">
        <v>0</v>
      </c>
      <c r="CR20" s="106">
        <v>0</v>
      </c>
      <c r="CS20" s="106">
        <v>0</v>
      </c>
      <c r="CT20" s="106">
        <v>10.726752810819189</v>
      </c>
      <c r="CU20" s="106">
        <v>3076.4327061429435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9.7159584697691468</v>
      </c>
      <c r="M21" s="106">
        <v>606.27580851359471</v>
      </c>
      <c r="N21" s="106">
        <v>3.9262427084768738</v>
      </c>
      <c r="O21" s="106">
        <v>244.99754500895693</v>
      </c>
      <c r="P21" s="106">
        <v>2.1128213167205083</v>
      </c>
      <c r="Q21" s="106">
        <v>131.84005016335971</v>
      </c>
      <c r="R21" s="106">
        <v>2.6720071084655195</v>
      </c>
      <c r="S21" s="106">
        <v>166.73324356824841</v>
      </c>
      <c r="T21" s="106">
        <v>0</v>
      </c>
      <c r="U21" s="106">
        <v>0</v>
      </c>
      <c r="V21" s="106">
        <v>2.8247834362181141</v>
      </c>
      <c r="W21" s="106">
        <v>176.26648642001032</v>
      </c>
      <c r="X21" s="106">
        <v>0.73607060175396188</v>
      </c>
      <c r="Y21" s="106">
        <v>45.930805549447221</v>
      </c>
      <c r="Z21" s="106">
        <v>1.0367766414611437</v>
      </c>
      <c r="AA21" s="106">
        <v>64.694862427175366</v>
      </c>
      <c r="AB21" s="106">
        <v>0</v>
      </c>
      <c r="AC21" s="106">
        <v>0</v>
      </c>
      <c r="AD21" s="106">
        <v>1.3559062528413075</v>
      </c>
      <c r="AE21" s="106">
        <v>84.608550177297587</v>
      </c>
      <c r="AF21" s="106">
        <v>19.09106919889588</v>
      </c>
      <c r="AG21" s="106">
        <v>1191.2827180111028</v>
      </c>
      <c r="AH21" s="106">
        <v>1.3076664640720537</v>
      </c>
      <c r="AI21" s="106">
        <v>81.598387358096147</v>
      </c>
      <c r="AJ21" s="106">
        <v>0</v>
      </c>
      <c r="AK21" s="106">
        <v>0</v>
      </c>
      <c r="AL21" s="106">
        <v>9</v>
      </c>
      <c r="AM21" s="106">
        <v>561.6</v>
      </c>
      <c r="AN21" s="106">
        <v>8.5579610060704212</v>
      </c>
      <c r="AO21" s="106">
        <v>534.01676677879425</v>
      </c>
      <c r="AP21" s="106">
        <v>1.9685122666218526</v>
      </c>
      <c r="AQ21" s="106">
        <v>122.8351654372036</v>
      </c>
      <c r="AR21" s="106">
        <v>9.5924702444340948</v>
      </c>
      <c r="AS21" s="106">
        <v>598.57014325268756</v>
      </c>
      <c r="AT21" s="106">
        <v>8.6482333372959097</v>
      </c>
      <c r="AU21" s="106">
        <v>539.64976024726479</v>
      </c>
      <c r="AV21" s="106">
        <v>8.8084833422241875</v>
      </c>
      <c r="AW21" s="106">
        <v>549.64936055478927</v>
      </c>
      <c r="AX21" s="106">
        <v>8.6995605081326168</v>
      </c>
      <c r="AY21" s="106">
        <v>542.85257570747524</v>
      </c>
      <c r="AZ21" s="106">
        <v>18.312880955446509</v>
      </c>
      <c r="BA21" s="106">
        <v>1142.7237716198622</v>
      </c>
      <c r="BB21" s="106">
        <v>0</v>
      </c>
      <c r="BC21" s="106">
        <v>0</v>
      </c>
      <c r="BD21" s="106">
        <v>12.520804322875767</v>
      </c>
      <c r="BE21" s="106">
        <v>781.29818974744785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11.504398070237199</v>
      </c>
      <c r="BM21" s="106">
        <v>717.87443958280119</v>
      </c>
      <c r="BN21" s="106">
        <v>10.508649896681634</v>
      </c>
      <c r="BO21" s="106">
        <v>655.73975355293396</v>
      </c>
      <c r="BP21" s="106">
        <v>12</v>
      </c>
      <c r="BQ21" s="106">
        <v>748.8</v>
      </c>
      <c r="BR21" s="106">
        <v>17.409530591239665</v>
      </c>
      <c r="BS21" s="106">
        <v>1086.3547088933551</v>
      </c>
      <c r="BT21" s="106">
        <v>16.921418571782265</v>
      </c>
      <c r="BU21" s="106">
        <v>1055.8965188792133</v>
      </c>
      <c r="BV21" s="106">
        <v>0</v>
      </c>
      <c r="BW21" s="106">
        <v>0</v>
      </c>
      <c r="BX21" s="106">
        <v>11.791536126024409</v>
      </c>
      <c r="BY21" s="106">
        <v>735.79185426392314</v>
      </c>
      <c r="BZ21" s="106">
        <v>7.1715681657156827</v>
      </c>
      <c r="CA21" s="106">
        <v>447.50585354065856</v>
      </c>
      <c r="CB21" s="106">
        <v>0</v>
      </c>
      <c r="CC21" s="106">
        <v>0</v>
      </c>
      <c r="CD21" s="106">
        <v>7.8824308634526767</v>
      </c>
      <c r="CE21" s="106">
        <v>491.86368587944702</v>
      </c>
      <c r="CF21" s="106">
        <v>0</v>
      </c>
      <c r="CG21" s="106">
        <v>0</v>
      </c>
      <c r="CH21" s="106">
        <v>0</v>
      </c>
      <c r="CI21" s="106">
        <v>0</v>
      </c>
      <c r="CJ21" s="106">
        <v>14.616987174230736</v>
      </c>
      <c r="CK21" s="106">
        <v>912.09999967199792</v>
      </c>
      <c r="CL21" s="106">
        <v>5.3776280217872303</v>
      </c>
      <c r="CM21" s="106">
        <v>335.56398855952318</v>
      </c>
      <c r="CN21" s="106">
        <v>7.2522049408669709</v>
      </c>
      <c r="CO21" s="106">
        <v>452.53758831009895</v>
      </c>
      <c r="CP21" s="106">
        <v>0</v>
      </c>
      <c r="CQ21" s="106">
        <v>0</v>
      </c>
      <c r="CR21" s="106">
        <v>0</v>
      </c>
      <c r="CS21" s="106">
        <v>0</v>
      </c>
      <c r="CT21" s="106">
        <v>12.335765732442068</v>
      </c>
      <c r="CU21" s="106">
        <v>769.75178170438505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9.7159584697691468</v>
      </c>
      <c r="M22" s="106">
        <v>1818.8274255407841</v>
      </c>
      <c r="N22" s="106">
        <v>3.5835554574704567</v>
      </c>
      <c r="O22" s="106">
        <v>670.84158163846939</v>
      </c>
      <c r="P22" s="106">
        <v>2.112822936131507</v>
      </c>
      <c r="Q22" s="106">
        <v>395.52045364381809</v>
      </c>
      <c r="R22" s="106">
        <v>2.2937293524022144</v>
      </c>
      <c r="S22" s="106">
        <v>429.38613476969454</v>
      </c>
      <c r="T22" s="106">
        <v>0</v>
      </c>
      <c r="U22" s="106">
        <v>0</v>
      </c>
      <c r="V22" s="106">
        <v>2.4516988314345896</v>
      </c>
      <c r="W22" s="106">
        <v>458.95802124455514</v>
      </c>
      <c r="X22" s="106">
        <v>0.77585820184877063</v>
      </c>
      <c r="Y22" s="106">
        <v>145.24065538608986</v>
      </c>
      <c r="Z22" s="106">
        <v>0.90982439964957507</v>
      </c>
      <c r="AA22" s="106">
        <v>170.31912761440043</v>
      </c>
      <c r="AB22" s="106">
        <v>0</v>
      </c>
      <c r="AC22" s="106">
        <v>0</v>
      </c>
      <c r="AD22" s="106">
        <v>1.277680892100463</v>
      </c>
      <c r="AE22" s="106">
        <v>239.18186300120666</v>
      </c>
      <c r="AF22" s="106">
        <v>19.438179547966715</v>
      </c>
      <c r="AG22" s="106">
        <v>3638.8272113793687</v>
      </c>
      <c r="AH22" s="106">
        <v>1.2009181812906613</v>
      </c>
      <c r="AI22" s="106">
        <v>224.81188353761178</v>
      </c>
      <c r="AJ22" s="106">
        <v>0</v>
      </c>
      <c r="AK22" s="106">
        <v>0</v>
      </c>
      <c r="AL22" s="106">
        <v>10</v>
      </c>
      <c r="AM22" s="106">
        <v>1872</v>
      </c>
      <c r="AN22" s="106">
        <v>8.5387209713783392</v>
      </c>
      <c r="AO22" s="106">
        <v>1598.4485658420249</v>
      </c>
      <c r="AP22" s="106">
        <v>1.9685122666218526</v>
      </c>
      <c r="AQ22" s="106">
        <v>368.50549631161078</v>
      </c>
      <c r="AR22" s="106">
        <v>10.639161117131151</v>
      </c>
      <c r="AS22" s="106">
        <v>1991.6509611269512</v>
      </c>
      <c r="AT22" s="106">
        <v>7.9275472258545836</v>
      </c>
      <c r="AU22" s="106">
        <v>1484.036840679978</v>
      </c>
      <c r="AV22" s="106">
        <v>8.3584650132174225</v>
      </c>
      <c r="AW22" s="106">
        <v>1564.7046504743014</v>
      </c>
      <c r="AX22" s="106">
        <v>8.6806534673722773</v>
      </c>
      <c r="AY22" s="106">
        <v>1625.0183290920902</v>
      </c>
      <c r="AZ22" s="106">
        <v>16.094604241573826</v>
      </c>
      <c r="BA22" s="106">
        <v>3012.9099140226199</v>
      </c>
      <c r="BB22" s="106">
        <v>0</v>
      </c>
      <c r="BC22" s="106">
        <v>0</v>
      </c>
      <c r="BD22" s="106">
        <v>12.019972149960735</v>
      </c>
      <c r="BE22" s="106">
        <v>2250.1387864726494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9.2035184561897587</v>
      </c>
      <c r="BM22" s="106">
        <v>1722.8986549987228</v>
      </c>
      <c r="BN22" s="106">
        <v>10.030983992287014</v>
      </c>
      <c r="BO22" s="106">
        <v>1877.800203356129</v>
      </c>
      <c r="BP22" s="106">
        <v>13</v>
      </c>
      <c r="BQ22" s="106">
        <v>2433.6</v>
      </c>
      <c r="BR22" s="106">
        <v>19.242112758738578</v>
      </c>
      <c r="BS22" s="106">
        <v>3602.1235084358618</v>
      </c>
      <c r="BT22" s="106">
        <v>14.890848343168392</v>
      </c>
      <c r="BU22" s="106">
        <v>2787.5668098411229</v>
      </c>
      <c r="BV22" s="106">
        <v>0</v>
      </c>
      <c r="BW22" s="106">
        <v>0</v>
      </c>
      <c r="BX22" s="106">
        <v>12.698577366487827</v>
      </c>
      <c r="BY22" s="106">
        <v>2377.1736830065211</v>
      </c>
      <c r="BZ22" s="106">
        <v>6.6907114935457184</v>
      </c>
      <c r="CA22" s="106">
        <v>1252.5011915917585</v>
      </c>
      <c r="CB22" s="106">
        <v>0</v>
      </c>
      <c r="CC22" s="106">
        <v>0</v>
      </c>
      <c r="CD22" s="106">
        <v>7.4675660811656934</v>
      </c>
      <c r="CE22" s="106">
        <v>1397.9283703942178</v>
      </c>
      <c r="CF22" s="106">
        <v>0</v>
      </c>
      <c r="CG22" s="106">
        <v>0</v>
      </c>
      <c r="CH22" s="106">
        <v>0</v>
      </c>
      <c r="CI22" s="106">
        <v>0</v>
      </c>
      <c r="CJ22" s="106">
        <v>12.528846149340632</v>
      </c>
      <c r="CK22" s="106">
        <v>2345.3999991565661</v>
      </c>
      <c r="CL22" s="106">
        <v>5.733815338551671</v>
      </c>
      <c r="CM22" s="106">
        <v>1073.3702313768727</v>
      </c>
      <c r="CN22" s="106">
        <v>7.7331097501169888</v>
      </c>
      <c r="CO22" s="106">
        <v>1447.6381452219002</v>
      </c>
      <c r="CP22" s="106">
        <v>0</v>
      </c>
      <c r="CQ22" s="106">
        <v>0</v>
      </c>
      <c r="CR22" s="106">
        <v>0</v>
      </c>
      <c r="CS22" s="106">
        <v>0</v>
      </c>
      <c r="CT22" s="106">
        <v>10.726752810819189</v>
      </c>
      <c r="CU22" s="106">
        <v>2008.048126185352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8.9062952639550517</v>
      </c>
      <c r="M23" s="106">
        <v>2618.4508076027851</v>
      </c>
      <c r="N23" s="106">
        <v>4.2656060810483609</v>
      </c>
      <c r="O23" s="106">
        <v>1254.088187828218</v>
      </c>
      <c r="P23" s="106">
        <v>2.1760316588070685</v>
      </c>
      <c r="Q23" s="106">
        <v>639.75330768927813</v>
      </c>
      <c r="R23" s="106">
        <v>2.3542388820042244</v>
      </c>
      <c r="S23" s="106">
        <v>692.14623130924201</v>
      </c>
      <c r="T23" s="106">
        <v>0</v>
      </c>
      <c r="U23" s="106">
        <v>0</v>
      </c>
      <c r="V23" s="106">
        <v>2.4516988314345896</v>
      </c>
      <c r="W23" s="106">
        <v>720.79945644176928</v>
      </c>
      <c r="X23" s="106">
        <v>0.69628300165915302</v>
      </c>
      <c r="Y23" s="106">
        <v>204.70720248779099</v>
      </c>
      <c r="Z23" s="106">
        <v>0.97330052055535932</v>
      </c>
      <c r="AA23" s="106">
        <v>286.15035304327563</v>
      </c>
      <c r="AB23" s="106">
        <v>0</v>
      </c>
      <c r="AC23" s="106">
        <v>0</v>
      </c>
      <c r="AD23" s="106">
        <v>1.2516057718535147</v>
      </c>
      <c r="AE23" s="106">
        <v>367.97209692493334</v>
      </c>
      <c r="AF23" s="106">
        <v>18.396848500754214</v>
      </c>
      <c r="AG23" s="106">
        <v>5408.673459221739</v>
      </c>
      <c r="AH23" s="106">
        <v>1.1742311105953134</v>
      </c>
      <c r="AI23" s="106">
        <v>345.22394651502213</v>
      </c>
      <c r="AJ23" s="106">
        <v>0</v>
      </c>
      <c r="AK23" s="106">
        <v>0</v>
      </c>
      <c r="AL23" s="106">
        <v>10</v>
      </c>
      <c r="AM23" s="106">
        <v>2940</v>
      </c>
      <c r="AN23" s="106">
        <v>8.5387209713783392</v>
      </c>
      <c r="AO23" s="106">
        <v>2510.3839655852316</v>
      </c>
      <c r="AP23" s="106">
        <v>1.9685122666218526</v>
      </c>
      <c r="AQ23" s="106">
        <v>578.74260638682472</v>
      </c>
      <c r="AR23" s="106">
        <v>9.6391611171311506</v>
      </c>
      <c r="AS23" s="106">
        <v>2833.9133684365584</v>
      </c>
      <c r="AT23" s="106">
        <v>8.6482333372959097</v>
      </c>
      <c r="AU23" s="106">
        <v>2542.5806011649975</v>
      </c>
      <c r="AV23" s="106">
        <v>9.6266181814526206</v>
      </c>
      <c r="AW23" s="106">
        <v>2830.2257453470706</v>
      </c>
      <c r="AX23" s="106">
        <v>8.7373745896532995</v>
      </c>
      <c r="AY23" s="106">
        <v>2568.7881293580699</v>
      </c>
      <c r="AZ23" s="106">
        <v>16.963378887142142</v>
      </c>
      <c r="BA23" s="106">
        <v>4987.2333928197895</v>
      </c>
      <c r="BB23" s="106">
        <v>0</v>
      </c>
      <c r="BC23" s="106">
        <v>0</v>
      </c>
      <c r="BD23" s="106">
        <v>11.519139977045704</v>
      </c>
      <c r="BE23" s="106">
        <v>3386.627153251437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9.2035184561897587</v>
      </c>
      <c r="BM23" s="106">
        <v>2705.834426119789</v>
      </c>
      <c r="BN23" s="106">
        <v>8.1203203747085357</v>
      </c>
      <c r="BO23" s="106">
        <v>2387.3741901643093</v>
      </c>
      <c r="BP23" s="106">
        <v>13</v>
      </c>
      <c r="BQ23" s="106">
        <v>3822</v>
      </c>
      <c r="BR23" s="106">
        <v>17.409530591239665</v>
      </c>
      <c r="BS23" s="106">
        <v>5118.4019938244619</v>
      </c>
      <c r="BT23" s="106">
        <v>16.921418571782265</v>
      </c>
      <c r="BU23" s="106">
        <v>4974.8970601039864</v>
      </c>
      <c r="BV23" s="106">
        <v>0</v>
      </c>
      <c r="BW23" s="106">
        <v>0</v>
      </c>
      <c r="BX23" s="106">
        <v>13.605618606951241</v>
      </c>
      <c r="BY23" s="106">
        <v>4000.0518704436649</v>
      </c>
      <c r="BZ23" s="106">
        <v>7.1532206471228896</v>
      </c>
      <c r="CA23" s="106">
        <v>2103.0468702541298</v>
      </c>
      <c r="CB23" s="106">
        <v>0</v>
      </c>
      <c r="CC23" s="106">
        <v>0</v>
      </c>
      <c r="CD23" s="106">
        <v>7.4675660811656934</v>
      </c>
      <c r="CE23" s="106">
        <v>2195.4644278627138</v>
      </c>
      <c r="CF23" s="106">
        <v>0</v>
      </c>
      <c r="CG23" s="106">
        <v>0</v>
      </c>
      <c r="CH23" s="106">
        <v>0</v>
      </c>
      <c r="CI23" s="106">
        <v>0</v>
      </c>
      <c r="CJ23" s="106">
        <v>11.83279914104393</v>
      </c>
      <c r="CK23" s="106">
        <v>3478.8429474669156</v>
      </c>
      <c r="CL23" s="106">
        <v>5.7313283192430555</v>
      </c>
      <c r="CM23" s="106">
        <v>1685.0105258574583</v>
      </c>
      <c r="CN23" s="106">
        <v>6.8054284901769604</v>
      </c>
      <c r="CO23" s="106">
        <v>2000.7959761120264</v>
      </c>
      <c r="CP23" s="106">
        <v>0</v>
      </c>
      <c r="CQ23" s="106">
        <v>0</v>
      </c>
      <c r="CR23" s="106">
        <v>0</v>
      </c>
      <c r="CS23" s="106">
        <v>0</v>
      </c>
      <c r="CT23" s="106">
        <v>12.335765732442068</v>
      </c>
      <c r="CU23" s="106">
        <v>3626.7151253379679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9.4460707344977823</v>
      </c>
      <c r="M24" s="106">
        <v>3468.5971737075856</v>
      </c>
      <c r="N24" s="106">
        <v>3.6697911424565581</v>
      </c>
      <c r="O24" s="106">
        <v>1347.5473075100481</v>
      </c>
      <c r="P24" s="106">
        <v>2.2374482116861101</v>
      </c>
      <c r="Q24" s="106">
        <v>821.59098333113957</v>
      </c>
      <c r="R24" s="106">
        <v>2.2274842591628832</v>
      </c>
      <c r="S24" s="106">
        <v>817.93221996461068</v>
      </c>
      <c r="T24" s="106">
        <v>0</v>
      </c>
      <c r="U24" s="106">
        <v>0</v>
      </c>
      <c r="V24" s="106">
        <v>2.5049966321179502</v>
      </c>
      <c r="W24" s="106">
        <v>919.83476331371128</v>
      </c>
      <c r="X24" s="106">
        <v>0.69628300165915302</v>
      </c>
      <c r="Y24" s="106">
        <v>255.67511820924099</v>
      </c>
      <c r="Z24" s="106">
        <v>0.97330052055535932</v>
      </c>
      <c r="AA24" s="106">
        <v>357.39595114792792</v>
      </c>
      <c r="AB24" s="106">
        <v>0</v>
      </c>
      <c r="AC24" s="106">
        <v>0</v>
      </c>
      <c r="AD24" s="106">
        <v>1.1994555313596182</v>
      </c>
      <c r="AE24" s="106">
        <v>440.44007111525178</v>
      </c>
      <c r="AF24" s="106">
        <v>19.785289897037551</v>
      </c>
      <c r="AG24" s="106">
        <v>7265.158450192188</v>
      </c>
      <c r="AH24" s="106">
        <v>1.2276052519860094</v>
      </c>
      <c r="AI24" s="106">
        <v>450.77664852926267</v>
      </c>
      <c r="AJ24" s="106">
        <v>0</v>
      </c>
      <c r="AK24" s="106">
        <v>0</v>
      </c>
      <c r="AL24" s="106">
        <v>10</v>
      </c>
      <c r="AM24" s="106">
        <v>3672</v>
      </c>
      <c r="AN24" s="106">
        <v>9.4425207979179202</v>
      </c>
      <c r="AO24" s="106">
        <v>3467.29363699546</v>
      </c>
      <c r="AP24" s="106">
        <v>1.9685122666218526</v>
      </c>
      <c r="AQ24" s="106">
        <v>722.83770430354423</v>
      </c>
      <c r="AR24" s="106">
        <v>9.5941304353454981</v>
      </c>
      <c r="AS24" s="106">
        <v>3522.9646958588669</v>
      </c>
      <c r="AT24" s="106">
        <v>7.9275472258545836</v>
      </c>
      <c r="AU24" s="106">
        <v>2910.995341333803</v>
      </c>
      <c r="AV24" s="106">
        <v>8.6173290356083125</v>
      </c>
      <c r="AW24" s="106">
        <v>3164.2832218753724</v>
      </c>
      <c r="AX24" s="106">
        <v>8.6428393858515946</v>
      </c>
      <c r="AY24" s="106">
        <v>3173.6506224847053</v>
      </c>
      <c r="AZ24" s="106">
        <v>14.985887158273409</v>
      </c>
      <c r="BA24" s="106">
        <v>5502.8177645179958</v>
      </c>
      <c r="BB24" s="106">
        <v>0</v>
      </c>
      <c r="BC24" s="106">
        <v>0</v>
      </c>
      <c r="BD24" s="106">
        <v>12.019972149960735</v>
      </c>
      <c r="BE24" s="106">
        <v>4413.7337734655812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9.7787383597016184</v>
      </c>
      <c r="BM24" s="106">
        <v>3590.7527256824342</v>
      </c>
      <c r="BN24" s="106">
        <v>10.030983992287014</v>
      </c>
      <c r="BO24" s="106">
        <v>3683.3773219677914</v>
      </c>
      <c r="BP24" s="106">
        <v>12</v>
      </c>
      <c r="BQ24" s="106">
        <v>4406.3999999999996</v>
      </c>
      <c r="BR24" s="106">
        <v>16.493239507490209</v>
      </c>
      <c r="BS24" s="106">
        <v>6056.3175471504046</v>
      </c>
      <c r="BT24" s="106">
        <v>16.244561828910975</v>
      </c>
      <c r="BU24" s="106">
        <v>5965.0031035761094</v>
      </c>
      <c r="BV24" s="106">
        <v>0</v>
      </c>
      <c r="BW24" s="106">
        <v>0</v>
      </c>
      <c r="BX24" s="106">
        <v>12.698577366487827</v>
      </c>
      <c r="BY24" s="106">
        <v>4662.9176089743296</v>
      </c>
      <c r="BZ24" s="106">
        <v>6.713645891786709</v>
      </c>
      <c r="CA24" s="106">
        <v>2465.2507714640797</v>
      </c>
      <c r="CB24" s="106">
        <v>0</v>
      </c>
      <c r="CC24" s="106">
        <v>0</v>
      </c>
      <c r="CD24" s="106">
        <v>7.8824308634526767</v>
      </c>
      <c r="CE24" s="106">
        <v>2894.428613059823</v>
      </c>
      <c r="CF24" s="106">
        <v>0</v>
      </c>
      <c r="CG24" s="106">
        <v>0</v>
      </c>
      <c r="CH24" s="106">
        <v>0</v>
      </c>
      <c r="CI24" s="106">
        <v>0</v>
      </c>
      <c r="CJ24" s="106">
        <v>12.528846149340632</v>
      </c>
      <c r="CK24" s="106">
        <v>4600.59230603788</v>
      </c>
      <c r="CL24" s="106">
        <v>5.3925501376389224</v>
      </c>
      <c r="CM24" s="106">
        <v>1980.1444105410123</v>
      </c>
      <c r="CN24" s="106">
        <v>7.7054537735782613</v>
      </c>
      <c r="CO24" s="106">
        <v>2829.4426256579377</v>
      </c>
      <c r="CP24" s="106">
        <v>0</v>
      </c>
      <c r="CQ24" s="106">
        <v>0</v>
      </c>
      <c r="CR24" s="106">
        <v>0</v>
      </c>
      <c r="CS24" s="106">
        <v>0</v>
      </c>
      <c r="CT24" s="106">
        <v>10.19041517027823</v>
      </c>
      <c r="CU24" s="106">
        <v>3741.920450526166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8.366519793412321</v>
      </c>
      <c r="M25" s="106">
        <v>4437.6020984258948</v>
      </c>
      <c r="N25" s="106">
        <v>3.6702659822329768</v>
      </c>
      <c r="O25" s="106">
        <v>1946.7090769763709</v>
      </c>
      <c r="P25" s="106">
        <v>2.1128159186838467</v>
      </c>
      <c r="Q25" s="106">
        <v>1120.6375632699123</v>
      </c>
      <c r="R25" s="106">
        <v>2.3554527041547422</v>
      </c>
      <c r="S25" s="106">
        <v>1249.3321142836751</v>
      </c>
      <c r="T25" s="106">
        <v>0</v>
      </c>
      <c r="U25" s="106">
        <v>0</v>
      </c>
      <c r="V25" s="106">
        <v>2.3451032300678682</v>
      </c>
      <c r="W25" s="106">
        <v>1243.8427532279973</v>
      </c>
      <c r="X25" s="106">
        <v>0.67638920161174876</v>
      </c>
      <c r="Y25" s="106">
        <v>358.75683253487153</v>
      </c>
      <c r="Z25" s="106">
        <v>0.88866569268098028</v>
      </c>
      <c r="AA25" s="106">
        <v>471.34828339799191</v>
      </c>
      <c r="AB25" s="106">
        <v>0</v>
      </c>
      <c r="AC25" s="106">
        <v>0</v>
      </c>
      <c r="AD25" s="106">
        <v>1.1473052908657217</v>
      </c>
      <c r="AE25" s="106">
        <v>608.53072627517884</v>
      </c>
      <c r="AF25" s="106">
        <v>16.661296755400041</v>
      </c>
      <c r="AG25" s="106">
        <v>8837.1517990641823</v>
      </c>
      <c r="AH25" s="106">
        <v>1.1742311105953134</v>
      </c>
      <c r="AI25" s="106">
        <v>622.81218105975415</v>
      </c>
      <c r="AJ25" s="106">
        <v>0</v>
      </c>
      <c r="AK25" s="106">
        <v>0</v>
      </c>
      <c r="AL25" s="106">
        <v>9</v>
      </c>
      <c r="AM25" s="106">
        <v>4773.5999999999995</v>
      </c>
      <c r="AN25" s="106">
        <v>7.461760832610004</v>
      </c>
      <c r="AO25" s="106">
        <v>3957.7179456163458</v>
      </c>
      <c r="AP25" s="106">
        <v>1.9685122666218526</v>
      </c>
      <c r="AQ25" s="106">
        <v>1044.0989062162305</v>
      </c>
      <c r="AR25" s="106">
        <v>9.5057292626855947</v>
      </c>
      <c r="AS25" s="106">
        <v>5041.838800928439</v>
      </c>
      <c r="AT25" s="106">
        <v>7.2068611144132575</v>
      </c>
      <c r="AU25" s="106">
        <v>3822.5191350847917</v>
      </c>
      <c r="AV25" s="106">
        <v>9.3429831034769091</v>
      </c>
      <c r="AW25" s="106">
        <v>4955.5182380841525</v>
      </c>
      <c r="AX25" s="106">
        <v>8.7373745896532995</v>
      </c>
      <c r="AY25" s="106">
        <v>4634.3034823521102</v>
      </c>
      <c r="AZ25" s="106">
        <v>15.633255406090381</v>
      </c>
      <c r="BA25" s="106">
        <v>8291.8786673903378</v>
      </c>
      <c r="BB25" s="106">
        <v>0</v>
      </c>
      <c r="BC25" s="106">
        <v>0</v>
      </c>
      <c r="BD25" s="106">
        <v>10.85136374649233</v>
      </c>
      <c r="BE25" s="106">
        <v>5755.5633311395313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9.2035184561897587</v>
      </c>
      <c r="BM25" s="106">
        <v>4881.5461891630475</v>
      </c>
      <c r="BN25" s="106">
        <v>8.1203203747085357</v>
      </c>
      <c r="BO25" s="106">
        <v>4307.0179267454068</v>
      </c>
      <c r="BP25" s="106">
        <v>11</v>
      </c>
      <c r="BQ25" s="106">
        <v>5834.4</v>
      </c>
      <c r="BR25" s="106">
        <v>18.325821674989118</v>
      </c>
      <c r="BS25" s="106">
        <v>9720.0158164142285</v>
      </c>
      <c r="BT25" s="106">
        <v>14.213991600297101</v>
      </c>
      <c r="BU25" s="106">
        <v>7539.1011447975816</v>
      </c>
      <c r="BV25" s="106">
        <v>0</v>
      </c>
      <c r="BW25" s="106">
        <v>0</v>
      </c>
      <c r="BX25" s="106">
        <v>11.791536126024409</v>
      </c>
      <c r="BY25" s="106">
        <v>6254.230761243346</v>
      </c>
      <c r="BZ25" s="106">
        <v>6.7044721324903129</v>
      </c>
      <c r="CA25" s="106">
        <v>3556.0520190728616</v>
      </c>
      <c r="CB25" s="106">
        <v>0</v>
      </c>
      <c r="CC25" s="106">
        <v>0</v>
      </c>
      <c r="CD25" s="106">
        <v>7.4675660811656934</v>
      </c>
      <c r="CE25" s="106">
        <v>3960.7970494502838</v>
      </c>
      <c r="CF25" s="106">
        <v>0</v>
      </c>
      <c r="CG25" s="106">
        <v>0</v>
      </c>
      <c r="CH25" s="106">
        <v>0</v>
      </c>
      <c r="CI25" s="106">
        <v>0</v>
      </c>
      <c r="CJ25" s="106">
        <v>11.136752132747228</v>
      </c>
      <c r="CK25" s="106">
        <v>5906.9333312091294</v>
      </c>
      <c r="CL25" s="106">
        <v>5.0363628208744817</v>
      </c>
      <c r="CM25" s="106">
        <v>2671.2868401918249</v>
      </c>
      <c r="CN25" s="106">
        <v>7.6985397794435793</v>
      </c>
      <c r="CO25" s="106">
        <v>4083.3054990168744</v>
      </c>
      <c r="CP25" s="106">
        <v>0</v>
      </c>
      <c r="CQ25" s="106">
        <v>0</v>
      </c>
      <c r="CR25" s="106">
        <v>0</v>
      </c>
      <c r="CS25" s="106">
        <v>0</v>
      </c>
      <c r="CT25" s="106">
        <v>10.19041517027823</v>
      </c>
      <c r="CU25" s="106">
        <v>5404.9962063155735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8.6364075286836872</v>
      </c>
      <c r="M26" s="106">
        <v>4197.2940589402724</v>
      </c>
      <c r="N26" s="106">
        <v>4.0102229045249871</v>
      </c>
      <c r="O26" s="106">
        <v>1948.9683315991438</v>
      </c>
      <c r="P26" s="106">
        <v>2.1112248381520984</v>
      </c>
      <c r="Q26" s="106">
        <v>1026.0552713419197</v>
      </c>
      <c r="R26" s="106">
        <v>2.1643275463436482</v>
      </c>
      <c r="S26" s="106">
        <v>1051.863187523013</v>
      </c>
      <c r="T26" s="106">
        <v>0</v>
      </c>
      <c r="U26" s="106">
        <v>0</v>
      </c>
      <c r="V26" s="106">
        <v>2.5582944328013104</v>
      </c>
      <c r="W26" s="106">
        <v>1243.3310943414369</v>
      </c>
      <c r="X26" s="106">
        <v>0.63660160151694001</v>
      </c>
      <c r="Y26" s="106">
        <v>309.38837833723284</v>
      </c>
      <c r="Z26" s="106">
        <v>0.82518957177519603</v>
      </c>
      <c r="AA26" s="106">
        <v>401.04213188274525</v>
      </c>
      <c r="AB26" s="106">
        <v>0</v>
      </c>
      <c r="AC26" s="106">
        <v>0</v>
      </c>
      <c r="AD26" s="106">
        <v>1.043004809877929</v>
      </c>
      <c r="AE26" s="106">
        <v>506.90033760067348</v>
      </c>
      <c r="AF26" s="106">
        <v>17.008407104470876</v>
      </c>
      <c r="AG26" s="106">
        <v>8266.0858527728451</v>
      </c>
      <c r="AH26" s="106">
        <v>1.2542923226813574</v>
      </c>
      <c r="AI26" s="106">
        <v>609.58606882313973</v>
      </c>
      <c r="AJ26" s="106">
        <v>0</v>
      </c>
      <c r="AK26" s="106">
        <v>0</v>
      </c>
      <c r="AL26" s="106">
        <v>9</v>
      </c>
      <c r="AM26" s="106">
        <v>4374</v>
      </c>
      <c r="AN26" s="106">
        <v>8.4810008673020878</v>
      </c>
      <c r="AO26" s="106">
        <v>4121.7664215088143</v>
      </c>
      <c r="AP26" s="106">
        <v>1.9685122666218526</v>
      </c>
      <c r="AQ26" s="106">
        <v>956.69696157822034</v>
      </c>
      <c r="AR26" s="106">
        <v>8.6341805443969424</v>
      </c>
      <c r="AS26" s="106">
        <v>4196.2117445769136</v>
      </c>
      <c r="AT26" s="106">
        <v>7.9275472258545836</v>
      </c>
      <c r="AU26" s="106">
        <v>3852.7879517653278</v>
      </c>
      <c r="AV26" s="106">
        <v>8.5186555003522706</v>
      </c>
      <c r="AW26" s="106">
        <v>4140.0665731712033</v>
      </c>
      <c r="AX26" s="106">
        <v>8.6428393858515946</v>
      </c>
      <c r="AY26" s="106">
        <v>4200.4199415238754</v>
      </c>
      <c r="AZ26" s="106">
        <v>15.205608461481043</v>
      </c>
      <c r="BA26" s="106">
        <v>7389.9257122797871</v>
      </c>
      <c r="BB26" s="106">
        <v>0</v>
      </c>
      <c r="BC26" s="106">
        <v>0</v>
      </c>
      <c r="BD26" s="106">
        <v>12.186916207599078</v>
      </c>
      <c r="BE26" s="106">
        <v>5922.8412768931521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9.7787383597016184</v>
      </c>
      <c r="BM26" s="106">
        <v>4752.4668428149862</v>
      </c>
      <c r="BN26" s="106">
        <v>9.075652183497775</v>
      </c>
      <c r="BO26" s="106">
        <v>4410.7669611799183</v>
      </c>
      <c r="BP26" s="106">
        <v>13</v>
      </c>
      <c r="BQ26" s="106">
        <v>6318</v>
      </c>
      <c r="BR26" s="106">
        <v>16.493239507490209</v>
      </c>
      <c r="BS26" s="106">
        <v>8015.7144006402414</v>
      </c>
      <c r="BT26" s="106">
        <v>14.890848343168392</v>
      </c>
      <c r="BU26" s="106">
        <v>7236.9522947798387</v>
      </c>
      <c r="BV26" s="106">
        <v>0</v>
      </c>
      <c r="BW26" s="106">
        <v>0</v>
      </c>
      <c r="BX26" s="106">
        <v>12.698577366487827</v>
      </c>
      <c r="BY26" s="106">
        <v>6171.508600113084</v>
      </c>
      <c r="BZ26" s="106">
        <v>6.2511367382095377</v>
      </c>
      <c r="CA26" s="106">
        <v>3038.0524547698355</v>
      </c>
      <c r="CB26" s="106">
        <v>0</v>
      </c>
      <c r="CC26" s="106">
        <v>0</v>
      </c>
      <c r="CD26" s="106">
        <v>7.0527012988787101</v>
      </c>
      <c r="CE26" s="106">
        <v>3427.6128312550532</v>
      </c>
      <c r="CF26" s="106">
        <v>0</v>
      </c>
      <c r="CG26" s="106">
        <v>0</v>
      </c>
      <c r="CH26" s="106">
        <v>0</v>
      </c>
      <c r="CI26" s="106">
        <v>0</v>
      </c>
      <c r="CJ26" s="106">
        <v>12.528846149340632</v>
      </c>
      <c r="CK26" s="106">
        <v>6089.0192285795474</v>
      </c>
      <c r="CL26" s="106">
        <v>5.3826020604044613</v>
      </c>
      <c r="CM26" s="106">
        <v>2615.944601356568</v>
      </c>
      <c r="CN26" s="106">
        <v>7.2385535974429676</v>
      </c>
      <c r="CO26" s="106">
        <v>3517.937048357282</v>
      </c>
      <c r="CP26" s="106">
        <v>0</v>
      </c>
      <c r="CQ26" s="106">
        <v>0</v>
      </c>
      <c r="CR26" s="106">
        <v>0</v>
      </c>
      <c r="CS26" s="106">
        <v>0</v>
      </c>
      <c r="CT26" s="106">
        <v>10.726752810819189</v>
      </c>
      <c r="CU26" s="106">
        <v>5213.2018660581261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9.1761829992264161</v>
      </c>
      <c r="M27" s="106">
        <v>3920.065377269525</v>
      </c>
      <c r="N27" s="106">
        <v>3.7534152086723576</v>
      </c>
      <c r="O27" s="106">
        <v>1603.4589771448311</v>
      </c>
      <c r="P27" s="106">
        <v>1.9863982933981683</v>
      </c>
      <c r="Q27" s="106">
        <v>848.58935093969751</v>
      </c>
      <c r="R27" s="106">
        <v>2.417507037468785</v>
      </c>
      <c r="S27" s="106">
        <v>1032.7590064066649</v>
      </c>
      <c r="T27" s="106">
        <v>0</v>
      </c>
      <c r="U27" s="106">
        <v>0</v>
      </c>
      <c r="V27" s="106">
        <v>2.5582944328013104</v>
      </c>
      <c r="W27" s="106">
        <v>1092.9033816927197</v>
      </c>
      <c r="X27" s="106">
        <v>0.71617680170655751</v>
      </c>
      <c r="Y27" s="106">
        <v>305.95072968904134</v>
      </c>
      <c r="Z27" s="106">
        <v>0.93098310661816974</v>
      </c>
      <c r="AA27" s="106">
        <v>397.71598314728209</v>
      </c>
      <c r="AB27" s="106">
        <v>0</v>
      </c>
      <c r="AC27" s="106">
        <v>0</v>
      </c>
      <c r="AD27" s="106">
        <v>1.277680892100463</v>
      </c>
      <c r="AE27" s="106">
        <v>545.82527710531781</v>
      </c>
      <c r="AF27" s="106">
        <v>18.743958849825049</v>
      </c>
      <c r="AG27" s="106">
        <v>8007.4192206452608</v>
      </c>
      <c r="AH27" s="106">
        <v>1.3076664640720537</v>
      </c>
      <c r="AI27" s="106">
        <v>558.63511345158133</v>
      </c>
      <c r="AJ27" s="106">
        <v>0</v>
      </c>
      <c r="AK27" s="106">
        <v>0</v>
      </c>
      <c r="AL27" s="106">
        <v>9</v>
      </c>
      <c r="AM27" s="106">
        <v>3844.7999999999997</v>
      </c>
      <c r="AN27" s="106">
        <v>7.5387209713783383</v>
      </c>
      <c r="AO27" s="106">
        <v>3220.5415989728263</v>
      </c>
      <c r="AP27" s="106">
        <v>2.2145762999495844</v>
      </c>
      <c r="AQ27" s="106">
        <v>946.06699533846245</v>
      </c>
      <c r="AR27" s="106">
        <v>9.5524201353826506</v>
      </c>
      <c r="AS27" s="106">
        <v>4080.7938818354683</v>
      </c>
      <c r="AT27" s="106">
        <v>7.2068611144132575</v>
      </c>
      <c r="AU27" s="106">
        <v>3078.7710680773434</v>
      </c>
      <c r="AV27" s="106">
        <v>8.4509457845772573</v>
      </c>
      <c r="AW27" s="106">
        <v>3610.2440391714044</v>
      </c>
      <c r="AX27" s="106">
        <v>8.6806534673722773</v>
      </c>
      <c r="AY27" s="106">
        <v>3708.3751612614369</v>
      </c>
      <c r="AZ27" s="106">
        <v>16.294104410256999</v>
      </c>
      <c r="BA27" s="106">
        <v>6960.8414040617899</v>
      </c>
      <c r="BB27" s="106">
        <v>0</v>
      </c>
      <c r="BC27" s="106">
        <v>0</v>
      </c>
      <c r="BD27" s="106">
        <v>12.68774838051411</v>
      </c>
      <c r="BE27" s="106">
        <v>5420.2061081556276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10.353958263213478</v>
      </c>
      <c r="BM27" s="106">
        <v>4423.2109700447982</v>
      </c>
      <c r="BN27" s="106">
        <v>9.5533180878923947</v>
      </c>
      <c r="BO27" s="106">
        <v>4081.1774871476309</v>
      </c>
      <c r="BP27" s="106">
        <v>12</v>
      </c>
      <c r="BQ27" s="106">
        <v>5126.3999999999996</v>
      </c>
      <c r="BR27" s="106">
        <v>18.325821674989118</v>
      </c>
      <c r="BS27" s="106">
        <v>7828.7910195553513</v>
      </c>
      <c r="BT27" s="106">
        <v>14.213991600297101</v>
      </c>
      <c r="BU27" s="106">
        <v>6072.217211646921</v>
      </c>
      <c r="BV27" s="106">
        <v>0</v>
      </c>
      <c r="BW27" s="106">
        <v>0</v>
      </c>
      <c r="BX27" s="106">
        <v>13.605618606951241</v>
      </c>
      <c r="BY27" s="106">
        <v>5812.3202688895699</v>
      </c>
      <c r="BZ27" s="106">
        <v>6.7090590121385105</v>
      </c>
      <c r="CA27" s="106">
        <v>2866.1100099855717</v>
      </c>
      <c r="CB27" s="106">
        <v>0</v>
      </c>
      <c r="CC27" s="106">
        <v>0</v>
      </c>
      <c r="CD27" s="106">
        <v>7.0527012988787101</v>
      </c>
      <c r="CE27" s="106">
        <v>3012.9139948809848</v>
      </c>
      <c r="CF27" s="106">
        <v>0</v>
      </c>
      <c r="CG27" s="106">
        <v>0</v>
      </c>
      <c r="CH27" s="106">
        <v>0</v>
      </c>
      <c r="CI27" s="106">
        <v>0</v>
      </c>
      <c r="CJ27" s="106">
        <v>13.920940165934036</v>
      </c>
      <c r="CK27" s="106">
        <v>5947.0256388870202</v>
      </c>
      <c r="CL27" s="106">
        <v>5.3726539831699984</v>
      </c>
      <c r="CM27" s="106">
        <v>2295.197781610223</v>
      </c>
      <c r="CN27" s="106">
        <v>6.7779491584835947</v>
      </c>
      <c r="CO27" s="106">
        <v>2895.5398805041914</v>
      </c>
      <c r="CP27" s="106">
        <v>0</v>
      </c>
      <c r="CQ27" s="106">
        <v>0</v>
      </c>
      <c r="CR27" s="106">
        <v>0</v>
      </c>
      <c r="CS27" s="106">
        <v>0</v>
      </c>
      <c r="CT27" s="106">
        <v>11.263090451360149</v>
      </c>
      <c r="CU27" s="106">
        <v>4811.5922408210554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7.8267443228695903</v>
      </c>
      <c r="M28" s="106">
        <v>5776.1373102777579</v>
      </c>
      <c r="N28" s="106">
        <v>3.8377515345527851</v>
      </c>
      <c r="O28" s="106">
        <v>2832.2606324999556</v>
      </c>
      <c r="P28" s="106">
        <v>1.9198034414414522</v>
      </c>
      <c r="Q28" s="106">
        <v>1416.8149397837917</v>
      </c>
      <c r="R28" s="106">
        <v>1.975408374546908</v>
      </c>
      <c r="S28" s="106">
        <v>1457.851380415618</v>
      </c>
      <c r="T28" s="106">
        <v>0</v>
      </c>
      <c r="U28" s="106">
        <v>0</v>
      </c>
      <c r="V28" s="106">
        <v>2.2385076287011469</v>
      </c>
      <c r="W28" s="106">
        <v>1652.0186299814463</v>
      </c>
      <c r="X28" s="106">
        <v>0.59681400142213115</v>
      </c>
      <c r="Y28" s="106">
        <v>440.44873304953279</v>
      </c>
      <c r="Z28" s="106">
        <v>0.84634827874379071</v>
      </c>
      <c r="AA28" s="106">
        <v>624.60502971291749</v>
      </c>
      <c r="AB28" s="106">
        <v>0</v>
      </c>
      <c r="AC28" s="106">
        <v>0</v>
      </c>
      <c r="AD28" s="106">
        <v>1.043004809877929</v>
      </c>
      <c r="AE28" s="106">
        <v>769.73754968991159</v>
      </c>
      <c r="AF28" s="106">
        <v>15.619965708187539</v>
      </c>
      <c r="AG28" s="106">
        <v>11527.534692642404</v>
      </c>
      <c r="AH28" s="106">
        <v>1.0674828278139212</v>
      </c>
      <c r="AI28" s="106">
        <v>787.80232692667391</v>
      </c>
      <c r="AJ28" s="106">
        <v>0</v>
      </c>
      <c r="AK28" s="106">
        <v>0</v>
      </c>
      <c r="AL28" s="106">
        <v>9</v>
      </c>
      <c r="AM28" s="106">
        <v>6642</v>
      </c>
      <c r="AN28" s="106">
        <v>8.4425207979179202</v>
      </c>
      <c r="AO28" s="106">
        <v>6230.5803488634247</v>
      </c>
      <c r="AP28" s="106">
        <v>1.9685122666218526</v>
      </c>
      <c r="AQ28" s="106">
        <v>1452.7620527669274</v>
      </c>
      <c r="AR28" s="106">
        <v>8.5924702444340948</v>
      </c>
      <c r="AS28" s="106">
        <v>6341.2430403923618</v>
      </c>
      <c r="AT28" s="106">
        <v>8.6482333372959097</v>
      </c>
      <c r="AU28" s="106">
        <v>6382.3962029243812</v>
      </c>
      <c r="AV28" s="106">
        <v>8.4416566387329492</v>
      </c>
      <c r="AW28" s="106">
        <v>6229.9425993849163</v>
      </c>
      <c r="AX28" s="106">
        <v>8.6239323450912533</v>
      </c>
      <c r="AY28" s="106">
        <v>6364.4620706773449</v>
      </c>
      <c r="AZ28" s="106">
        <v>14.08088298001543</v>
      </c>
      <c r="BA28" s="106">
        <v>10391.691639251387</v>
      </c>
      <c r="BB28" s="106">
        <v>0</v>
      </c>
      <c r="BC28" s="106">
        <v>0</v>
      </c>
      <c r="BD28" s="106">
        <v>10.85136374649233</v>
      </c>
      <c r="BE28" s="106">
        <v>8008.3064449113399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10.353958263213478</v>
      </c>
      <c r="BM28" s="106">
        <v>7641.2211982515464</v>
      </c>
      <c r="BN28" s="106">
        <v>8.1203203747085357</v>
      </c>
      <c r="BO28" s="106">
        <v>5992.7964365348989</v>
      </c>
      <c r="BP28" s="106">
        <v>12</v>
      </c>
      <c r="BQ28" s="106">
        <v>8856</v>
      </c>
      <c r="BR28" s="106">
        <v>16.493239507490209</v>
      </c>
      <c r="BS28" s="106">
        <v>12172.010756527774</v>
      </c>
      <c r="BT28" s="106">
        <v>13.537134857425812</v>
      </c>
      <c r="BU28" s="106">
        <v>9990.4055247802498</v>
      </c>
      <c r="BV28" s="106">
        <v>0</v>
      </c>
      <c r="BW28" s="106">
        <v>0</v>
      </c>
      <c r="BX28" s="106">
        <v>10.884494885560994</v>
      </c>
      <c r="BY28" s="106">
        <v>8032.7572255440136</v>
      </c>
      <c r="BZ28" s="106">
        <v>6.6815377342493223</v>
      </c>
      <c r="CA28" s="106">
        <v>4930.9748478760002</v>
      </c>
      <c r="CB28" s="106">
        <v>0</v>
      </c>
      <c r="CC28" s="106">
        <v>0</v>
      </c>
      <c r="CD28" s="106">
        <v>7.4675660811656934</v>
      </c>
      <c r="CE28" s="106">
        <v>5511.0637679002821</v>
      </c>
      <c r="CF28" s="106">
        <v>0</v>
      </c>
      <c r="CG28" s="106">
        <v>0</v>
      </c>
      <c r="CH28" s="106">
        <v>0</v>
      </c>
      <c r="CI28" s="106">
        <v>0</v>
      </c>
      <c r="CJ28" s="106">
        <v>11.83279914104393</v>
      </c>
      <c r="CK28" s="106">
        <v>8732.6057660904207</v>
      </c>
      <c r="CL28" s="106">
        <v>5.3850890797130768</v>
      </c>
      <c r="CM28" s="106">
        <v>3974.1957408282506</v>
      </c>
      <c r="CN28" s="106">
        <v>7.2452026243096093</v>
      </c>
      <c r="CO28" s="106">
        <v>5346.9595367404918</v>
      </c>
      <c r="CP28" s="106">
        <v>0</v>
      </c>
      <c r="CQ28" s="106">
        <v>0</v>
      </c>
      <c r="CR28" s="106">
        <v>0</v>
      </c>
      <c r="CS28" s="106">
        <v>0</v>
      </c>
      <c r="CT28" s="106">
        <v>10.19041517027823</v>
      </c>
      <c r="CU28" s="106">
        <v>7520.5263956653343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9.9858462050405112</v>
      </c>
      <c r="M29" s="106">
        <v>3379.210355785709</v>
      </c>
      <c r="N29" s="106">
        <v>4.0086796752516278</v>
      </c>
      <c r="O29" s="106">
        <v>1356.5372021051508</v>
      </c>
      <c r="P29" s="106">
        <v>2.1132198965589444</v>
      </c>
      <c r="Q29" s="106">
        <v>715.11361299554676</v>
      </c>
      <c r="R29" s="106">
        <v>2.3560033361782615</v>
      </c>
      <c r="S29" s="106">
        <v>797.27152896272366</v>
      </c>
      <c r="T29" s="106">
        <v>0</v>
      </c>
      <c r="U29" s="106">
        <v>0</v>
      </c>
      <c r="V29" s="106">
        <v>2.6648900341680317</v>
      </c>
      <c r="W29" s="106">
        <v>901.79878756246183</v>
      </c>
      <c r="X29" s="106">
        <v>0.75596440180136615</v>
      </c>
      <c r="Y29" s="106">
        <v>255.81835356958229</v>
      </c>
      <c r="Z29" s="106">
        <v>0.95214181358676464</v>
      </c>
      <c r="AA29" s="106">
        <v>322.20478971776112</v>
      </c>
      <c r="AB29" s="106">
        <v>0</v>
      </c>
      <c r="AC29" s="106">
        <v>0</v>
      </c>
      <c r="AD29" s="106">
        <v>1.1473052908657217</v>
      </c>
      <c r="AE29" s="106">
        <v>388.24811042896022</v>
      </c>
      <c r="AF29" s="106">
        <v>19.438179547966715</v>
      </c>
      <c r="AG29" s="106">
        <v>6577.8799590319359</v>
      </c>
      <c r="AH29" s="106">
        <v>1.3076664640720537</v>
      </c>
      <c r="AI29" s="106">
        <v>442.5143314419829</v>
      </c>
      <c r="AJ29" s="106">
        <v>0</v>
      </c>
      <c r="AK29" s="106">
        <v>0</v>
      </c>
      <c r="AL29" s="106">
        <v>9</v>
      </c>
      <c r="AM29" s="106">
        <v>3045.6</v>
      </c>
      <c r="AN29" s="106">
        <v>9.461760832610004</v>
      </c>
      <c r="AO29" s="106">
        <v>3201.8598657552252</v>
      </c>
      <c r="AP29" s="106">
        <v>1.9685122666218526</v>
      </c>
      <c r="AQ29" s="106">
        <v>666.14455102483487</v>
      </c>
      <c r="AR29" s="106">
        <v>9.5057292626855947</v>
      </c>
      <c r="AS29" s="106">
        <v>3216.7387824928051</v>
      </c>
      <c r="AT29" s="106">
        <v>7.2068611144132575</v>
      </c>
      <c r="AU29" s="106">
        <v>2438.8018011174463</v>
      </c>
      <c r="AV29" s="106">
        <v>8.5279446461965804</v>
      </c>
      <c r="AW29" s="106">
        <v>2885.8564682729225</v>
      </c>
      <c r="AX29" s="106">
        <v>8.6428393858515946</v>
      </c>
      <c r="AY29" s="106">
        <v>2924.7368481721796</v>
      </c>
      <c r="AZ29" s="106">
        <v>16.540787226163921</v>
      </c>
      <c r="BA29" s="106">
        <v>5597.4023973338708</v>
      </c>
      <c r="BB29" s="106">
        <v>0</v>
      </c>
      <c r="BC29" s="106">
        <v>0</v>
      </c>
      <c r="BD29" s="106">
        <v>11.853028092322392</v>
      </c>
      <c r="BE29" s="106">
        <v>4011.0647064418972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10.92917816672534</v>
      </c>
      <c r="BM29" s="106">
        <v>3698.4338916198549</v>
      </c>
      <c r="BN29" s="106">
        <v>9.075652183497775</v>
      </c>
      <c r="BO29" s="106">
        <v>3071.2006988956468</v>
      </c>
      <c r="BP29" s="106">
        <v>11</v>
      </c>
      <c r="BQ29" s="106">
        <v>3722.3999999999996</v>
      </c>
      <c r="BR29" s="106">
        <v>17.409530591239665</v>
      </c>
      <c r="BS29" s="106">
        <v>5891.3851520755024</v>
      </c>
      <c r="BT29" s="106">
        <v>16.244561828910975</v>
      </c>
      <c r="BU29" s="106">
        <v>5497.1597229034733</v>
      </c>
      <c r="BV29" s="106">
        <v>0</v>
      </c>
      <c r="BW29" s="106">
        <v>0</v>
      </c>
      <c r="BX29" s="106">
        <v>11.791536126024409</v>
      </c>
      <c r="BY29" s="106">
        <v>3990.25582504666</v>
      </c>
      <c r="BZ29" s="106">
        <v>6.2327892196167447</v>
      </c>
      <c r="CA29" s="106">
        <v>2109.1758719183063</v>
      </c>
      <c r="CB29" s="106">
        <v>0</v>
      </c>
      <c r="CC29" s="106">
        <v>0</v>
      </c>
      <c r="CD29" s="106">
        <v>7.0527012988787101</v>
      </c>
      <c r="CE29" s="106">
        <v>2386.6341195405553</v>
      </c>
      <c r="CF29" s="106">
        <v>0</v>
      </c>
      <c r="CG29" s="106">
        <v>0</v>
      </c>
      <c r="CH29" s="106">
        <v>0</v>
      </c>
      <c r="CI29" s="106">
        <v>0</v>
      </c>
      <c r="CJ29" s="106">
        <v>12.528846149340632</v>
      </c>
      <c r="CK29" s="106">
        <v>4239.7615369368696</v>
      </c>
      <c r="CL29" s="106">
        <v>4.690123581344503</v>
      </c>
      <c r="CM29" s="106">
        <v>1587.1378199269798</v>
      </c>
      <c r="CN29" s="106">
        <v>7.7051004838875397</v>
      </c>
      <c r="CO29" s="106">
        <v>2607.4060037475433</v>
      </c>
      <c r="CP29" s="106">
        <v>0</v>
      </c>
      <c r="CQ29" s="106">
        <v>0</v>
      </c>
      <c r="CR29" s="106">
        <v>0</v>
      </c>
      <c r="CS29" s="106">
        <v>0</v>
      </c>
      <c r="CT29" s="106">
        <v>12.335765732442068</v>
      </c>
      <c r="CU29" s="106">
        <v>4174.4231238583952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8.9062952639550517</v>
      </c>
      <c r="M30" s="106">
        <v>1239.7563007425431</v>
      </c>
      <c r="N30" s="106">
        <v>4.4346348626415297</v>
      </c>
      <c r="O30" s="106">
        <v>617.30117287970086</v>
      </c>
      <c r="P30" s="106">
        <v>2.2400352020102821</v>
      </c>
      <c r="Q30" s="106">
        <v>311.81290011983123</v>
      </c>
      <c r="R30" s="106">
        <v>2.6081879863399933</v>
      </c>
      <c r="S30" s="106">
        <v>363.05976769852703</v>
      </c>
      <c r="T30" s="106">
        <v>0</v>
      </c>
      <c r="U30" s="106">
        <v>0</v>
      </c>
      <c r="V30" s="106">
        <v>2.7181878348513928</v>
      </c>
      <c r="W30" s="106">
        <v>378.37174661131382</v>
      </c>
      <c r="X30" s="106">
        <v>0.77585820184877063</v>
      </c>
      <c r="Y30" s="106">
        <v>107.99946169734886</v>
      </c>
      <c r="Z30" s="106">
        <v>0.9944592275239541</v>
      </c>
      <c r="AA30" s="106">
        <v>138.42872447133439</v>
      </c>
      <c r="AB30" s="106">
        <v>0</v>
      </c>
      <c r="AC30" s="106">
        <v>0</v>
      </c>
      <c r="AD30" s="106">
        <v>1.17338041111267</v>
      </c>
      <c r="AE30" s="106">
        <v>163.33455322688366</v>
      </c>
      <c r="AF30" s="106">
        <v>19.785289897037551</v>
      </c>
      <c r="AG30" s="106">
        <v>2754.1123536676268</v>
      </c>
      <c r="AH30" s="106">
        <v>1.3877276761580974</v>
      </c>
      <c r="AI30" s="106">
        <v>193.17169252120715</v>
      </c>
      <c r="AJ30" s="106">
        <v>0</v>
      </c>
      <c r="AK30" s="106">
        <v>0</v>
      </c>
      <c r="AL30" s="106">
        <v>10</v>
      </c>
      <c r="AM30" s="106">
        <v>1392</v>
      </c>
      <c r="AN30" s="106">
        <v>8.5579610060704212</v>
      </c>
      <c r="AO30" s="106">
        <v>1191.2681720450025</v>
      </c>
      <c r="AP30" s="106">
        <v>1.9685122666218526</v>
      </c>
      <c r="AQ30" s="106">
        <v>274.01690751376185</v>
      </c>
      <c r="AR30" s="106">
        <v>10.635840735308346</v>
      </c>
      <c r="AS30" s="106">
        <v>1480.5090303549216</v>
      </c>
      <c r="AT30" s="106">
        <v>8.6482333372959097</v>
      </c>
      <c r="AU30" s="106">
        <v>1203.8340805515904</v>
      </c>
      <c r="AV30" s="106">
        <v>9.7098098069681473</v>
      </c>
      <c r="AW30" s="106">
        <v>1351.6055251299661</v>
      </c>
      <c r="AX30" s="106">
        <v>9.7184675488929582</v>
      </c>
      <c r="AY30" s="106">
        <v>1352.8106828058997</v>
      </c>
      <c r="AZ30" s="106">
        <v>16.53825958434836</v>
      </c>
      <c r="BA30" s="106">
        <v>2302.1257341412916</v>
      </c>
      <c r="BB30" s="106">
        <v>0</v>
      </c>
      <c r="BC30" s="106">
        <v>0</v>
      </c>
      <c r="BD30" s="106">
        <v>12.186916207599078</v>
      </c>
      <c r="BE30" s="106">
        <v>1696.4187360977915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10.353958263213478</v>
      </c>
      <c r="BM30" s="106">
        <v>1441.270990239316</v>
      </c>
      <c r="BN30" s="106">
        <v>10.030983992287014</v>
      </c>
      <c r="BO30" s="106">
        <v>1396.3129717263523</v>
      </c>
      <c r="BP30" s="106">
        <v>13</v>
      </c>
      <c r="BQ30" s="106">
        <v>1809.6</v>
      </c>
      <c r="BR30" s="106">
        <v>16.493239507490209</v>
      </c>
      <c r="BS30" s="106">
        <v>2295.8589394426367</v>
      </c>
      <c r="BT30" s="106">
        <v>14.213991600297101</v>
      </c>
      <c r="BU30" s="106">
        <v>1978.5876307613562</v>
      </c>
      <c r="BV30" s="106">
        <v>0</v>
      </c>
      <c r="BW30" s="106">
        <v>0</v>
      </c>
      <c r="BX30" s="106">
        <v>13.605618606951241</v>
      </c>
      <c r="BY30" s="106">
        <v>1893.9021100876125</v>
      </c>
      <c r="BZ30" s="106">
        <v>6.2419629789131417</v>
      </c>
      <c r="CA30" s="106">
        <v>868.88124666470924</v>
      </c>
      <c r="CB30" s="106">
        <v>0</v>
      </c>
      <c r="CC30" s="106">
        <v>0</v>
      </c>
      <c r="CD30" s="106">
        <v>8.7121604280266425</v>
      </c>
      <c r="CE30" s="106">
        <v>1212.7327315813086</v>
      </c>
      <c r="CF30" s="106">
        <v>0</v>
      </c>
      <c r="CG30" s="106">
        <v>0</v>
      </c>
      <c r="CH30" s="106">
        <v>0</v>
      </c>
      <c r="CI30" s="106">
        <v>0</v>
      </c>
      <c r="CJ30" s="106">
        <v>12.528846149340632</v>
      </c>
      <c r="CK30" s="106">
        <v>1744.0153839882159</v>
      </c>
      <c r="CL30" s="106">
        <v>5.3875760990216923</v>
      </c>
      <c r="CM30" s="106">
        <v>749.95059298381955</v>
      </c>
      <c r="CN30" s="106">
        <v>7.7260191111369467</v>
      </c>
      <c r="CO30" s="106">
        <v>1075.4618602702628</v>
      </c>
      <c r="CP30" s="106">
        <v>0</v>
      </c>
      <c r="CQ30" s="106">
        <v>0</v>
      </c>
      <c r="CR30" s="106">
        <v>0</v>
      </c>
      <c r="CS30" s="106">
        <v>0</v>
      </c>
      <c r="CT30" s="106">
        <v>10.726752810819189</v>
      </c>
      <c r="CU30" s="106">
        <v>1493.163991266031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10.255733940311877</v>
      </c>
      <c r="M31" s="106">
        <v>3495.1541268582878</v>
      </c>
      <c r="N31" s="106">
        <v>3.5004062310310755</v>
      </c>
      <c r="O31" s="106">
        <v>1192.9384435353907</v>
      </c>
      <c r="P31" s="106">
        <v>1.9217984998482984</v>
      </c>
      <c r="Q31" s="106">
        <v>654.94892874830009</v>
      </c>
      <c r="R31" s="106">
        <v>2.4178363458430692</v>
      </c>
      <c r="S31" s="106">
        <v>823.99862666331796</v>
      </c>
      <c r="T31" s="106">
        <v>0</v>
      </c>
      <c r="U31" s="106">
        <v>0</v>
      </c>
      <c r="V31" s="106">
        <v>2.5049966321179502</v>
      </c>
      <c r="W31" s="106">
        <v>853.70285222579741</v>
      </c>
      <c r="X31" s="106">
        <v>0.71617680170655751</v>
      </c>
      <c r="Y31" s="106">
        <v>244.0730540215948</v>
      </c>
      <c r="Z31" s="106">
        <v>0.95214181358676464</v>
      </c>
      <c r="AA31" s="106">
        <v>324.48993007036938</v>
      </c>
      <c r="AB31" s="106">
        <v>0</v>
      </c>
      <c r="AC31" s="106">
        <v>0</v>
      </c>
      <c r="AD31" s="106">
        <v>1.1212301706187737</v>
      </c>
      <c r="AE31" s="106">
        <v>382.11524214687807</v>
      </c>
      <c r="AF31" s="106">
        <v>18.743958849825049</v>
      </c>
      <c r="AG31" s="106">
        <v>6387.9411760203766</v>
      </c>
      <c r="AH31" s="106">
        <v>1.1742311105953134</v>
      </c>
      <c r="AI31" s="106">
        <v>400.17796249088281</v>
      </c>
      <c r="AJ31" s="106">
        <v>0</v>
      </c>
      <c r="AK31" s="106">
        <v>0</v>
      </c>
      <c r="AL31" s="106">
        <v>9</v>
      </c>
      <c r="AM31" s="106">
        <v>3067.2000000000003</v>
      </c>
      <c r="AN31" s="106">
        <v>9.5579610060704212</v>
      </c>
      <c r="AO31" s="106">
        <v>3257.3531108687998</v>
      </c>
      <c r="AP31" s="106">
        <v>1.9685122666218526</v>
      </c>
      <c r="AQ31" s="106">
        <v>670.86898046472743</v>
      </c>
      <c r="AR31" s="106">
        <v>9.5941304353454981</v>
      </c>
      <c r="AS31" s="106">
        <v>3269.6796523657458</v>
      </c>
      <c r="AT31" s="106">
        <v>7.9275472258545836</v>
      </c>
      <c r="AU31" s="106">
        <v>2701.7080945712423</v>
      </c>
      <c r="AV31" s="106">
        <v>9.5341374100927858</v>
      </c>
      <c r="AW31" s="106">
        <v>3249.2340293596217</v>
      </c>
      <c r="AX31" s="106">
        <v>8.7373745896532995</v>
      </c>
      <c r="AY31" s="106">
        <v>2977.6972601538446</v>
      </c>
      <c r="AZ31" s="106">
        <v>15.639995784265203</v>
      </c>
      <c r="BA31" s="106">
        <v>5330.1105632775816</v>
      </c>
      <c r="BB31" s="106">
        <v>0</v>
      </c>
      <c r="BC31" s="106">
        <v>0</v>
      </c>
      <c r="BD31" s="106">
        <v>11.519139977045704</v>
      </c>
      <c r="BE31" s="106">
        <v>3925.7229041771761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9.2035184561897587</v>
      </c>
      <c r="BM31" s="106">
        <v>3136.55908986947</v>
      </c>
      <c r="BN31" s="106">
        <v>9.5533180878923947</v>
      </c>
      <c r="BO31" s="106">
        <v>3255.7708043537282</v>
      </c>
      <c r="BP31" s="106">
        <v>11</v>
      </c>
      <c r="BQ31" s="106">
        <v>3748.8</v>
      </c>
      <c r="BR31" s="106">
        <v>16.493239507490209</v>
      </c>
      <c r="BS31" s="106">
        <v>5620.8960241526638</v>
      </c>
      <c r="BT31" s="106">
        <v>16.244561828910975</v>
      </c>
      <c r="BU31" s="106">
        <v>5536.1466712928604</v>
      </c>
      <c r="BV31" s="106">
        <v>0</v>
      </c>
      <c r="BW31" s="106">
        <v>0</v>
      </c>
      <c r="BX31" s="106">
        <v>13.605618606951241</v>
      </c>
      <c r="BY31" s="106">
        <v>4636.7948212489828</v>
      </c>
      <c r="BZ31" s="106">
        <v>6.7044721324903129</v>
      </c>
      <c r="CA31" s="106">
        <v>2284.8841027526987</v>
      </c>
      <c r="CB31" s="106">
        <v>0</v>
      </c>
      <c r="CC31" s="106">
        <v>0</v>
      </c>
      <c r="CD31" s="106">
        <v>8.7121604280266425</v>
      </c>
      <c r="CE31" s="106">
        <v>2969.10427387148</v>
      </c>
      <c r="CF31" s="106">
        <v>0</v>
      </c>
      <c r="CG31" s="106">
        <v>0</v>
      </c>
      <c r="CH31" s="106">
        <v>0</v>
      </c>
      <c r="CI31" s="106">
        <v>0</v>
      </c>
      <c r="CJ31" s="106">
        <v>13.920940165934036</v>
      </c>
      <c r="CK31" s="106">
        <v>4744.25640855032</v>
      </c>
      <c r="CL31" s="106">
        <v>5.0214407050227896</v>
      </c>
      <c r="CM31" s="106">
        <v>1711.3069922717668</v>
      </c>
      <c r="CN31" s="106">
        <v>7.2795076277149766</v>
      </c>
      <c r="CO31" s="106">
        <v>2480.8561995252639</v>
      </c>
      <c r="CP31" s="106">
        <v>0</v>
      </c>
      <c r="CQ31" s="106">
        <v>0</v>
      </c>
      <c r="CR31" s="106">
        <v>0</v>
      </c>
      <c r="CS31" s="106">
        <v>0</v>
      </c>
      <c r="CT31" s="106">
        <v>10.726752810819189</v>
      </c>
      <c r="CU31" s="106">
        <v>3655.6773579271799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8.6364075286836872</v>
      </c>
      <c r="M32" s="106">
        <v>7254.5823240942973</v>
      </c>
      <c r="N32" s="106">
        <v>3.4122711869393005</v>
      </c>
      <c r="O32" s="106">
        <v>2866.3077970290124</v>
      </c>
      <c r="P32" s="106">
        <v>1.7311699443851951</v>
      </c>
      <c r="Q32" s="106">
        <v>1454.1827532835639</v>
      </c>
      <c r="R32" s="106">
        <v>2.0380123359721316</v>
      </c>
      <c r="S32" s="106">
        <v>1711.9303622165905</v>
      </c>
      <c r="T32" s="106">
        <v>0</v>
      </c>
      <c r="U32" s="106">
        <v>0</v>
      </c>
      <c r="V32" s="106">
        <v>2.1852098280177863</v>
      </c>
      <c r="W32" s="106">
        <v>1835.5762555349404</v>
      </c>
      <c r="X32" s="106">
        <v>0.65649540156434427</v>
      </c>
      <c r="Y32" s="106">
        <v>551.45613731404922</v>
      </c>
      <c r="Z32" s="106">
        <v>0.80403086480660124</v>
      </c>
      <c r="AA32" s="106">
        <v>675.38592643754509</v>
      </c>
      <c r="AB32" s="106">
        <v>0</v>
      </c>
      <c r="AC32" s="106">
        <v>0</v>
      </c>
      <c r="AD32" s="106">
        <v>1.0690799301248772</v>
      </c>
      <c r="AE32" s="106">
        <v>898.02714130489687</v>
      </c>
      <c r="AF32" s="106">
        <v>15.619965708187539</v>
      </c>
      <c r="AG32" s="106">
        <v>13120.771194877532</v>
      </c>
      <c r="AH32" s="106">
        <v>1.0141086864232252</v>
      </c>
      <c r="AI32" s="106">
        <v>851.8512965955091</v>
      </c>
      <c r="AJ32" s="106">
        <v>0</v>
      </c>
      <c r="AK32" s="106">
        <v>0</v>
      </c>
      <c r="AL32" s="106">
        <v>9</v>
      </c>
      <c r="AM32" s="106">
        <v>7560</v>
      </c>
      <c r="AN32" s="106">
        <v>7.4425207979179211</v>
      </c>
      <c r="AO32" s="106">
        <v>6251.7174702510538</v>
      </c>
      <c r="AP32" s="106">
        <v>1.9685122666218526</v>
      </c>
      <c r="AQ32" s="106">
        <v>1653.5503039623561</v>
      </c>
      <c r="AR32" s="106">
        <v>9.5941304353454981</v>
      </c>
      <c r="AS32" s="106">
        <v>8059.069565690218</v>
      </c>
      <c r="AT32" s="106">
        <v>7.9275472258545836</v>
      </c>
      <c r="AU32" s="106">
        <v>6659.1396697178507</v>
      </c>
      <c r="AV32" s="106">
        <v>8.6049435078159018</v>
      </c>
      <c r="AW32" s="106">
        <v>7228.1525465653576</v>
      </c>
      <c r="AX32" s="106">
        <v>9.6617464266119359</v>
      </c>
      <c r="AY32" s="106">
        <v>8115.8669983540258</v>
      </c>
      <c r="AZ32" s="106">
        <v>14.313242492300857</v>
      </c>
      <c r="BA32" s="106">
        <v>12023.12369353272</v>
      </c>
      <c r="BB32" s="106">
        <v>0</v>
      </c>
      <c r="BC32" s="106">
        <v>0</v>
      </c>
      <c r="BD32" s="106">
        <v>11.018307804130675</v>
      </c>
      <c r="BE32" s="106">
        <v>9255.3785554697679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9.2035184561897587</v>
      </c>
      <c r="BM32" s="106">
        <v>7730.9555031993978</v>
      </c>
      <c r="BN32" s="106">
        <v>8.5979862791031554</v>
      </c>
      <c r="BO32" s="106">
        <v>7222.3084744466505</v>
      </c>
      <c r="BP32" s="106">
        <v>12</v>
      </c>
      <c r="BQ32" s="106">
        <v>10080</v>
      </c>
      <c r="BR32" s="106">
        <v>17.409530591239665</v>
      </c>
      <c r="BS32" s="106">
        <v>14624.005696641319</v>
      </c>
      <c r="BT32" s="106">
        <v>14.213991600297101</v>
      </c>
      <c r="BU32" s="106">
        <v>11939.752944249565</v>
      </c>
      <c r="BV32" s="106">
        <v>0</v>
      </c>
      <c r="BW32" s="106">
        <v>0</v>
      </c>
      <c r="BX32" s="106">
        <v>11.791536126024409</v>
      </c>
      <c r="BY32" s="106">
        <v>9904.8903458605037</v>
      </c>
      <c r="BZ32" s="106">
        <v>6.6769508546011229</v>
      </c>
      <c r="CA32" s="106">
        <v>5608.6387178649429</v>
      </c>
      <c r="CB32" s="106">
        <v>0</v>
      </c>
      <c r="CC32" s="106">
        <v>0</v>
      </c>
      <c r="CD32" s="106">
        <v>7.4675660811656934</v>
      </c>
      <c r="CE32" s="106">
        <v>6272.7555081791825</v>
      </c>
      <c r="CF32" s="106">
        <v>0</v>
      </c>
      <c r="CG32" s="106">
        <v>0</v>
      </c>
      <c r="CH32" s="106">
        <v>0</v>
      </c>
      <c r="CI32" s="106">
        <v>0</v>
      </c>
      <c r="CJ32" s="106">
        <v>11.83279914104393</v>
      </c>
      <c r="CK32" s="106">
        <v>9939.5512784769016</v>
      </c>
      <c r="CL32" s="106">
        <v>5.0313887822572507</v>
      </c>
      <c r="CM32" s="106">
        <v>4226.3665770960906</v>
      </c>
      <c r="CN32" s="106">
        <v>7.2522049408669709</v>
      </c>
      <c r="CO32" s="106">
        <v>6091.8521503282554</v>
      </c>
      <c r="CP32" s="106">
        <v>0</v>
      </c>
      <c r="CQ32" s="106">
        <v>0</v>
      </c>
      <c r="CR32" s="106">
        <v>0</v>
      </c>
      <c r="CS32" s="106">
        <v>0</v>
      </c>
      <c r="CT32" s="106">
        <v>9.6540775297372718</v>
      </c>
      <c r="CU32" s="106">
        <v>8109.4251249793087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8.366519793412321</v>
      </c>
      <c r="M33" s="106">
        <v>3965.73038207744</v>
      </c>
      <c r="N33" s="106">
        <v>3.9243433493711999</v>
      </c>
      <c r="O33" s="106">
        <v>1860.1387476019488</v>
      </c>
      <c r="P33" s="106">
        <v>1.793383656941109</v>
      </c>
      <c r="Q33" s="106">
        <v>850.06385339008568</v>
      </c>
      <c r="R33" s="106">
        <v>2.228257330293792</v>
      </c>
      <c r="S33" s="106">
        <v>1056.1939745592574</v>
      </c>
      <c r="T33" s="106">
        <v>0</v>
      </c>
      <c r="U33" s="106">
        <v>0</v>
      </c>
      <c r="V33" s="106">
        <v>2.4516988314345896</v>
      </c>
      <c r="W33" s="106">
        <v>1162.1052460999954</v>
      </c>
      <c r="X33" s="106">
        <v>0.61670780146953563</v>
      </c>
      <c r="Y33" s="106">
        <v>292.31949789655988</v>
      </c>
      <c r="Z33" s="106">
        <v>0.82518957177519603</v>
      </c>
      <c r="AA33" s="106">
        <v>391.13985702144294</v>
      </c>
      <c r="AB33" s="106">
        <v>0</v>
      </c>
      <c r="AC33" s="106">
        <v>0</v>
      </c>
      <c r="AD33" s="106">
        <v>1.277680892100463</v>
      </c>
      <c r="AE33" s="106">
        <v>605.62074285561948</v>
      </c>
      <c r="AF33" s="106">
        <v>16.661296755400041</v>
      </c>
      <c r="AG33" s="106">
        <v>7897.4546620596193</v>
      </c>
      <c r="AH33" s="106">
        <v>1.2809793933767055</v>
      </c>
      <c r="AI33" s="106">
        <v>607.18423246055841</v>
      </c>
      <c r="AJ33" s="106">
        <v>0</v>
      </c>
      <c r="AK33" s="106">
        <v>0</v>
      </c>
      <c r="AL33" s="106">
        <v>9</v>
      </c>
      <c r="AM33" s="106">
        <v>4266</v>
      </c>
      <c r="AN33" s="106">
        <v>8.5387209713783392</v>
      </c>
      <c r="AO33" s="106">
        <v>4047.3537404333329</v>
      </c>
      <c r="AP33" s="106">
        <v>2.2145762999495844</v>
      </c>
      <c r="AQ33" s="106">
        <v>1049.7091661761031</v>
      </c>
      <c r="AR33" s="106">
        <v>8.585829480788485</v>
      </c>
      <c r="AS33" s="106">
        <v>4069.6831738937417</v>
      </c>
      <c r="AT33" s="106">
        <v>7.2068611144132575</v>
      </c>
      <c r="AU33" s="106">
        <v>3416.052168231884</v>
      </c>
      <c r="AV33" s="106">
        <v>8.262887859909485</v>
      </c>
      <c r="AW33" s="106">
        <v>3916.6088455970958</v>
      </c>
      <c r="AX33" s="106">
        <v>8.6617464266119359</v>
      </c>
      <c r="AY33" s="106">
        <v>4105.6678062140572</v>
      </c>
      <c r="AZ33" s="106">
        <v>13.657448771765356</v>
      </c>
      <c r="BA33" s="106">
        <v>6473.630717816779</v>
      </c>
      <c r="BB33" s="106">
        <v>0</v>
      </c>
      <c r="BC33" s="106">
        <v>0</v>
      </c>
      <c r="BD33" s="106">
        <v>11.352195919407361</v>
      </c>
      <c r="BE33" s="106">
        <v>5380.9408657990889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9.7787383597016184</v>
      </c>
      <c r="BM33" s="106">
        <v>4635.1219824985674</v>
      </c>
      <c r="BN33" s="106">
        <v>9.5533180878923947</v>
      </c>
      <c r="BO33" s="106">
        <v>4528.272773660995</v>
      </c>
      <c r="BP33" s="106">
        <v>13</v>
      </c>
      <c r="BQ33" s="106">
        <v>6162</v>
      </c>
      <c r="BR33" s="106">
        <v>19.242112758738578</v>
      </c>
      <c r="BS33" s="106">
        <v>9120.7614476420858</v>
      </c>
      <c r="BT33" s="106">
        <v>13.537134857425812</v>
      </c>
      <c r="BU33" s="106">
        <v>6416.6019224198353</v>
      </c>
      <c r="BV33" s="106">
        <v>0</v>
      </c>
      <c r="BW33" s="106">
        <v>0</v>
      </c>
      <c r="BX33" s="106">
        <v>12.698577366487827</v>
      </c>
      <c r="BY33" s="106">
        <v>6019.1256717152301</v>
      </c>
      <c r="BZ33" s="106">
        <v>6.695298373193916</v>
      </c>
      <c r="CA33" s="106">
        <v>3173.5714288939162</v>
      </c>
      <c r="CB33" s="106">
        <v>0</v>
      </c>
      <c r="CC33" s="106">
        <v>0</v>
      </c>
      <c r="CD33" s="106">
        <v>7.0527012988787101</v>
      </c>
      <c r="CE33" s="106">
        <v>3342.9804156685086</v>
      </c>
      <c r="CF33" s="106">
        <v>0</v>
      </c>
      <c r="CG33" s="106">
        <v>0</v>
      </c>
      <c r="CH33" s="106">
        <v>0</v>
      </c>
      <c r="CI33" s="106">
        <v>0</v>
      </c>
      <c r="CJ33" s="106">
        <v>12.528846149340632</v>
      </c>
      <c r="CK33" s="106">
        <v>5938.6730747874599</v>
      </c>
      <c r="CL33" s="106">
        <v>5.7238672613172099</v>
      </c>
      <c r="CM33" s="106">
        <v>2713.1130818643574</v>
      </c>
      <c r="CN33" s="106">
        <v>6.7850397974636358</v>
      </c>
      <c r="CO33" s="106">
        <v>3216.1088639977634</v>
      </c>
      <c r="CP33" s="106">
        <v>0</v>
      </c>
      <c r="CQ33" s="106">
        <v>0</v>
      </c>
      <c r="CR33" s="106">
        <v>0</v>
      </c>
      <c r="CS33" s="106">
        <v>0</v>
      </c>
      <c r="CT33" s="106">
        <v>12.335765732442068</v>
      </c>
      <c r="CU33" s="106">
        <v>5847.15295717754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8.9062952639550517</v>
      </c>
      <c r="M34" s="106">
        <v>4884.2123227529501</v>
      </c>
      <c r="N34" s="106">
        <v>3.4151202255978115</v>
      </c>
      <c r="O34" s="106">
        <v>1872.8519317178398</v>
      </c>
      <c r="P34" s="106">
        <v>1.7319645849782923</v>
      </c>
      <c r="Q34" s="106">
        <v>949.80937840209549</v>
      </c>
      <c r="R34" s="106">
        <v>2.2285864155764457</v>
      </c>
      <c r="S34" s="106">
        <v>1222.1567903021228</v>
      </c>
      <c r="T34" s="106">
        <v>0</v>
      </c>
      <c r="U34" s="106">
        <v>0</v>
      </c>
      <c r="V34" s="106">
        <v>2.6648900341680317</v>
      </c>
      <c r="W34" s="106">
        <v>1461.4256947377485</v>
      </c>
      <c r="X34" s="106">
        <v>0.61670780146953563</v>
      </c>
      <c r="Y34" s="106">
        <v>338.20255832589334</v>
      </c>
      <c r="Z34" s="106">
        <v>0.90982439964957507</v>
      </c>
      <c r="AA34" s="106">
        <v>498.94770076782697</v>
      </c>
      <c r="AB34" s="106">
        <v>0</v>
      </c>
      <c r="AC34" s="106">
        <v>0</v>
      </c>
      <c r="AD34" s="106">
        <v>1.043004809877929</v>
      </c>
      <c r="AE34" s="106">
        <v>571.98383773705621</v>
      </c>
      <c r="AF34" s="106">
        <v>16.661296755400041</v>
      </c>
      <c r="AG34" s="106">
        <v>9137.0551406613831</v>
      </c>
      <c r="AH34" s="106">
        <v>1.1475440398999655</v>
      </c>
      <c r="AI34" s="106">
        <v>629.31315148114106</v>
      </c>
      <c r="AJ34" s="106">
        <v>0</v>
      </c>
      <c r="AK34" s="106">
        <v>0</v>
      </c>
      <c r="AL34" s="106">
        <v>9</v>
      </c>
      <c r="AM34" s="106">
        <v>4935.5999999999995</v>
      </c>
      <c r="AN34" s="106">
        <v>8.5387209713783392</v>
      </c>
      <c r="AO34" s="106">
        <v>4682.6345807038806</v>
      </c>
      <c r="AP34" s="106">
        <v>1.9685122666218526</v>
      </c>
      <c r="AQ34" s="106">
        <v>1079.5321270154238</v>
      </c>
      <c r="AR34" s="106">
        <v>9.5057292626855947</v>
      </c>
      <c r="AS34" s="106">
        <v>5212.9419276567796</v>
      </c>
      <c r="AT34" s="106">
        <v>7.2068611144132575</v>
      </c>
      <c r="AU34" s="106">
        <v>3952.2426351442305</v>
      </c>
      <c r="AV34" s="106">
        <v>8.3398867215288064</v>
      </c>
      <c r="AW34" s="106">
        <v>4573.5938780863971</v>
      </c>
      <c r="AX34" s="106">
        <v>9.6806534673722773</v>
      </c>
      <c r="AY34" s="106">
        <v>5308.8703615069562</v>
      </c>
      <c r="AZ34" s="106">
        <v>13.649023299046828</v>
      </c>
      <c r="BA34" s="106">
        <v>7485.1243771972804</v>
      </c>
      <c r="BB34" s="106">
        <v>0</v>
      </c>
      <c r="BC34" s="106">
        <v>0</v>
      </c>
      <c r="BD34" s="106">
        <v>10.684419688853987</v>
      </c>
      <c r="BE34" s="106">
        <v>5859.3357573675266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9.7787383597016184</v>
      </c>
      <c r="BM34" s="106">
        <v>5362.6601164603671</v>
      </c>
      <c r="BN34" s="106">
        <v>9.075652183497775</v>
      </c>
      <c r="BO34" s="106">
        <v>4977.0876574301792</v>
      </c>
      <c r="BP34" s="106">
        <v>12</v>
      </c>
      <c r="BQ34" s="106">
        <v>6580.7999999999993</v>
      </c>
      <c r="BR34" s="106">
        <v>17.409530591239665</v>
      </c>
      <c r="BS34" s="106">
        <v>9547.3865762358328</v>
      </c>
      <c r="BT34" s="106">
        <v>15.567705086039682</v>
      </c>
      <c r="BU34" s="106">
        <v>8537.329469184162</v>
      </c>
      <c r="BV34" s="106">
        <v>0</v>
      </c>
      <c r="BW34" s="106">
        <v>0</v>
      </c>
      <c r="BX34" s="106">
        <v>13.605618606951241</v>
      </c>
      <c r="BY34" s="106">
        <v>7461.3212440520601</v>
      </c>
      <c r="BZ34" s="106">
        <v>7.1486337674746911</v>
      </c>
      <c r="CA34" s="106">
        <v>3920.3107580831206</v>
      </c>
      <c r="CB34" s="106">
        <v>0</v>
      </c>
      <c r="CC34" s="106">
        <v>0</v>
      </c>
      <c r="CD34" s="106">
        <v>7.4675660811656934</v>
      </c>
      <c r="CE34" s="106">
        <v>4095.2132389112662</v>
      </c>
      <c r="CF34" s="106">
        <v>0</v>
      </c>
      <c r="CG34" s="106">
        <v>0</v>
      </c>
      <c r="CH34" s="106">
        <v>0</v>
      </c>
      <c r="CI34" s="106">
        <v>0</v>
      </c>
      <c r="CJ34" s="106">
        <v>12.528846149340632</v>
      </c>
      <c r="CK34" s="106">
        <v>6870.8192282984019</v>
      </c>
      <c r="CL34" s="106">
        <v>4.685149542727272</v>
      </c>
      <c r="CM34" s="106">
        <v>2569.3360092316357</v>
      </c>
      <c r="CN34" s="106">
        <v>6.3177863316376213</v>
      </c>
      <c r="CO34" s="106">
        <v>3464.6740242700712</v>
      </c>
      <c r="CP34" s="106">
        <v>0</v>
      </c>
      <c r="CQ34" s="106">
        <v>0</v>
      </c>
      <c r="CR34" s="106">
        <v>0</v>
      </c>
      <c r="CS34" s="106">
        <v>0</v>
      </c>
      <c r="CT34" s="106">
        <v>11.799428091901108</v>
      </c>
      <c r="CU34" s="106">
        <v>6470.806365598567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9.7159584697691468</v>
      </c>
      <c r="M35" s="106">
        <v>4885.1839185999261</v>
      </c>
      <c r="N35" s="106">
        <v>3.9254117388681418</v>
      </c>
      <c r="O35" s="106">
        <v>1973.6970223029014</v>
      </c>
      <c r="P35" s="106">
        <v>1.7965699564993793</v>
      </c>
      <c r="Q35" s="106">
        <v>903.31537412788771</v>
      </c>
      <c r="R35" s="106">
        <v>2.1655420377690584</v>
      </c>
      <c r="S35" s="106">
        <v>1088.8345365902824</v>
      </c>
      <c r="T35" s="106">
        <v>0</v>
      </c>
      <c r="U35" s="106">
        <v>0</v>
      </c>
      <c r="V35" s="106">
        <v>2.6115922334846715</v>
      </c>
      <c r="W35" s="106">
        <v>1313.1085749960926</v>
      </c>
      <c r="X35" s="106">
        <v>0.73607060175396188</v>
      </c>
      <c r="Y35" s="106">
        <v>370.09629856189196</v>
      </c>
      <c r="Z35" s="106">
        <v>0.86750698571238549</v>
      </c>
      <c r="AA35" s="106">
        <v>436.18251241618736</v>
      </c>
      <c r="AB35" s="106">
        <v>0</v>
      </c>
      <c r="AC35" s="106">
        <v>0</v>
      </c>
      <c r="AD35" s="106">
        <v>1.1994555313596182</v>
      </c>
      <c r="AE35" s="106">
        <v>603.08624116761598</v>
      </c>
      <c r="AF35" s="106">
        <v>18.049738151683378</v>
      </c>
      <c r="AG35" s="106">
        <v>9075.4083426664001</v>
      </c>
      <c r="AH35" s="106">
        <v>1.2276052519860094</v>
      </c>
      <c r="AI35" s="106">
        <v>617.23992069856547</v>
      </c>
      <c r="AJ35" s="106">
        <v>0</v>
      </c>
      <c r="AK35" s="106">
        <v>0</v>
      </c>
      <c r="AL35" s="106">
        <v>8</v>
      </c>
      <c r="AM35" s="106">
        <v>4022.3999999999992</v>
      </c>
      <c r="AN35" s="106">
        <v>8.5002409019941716</v>
      </c>
      <c r="AO35" s="106">
        <v>4273.9211255226683</v>
      </c>
      <c r="AP35" s="106">
        <v>1.9685122666218526</v>
      </c>
      <c r="AQ35" s="106">
        <v>989.76796765746735</v>
      </c>
      <c r="AR35" s="106">
        <v>9.4606985808999404</v>
      </c>
      <c r="AS35" s="106">
        <v>4756.8392464764893</v>
      </c>
      <c r="AT35" s="106">
        <v>7.9275472258545836</v>
      </c>
      <c r="AU35" s="106">
        <v>3985.9707451596837</v>
      </c>
      <c r="AV35" s="106">
        <v>8.6173290356083125</v>
      </c>
      <c r="AW35" s="106">
        <v>4332.793039103859</v>
      </c>
      <c r="AX35" s="106">
        <v>9.7562816304136408</v>
      </c>
      <c r="AY35" s="106">
        <v>4905.4584037719778</v>
      </c>
      <c r="AZ35" s="106">
        <v>13.659133866309062</v>
      </c>
      <c r="BA35" s="106">
        <v>6867.8125079801948</v>
      </c>
      <c r="BB35" s="106">
        <v>0</v>
      </c>
      <c r="BC35" s="106">
        <v>0</v>
      </c>
      <c r="BD35" s="106">
        <v>10.350531573577301</v>
      </c>
      <c r="BE35" s="106">
        <v>5204.2472751946661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9.2035184561897587</v>
      </c>
      <c r="BM35" s="106">
        <v>4627.52907977221</v>
      </c>
      <c r="BN35" s="106">
        <v>8.5979862791031554</v>
      </c>
      <c r="BO35" s="106">
        <v>4323.0675011330659</v>
      </c>
      <c r="BP35" s="106">
        <v>13</v>
      </c>
      <c r="BQ35" s="106">
        <v>6536.3999999999987</v>
      </c>
      <c r="BR35" s="106">
        <v>17.409530591239665</v>
      </c>
      <c r="BS35" s="106">
        <v>8753.5119812753019</v>
      </c>
      <c r="BT35" s="106">
        <v>13.537134857425812</v>
      </c>
      <c r="BU35" s="106">
        <v>6806.4714063136971</v>
      </c>
      <c r="BV35" s="106">
        <v>0</v>
      </c>
      <c r="BW35" s="106">
        <v>0</v>
      </c>
      <c r="BX35" s="106">
        <v>12.698577366487827</v>
      </c>
      <c r="BY35" s="106">
        <v>6384.8446998700783</v>
      </c>
      <c r="BZ35" s="106">
        <v>6.7090590121385105</v>
      </c>
      <c r="CA35" s="106">
        <v>3373.3148713032424</v>
      </c>
      <c r="CB35" s="106">
        <v>0</v>
      </c>
      <c r="CC35" s="106">
        <v>0</v>
      </c>
      <c r="CD35" s="106">
        <v>7.8824308634526767</v>
      </c>
      <c r="CE35" s="106">
        <v>3963.286238144005</v>
      </c>
      <c r="CF35" s="106">
        <v>0</v>
      </c>
      <c r="CG35" s="106">
        <v>0</v>
      </c>
      <c r="CH35" s="106">
        <v>0</v>
      </c>
      <c r="CI35" s="106">
        <v>0</v>
      </c>
      <c r="CJ35" s="106">
        <v>11.83279914104393</v>
      </c>
      <c r="CK35" s="106">
        <v>5949.5314081168872</v>
      </c>
      <c r="CL35" s="106">
        <v>5.3751410024786148</v>
      </c>
      <c r="CM35" s="106">
        <v>2702.6208960462468</v>
      </c>
      <c r="CN35" s="106">
        <v>6.798867785733</v>
      </c>
      <c r="CO35" s="106">
        <v>3418.4707226665519</v>
      </c>
      <c r="CP35" s="106">
        <v>0</v>
      </c>
      <c r="CQ35" s="106">
        <v>0</v>
      </c>
      <c r="CR35" s="106">
        <v>0</v>
      </c>
      <c r="CS35" s="106">
        <v>0</v>
      </c>
      <c r="CT35" s="106">
        <v>11.799428091901108</v>
      </c>
      <c r="CU35" s="106">
        <v>5932.752444607876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8.0966320581409565</v>
      </c>
      <c r="M36" s="106">
        <v>6159.9176698336396</v>
      </c>
      <c r="N36" s="106">
        <v>3.3293593803881287</v>
      </c>
      <c r="O36" s="106">
        <v>2532.9766165992883</v>
      </c>
      <c r="P36" s="106">
        <v>1.8557984587617948</v>
      </c>
      <c r="Q36" s="106">
        <v>1411.8914674259734</v>
      </c>
      <c r="R36" s="106">
        <v>2.2913009272804707</v>
      </c>
      <c r="S36" s="106">
        <v>1743.2217454749821</v>
      </c>
      <c r="T36" s="106">
        <v>0</v>
      </c>
      <c r="U36" s="106">
        <v>0</v>
      </c>
      <c r="V36" s="106">
        <v>2.2918054293845076</v>
      </c>
      <c r="W36" s="106">
        <v>1743.6055706757334</v>
      </c>
      <c r="X36" s="106">
        <v>0.63660160151694001</v>
      </c>
      <c r="Y36" s="106">
        <v>484.32649843408791</v>
      </c>
      <c r="Z36" s="106">
        <v>0.78287215783800634</v>
      </c>
      <c r="AA36" s="106">
        <v>595.60913768315515</v>
      </c>
      <c r="AB36" s="106">
        <v>0</v>
      </c>
      <c r="AC36" s="106">
        <v>0</v>
      </c>
      <c r="AD36" s="106">
        <v>1.1473052908657217</v>
      </c>
      <c r="AE36" s="106">
        <v>872.86986529064109</v>
      </c>
      <c r="AF36" s="106">
        <v>15.967076057258373</v>
      </c>
      <c r="AG36" s="106">
        <v>12147.751464362169</v>
      </c>
      <c r="AH36" s="106">
        <v>1.0407957571185731</v>
      </c>
      <c r="AI36" s="106">
        <v>791.8374120158104</v>
      </c>
      <c r="AJ36" s="106">
        <v>0</v>
      </c>
      <c r="AK36" s="106">
        <v>0</v>
      </c>
      <c r="AL36" s="106">
        <v>9</v>
      </c>
      <c r="AM36" s="106">
        <v>6847.2</v>
      </c>
      <c r="AN36" s="106">
        <v>7.4425207979179211</v>
      </c>
      <c r="AO36" s="106">
        <v>5662.2698230559545</v>
      </c>
      <c r="AP36" s="106">
        <v>1.9685122666218526</v>
      </c>
      <c r="AQ36" s="106">
        <v>1497.6441324459054</v>
      </c>
      <c r="AR36" s="106">
        <v>8.5941304353454981</v>
      </c>
      <c r="AS36" s="106">
        <v>6538.4144352108542</v>
      </c>
      <c r="AT36" s="106">
        <v>7.2068611144132575</v>
      </c>
      <c r="AU36" s="106">
        <v>5482.9799358456057</v>
      </c>
      <c r="AV36" s="106">
        <v>8.4385602567848466</v>
      </c>
      <c r="AW36" s="106">
        <v>6420.0566433619106</v>
      </c>
      <c r="AX36" s="106">
        <v>8.6995605081326168</v>
      </c>
      <c r="AY36" s="106">
        <v>6618.6256345872944</v>
      </c>
      <c r="AZ36" s="106">
        <v>15.41858938651386</v>
      </c>
      <c r="BA36" s="106">
        <v>11730.462805259744</v>
      </c>
      <c r="BB36" s="106">
        <v>0</v>
      </c>
      <c r="BC36" s="106">
        <v>0</v>
      </c>
      <c r="BD36" s="106">
        <v>9.6827553430239259</v>
      </c>
      <c r="BE36" s="106">
        <v>7366.6402649726024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9.2035184561897587</v>
      </c>
      <c r="BM36" s="106">
        <v>7002.0368414691684</v>
      </c>
      <c r="BN36" s="106">
        <v>9.075652183497775</v>
      </c>
      <c r="BO36" s="106">
        <v>6904.7561812051072</v>
      </c>
      <c r="BP36" s="106">
        <v>12</v>
      </c>
      <c r="BQ36" s="106">
        <v>9129.5999999999985</v>
      </c>
      <c r="BR36" s="106">
        <v>18.325821674989118</v>
      </c>
      <c r="BS36" s="106">
        <v>13942.28513033172</v>
      </c>
      <c r="BT36" s="106">
        <v>14.890848343168392</v>
      </c>
      <c r="BU36" s="106">
        <v>11328.957419482511</v>
      </c>
      <c r="BV36" s="106">
        <v>0</v>
      </c>
      <c r="BW36" s="106">
        <v>0</v>
      </c>
      <c r="BX36" s="106">
        <v>10.884494885560994</v>
      </c>
      <c r="BY36" s="106">
        <v>8280.9237089348026</v>
      </c>
      <c r="BZ36" s="106">
        <v>5.7702800660395734</v>
      </c>
      <c r="CA36" s="106">
        <v>4390.029074242907</v>
      </c>
      <c r="CB36" s="106">
        <v>0</v>
      </c>
      <c r="CC36" s="106">
        <v>0</v>
      </c>
      <c r="CD36" s="106">
        <v>6.6378365165917268</v>
      </c>
      <c r="CE36" s="106">
        <v>5050.066021822985</v>
      </c>
      <c r="CF36" s="106">
        <v>0</v>
      </c>
      <c r="CG36" s="106">
        <v>0</v>
      </c>
      <c r="CH36" s="106">
        <v>0</v>
      </c>
      <c r="CI36" s="106">
        <v>0</v>
      </c>
      <c r="CJ36" s="106">
        <v>11.136752132747228</v>
      </c>
      <c r="CK36" s="106">
        <v>8472.8410225940897</v>
      </c>
      <c r="CL36" s="106">
        <v>5.0214407050227896</v>
      </c>
      <c r="CM36" s="106">
        <v>3820.3120883813381</v>
      </c>
      <c r="CN36" s="106">
        <v>7.245114301886928</v>
      </c>
      <c r="CO36" s="106">
        <v>5512.0829608755748</v>
      </c>
      <c r="CP36" s="106">
        <v>0</v>
      </c>
      <c r="CQ36" s="106">
        <v>0</v>
      </c>
      <c r="CR36" s="106">
        <v>0</v>
      </c>
      <c r="CS36" s="106">
        <v>0</v>
      </c>
      <c r="CT36" s="106">
        <v>9.6540775297372718</v>
      </c>
      <c r="CU36" s="106">
        <v>7344.8221846241158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5.9375301759700339</v>
      </c>
      <c r="M37" s="106">
        <v>5108.650963404617</v>
      </c>
      <c r="N37" s="106">
        <v>1.1067000015826562</v>
      </c>
      <c r="O37" s="106">
        <v>952.20468136171746</v>
      </c>
      <c r="P37" s="106">
        <v>1.3981897467612867</v>
      </c>
      <c r="Q37" s="106">
        <v>1203.002458113411</v>
      </c>
      <c r="R37" s="106">
        <v>0.69858540410840719</v>
      </c>
      <c r="S37" s="106">
        <v>601.06288169487357</v>
      </c>
      <c r="T37" s="106">
        <v>0</v>
      </c>
      <c r="U37" s="106">
        <v>0</v>
      </c>
      <c r="V37" s="106">
        <v>4.850099862185818</v>
      </c>
      <c r="W37" s="106">
        <v>4173.025921424678</v>
      </c>
      <c r="X37" s="106">
        <v>1.8302296043612025</v>
      </c>
      <c r="Y37" s="106">
        <v>1574.7295515923786</v>
      </c>
      <c r="Z37" s="106">
        <v>1.2483637111470913</v>
      </c>
      <c r="AA37" s="106">
        <v>1074.0921370709573</v>
      </c>
      <c r="AB37" s="106">
        <v>0</v>
      </c>
      <c r="AC37" s="106">
        <v>0</v>
      </c>
      <c r="AD37" s="106">
        <v>2.1642349804967025</v>
      </c>
      <c r="AE37" s="106">
        <v>1862.1077772193628</v>
      </c>
      <c r="AF37" s="106">
        <v>23.256393387745895</v>
      </c>
      <c r="AG37" s="106">
        <v>20009.800870816569</v>
      </c>
      <c r="AH37" s="106">
        <v>2.2950880797999309</v>
      </c>
      <c r="AI37" s="106">
        <v>1974.6937838598606</v>
      </c>
      <c r="AJ37" s="106">
        <v>0</v>
      </c>
      <c r="AK37" s="106">
        <v>0</v>
      </c>
      <c r="AL37" s="106">
        <v>41</v>
      </c>
      <c r="AM37" s="106">
        <v>35276.400000000001</v>
      </c>
      <c r="AN37" s="106">
        <v>20.711881283607092</v>
      </c>
      <c r="AO37" s="106">
        <v>17820.502656415541</v>
      </c>
      <c r="AP37" s="106">
        <v>7.8740490664874105</v>
      </c>
      <c r="AQ37" s="106">
        <v>6774.8318168057676</v>
      </c>
      <c r="AR37" s="106">
        <v>3.1917440635224295</v>
      </c>
      <c r="AS37" s="106">
        <v>2746.1765922546983</v>
      </c>
      <c r="AT37" s="106">
        <v>2.1620583343239774</v>
      </c>
      <c r="AU37" s="106">
        <v>1860.2349908523502</v>
      </c>
      <c r="AV37" s="106">
        <v>2.4778857665396901</v>
      </c>
      <c r="AW37" s="106">
        <v>2131.9729135307493</v>
      </c>
      <c r="AX37" s="106">
        <v>3.151256326082728</v>
      </c>
      <c r="AY37" s="106">
        <v>2711.340942961579</v>
      </c>
      <c r="AZ37" s="106">
        <v>0.67264466597255357</v>
      </c>
      <c r="BA37" s="106">
        <v>578.74347060278512</v>
      </c>
      <c r="BB37" s="106">
        <v>0</v>
      </c>
      <c r="BC37" s="106">
        <v>0</v>
      </c>
      <c r="BD37" s="106">
        <v>0.50083217291503068</v>
      </c>
      <c r="BE37" s="106">
        <v>430.91600157609241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14.955717491308357</v>
      </c>
      <c r="BM37" s="106">
        <v>12867.89932952171</v>
      </c>
      <c r="BN37" s="106">
        <v>13.374645323049352</v>
      </c>
      <c r="BO37" s="106">
        <v>11507.544835951661</v>
      </c>
      <c r="BP37" s="106">
        <v>19</v>
      </c>
      <c r="BQ37" s="106">
        <v>16347.6</v>
      </c>
      <c r="BR37" s="106">
        <v>18.325821674989118</v>
      </c>
      <c r="BS37" s="106">
        <v>15767.536969160637</v>
      </c>
      <c r="BT37" s="106">
        <v>13.537134857425812</v>
      </c>
      <c r="BU37" s="106">
        <v>11647.350831329168</v>
      </c>
      <c r="BV37" s="106">
        <v>0</v>
      </c>
      <c r="BW37" s="106">
        <v>0</v>
      </c>
      <c r="BX37" s="106">
        <v>58.050639389658627</v>
      </c>
      <c r="BY37" s="106">
        <v>49946.770130862278</v>
      </c>
      <c r="BZ37" s="106">
        <v>31.974152014211075</v>
      </c>
      <c r="CA37" s="106">
        <v>27510.560393027208</v>
      </c>
      <c r="CB37" s="106">
        <v>0</v>
      </c>
      <c r="CC37" s="106">
        <v>0</v>
      </c>
      <c r="CD37" s="106">
        <v>30.69999388923674</v>
      </c>
      <c r="CE37" s="106">
        <v>26414.274742299291</v>
      </c>
      <c r="CF37" s="106">
        <v>0</v>
      </c>
      <c r="CG37" s="106">
        <v>0</v>
      </c>
      <c r="CH37" s="106">
        <v>0</v>
      </c>
      <c r="CI37" s="106">
        <v>0</v>
      </c>
      <c r="CJ37" s="106">
        <v>10.440705124450526</v>
      </c>
      <c r="CK37" s="106">
        <v>8983.1826890772318</v>
      </c>
      <c r="CL37" s="106">
        <v>6.4014236245254752</v>
      </c>
      <c r="CM37" s="106">
        <v>5507.7848865417191</v>
      </c>
      <c r="CN37" s="106">
        <v>8.0748514524465662</v>
      </c>
      <c r="CO37" s="106">
        <v>6947.6021896850252</v>
      </c>
      <c r="CP37" s="106">
        <v>0</v>
      </c>
      <c r="CQ37" s="106">
        <v>0</v>
      </c>
      <c r="CR37" s="106">
        <v>0</v>
      </c>
      <c r="CS37" s="106">
        <v>0</v>
      </c>
      <c r="CT37" s="106">
        <v>6.9723893270324737</v>
      </c>
      <c r="CU37" s="106">
        <v>5999.0437769787404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4.8579792348845734</v>
      </c>
      <c r="M38" s="106">
        <v>6033.6102097266403</v>
      </c>
      <c r="N38" s="106">
        <v>1.1067000015826562</v>
      </c>
      <c r="O38" s="106">
        <v>1374.5214019656592</v>
      </c>
      <c r="P38" s="106">
        <v>1.3985867071887244</v>
      </c>
      <c r="Q38" s="106">
        <v>1737.0446903283957</v>
      </c>
      <c r="R38" s="106">
        <v>0.76185199793155245</v>
      </c>
      <c r="S38" s="106">
        <v>946.22018143098819</v>
      </c>
      <c r="T38" s="106">
        <v>0</v>
      </c>
      <c r="U38" s="106">
        <v>0</v>
      </c>
      <c r="V38" s="106">
        <v>4.3704196560355726</v>
      </c>
      <c r="W38" s="106">
        <v>5428.0612127961813</v>
      </c>
      <c r="X38" s="106">
        <v>1.651185403934563</v>
      </c>
      <c r="Y38" s="106">
        <v>2050.7722716867274</v>
      </c>
      <c r="Z38" s="106">
        <v>1.206046297209902</v>
      </c>
      <c r="AA38" s="106">
        <v>1497.9095011346983</v>
      </c>
      <c r="AB38" s="106">
        <v>0</v>
      </c>
      <c r="AC38" s="106">
        <v>0</v>
      </c>
      <c r="AD38" s="106">
        <v>1.981709138768065</v>
      </c>
      <c r="AE38" s="106">
        <v>2461.2827503499366</v>
      </c>
      <c r="AF38" s="106">
        <v>19.09106919889588</v>
      </c>
      <c r="AG38" s="106">
        <v>23711.107945028682</v>
      </c>
      <c r="AH38" s="106">
        <v>2.2417139384092346</v>
      </c>
      <c r="AI38" s="106">
        <v>2784.2087115042696</v>
      </c>
      <c r="AJ38" s="106">
        <v>0</v>
      </c>
      <c r="AK38" s="106">
        <v>0</v>
      </c>
      <c r="AL38" s="106">
        <v>37</v>
      </c>
      <c r="AM38" s="106">
        <v>45954</v>
      </c>
      <c r="AN38" s="106">
        <v>20.692641248915006</v>
      </c>
      <c r="AO38" s="106">
        <v>25700.260431152437</v>
      </c>
      <c r="AP38" s="106">
        <v>8.6122411664706053</v>
      </c>
      <c r="AQ38" s="106">
        <v>10696.403528756491</v>
      </c>
      <c r="AR38" s="106">
        <v>3.1917440635224295</v>
      </c>
      <c r="AS38" s="106">
        <v>3964.1461268948574</v>
      </c>
      <c r="AT38" s="106">
        <v>1.4413722228826515</v>
      </c>
      <c r="AU38" s="106">
        <v>1790.1843008202532</v>
      </c>
      <c r="AV38" s="106">
        <v>2.4778857665396901</v>
      </c>
      <c r="AW38" s="106">
        <v>3077.5341220422952</v>
      </c>
      <c r="AX38" s="106">
        <v>2.1134422445620462</v>
      </c>
      <c r="AY38" s="106">
        <v>2624.8952677460616</v>
      </c>
      <c r="AZ38" s="106">
        <v>0.67264466597255357</v>
      </c>
      <c r="BA38" s="106">
        <v>835.42467513791155</v>
      </c>
      <c r="BB38" s="106">
        <v>0</v>
      </c>
      <c r="BC38" s="106">
        <v>0</v>
      </c>
      <c r="BD38" s="106">
        <v>0.50083217291503068</v>
      </c>
      <c r="BE38" s="106">
        <v>622.03355876046805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13.805277684284638</v>
      </c>
      <c r="BM38" s="106">
        <v>17146.154883881522</v>
      </c>
      <c r="BN38" s="106">
        <v>14.807643036233211</v>
      </c>
      <c r="BO38" s="106">
        <v>18391.092651001647</v>
      </c>
      <c r="BP38" s="106">
        <v>19</v>
      </c>
      <c r="BQ38" s="106">
        <v>23598</v>
      </c>
      <c r="BR38" s="106">
        <v>18.325821674989118</v>
      </c>
      <c r="BS38" s="106">
        <v>22760.670520336484</v>
      </c>
      <c r="BT38" s="106">
        <v>14.213991600297101</v>
      </c>
      <c r="BU38" s="106">
        <v>17653.777567568999</v>
      </c>
      <c r="BV38" s="106">
        <v>0</v>
      </c>
      <c r="BW38" s="106">
        <v>0</v>
      </c>
      <c r="BX38" s="106">
        <v>47.166144504097637</v>
      </c>
      <c r="BY38" s="106">
        <v>58580.351474089264</v>
      </c>
      <c r="BZ38" s="106">
        <v>24.973721852651664</v>
      </c>
      <c r="CA38" s="106">
        <v>31017.362540993367</v>
      </c>
      <c r="CB38" s="106">
        <v>0</v>
      </c>
      <c r="CC38" s="106">
        <v>0</v>
      </c>
      <c r="CD38" s="106">
        <v>27.381075630940874</v>
      </c>
      <c r="CE38" s="106">
        <v>34007.295933628564</v>
      </c>
      <c r="CF38" s="106">
        <v>0</v>
      </c>
      <c r="CG38" s="106">
        <v>0</v>
      </c>
      <c r="CH38" s="106">
        <v>0</v>
      </c>
      <c r="CI38" s="106">
        <v>0</v>
      </c>
      <c r="CJ38" s="106">
        <v>9.7446581161538255</v>
      </c>
      <c r="CK38" s="106">
        <v>12102.865380263051</v>
      </c>
      <c r="CL38" s="106">
        <v>5.6989970682310549</v>
      </c>
      <c r="CM38" s="106">
        <v>7078.1543587429705</v>
      </c>
      <c r="CN38" s="106">
        <v>9.475640303275128</v>
      </c>
      <c r="CO38" s="106">
        <v>11768.745256667709</v>
      </c>
      <c r="CP38" s="106">
        <v>0</v>
      </c>
      <c r="CQ38" s="106">
        <v>0</v>
      </c>
      <c r="CR38" s="106">
        <v>0</v>
      </c>
      <c r="CS38" s="106">
        <v>0</v>
      </c>
      <c r="CT38" s="106">
        <v>7.5087269675734323</v>
      </c>
      <c r="CU38" s="106">
        <v>9325.8388937262025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4.8579792348845734</v>
      </c>
      <c r="M39" s="106">
        <v>6913.8760470877251</v>
      </c>
      <c r="N39" s="106">
        <v>1.0215327060934967</v>
      </c>
      <c r="O39" s="106">
        <v>1453.8453473122645</v>
      </c>
      <c r="P39" s="106">
        <v>1.2717681629153896</v>
      </c>
      <c r="Q39" s="106">
        <v>1809.9804494611826</v>
      </c>
      <c r="R39" s="106">
        <v>0.69869573129557871</v>
      </c>
      <c r="S39" s="106">
        <v>994.38376477986765</v>
      </c>
      <c r="T39" s="106">
        <v>0</v>
      </c>
      <c r="U39" s="106">
        <v>0</v>
      </c>
      <c r="V39" s="106">
        <v>3.9440372505686874</v>
      </c>
      <c r="W39" s="106">
        <v>5613.1538150093556</v>
      </c>
      <c r="X39" s="106">
        <v>1.6909730040293716</v>
      </c>
      <c r="Y39" s="106">
        <v>2406.5927793346018</v>
      </c>
      <c r="Z39" s="106">
        <v>1.1637288832727124</v>
      </c>
      <c r="AA39" s="106">
        <v>1656.2189466737243</v>
      </c>
      <c r="AB39" s="106">
        <v>0</v>
      </c>
      <c r="AC39" s="106">
        <v>0</v>
      </c>
      <c r="AD39" s="106">
        <v>1.6948828160516345</v>
      </c>
      <c r="AE39" s="106">
        <v>2412.1572238046861</v>
      </c>
      <c r="AF39" s="106">
        <v>17.702627802612543</v>
      </c>
      <c r="AG39" s="106">
        <v>25194.379888678173</v>
      </c>
      <c r="AH39" s="106">
        <v>2.0015303021511022</v>
      </c>
      <c r="AI39" s="106">
        <v>2848.5779260214485</v>
      </c>
      <c r="AJ39" s="106">
        <v>0</v>
      </c>
      <c r="AK39" s="106">
        <v>0</v>
      </c>
      <c r="AL39" s="106">
        <v>37</v>
      </c>
      <c r="AM39" s="106">
        <v>52658.400000000001</v>
      </c>
      <c r="AN39" s="106">
        <v>21.596441075454589</v>
      </c>
      <c r="AO39" s="106">
        <v>30736.054938586971</v>
      </c>
      <c r="AP39" s="106">
        <v>7.3819209998319479</v>
      </c>
      <c r="AQ39" s="106">
        <v>10505.949966960829</v>
      </c>
      <c r="AR39" s="106">
        <v>3.1934042544338324</v>
      </c>
      <c r="AS39" s="106">
        <v>4544.85293491023</v>
      </c>
      <c r="AT39" s="106">
        <v>1.4413722228826515</v>
      </c>
      <c r="AU39" s="106">
        <v>2051.3609476065899</v>
      </c>
      <c r="AV39" s="106">
        <v>2.4778857665396901</v>
      </c>
      <c r="AW39" s="106">
        <v>3526.5270229392868</v>
      </c>
      <c r="AX39" s="106">
        <v>2.1323492853223871</v>
      </c>
      <c r="AY39" s="106">
        <v>3034.7595028708215</v>
      </c>
      <c r="AZ39" s="106">
        <v>0.67264466597255357</v>
      </c>
      <c r="BA39" s="106">
        <v>957.3078886121383</v>
      </c>
      <c r="BB39" s="106">
        <v>0</v>
      </c>
      <c r="BC39" s="106">
        <v>0</v>
      </c>
      <c r="BD39" s="106">
        <v>0.50083217291503068</v>
      </c>
      <c r="BE39" s="106">
        <v>712.78434849267171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15.530937394820219</v>
      </c>
      <c r="BM39" s="106">
        <v>22103.630100308135</v>
      </c>
      <c r="BN39" s="106">
        <v>13.852311227443971</v>
      </c>
      <c r="BO39" s="106">
        <v>19714.609338898263</v>
      </c>
      <c r="BP39" s="106">
        <v>15</v>
      </c>
      <c r="BQ39" s="106">
        <v>21348</v>
      </c>
      <c r="BR39" s="106">
        <v>18.325821674989118</v>
      </c>
      <c r="BS39" s="106">
        <v>26081.309407844514</v>
      </c>
      <c r="BT39" s="106">
        <v>13.537134857425812</v>
      </c>
      <c r="BU39" s="106">
        <v>19266.050329088415</v>
      </c>
      <c r="BV39" s="106">
        <v>0</v>
      </c>
      <c r="BW39" s="106">
        <v>0</v>
      </c>
      <c r="BX39" s="106">
        <v>51.701350706414715</v>
      </c>
      <c r="BY39" s="106">
        <v>73581.362325369424</v>
      </c>
      <c r="BZ39" s="106">
        <v>25.314625830237077</v>
      </c>
      <c r="CA39" s="106">
        <v>36027.775481593409</v>
      </c>
      <c r="CB39" s="106">
        <v>0</v>
      </c>
      <c r="CC39" s="106">
        <v>0</v>
      </c>
      <c r="CD39" s="106">
        <v>24.062157372645014</v>
      </c>
      <c r="CE39" s="106">
        <v>34245.262372748388</v>
      </c>
      <c r="CF39" s="106">
        <v>0</v>
      </c>
      <c r="CG39" s="106">
        <v>0</v>
      </c>
      <c r="CH39" s="106">
        <v>0</v>
      </c>
      <c r="CI39" s="106">
        <v>0</v>
      </c>
      <c r="CJ39" s="106">
        <v>8.3525640995604213</v>
      </c>
      <c r="CK39" s="106">
        <v>11887.369226494393</v>
      </c>
      <c r="CL39" s="106">
        <v>6.0427492884524181</v>
      </c>
      <c r="CM39" s="106">
        <v>8600.0407873254826</v>
      </c>
      <c r="CN39" s="106">
        <v>8.0744098403331659</v>
      </c>
      <c r="CO39" s="106">
        <v>11491.500084762161</v>
      </c>
      <c r="CP39" s="106">
        <v>0</v>
      </c>
      <c r="CQ39" s="106">
        <v>0</v>
      </c>
      <c r="CR39" s="106">
        <v>0</v>
      </c>
      <c r="CS39" s="106">
        <v>0</v>
      </c>
      <c r="CT39" s="106">
        <v>6.9723893270324737</v>
      </c>
      <c r="CU39" s="106">
        <v>9923.1044902326175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5.3977547054273041</v>
      </c>
      <c r="M40" s="106">
        <v>3912.2926104937096</v>
      </c>
      <c r="N40" s="106">
        <v>1.1913924572953976</v>
      </c>
      <c r="O40" s="106">
        <v>863.52125304770414</v>
      </c>
      <c r="P40" s="106">
        <v>1.3983881370077278</v>
      </c>
      <c r="Q40" s="106">
        <v>1013.551721703201</v>
      </c>
      <c r="R40" s="106">
        <v>0.69869606593302491</v>
      </c>
      <c r="S40" s="106">
        <v>506.41490858825642</v>
      </c>
      <c r="T40" s="106">
        <v>0</v>
      </c>
      <c r="U40" s="106">
        <v>0</v>
      </c>
      <c r="V40" s="106">
        <v>5.0099932642359004</v>
      </c>
      <c r="W40" s="106">
        <v>3631.2431179181804</v>
      </c>
      <c r="X40" s="106">
        <v>1.9296986045982241</v>
      </c>
      <c r="Y40" s="106">
        <v>1398.6455486127927</v>
      </c>
      <c r="Z40" s="106">
        <v>1.3118398320528757</v>
      </c>
      <c r="AA40" s="106">
        <v>950.82151027192424</v>
      </c>
      <c r="AB40" s="106">
        <v>0</v>
      </c>
      <c r="AC40" s="106">
        <v>0</v>
      </c>
      <c r="AD40" s="106">
        <v>2.2424603412375474</v>
      </c>
      <c r="AE40" s="106">
        <v>1625.3352553289742</v>
      </c>
      <c r="AF40" s="106">
        <v>20.479510595179217</v>
      </c>
      <c r="AG40" s="106">
        <v>14843.549279385896</v>
      </c>
      <c r="AH40" s="106">
        <v>2.1349656556278425</v>
      </c>
      <c r="AI40" s="106">
        <v>1547.42310719906</v>
      </c>
      <c r="AJ40" s="106">
        <v>0</v>
      </c>
      <c r="AK40" s="106">
        <v>0</v>
      </c>
      <c r="AL40" s="106">
        <v>37</v>
      </c>
      <c r="AM40" s="106">
        <v>26817.599999999999</v>
      </c>
      <c r="AN40" s="106">
        <v>25.615681110146674</v>
      </c>
      <c r="AO40" s="106">
        <v>18566.245668634307</v>
      </c>
      <c r="AP40" s="106">
        <v>8.8583051997983375</v>
      </c>
      <c r="AQ40" s="106">
        <v>6420.499608813835</v>
      </c>
      <c r="AR40" s="106">
        <v>3.1917440635224295</v>
      </c>
      <c r="AS40" s="106">
        <v>2313.3760972410569</v>
      </c>
      <c r="AT40" s="106">
        <v>2.1620583343239774</v>
      </c>
      <c r="AU40" s="106">
        <v>1567.0598807180188</v>
      </c>
      <c r="AV40" s="106">
        <v>2.5641737740033199</v>
      </c>
      <c r="AW40" s="106">
        <v>1858.5131513976062</v>
      </c>
      <c r="AX40" s="106">
        <v>3.151256326082728</v>
      </c>
      <c r="AY40" s="106">
        <v>2284.0305851447611</v>
      </c>
      <c r="AZ40" s="106">
        <v>0.67180211870070083</v>
      </c>
      <c r="BA40" s="106">
        <v>486.92217563426794</v>
      </c>
      <c r="BB40" s="106">
        <v>0</v>
      </c>
      <c r="BC40" s="106">
        <v>0</v>
      </c>
      <c r="BD40" s="106">
        <v>0.50083217291503068</v>
      </c>
      <c r="BE40" s="106">
        <v>363.00315892881423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17.256597105355798</v>
      </c>
      <c r="BM40" s="106">
        <v>12507.581581961882</v>
      </c>
      <c r="BN40" s="106">
        <v>13.852311227443971</v>
      </c>
      <c r="BO40" s="106">
        <v>10040.15517765139</v>
      </c>
      <c r="BP40" s="106">
        <v>20</v>
      </c>
      <c r="BQ40" s="106">
        <v>14496</v>
      </c>
      <c r="BR40" s="106">
        <v>20.158403842488035</v>
      </c>
      <c r="BS40" s="106">
        <v>14610.811105035327</v>
      </c>
      <c r="BT40" s="106">
        <v>14.890848343168392</v>
      </c>
      <c r="BU40" s="106">
        <v>10792.886879128449</v>
      </c>
      <c r="BV40" s="106">
        <v>0</v>
      </c>
      <c r="BW40" s="106">
        <v>0</v>
      </c>
      <c r="BX40" s="106">
        <v>59.864721870585463</v>
      </c>
      <c r="BY40" s="106">
        <v>43389.950411800339</v>
      </c>
      <c r="BZ40" s="106">
        <v>29.361834408375515</v>
      </c>
      <c r="CA40" s="106">
        <v>21281.45757919057</v>
      </c>
      <c r="CB40" s="106">
        <v>0</v>
      </c>
      <c r="CC40" s="106">
        <v>0</v>
      </c>
      <c r="CD40" s="106">
        <v>28.21080519551484</v>
      </c>
      <c r="CE40" s="106">
        <v>20447.191605709155</v>
      </c>
      <c r="CF40" s="106">
        <v>0</v>
      </c>
      <c r="CG40" s="106">
        <v>0</v>
      </c>
      <c r="CH40" s="106">
        <v>0</v>
      </c>
      <c r="CI40" s="106">
        <v>0</v>
      </c>
      <c r="CJ40" s="106">
        <v>9.7446581161538255</v>
      </c>
      <c r="CK40" s="106">
        <v>7062.9282025882922</v>
      </c>
      <c r="CL40" s="106">
        <v>6.926214375310547</v>
      </c>
      <c r="CM40" s="106">
        <v>5020.120179225084</v>
      </c>
      <c r="CN40" s="106">
        <v>8.5487539451392216</v>
      </c>
      <c r="CO40" s="106">
        <v>6196.1368594369078</v>
      </c>
      <c r="CP40" s="106">
        <v>0</v>
      </c>
      <c r="CQ40" s="106">
        <v>0</v>
      </c>
      <c r="CR40" s="106">
        <v>0</v>
      </c>
      <c r="CS40" s="106">
        <v>0</v>
      </c>
      <c r="CT40" s="106">
        <v>8.0450646081143926</v>
      </c>
      <c r="CU40" s="106">
        <v>5831.0628279613111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5.3977547054273041</v>
      </c>
      <c r="M41" s="106">
        <v>3562.5181055820208</v>
      </c>
      <c r="N41" s="106">
        <v>1.1068187115267609</v>
      </c>
      <c r="O41" s="106">
        <v>730.5003496076622</v>
      </c>
      <c r="P41" s="106">
        <v>1.4619961592599475</v>
      </c>
      <c r="Q41" s="106">
        <v>964.91746511156532</v>
      </c>
      <c r="R41" s="106">
        <v>0.76207309848915716</v>
      </c>
      <c r="S41" s="106">
        <v>502.96824500284373</v>
      </c>
      <c r="T41" s="106">
        <v>0</v>
      </c>
      <c r="U41" s="106">
        <v>0</v>
      </c>
      <c r="V41" s="106">
        <v>5.1698866662859828</v>
      </c>
      <c r="W41" s="106">
        <v>3412.1251997487489</v>
      </c>
      <c r="X41" s="106">
        <v>1.750654404171585</v>
      </c>
      <c r="Y41" s="106">
        <v>1155.431906753246</v>
      </c>
      <c r="Z41" s="106">
        <v>1.4387920738644442</v>
      </c>
      <c r="AA41" s="106">
        <v>949.60276875053319</v>
      </c>
      <c r="AB41" s="106">
        <v>0</v>
      </c>
      <c r="AC41" s="106">
        <v>0</v>
      </c>
      <c r="AD41" s="106">
        <v>2.2424603412375474</v>
      </c>
      <c r="AE41" s="106">
        <v>1480.0238252167812</v>
      </c>
      <c r="AF41" s="106">
        <v>20.826620944250053</v>
      </c>
      <c r="AG41" s="106">
        <v>13745.569823205034</v>
      </c>
      <c r="AH41" s="106">
        <v>2.2150268677138865</v>
      </c>
      <c r="AI41" s="106">
        <v>1461.9177326911652</v>
      </c>
      <c r="AJ41" s="106">
        <v>0</v>
      </c>
      <c r="AK41" s="106">
        <v>0</v>
      </c>
      <c r="AL41" s="106">
        <v>36</v>
      </c>
      <c r="AM41" s="106">
        <v>23760</v>
      </c>
      <c r="AN41" s="106">
        <v>22.750361352991256</v>
      </c>
      <c r="AO41" s="106">
        <v>15015.238492974229</v>
      </c>
      <c r="AP41" s="106">
        <v>8.3661771331428731</v>
      </c>
      <c r="AQ41" s="106">
        <v>5521.6769078742964</v>
      </c>
      <c r="AR41" s="106">
        <v>3.1917440635224295</v>
      </c>
      <c r="AS41" s="106">
        <v>2106.5510819248034</v>
      </c>
      <c r="AT41" s="106">
        <v>2.1620583343239774</v>
      </c>
      <c r="AU41" s="106">
        <v>1426.958500653825</v>
      </c>
      <c r="AV41" s="106">
        <v>2.5672701559514226</v>
      </c>
      <c r="AW41" s="106">
        <v>1694.3983029279389</v>
      </c>
      <c r="AX41" s="106">
        <v>2.1323492853223871</v>
      </c>
      <c r="AY41" s="106">
        <v>1407.3505283127754</v>
      </c>
      <c r="AZ41" s="106">
        <v>0.67264466597255357</v>
      </c>
      <c r="BA41" s="106">
        <v>443.94547954188533</v>
      </c>
      <c r="BB41" s="106">
        <v>0</v>
      </c>
      <c r="BC41" s="106">
        <v>0</v>
      </c>
      <c r="BD41" s="106">
        <v>0.50083217291503068</v>
      </c>
      <c r="BE41" s="106">
        <v>330.54923412392026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16.106157298332075</v>
      </c>
      <c r="BM41" s="106">
        <v>10630.06381689917</v>
      </c>
      <c r="BN41" s="106">
        <v>14.329977131838591</v>
      </c>
      <c r="BO41" s="106">
        <v>9457.7849070134707</v>
      </c>
      <c r="BP41" s="106">
        <v>20</v>
      </c>
      <c r="BQ41" s="106">
        <v>13200</v>
      </c>
      <c r="BR41" s="106">
        <v>21.074694926237488</v>
      </c>
      <c r="BS41" s="106">
        <v>13909.298651316742</v>
      </c>
      <c r="BT41" s="106">
        <v>14.213991600297101</v>
      </c>
      <c r="BU41" s="106">
        <v>9381.2344561960872</v>
      </c>
      <c r="BV41" s="106">
        <v>0</v>
      </c>
      <c r="BW41" s="106">
        <v>0</v>
      </c>
      <c r="BX41" s="106">
        <v>59.864721870585463</v>
      </c>
      <c r="BY41" s="106">
        <v>39510.716434586408</v>
      </c>
      <c r="BZ41" s="106">
        <v>28.276666136471448</v>
      </c>
      <c r="CA41" s="106">
        <v>18662.599650071155</v>
      </c>
      <c r="CB41" s="106">
        <v>0</v>
      </c>
      <c r="CC41" s="106">
        <v>0</v>
      </c>
      <c r="CD41" s="106">
        <v>30.69999388923674</v>
      </c>
      <c r="CE41" s="106">
        <v>20261.995966896247</v>
      </c>
      <c r="CF41" s="106">
        <v>0</v>
      </c>
      <c r="CG41" s="106">
        <v>0</v>
      </c>
      <c r="CH41" s="106">
        <v>0</v>
      </c>
      <c r="CI41" s="106">
        <v>0</v>
      </c>
      <c r="CJ41" s="106">
        <v>10.440705124450526</v>
      </c>
      <c r="CK41" s="106">
        <v>6890.8653821373473</v>
      </c>
      <c r="CL41" s="106">
        <v>6.2236838815514988</v>
      </c>
      <c r="CM41" s="106">
        <v>4107.6313618239892</v>
      </c>
      <c r="CN41" s="106">
        <v>9.9501610529265445</v>
      </c>
      <c r="CO41" s="106">
        <v>6567.1062949315192</v>
      </c>
      <c r="CP41" s="106">
        <v>0</v>
      </c>
      <c r="CQ41" s="106">
        <v>0</v>
      </c>
      <c r="CR41" s="106">
        <v>0</v>
      </c>
      <c r="CS41" s="106">
        <v>0</v>
      </c>
      <c r="CT41" s="106">
        <v>8.0450646081143926</v>
      </c>
      <c r="CU41" s="106">
        <v>5309.7426413554995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5.3977547054273041</v>
      </c>
      <c r="M42" s="106">
        <v>4566.5004807914993</v>
      </c>
      <c r="N42" s="106">
        <v>1.1067000015826562</v>
      </c>
      <c r="O42" s="106">
        <v>936.26820133892716</v>
      </c>
      <c r="P42" s="106">
        <v>1.3983886768113942</v>
      </c>
      <c r="Q42" s="106">
        <v>1183.0368205824395</v>
      </c>
      <c r="R42" s="106">
        <v>0.76240374541322564</v>
      </c>
      <c r="S42" s="106">
        <v>644.99356861958893</v>
      </c>
      <c r="T42" s="106">
        <v>0</v>
      </c>
      <c r="U42" s="106">
        <v>0</v>
      </c>
      <c r="V42" s="106">
        <v>4.6369086594523754</v>
      </c>
      <c r="W42" s="106">
        <v>3922.8247258967094</v>
      </c>
      <c r="X42" s="106">
        <v>1.651185403934563</v>
      </c>
      <c r="Y42" s="106">
        <v>1396.9028517286404</v>
      </c>
      <c r="Z42" s="106">
        <v>1.3118398320528757</v>
      </c>
      <c r="AA42" s="106">
        <v>1109.8164979167329</v>
      </c>
      <c r="AB42" s="106">
        <v>0</v>
      </c>
      <c r="AC42" s="106">
        <v>0</v>
      </c>
      <c r="AD42" s="106">
        <v>1.9295588982741687</v>
      </c>
      <c r="AE42" s="106">
        <v>1632.4068279399467</v>
      </c>
      <c r="AF42" s="106">
        <v>20.479510595179217</v>
      </c>
      <c r="AG42" s="106">
        <v>17325.665963521617</v>
      </c>
      <c r="AH42" s="106">
        <v>2.0815915142371462</v>
      </c>
      <c r="AI42" s="106">
        <v>1761.0264210446257</v>
      </c>
      <c r="AJ42" s="106">
        <v>0</v>
      </c>
      <c r="AK42" s="106">
        <v>0</v>
      </c>
      <c r="AL42" s="106">
        <v>37</v>
      </c>
      <c r="AM42" s="106">
        <v>31302</v>
      </c>
      <c r="AN42" s="106">
        <v>24.615681110146674</v>
      </c>
      <c r="AO42" s="106">
        <v>20824.866219184085</v>
      </c>
      <c r="AP42" s="106">
        <v>8.6122411664706053</v>
      </c>
      <c r="AQ42" s="106">
        <v>7285.956026834132</v>
      </c>
      <c r="AR42" s="106">
        <v>3.2367747453080824</v>
      </c>
      <c r="AS42" s="106">
        <v>2738.3114345306376</v>
      </c>
      <c r="AT42" s="106">
        <v>1.4413722228826515</v>
      </c>
      <c r="AU42" s="106">
        <v>1219.4009005587232</v>
      </c>
      <c r="AV42" s="106">
        <v>2.4778857665396901</v>
      </c>
      <c r="AW42" s="106">
        <v>2096.2913584925777</v>
      </c>
      <c r="AX42" s="106">
        <v>2.1323492853223871</v>
      </c>
      <c r="AY42" s="106">
        <v>1803.9674953827396</v>
      </c>
      <c r="AZ42" s="106">
        <v>0.6921528793569367</v>
      </c>
      <c r="BA42" s="106">
        <v>585.56133593596849</v>
      </c>
      <c r="BB42" s="106">
        <v>0</v>
      </c>
      <c r="BC42" s="106">
        <v>0</v>
      </c>
      <c r="BD42" s="106">
        <v>0.50083217291503068</v>
      </c>
      <c r="BE42" s="106">
        <v>423.70401828611597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16.681377201843937</v>
      </c>
      <c r="BM42" s="106">
        <v>14112.44511275997</v>
      </c>
      <c r="BN42" s="106">
        <v>14.329977131838591</v>
      </c>
      <c r="BO42" s="106">
        <v>12123.160653535448</v>
      </c>
      <c r="BP42" s="106">
        <v>18</v>
      </c>
      <c r="BQ42" s="106">
        <v>15228</v>
      </c>
      <c r="BR42" s="106">
        <v>18.325821674989118</v>
      </c>
      <c r="BS42" s="106">
        <v>15503.645137040794</v>
      </c>
      <c r="BT42" s="106">
        <v>14.890848343168392</v>
      </c>
      <c r="BU42" s="106">
        <v>12597.65769832046</v>
      </c>
      <c r="BV42" s="106">
        <v>0</v>
      </c>
      <c r="BW42" s="106">
        <v>0</v>
      </c>
      <c r="BX42" s="106">
        <v>48.980226985024466</v>
      </c>
      <c r="BY42" s="106">
        <v>41437.272029330699</v>
      </c>
      <c r="BZ42" s="106">
        <v>31.65072918808929</v>
      </c>
      <c r="CA42" s="106">
        <v>26776.516893123538</v>
      </c>
      <c r="CB42" s="106">
        <v>0</v>
      </c>
      <c r="CC42" s="106">
        <v>0</v>
      </c>
      <c r="CD42" s="106">
        <v>28.21080519551484</v>
      </c>
      <c r="CE42" s="106">
        <v>23866.341195405555</v>
      </c>
      <c r="CF42" s="106">
        <v>0</v>
      </c>
      <c r="CG42" s="106">
        <v>0</v>
      </c>
      <c r="CH42" s="106">
        <v>0</v>
      </c>
      <c r="CI42" s="106">
        <v>0</v>
      </c>
      <c r="CJ42" s="106">
        <v>9.7446581161538255</v>
      </c>
      <c r="CK42" s="106">
        <v>8243.9807662661369</v>
      </c>
      <c r="CL42" s="106">
        <v>5.8723666659396603</v>
      </c>
      <c r="CM42" s="106">
        <v>4968.0221993849527</v>
      </c>
      <c r="CN42" s="106">
        <v>8.555756261696585</v>
      </c>
      <c r="CO42" s="106">
        <v>7238.1697973953105</v>
      </c>
      <c r="CP42" s="106">
        <v>0</v>
      </c>
      <c r="CQ42" s="106">
        <v>0</v>
      </c>
      <c r="CR42" s="106">
        <v>0</v>
      </c>
      <c r="CS42" s="106">
        <v>0</v>
      </c>
      <c r="CT42" s="106">
        <v>7.5087269675734323</v>
      </c>
      <c r="CU42" s="106">
        <v>6352.3830145671236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5.6676424406986694</v>
      </c>
      <c r="M43" s="106">
        <v>5794.5976313703195</v>
      </c>
      <c r="N43" s="106">
        <v>1.1067000015826562</v>
      </c>
      <c r="O43" s="106">
        <v>1131.4900816181078</v>
      </c>
      <c r="P43" s="106">
        <v>1.2717688826536115</v>
      </c>
      <c r="Q43" s="106">
        <v>1300.2565056250523</v>
      </c>
      <c r="R43" s="106">
        <v>0.69858551565422256</v>
      </c>
      <c r="S43" s="106">
        <v>714.23383120487711</v>
      </c>
      <c r="T43" s="106">
        <v>0</v>
      </c>
      <c r="U43" s="106">
        <v>0</v>
      </c>
      <c r="V43" s="106">
        <v>4.530313058085655</v>
      </c>
      <c r="W43" s="106">
        <v>4631.7920705867737</v>
      </c>
      <c r="X43" s="106">
        <v>1.8302296043612025</v>
      </c>
      <c r="Y43" s="106">
        <v>1871.2267474988935</v>
      </c>
      <c r="Z43" s="106">
        <v>1.2483637111470913</v>
      </c>
      <c r="AA43" s="106">
        <v>1276.3270582767861</v>
      </c>
      <c r="AB43" s="106">
        <v>0</v>
      </c>
      <c r="AC43" s="106">
        <v>0</v>
      </c>
      <c r="AD43" s="106">
        <v>1.7731081767924792</v>
      </c>
      <c r="AE43" s="106">
        <v>1812.8257999526306</v>
      </c>
      <c r="AF43" s="106">
        <v>22.21506234053339</v>
      </c>
      <c r="AG43" s="106">
        <v>22712.679736961338</v>
      </c>
      <c r="AH43" s="106">
        <v>2.2950880797999309</v>
      </c>
      <c r="AI43" s="106">
        <v>2346.4980527874495</v>
      </c>
      <c r="AJ43" s="106">
        <v>0</v>
      </c>
      <c r="AK43" s="106">
        <v>0</v>
      </c>
      <c r="AL43" s="106">
        <v>39</v>
      </c>
      <c r="AM43" s="106">
        <v>39873.599999999999</v>
      </c>
      <c r="AN43" s="106">
        <v>20.673401214222924</v>
      </c>
      <c r="AO43" s="106">
        <v>21136.485401421516</v>
      </c>
      <c r="AP43" s="106">
        <v>8.6122411664706053</v>
      </c>
      <c r="AQ43" s="106">
        <v>8805.1553685995459</v>
      </c>
      <c r="AR43" s="106">
        <v>3.1917440635224295</v>
      </c>
      <c r="AS43" s="106">
        <v>3263.2391305453316</v>
      </c>
      <c r="AT43" s="106">
        <v>2.1620583343239774</v>
      </c>
      <c r="AU43" s="106">
        <v>2210.4884410128343</v>
      </c>
      <c r="AV43" s="106">
        <v>2.5672701559514226</v>
      </c>
      <c r="AW43" s="106">
        <v>2624.7770074447344</v>
      </c>
      <c r="AX43" s="106">
        <v>2.1323492853223871</v>
      </c>
      <c r="AY43" s="106">
        <v>2180.1139093136085</v>
      </c>
      <c r="AZ43" s="106">
        <v>0.67264466597255357</v>
      </c>
      <c r="BA43" s="106">
        <v>687.71190649033872</v>
      </c>
      <c r="BB43" s="106">
        <v>0</v>
      </c>
      <c r="BC43" s="106">
        <v>0</v>
      </c>
      <c r="BD43" s="106">
        <v>0.50083217291503068</v>
      </c>
      <c r="BE43" s="106">
        <v>512.0508135883274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16.681377201843937</v>
      </c>
      <c r="BM43" s="106">
        <v>17055.040051165241</v>
      </c>
      <c r="BN43" s="106">
        <v>13.374645323049352</v>
      </c>
      <c r="BO43" s="106">
        <v>13674.237378285658</v>
      </c>
      <c r="BP43" s="106">
        <v>18</v>
      </c>
      <c r="BQ43" s="106">
        <v>18403.2</v>
      </c>
      <c r="BR43" s="106">
        <v>20.158403842488035</v>
      </c>
      <c r="BS43" s="106">
        <v>20609.952088559767</v>
      </c>
      <c r="BT43" s="106">
        <v>14.890848343168392</v>
      </c>
      <c r="BU43" s="106">
        <v>15224.403346055364</v>
      </c>
      <c r="BV43" s="106">
        <v>0</v>
      </c>
      <c r="BW43" s="106">
        <v>0</v>
      </c>
      <c r="BX43" s="106">
        <v>51.701350706414715</v>
      </c>
      <c r="BY43" s="106">
        <v>52859.460962238401</v>
      </c>
      <c r="BZ43" s="106">
        <v>28.714529166923555</v>
      </c>
      <c r="CA43" s="106">
        <v>29357.734620262643</v>
      </c>
      <c r="CB43" s="106">
        <v>0</v>
      </c>
      <c r="CC43" s="106">
        <v>0</v>
      </c>
      <c r="CD43" s="106">
        <v>28.21080519551484</v>
      </c>
      <c r="CE43" s="106">
        <v>28842.727231894372</v>
      </c>
      <c r="CF43" s="106">
        <v>0</v>
      </c>
      <c r="CG43" s="106">
        <v>0</v>
      </c>
      <c r="CH43" s="106">
        <v>0</v>
      </c>
      <c r="CI43" s="106">
        <v>0</v>
      </c>
      <c r="CJ43" s="106">
        <v>10.440705124450526</v>
      </c>
      <c r="CK43" s="106">
        <v>10674.576919238218</v>
      </c>
      <c r="CL43" s="106">
        <v>6.5600113859899478</v>
      </c>
      <c r="CM43" s="106">
        <v>6706.9556410361229</v>
      </c>
      <c r="CN43" s="106">
        <v>9.4759935929658496</v>
      </c>
      <c r="CO43" s="106">
        <v>9688.2558494482837</v>
      </c>
      <c r="CP43" s="106">
        <v>0</v>
      </c>
      <c r="CQ43" s="106">
        <v>0</v>
      </c>
      <c r="CR43" s="106">
        <v>0</v>
      </c>
      <c r="CS43" s="106">
        <v>0</v>
      </c>
      <c r="CT43" s="106">
        <v>8.0450646081143926</v>
      </c>
      <c r="CU43" s="106">
        <v>8225.2740553361546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5.1278669701559387</v>
      </c>
      <c r="M44" s="106">
        <v>5242.7311902874317</v>
      </c>
      <c r="N44" s="106">
        <v>1.0214139961493922</v>
      </c>
      <c r="O44" s="106">
        <v>1044.2936696631386</v>
      </c>
      <c r="P44" s="106">
        <v>1.3983883169422833</v>
      </c>
      <c r="Q44" s="106">
        <v>1429.7122152417903</v>
      </c>
      <c r="R44" s="106">
        <v>0.69902660131127803</v>
      </c>
      <c r="S44" s="106">
        <v>714.68479718065066</v>
      </c>
      <c r="T44" s="106">
        <v>0</v>
      </c>
      <c r="U44" s="106">
        <v>0</v>
      </c>
      <c r="V44" s="106">
        <v>3.9973350512520485</v>
      </c>
      <c r="W44" s="106">
        <v>4086.8753564000945</v>
      </c>
      <c r="X44" s="106">
        <v>1.8103358043137978</v>
      </c>
      <c r="Y44" s="106">
        <v>1850.8873263304267</v>
      </c>
      <c r="Z44" s="106">
        <v>1.3118398320528757</v>
      </c>
      <c r="AA44" s="106">
        <v>1341.2250442908601</v>
      </c>
      <c r="AB44" s="106">
        <v>0</v>
      </c>
      <c r="AC44" s="106">
        <v>0</v>
      </c>
      <c r="AD44" s="106">
        <v>1.7731081767924792</v>
      </c>
      <c r="AE44" s="106">
        <v>1812.8257999526306</v>
      </c>
      <c r="AF44" s="106">
        <v>21.173731293320888</v>
      </c>
      <c r="AG44" s="106">
        <v>21648.022874291277</v>
      </c>
      <c r="AH44" s="106">
        <v>2.2684010091045828</v>
      </c>
      <c r="AI44" s="106">
        <v>2319.2131917085253</v>
      </c>
      <c r="AJ44" s="106">
        <v>0</v>
      </c>
      <c r="AK44" s="106">
        <v>0</v>
      </c>
      <c r="AL44" s="106">
        <v>40</v>
      </c>
      <c r="AM44" s="106">
        <v>40896</v>
      </c>
      <c r="AN44" s="106">
        <v>20.634921144838756</v>
      </c>
      <c r="AO44" s="106">
        <v>21097.143378483142</v>
      </c>
      <c r="AP44" s="106">
        <v>8.1201130998151427</v>
      </c>
      <c r="AQ44" s="106">
        <v>8302.0036332510026</v>
      </c>
      <c r="AR44" s="106">
        <v>3.1917440635224295</v>
      </c>
      <c r="AS44" s="106">
        <v>3263.2391305453316</v>
      </c>
      <c r="AT44" s="106">
        <v>2.1620583343239774</v>
      </c>
      <c r="AU44" s="106">
        <v>2210.4884410128343</v>
      </c>
      <c r="AV44" s="106">
        <v>2.5641737740033199</v>
      </c>
      <c r="AW44" s="106">
        <v>2621.6112665409942</v>
      </c>
      <c r="AX44" s="106">
        <v>3.1323492853223871</v>
      </c>
      <c r="AY44" s="106">
        <v>3202.5139093136086</v>
      </c>
      <c r="AZ44" s="106">
        <v>0.67264466597255357</v>
      </c>
      <c r="BA44" s="106">
        <v>687.71190649033872</v>
      </c>
      <c r="BB44" s="106">
        <v>0</v>
      </c>
      <c r="BC44" s="106">
        <v>0</v>
      </c>
      <c r="BD44" s="106">
        <v>0.50083217291503068</v>
      </c>
      <c r="BE44" s="106">
        <v>512.0508135883274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15.530937394820219</v>
      </c>
      <c r="BM44" s="106">
        <v>15878.830392464191</v>
      </c>
      <c r="BN44" s="106">
        <v>15.28530894062783</v>
      </c>
      <c r="BO44" s="106">
        <v>15627.699860897894</v>
      </c>
      <c r="BP44" s="106">
        <v>18</v>
      </c>
      <c r="BQ44" s="106">
        <v>18403.2</v>
      </c>
      <c r="BR44" s="106">
        <v>17.409530591239665</v>
      </c>
      <c r="BS44" s="106">
        <v>17799.504076483434</v>
      </c>
      <c r="BT44" s="106">
        <v>14.890848343168392</v>
      </c>
      <c r="BU44" s="106">
        <v>15224.403346055364</v>
      </c>
      <c r="BV44" s="106">
        <v>0</v>
      </c>
      <c r="BW44" s="106">
        <v>0</v>
      </c>
      <c r="BX44" s="106">
        <v>57.143598149195206</v>
      </c>
      <c r="BY44" s="106">
        <v>58423.614747737178</v>
      </c>
      <c r="BZ44" s="106">
        <v>29.220359757032988</v>
      </c>
      <c r="CA44" s="106">
        <v>29874.895815590527</v>
      </c>
      <c r="CB44" s="106">
        <v>0</v>
      </c>
      <c r="CC44" s="106">
        <v>0</v>
      </c>
      <c r="CD44" s="106">
        <v>26.551346066366907</v>
      </c>
      <c r="CE44" s="106">
        <v>27146.096218253526</v>
      </c>
      <c r="CF44" s="106">
        <v>0</v>
      </c>
      <c r="CG44" s="106">
        <v>0</v>
      </c>
      <c r="CH44" s="106">
        <v>0</v>
      </c>
      <c r="CI44" s="106">
        <v>0</v>
      </c>
      <c r="CJ44" s="106">
        <v>10.440705124450526</v>
      </c>
      <c r="CK44" s="106">
        <v>10674.576919238218</v>
      </c>
      <c r="CL44" s="106">
        <v>5.8430108683806532</v>
      </c>
      <c r="CM44" s="106">
        <v>5973.8943118323796</v>
      </c>
      <c r="CN44" s="106">
        <v>9.4830842319458917</v>
      </c>
      <c r="CO44" s="106">
        <v>9695.5053187414796</v>
      </c>
      <c r="CP44" s="106">
        <v>0</v>
      </c>
      <c r="CQ44" s="106">
        <v>0</v>
      </c>
      <c r="CR44" s="106">
        <v>0</v>
      </c>
      <c r="CS44" s="106">
        <v>0</v>
      </c>
      <c r="CT44" s="106">
        <v>7.5087269675734323</v>
      </c>
      <c r="CU44" s="106">
        <v>7676.9224516470767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5.3977547054273041</v>
      </c>
      <c r="M45" s="106">
        <v>6742.8751780197881</v>
      </c>
      <c r="N45" s="106">
        <v>1.0216514160376013</v>
      </c>
      <c r="O45" s="106">
        <v>1276.2469489141718</v>
      </c>
      <c r="P45" s="106">
        <v>1.3985870670578353</v>
      </c>
      <c r="Q45" s="106">
        <v>1747.1149641686479</v>
      </c>
      <c r="R45" s="106">
        <v>0.69880583539111962</v>
      </c>
      <c r="S45" s="106">
        <v>872.94824957058665</v>
      </c>
      <c r="T45" s="106">
        <v>0</v>
      </c>
      <c r="U45" s="106">
        <v>0</v>
      </c>
      <c r="V45" s="106">
        <v>4.3704196560355726</v>
      </c>
      <c r="W45" s="106">
        <v>5459.5282343196377</v>
      </c>
      <c r="X45" s="106">
        <v>1.7307606041241805</v>
      </c>
      <c r="Y45" s="106">
        <v>2162.0661466719266</v>
      </c>
      <c r="Z45" s="106">
        <v>1.3541572459900653</v>
      </c>
      <c r="AA45" s="106">
        <v>1691.6132316907897</v>
      </c>
      <c r="AB45" s="106">
        <v>0</v>
      </c>
      <c r="AC45" s="106">
        <v>0</v>
      </c>
      <c r="AD45" s="106">
        <v>1.981709138768065</v>
      </c>
      <c r="AE45" s="106">
        <v>2475.5510561490669</v>
      </c>
      <c r="AF45" s="106">
        <v>21.867951991462554</v>
      </c>
      <c r="AG45" s="106">
        <v>27317.445627735025</v>
      </c>
      <c r="AH45" s="106">
        <v>2.2150268677138865</v>
      </c>
      <c r="AI45" s="106">
        <v>2767.0115631481872</v>
      </c>
      <c r="AJ45" s="106">
        <v>0</v>
      </c>
      <c r="AK45" s="106">
        <v>0</v>
      </c>
      <c r="AL45" s="106">
        <v>35</v>
      </c>
      <c r="AM45" s="106">
        <v>43722</v>
      </c>
      <c r="AN45" s="106">
        <v>19.577201040762507</v>
      </c>
      <c r="AO45" s="106">
        <v>24455.839540120523</v>
      </c>
      <c r="AP45" s="106">
        <v>7.6279850331596784</v>
      </c>
      <c r="AQ45" s="106">
        <v>9528.8789034230704</v>
      </c>
      <c r="AR45" s="106">
        <v>3.1934042544338324</v>
      </c>
      <c r="AS45" s="106">
        <v>3989.2005946387435</v>
      </c>
      <c r="AT45" s="106">
        <v>1.4413722228826515</v>
      </c>
      <c r="AU45" s="106">
        <v>1800.5621808250085</v>
      </c>
      <c r="AV45" s="106">
        <v>2.4747893845915874</v>
      </c>
      <c r="AW45" s="106">
        <v>3091.5068992318111</v>
      </c>
      <c r="AX45" s="106">
        <v>3.1323492853223871</v>
      </c>
      <c r="AY45" s="106">
        <v>3912.9307272247261</v>
      </c>
      <c r="AZ45" s="106">
        <v>0.67264466597255357</v>
      </c>
      <c r="BA45" s="106">
        <v>840.26771673291398</v>
      </c>
      <c r="BB45" s="106">
        <v>0</v>
      </c>
      <c r="BC45" s="106">
        <v>0</v>
      </c>
      <c r="BD45" s="106">
        <v>0.50083217291503068</v>
      </c>
      <c r="BE45" s="106">
        <v>625.63955040545636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13.805277684284638</v>
      </c>
      <c r="BM45" s="106">
        <v>17245.552883208369</v>
      </c>
      <c r="BN45" s="106">
        <v>12.89697941865473</v>
      </c>
      <c r="BO45" s="106">
        <v>16110.906689783489</v>
      </c>
      <c r="BP45" s="106">
        <v>19</v>
      </c>
      <c r="BQ45" s="106">
        <v>23734.799999999999</v>
      </c>
      <c r="BR45" s="106">
        <v>16.493239507490209</v>
      </c>
      <c r="BS45" s="106">
        <v>20603.354792756771</v>
      </c>
      <c r="BT45" s="106">
        <v>14.890848343168392</v>
      </c>
      <c r="BU45" s="106">
        <v>18601.647750285956</v>
      </c>
      <c r="BV45" s="106">
        <v>0</v>
      </c>
      <c r="BW45" s="106">
        <v>0</v>
      </c>
      <c r="BX45" s="106">
        <v>44.445020782707388</v>
      </c>
      <c r="BY45" s="106">
        <v>55520.71996175807</v>
      </c>
      <c r="BZ45" s="106">
        <v>28.092467129568444</v>
      </c>
      <c r="CA45" s="106">
        <v>35093.109938256901</v>
      </c>
      <c r="CB45" s="106">
        <v>0</v>
      </c>
      <c r="CC45" s="106">
        <v>0</v>
      </c>
      <c r="CD45" s="106">
        <v>29.040534760088807</v>
      </c>
      <c r="CE45" s="106">
        <v>36277.436022302936</v>
      </c>
      <c r="CF45" s="106">
        <v>0</v>
      </c>
      <c r="CG45" s="106">
        <v>0</v>
      </c>
      <c r="CH45" s="106">
        <v>0</v>
      </c>
      <c r="CI45" s="106">
        <v>0</v>
      </c>
      <c r="CJ45" s="106">
        <v>9.0486111078571234</v>
      </c>
      <c r="CK45" s="106">
        <v>11303.524995935119</v>
      </c>
      <c r="CL45" s="106">
        <v>6.5600113859899478</v>
      </c>
      <c r="CM45" s="106">
        <v>8194.7662233786432</v>
      </c>
      <c r="CN45" s="106">
        <v>9.0020027778505121</v>
      </c>
      <c r="CO45" s="106">
        <v>11245.30187009086</v>
      </c>
      <c r="CP45" s="106">
        <v>0</v>
      </c>
      <c r="CQ45" s="106">
        <v>0</v>
      </c>
      <c r="CR45" s="106">
        <v>0</v>
      </c>
      <c r="CS45" s="106">
        <v>0</v>
      </c>
      <c r="CT45" s="106">
        <v>6.9723893270324737</v>
      </c>
      <c r="CU45" s="106">
        <v>8709.9087473289674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4.8579792348845734</v>
      </c>
      <c r="M46" s="106">
        <v>5887.8708326801034</v>
      </c>
      <c r="N46" s="106">
        <v>1.1065812916385518</v>
      </c>
      <c r="O46" s="106">
        <v>1341.1765254659247</v>
      </c>
      <c r="P46" s="106">
        <v>1.3351776149866124</v>
      </c>
      <c r="Q46" s="106">
        <v>1618.2352693637743</v>
      </c>
      <c r="R46" s="106">
        <v>0.63576000748813288</v>
      </c>
      <c r="S46" s="106">
        <v>770.54112907561705</v>
      </c>
      <c r="T46" s="106">
        <v>0</v>
      </c>
      <c r="U46" s="106">
        <v>0</v>
      </c>
      <c r="V46" s="106">
        <v>4.0506328519354087</v>
      </c>
      <c r="W46" s="106">
        <v>4909.3670165457152</v>
      </c>
      <c r="X46" s="106">
        <v>1.7705482042189893</v>
      </c>
      <c r="Y46" s="106">
        <v>2145.9044235134152</v>
      </c>
      <c r="Z46" s="106">
        <v>1.2906811250842809</v>
      </c>
      <c r="AA46" s="106">
        <v>1564.3055236021485</v>
      </c>
      <c r="AB46" s="106">
        <v>0</v>
      </c>
      <c r="AC46" s="106">
        <v>0</v>
      </c>
      <c r="AD46" s="106">
        <v>1.7991832970394275</v>
      </c>
      <c r="AE46" s="106">
        <v>2180.6101560117859</v>
      </c>
      <c r="AF46" s="106">
        <v>18.049738151683378</v>
      </c>
      <c r="AG46" s="106">
        <v>21876.282639840254</v>
      </c>
      <c r="AH46" s="106">
        <v>2.0015303021511022</v>
      </c>
      <c r="AI46" s="106">
        <v>2425.8547262071356</v>
      </c>
      <c r="AJ46" s="106">
        <v>0</v>
      </c>
      <c r="AK46" s="106">
        <v>0</v>
      </c>
      <c r="AL46" s="106">
        <v>38</v>
      </c>
      <c r="AM46" s="106">
        <v>46056</v>
      </c>
      <c r="AN46" s="106">
        <v>19.615681110146674</v>
      </c>
      <c r="AO46" s="106">
        <v>23774.205505497768</v>
      </c>
      <c r="AP46" s="106">
        <v>7.3819209998319479</v>
      </c>
      <c r="AQ46" s="106">
        <v>8946.8882517963211</v>
      </c>
      <c r="AR46" s="106">
        <v>3.1917440635224295</v>
      </c>
      <c r="AS46" s="106">
        <v>3868.3938049891844</v>
      </c>
      <c r="AT46" s="106">
        <v>2.1620583343239774</v>
      </c>
      <c r="AU46" s="106">
        <v>2620.4147012006606</v>
      </c>
      <c r="AV46" s="106">
        <v>2.5672701559514226</v>
      </c>
      <c r="AW46" s="106">
        <v>3111.5314290131241</v>
      </c>
      <c r="AX46" s="106">
        <v>2.1323492853223871</v>
      </c>
      <c r="AY46" s="106">
        <v>2584.4073338107332</v>
      </c>
      <c r="AZ46" s="106">
        <v>0.67264466597255357</v>
      </c>
      <c r="BA46" s="106">
        <v>815.24533515873497</v>
      </c>
      <c r="BB46" s="106">
        <v>0</v>
      </c>
      <c r="BC46" s="106">
        <v>0</v>
      </c>
      <c r="BD46" s="106">
        <v>0.50083217291503068</v>
      </c>
      <c r="BE46" s="106">
        <v>607.00859357301715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14.955717491308357</v>
      </c>
      <c r="BM46" s="106">
        <v>18126.329599465731</v>
      </c>
      <c r="BN46" s="106">
        <v>12.89697941865473</v>
      </c>
      <c r="BO46" s="106">
        <v>15631.139055409532</v>
      </c>
      <c r="BP46" s="106">
        <v>16</v>
      </c>
      <c r="BQ46" s="106">
        <v>19392</v>
      </c>
      <c r="BR46" s="106">
        <v>18.325821674989118</v>
      </c>
      <c r="BS46" s="106">
        <v>22210.89587008681</v>
      </c>
      <c r="BT46" s="106">
        <v>14.890848343168392</v>
      </c>
      <c r="BU46" s="106">
        <v>18047.70819192009</v>
      </c>
      <c r="BV46" s="106">
        <v>0</v>
      </c>
      <c r="BW46" s="106">
        <v>0</v>
      </c>
      <c r="BX46" s="106">
        <v>48.980226985024466</v>
      </c>
      <c r="BY46" s="106">
        <v>59364.035105849653</v>
      </c>
      <c r="BZ46" s="106">
        <v>24.934380955931321</v>
      </c>
      <c r="CA46" s="106">
        <v>30220.46971858876</v>
      </c>
      <c r="CB46" s="106">
        <v>0</v>
      </c>
      <c r="CC46" s="106">
        <v>0</v>
      </c>
      <c r="CD46" s="106">
        <v>24.891886937218981</v>
      </c>
      <c r="CE46" s="106">
        <v>30168.966967909404</v>
      </c>
      <c r="CF46" s="106">
        <v>0</v>
      </c>
      <c r="CG46" s="106">
        <v>0</v>
      </c>
      <c r="CH46" s="106">
        <v>0</v>
      </c>
      <c r="CI46" s="106">
        <v>0</v>
      </c>
      <c r="CJ46" s="106">
        <v>9.0486111078571234</v>
      </c>
      <c r="CK46" s="106">
        <v>10966.916662722833</v>
      </c>
      <c r="CL46" s="106">
        <v>6.1797541226776174</v>
      </c>
      <c r="CM46" s="106">
        <v>7489.8619966852721</v>
      </c>
      <c r="CN46" s="106">
        <v>9.4618123150057638</v>
      </c>
      <c r="CO46" s="106">
        <v>11467.716525786986</v>
      </c>
      <c r="CP46" s="106">
        <v>0</v>
      </c>
      <c r="CQ46" s="106">
        <v>0</v>
      </c>
      <c r="CR46" s="106">
        <v>0</v>
      </c>
      <c r="CS46" s="106">
        <v>0</v>
      </c>
      <c r="CT46" s="106">
        <v>8.0450646081143926</v>
      </c>
      <c r="CU46" s="106">
        <v>9750.6183050346444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5.1278669701559387</v>
      </c>
      <c r="M47" s="106">
        <v>7833.3295836102116</v>
      </c>
      <c r="N47" s="106">
        <v>1.0216514160376013</v>
      </c>
      <c r="O47" s="106">
        <v>1560.6747031390398</v>
      </c>
      <c r="P47" s="106">
        <v>1.3985868871232798</v>
      </c>
      <c r="Q47" s="106">
        <v>2136.481328769522</v>
      </c>
      <c r="R47" s="106">
        <v>0.63520814846064433</v>
      </c>
      <c r="S47" s="106">
        <v>970.34396758848027</v>
      </c>
      <c r="T47" s="106">
        <v>0</v>
      </c>
      <c r="U47" s="106">
        <v>0</v>
      </c>
      <c r="V47" s="106">
        <v>3.7841438485186054</v>
      </c>
      <c r="W47" s="106">
        <v>5780.6581429970211</v>
      </c>
      <c r="X47" s="106">
        <v>1.392566003318306</v>
      </c>
      <c r="Y47" s="106">
        <v>2127.2838266690442</v>
      </c>
      <c r="Z47" s="106">
        <v>1.0579353484297385</v>
      </c>
      <c r="AA47" s="106">
        <v>1616.1020382612685</v>
      </c>
      <c r="AB47" s="106">
        <v>0</v>
      </c>
      <c r="AC47" s="106">
        <v>0</v>
      </c>
      <c r="AD47" s="106">
        <v>1.61665745531079</v>
      </c>
      <c r="AE47" s="106">
        <v>2469.6059287327625</v>
      </c>
      <c r="AF47" s="106">
        <v>17.702627802612543</v>
      </c>
      <c r="AG47" s="106">
        <v>27042.534231270918</v>
      </c>
      <c r="AH47" s="106">
        <v>2.0282173728464503</v>
      </c>
      <c r="AI47" s="106">
        <v>3098.3048587602375</v>
      </c>
      <c r="AJ47" s="106">
        <v>0</v>
      </c>
      <c r="AK47" s="106">
        <v>0</v>
      </c>
      <c r="AL47" s="106">
        <v>33</v>
      </c>
      <c r="AM47" s="106">
        <v>50410.799999999996</v>
      </c>
      <c r="AN47" s="106">
        <v>20.557961006070421</v>
      </c>
      <c r="AO47" s="106">
        <v>31404.341232873172</v>
      </c>
      <c r="AP47" s="106">
        <v>7.8740490664874105</v>
      </c>
      <c r="AQ47" s="106">
        <v>12028.397353966167</v>
      </c>
      <c r="AR47" s="106">
        <v>3.2384349362194853</v>
      </c>
      <c r="AS47" s="106">
        <v>4947.0332085688851</v>
      </c>
      <c r="AT47" s="106">
        <v>2.1620583343239774</v>
      </c>
      <c r="AU47" s="106">
        <v>3302.7603115133079</v>
      </c>
      <c r="AV47" s="106">
        <v>2.4778857665396901</v>
      </c>
      <c r="AW47" s="106">
        <v>3785.2182969660303</v>
      </c>
      <c r="AX47" s="106">
        <v>2.151256326082728</v>
      </c>
      <c r="AY47" s="106">
        <v>3286.2591637239752</v>
      </c>
      <c r="AZ47" s="106">
        <v>0.67180211870070083</v>
      </c>
      <c r="BA47" s="106">
        <v>1026.2449165271905</v>
      </c>
      <c r="BB47" s="106">
        <v>0</v>
      </c>
      <c r="BC47" s="106">
        <v>0</v>
      </c>
      <c r="BD47" s="106">
        <v>0.50083217291503068</v>
      </c>
      <c r="BE47" s="106">
        <v>765.07122734500081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13.230057780772777</v>
      </c>
      <c r="BM47" s="106">
        <v>20210.236265908494</v>
      </c>
      <c r="BN47" s="106">
        <v>11.941647609865493</v>
      </c>
      <c r="BO47" s="106">
        <v>18242.060888830525</v>
      </c>
      <c r="BP47" s="106">
        <v>17</v>
      </c>
      <c r="BQ47" s="106">
        <v>25969.199999999997</v>
      </c>
      <c r="BR47" s="106">
        <v>18.325821674989118</v>
      </c>
      <c r="BS47" s="106">
        <v>27994.525190713375</v>
      </c>
      <c r="BT47" s="106">
        <v>13.537134857425812</v>
      </c>
      <c r="BU47" s="106">
        <v>20679.327208203671</v>
      </c>
      <c r="BV47" s="106">
        <v>0</v>
      </c>
      <c r="BW47" s="106">
        <v>0</v>
      </c>
      <c r="BX47" s="106">
        <v>41.723897061317139</v>
      </c>
      <c r="BY47" s="106">
        <v>63737.425150868061</v>
      </c>
      <c r="BZ47" s="106">
        <v>23.526585965867845</v>
      </c>
      <c r="CA47" s="106">
        <v>35939.21272145972</v>
      </c>
      <c r="CB47" s="106">
        <v>0</v>
      </c>
      <c r="CC47" s="106">
        <v>0</v>
      </c>
      <c r="CD47" s="106">
        <v>25.306751719505961</v>
      </c>
      <c r="CE47" s="106">
        <v>38658.593926717302</v>
      </c>
      <c r="CF47" s="106">
        <v>0</v>
      </c>
      <c r="CG47" s="106">
        <v>0</v>
      </c>
      <c r="CH47" s="106">
        <v>0</v>
      </c>
      <c r="CI47" s="106">
        <v>0</v>
      </c>
      <c r="CJ47" s="106">
        <v>9.0486111078571234</v>
      </c>
      <c r="CK47" s="106">
        <v>13822.65832836254</v>
      </c>
      <c r="CL47" s="106">
        <v>5.8283329696011501</v>
      </c>
      <c r="CM47" s="106">
        <v>8903.3614443627157</v>
      </c>
      <c r="CN47" s="106">
        <v>9.0017378105824708</v>
      </c>
      <c r="CO47" s="106">
        <v>13751.054679445782</v>
      </c>
      <c r="CP47" s="106">
        <v>0</v>
      </c>
      <c r="CQ47" s="106">
        <v>0</v>
      </c>
      <c r="CR47" s="106">
        <v>0</v>
      </c>
      <c r="CS47" s="106">
        <v>0</v>
      </c>
      <c r="CT47" s="106">
        <v>6.4360516864915143</v>
      </c>
      <c r="CU47" s="106">
        <v>9831.7125562844358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5.3977547054273041</v>
      </c>
      <c r="M48" s="106">
        <v>4683.0919824287294</v>
      </c>
      <c r="N48" s="106">
        <v>1.191511167239502</v>
      </c>
      <c r="O48" s="106">
        <v>1033.7550886969921</v>
      </c>
      <c r="P48" s="106">
        <v>1.4617970492752845</v>
      </c>
      <c r="Q48" s="106">
        <v>1268.2551199512368</v>
      </c>
      <c r="R48" s="106">
        <v>0.8254501310452893</v>
      </c>
      <c r="S48" s="106">
        <v>716.16053369489305</v>
      </c>
      <c r="T48" s="106">
        <v>0</v>
      </c>
      <c r="U48" s="106">
        <v>0</v>
      </c>
      <c r="V48" s="106">
        <v>4.1039306526187698</v>
      </c>
      <c r="W48" s="106">
        <v>3560.5702342120449</v>
      </c>
      <c r="X48" s="106">
        <v>1.5915040037923498</v>
      </c>
      <c r="Y48" s="106">
        <v>1380.7888736902428</v>
      </c>
      <c r="Z48" s="106">
        <v>1.4176333668958494</v>
      </c>
      <c r="AA48" s="106">
        <v>1229.9387091188389</v>
      </c>
      <c r="AB48" s="106">
        <v>0</v>
      </c>
      <c r="AC48" s="106">
        <v>0</v>
      </c>
      <c r="AD48" s="106">
        <v>2.0077842590150135</v>
      </c>
      <c r="AE48" s="106">
        <v>1741.9536231214256</v>
      </c>
      <c r="AF48" s="106">
        <v>23.60350373681673</v>
      </c>
      <c r="AG48" s="106">
        <v>20478.399842062197</v>
      </c>
      <c r="AH48" s="106">
        <v>2.1616527263231906</v>
      </c>
      <c r="AI48" s="106">
        <v>1875.4499053580003</v>
      </c>
      <c r="AJ48" s="106">
        <v>0</v>
      </c>
      <c r="AK48" s="106">
        <v>0</v>
      </c>
      <c r="AL48" s="106">
        <v>39</v>
      </c>
      <c r="AM48" s="106">
        <v>33836.400000000001</v>
      </c>
      <c r="AN48" s="106">
        <v>23.654161179530838</v>
      </c>
      <c r="AO48" s="106">
        <v>20522.350239360956</v>
      </c>
      <c r="AP48" s="106">
        <v>8.8583051997983375</v>
      </c>
      <c r="AQ48" s="106">
        <v>7685.4655913450379</v>
      </c>
      <c r="AR48" s="106">
        <v>3.1917440635224295</v>
      </c>
      <c r="AS48" s="106">
        <v>2769.1571495120597</v>
      </c>
      <c r="AT48" s="106">
        <v>1.4413722228826515</v>
      </c>
      <c r="AU48" s="106">
        <v>1250.5345405729886</v>
      </c>
      <c r="AV48" s="106">
        <v>2.5672701559514226</v>
      </c>
      <c r="AW48" s="106">
        <v>2227.3635873034541</v>
      </c>
      <c r="AX48" s="106">
        <v>2.151256326082728</v>
      </c>
      <c r="AY48" s="106">
        <v>1866.4299885093749</v>
      </c>
      <c r="AZ48" s="106">
        <v>0.67180211870070083</v>
      </c>
      <c r="BA48" s="106">
        <v>582.85551818472811</v>
      </c>
      <c r="BB48" s="106">
        <v>0</v>
      </c>
      <c r="BC48" s="106">
        <v>0</v>
      </c>
      <c r="BD48" s="106">
        <v>0.50083217291503068</v>
      </c>
      <c r="BE48" s="106">
        <v>434.52199322108061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16.106157298332075</v>
      </c>
      <c r="BM48" s="106">
        <v>13973.702072032909</v>
      </c>
      <c r="BN48" s="106">
        <v>13.374645323049352</v>
      </c>
      <c r="BO48" s="106">
        <v>11603.842282277617</v>
      </c>
      <c r="BP48" s="106">
        <v>16</v>
      </c>
      <c r="BQ48" s="106">
        <v>13881.6</v>
      </c>
      <c r="BR48" s="106">
        <v>21.074694926237488</v>
      </c>
      <c r="BS48" s="106">
        <v>18284.405318003646</v>
      </c>
      <c r="BT48" s="106">
        <v>14.890848343168392</v>
      </c>
      <c r="BU48" s="106">
        <v>12919.300022532896</v>
      </c>
      <c r="BV48" s="106">
        <v>0</v>
      </c>
      <c r="BW48" s="106">
        <v>0</v>
      </c>
      <c r="BX48" s="106">
        <v>58.050639389658627</v>
      </c>
      <c r="BY48" s="106">
        <v>50364.734734467827</v>
      </c>
      <c r="BZ48" s="106">
        <v>31.713920099972313</v>
      </c>
      <c r="CA48" s="106">
        <v>27514.997078735978</v>
      </c>
      <c r="CB48" s="106">
        <v>0</v>
      </c>
      <c r="CC48" s="106">
        <v>0</v>
      </c>
      <c r="CD48" s="106">
        <v>29.040534760088807</v>
      </c>
      <c r="CE48" s="106">
        <v>25195.567957853051</v>
      </c>
      <c r="CF48" s="106">
        <v>0</v>
      </c>
      <c r="CG48" s="106">
        <v>0</v>
      </c>
      <c r="CH48" s="106">
        <v>0</v>
      </c>
      <c r="CI48" s="106">
        <v>0</v>
      </c>
      <c r="CJ48" s="106">
        <v>10.440705124450526</v>
      </c>
      <c r="CK48" s="106">
        <v>9058.355765973276</v>
      </c>
      <c r="CL48" s="106">
        <v>6.5600113859899478</v>
      </c>
      <c r="CM48" s="106">
        <v>5691.4658784848789</v>
      </c>
      <c r="CN48" s="106">
        <v>9.4757286256978066</v>
      </c>
      <c r="CO48" s="106">
        <v>8221.1421556554178</v>
      </c>
      <c r="CP48" s="106">
        <v>0</v>
      </c>
      <c r="CQ48" s="106">
        <v>0</v>
      </c>
      <c r="CR48" s="106">
        <v>0</v>
      </c>
      <c r="CS48" s="106">
        <v>0</v>
      </c>
      <c r="CT48" s="106">
        <v>8.0450646081143926</v>
      </c>
      <c r="CU48" s="106">
        <v>6979.8980540000475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0.68277578949349671</v>
      </c>
      <c r="I49" s="106">
        <v>672.67070780899292</v>
      </c>
      <c r="J49" s="106">
        <v>0</v>
      </c>
      <c r="K49" s="106">
        <v>0</v>
      </c>
      <c r="L49" s="106">
        <v>0.36832882125304139</v>
      </c>
      <c r="M49" s="106">
        <v>362.87755469849634</v>
      </c>
      <c r="N49" s="106">
        <v>0.14926511965484401</v>
      </c>
      <c r="O49" s="106">
        <v>147.05599588395231</v>
      </c>
      <c r="P49" s="106">
        <v>0</v>
      </c>
      <c r="Q49" s="106">
        <v>0</v>
      </c>
      <c r="R49" s="106">
        <v>0.10719681413800963</v>
      </c>
      <c r="S49" s="106">
        <v>105.61030128876709</v>
      </c>
      <c r="T49" s="106">
        <v>1.2566457228988304</v>
      </c>
      <c r="U49" s="106">
        <v>1238.0473661999276</v>
      </c>
      <c r="V49" s="106">
        <v>2.5094680282595787</v>
      </c>
      <c r="W49" s="106">
        <v>2472.327901441337</v>
      </c>
      <c r="X49" s="106">
        <v>0</v>
      </c>
      <c r="Y49" s="106">
        <v>0</v>
      </c>
      <c r="Z49" s="106">
        <v>0</v>
      </c>
      <c r="AA49" s="106">
        <v>0</v>
      </c>
      <c r="AB49" s="106">
        <v>1.1040358112207505</v>
      </c>
      <c r="AC49" s="106">
        <v>1087.6960812146833</v>
      </c>
      <c r="AD49" s="106">
        <v>0.33854355288173532</v>
      </c>
      <c r="AE49" s="106">
        <v>333.5331082990856</v>
      </c>
      <c r="AF49" s="106">
        <v>0</v>
      </c>
      <c r="AG49" s="106">
        <v>0</v>
      </c>
      <c r="AH49" s="106">
        <v>0</v>
      </c>
      <c r="AI49" s="106">
        <v>0</v>
      </c>
      <c r="AJ49" s="106">
        <v>1.1728853678700319</v>
      </c>
      <c r="AK49" s="106">
        <v>1155.5266644255553</v>
      </c>
      <c r="AL49" s="106">
        <v>2.5965822780243792</v>
      </c>
      <c r="AM49" s="106">
        <v>2558.1528603096181</v>
      </c>
      <c r="AN49" s="106">
        <v>1.2713751894025895</v>
      </c>
      <c r="AO49" s="106">
        <v>1252.5588365994311</v>
      </c>
      <c r="AP49" s="106">
        <v>1.9872237503579036</v>
      </c>
      <c r="AQ49" s="106">
        <v>1957.8128388526065</v>
      </c>
      <c r="AR49" s="106">
        <v>0.71644666211301689</v>
      </c>
      <c r="AS49" s="106">
        <v>705.84325151374424</v>
      </c>
      <c r="AT49" s="106">
        <v>1.0702204165479943</v>
      </c>
      <c r="AU49" s="106">
        <v>1054.3811543830839</v>
      </c>
      <c r="AV49" s="106">
        <v>0</v>
      </c>
      <c r="AW49" s="106">
        <v>0</v>
      </c>
      <c r="AX49" s="106">
        <v>1.3705873701720461</v>
      </c>
      <c r="AY49" s="106">
        <v>1350.3026770934998</v>
      </c>
      <c r="AZ49" s="106">
        <v>0</v>
      </c>
      <c r="BA49" s="106">
        <v>0</v>
      </c>
      <c r="BB49" s="106">
        <v>11.613523992342635</v>
      </c>
      <c r="BC49" s="106">
        <v>11441.643837255964</v>
      </c>
      <c r="BD49" s="106">
        <v>10.953799555583515</v>
      </c>
      <c r="BE49" s="106">
        <v>10791.683322160878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3.3438730814633271</v>
      </c>
      <c r="BM49" s="106">
        <v>3294.3837598576697</v>
      </c>
      <c r="BN49" s="106">
        <v>2.5881533153702514</v>
      </c>
      <c r="BO49" s="106">
        <v>2549.8486463027716</v>
      </c>
      <c r="BP49" s="106">
        <v>0.49066367036054248</v>
      </c>
      <c r="BQ49" s="106">
        <v>483.40184803920641</v>
      </c>
      <c r="BR49" s="106">
        <v>0</v>
      </c>
      <c r="BS49" s="106">
        <v>0</v>
      </c>
      <c r="BT49" s="106">
        <v>0</v>
      </c>
      <c r="BU49" s="106">
        <v>0</v>
      </c>
      <c r="BV49" s="106">
        <v>0.72810327695036525</v>
      </c>
      <c r="BW49" s="106">
        <v>717.3273484514998</v>
      </c>
      <c r="BX49" s="106">
        <v>4.2900693479855106E-16</v>
      </c>
      <c r="BY49" s="106">
        <v>4.2265763216353247E-13</v>
      </c>
      <c r="BZ49" s="106">
        <v>0.88690797085343309</v>
      </c>
      <c r="CA49" s="106">
        <v>873.78173288480218</v>
      </c>
      <c r="CB49" s="106">
        <v>1.3846546604712275</v>
      </c>
      <c r="CC49" s="106">
        <v>1364.1617714962533</v>
      </c>
      <c r="CD49" s="106">
        <v>0.80814973320184014</v>
      </c>
      <c r="CE49" s="106">
        <v>796.18911715045283</v>
      </c>
      <c r="CF49" s="106">
        <v>0</v>
      </c>
      <c r="CG49" s="106">
        <v>0</v>
      </c>
      <c r="CH49" s="106">
        <v>1.5468562052171568</v>
      </c>
      <c r="CI49" s="106">
        <v>1523.9627333799428</v>
      </c>
      <c r="CJ49" s="106">
        <v>3.047246410214655</v>
      </c>
      <c r="CK49" s="106">
        <v>3002.147163343478</v>
      </c>
      <c r="CL49" s="106">
        <v>0</v>
      </c>
      <c r="CM49" s="106">
        <v>0</v>
      </c>
      <c r="CN49" s="106">
        <v>2.9097435508409708</v>
      </c>
      <c r="CO49" s="106">
        <v>2866.6793462885244</v>
      </c>
      <c r="CP49" s="106">
        <v>1.2777443084286066</v>
      </c>
      <c r="CQ49" s="106">
        <v>1258.8336926638631</v>
      </c>
      <c r="CR49" s="106">
        <v>1.3809012653573043</v>
      </c>
      <c r="CS49" s="106">
        <v>1360.463926630016</v>
      </c>
      <c r="CT49" s="106">
        <v>0.7126427679266395</v>
      </c>
      <c r="CU49" s="106">
        <v>702.09565496132518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1.8892141468995562</v>
      </c>
      <c r="M50" s="106">
        <v>532.75838942567486</v>
      </c>
      <c r="N50" s="106">
        <v>0.34150015156537067</v>
      </c>
      <c r="O50" s="106">
        <v>96.303042741434524</v>
      </c>
      <c r="P50" s="106">
        <v>0.38102809586283382</v>
      </c>
      <c r="Q50" s="106">
        <v>107.44992303331914</v>
      </c>
      <c r="R50" s="106">
        <v>0.44364112417178664</v>
      </c>
      <c r="S50" s="106">
        <v>125.10679701644383</v>
      </c>
      <c r="T50" s="106">
        <v>0</v>
      </c>
      <c r="U50" s="106">
        <v>0</v>
      </c>
      <c r="V50" s="106">
        <v>3.1445702403182776</v>
      </c>
      <c r="W50" s="106">
        <v>886.76880776975429</v>
      </c>
      <c r="X50" s="106">
        <v>1.3726722032709018</v>
      </c>
      <c r="Y50" s="106">
        <v>387.09356132239429</v>
      </c>
      <c r="Z50" s="106">
        <v>1.4387920738644442</v>
      </c>
      <c r="AA50" s="106">
        <v>405.73936482977325</v>
      </c>
      <c r="AB50" s="106">
        <v>0</v>
      </c>
      <c r="AC50" s="106">
        <v>0</v>
      </c>
      <c r="AD50" s="106">
        <v>0.36505168345727512</v>
      </c>
      <c r="AE50" s="106">
        <v>102.94457473495159</v>
      </c>
      <c r="AF50" s="106">
        <v>3.8182138397791761</v>
      </c>
      <c r="AG50" s="106">
        <v>1076.7363028177276</v>
      </c>
      <c r="AH50" s="106">
        <v>0.32024484834417638</v>
      </c>
      <c r="AI50" s="106">
        <v>90.30904723305774</v>
      </c>
      <c r="AJ50" s="106">
        <v>0</v>
      </c>
      <c r="AK50" s="106">
        <v>0</v>
      </c>
      <c r="AL50" s="106">
        <v>10</v>
      </c>
      <c r="AM50" s="106">
        <v>2820</v>
      </c>
      <c r="AN50" s="106">
        <v>9.230880416305002</v>
      </c>
      <c r="AO50" s="106">
        <v>2603.1082773980106</v>
      </c>
      <c r="AP50" s="106">
        <v>1.4763841999663896</v>
      </c>
      <c r="AQ50" s="106">
        <v>416.34034439052186</v>
      </c>
      <c r="AR50" s="106">
        <v>7.6453712632017643</v>
      </c>
      <c r="AS50" s="106">
        <v>2155.9946962228973</v>
      </c>
      <c r="AT50" s="106">
        <v>7.2068611144132575</v>
      </c>
      <c r="AU50" s="106">
        <v>2032.3348342645386</v>
      </c>
      <c r="AV50" s="106">
        <v>7.3117707433739696</v>
      </c>
      <c r="AW50" s="106">
        <v>2061.9193496314592</v>
      </c>
      <c r="AX50" s="106">
        <v>8.2268844891240924</v>
      </c>
      <c r="AY50" s="106">
        <v>2319.9814259329942</v>
      </c>
      <c r="AZ50" s="106">
        <v>26.868531024194692</v>
      </c>
      <c r="BA50" s="106">
        <v>7576.9257488229032</v>
      </c>
      <c r="BB50" s="106">
        <v>0</v>
      </c>
      <c r="BC50" s="106">
        <v>0</v>
      </c>
      <c r="BD50" s="106">
        <v>16.360517648557668</v>
      </c>
      <c r="BE50" s="106">
        <v>4613.6659768932623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8.628298552677899</v>
      </c>
      <c r="BM50" s="106">
        <v>2433.1801918551673</v>
      </c>
      <c r="BN50" s="106">
        <v>5.254324948340817</v>
      </c>
      <c r="BO50" s="106">
        <v>1481.7196354321104</v>
      </c>
      <c r="BP50" s="106">
        <v>3</v>
      </c>
      <c r="BQ50" s="106">
        <v>846</v>
      </c>
      <c r="BR50" s="106">
        <v>1.832582167498912</v>
      </c>
      <c r="BS50" s="106">
        <v>516.78817123469321</v>
      </c>
      <c r="BT50" s="106">
        <v>1.3537134857425812</v>
      </c>
      <c r="BU50" s="106">
        <v>381.74720297940792</v>
      </c>
      <c r="BV50" s="106">
        <v>0</v>
      </c>
      <c r="BW50" s="106">
        <v>0</v>
      </c>
      <c r="BX50" s="106">
        <v>9.9774536450975759</v>
      </c>
      <c r="BY50" s="106">
        <v>2813.6419279175166</v>
      </c>
      <c r="BZ50" s="106">
        <v>3.8640047061884131</v>
      </c>
      <c r="CA50" s="106">
        <v>1089.6493271451325</v>
      </c>
      <c r="CB50" s="106">
        <v>0</v>
      </c>
      <c r="CC50" s="106">
        <v>0</v>
      </c>
      <c r="CD50" s="106">
        <v>4.9783773874437962</v>
      </c>
      <c r="CE50" s="106">
        <v>1403.9024232591505</v>
      </c>
      <c r="CF50" s="106">
        <v>0</v>
      </c>
      <c r="CG50" s="106">
        <v>0</v>
      </c>
      <c r="CH50" s="106">
        <v>0</v>
      </c>
      <c r="CI50" s="106">
        <v>0</v>
      </c>
      <c r="CJ50" s="106">
        <v>4.1762820497802107</v>
      </c>
      <c r="CK50" s="106">
        <v>1177.7115380380194</v>
      </c>
      <c r="CL50" s="106">
        <v>1.8608904314851453</v>
      </c>
      <c r="CM50" s="106">
        <v>524.77110167881096</v>
      </c>
      <c r="CN50" s="106">
        <v>3.807079345532256</v>
      </c>
      <c r="CO50" s="106">
        <v>1073.5963754400962</v>
      </c>
      <c r="CP50" s="106">
        <v>0</v>
      </c>
      <c r="CQ50" s="106">
        <v>0</v>
      </c>
      <c r="CR50" s="106">
        <v>0</v>
      </c>
      <c r="CS50" s="106">
        <v>0</v>
      </c>
      <c r="CT50" s="106">
        <v>2.6816882027047972</v>
      </c>
      <c r="CU50" s="106">
        <v>756.23607316275286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1.8892141468995562</v>
      </c>
      <c r="M51" s="106">
        <v>1614.1445671109809</v>
      </c>
      <c r="N51" s="106">
        <v>0.42654873711042568</v>
      </c>
      <c r="O51" s="106">
        <v>364.4432409871477</v>
      </c>
      <c r="P51" s="106">
        <v>0.31761900366072182</v>
      </c>
      <c r="Q51" s="106">
        <v>271.37367672772069</v>
      </c>
      <c r="R51" s="106">
        <v>0.44364112417178664</v>
      </c>
      <c r="S51" s="106">
        <v>379.04697649237448</v>
      </c>
      <c r="T51" s="106">
        <v>0</v>
      </c>
      <c r="U51" s="106">
        <v>0</v>
      </c>
      <c r="V51" s="106">
        <v>2.5582944328013104</v>
      </c>
      <c r="W51" s="106">
        <v>2185.8067633854394</v>
      </c>
      <c r="X51" s="106">
        <v>1.1936280028442623</v>
      </c>
      <c r="Y51" s="106">
        <v>1019.8357656301376</v>
      </c>
      <c r="Z51" s="106">
        <v>1.1425701763041176</v>
      </c>
      <c r="AA51" s="106">
        <v>976.21195863423804</v>
      </c>
      <c r="AB51" s="106">
        <v>0</v>
      </c>
      <c r="AC51" s="106">
        <v>0</v>
      </c>
      <c r="AD51" s="106">
        <v>0.36505168345727512</v>
      </c>
      <c r="AE51" s="106">
        <v>311.90015834589587</v>
      </c>
      <c r="AF51" s="106">
        <v>3.8182138397791761</v>
      </c>
      <c r="AG51" s="106">
        <v>3262.2819047073281</v>
      </c>
      <c r="AH51" s="106">
        <v>0.26687070695348031</v>
      </c>
      <c r="AI51" s="106">
        <v>228.01433202105358</v>
      </c>
      <c r="AJ51" s="106">
        <v>0</v>
      </c>
      <c r="AK51" s="106">
        <v>0</v>
      </c>
      <c r="AL51" s="106">
        <v>9</v>
      </c>
      <c r="AM51" s="106">
        <v>7689.5999999999995</v>
      </c>
      <c r="AN51" s="106">
        <v>8.1924003469208344</v>
      </c>
      <c r="AO51" s="106">
        <v>6999.5868564091606</v>
      </c>
      <c r="AP51" s="106">
        <v>1.2303201666386578</v>
      </c>
      <c r="AQ51" s="106">
        <v>1051.1855503760692</v>
      </c>
      <c r="AR51" s="106">
        <v>6.6003405814161118</v>
      </c>
      <c r="AS51" s="106">
        <v>5639.3309927619257</v>
      </c>
      <c r="AT51" s="106">
        <v>6.4861750029719323</v>
      </c>
      <c r="AU51" s="106">
        <v>5541.7879225392189</v>
      </c>
      <c r="AV51" s="106">
        <v>8.0110957210619826</v>
      </c>
      <c r="AW51" s="106">
        <v>6844.6801840753578</v>
      </c>
      <c r="AX51" s="106">
        <v>9.2079774483637511</v>
      </c>
      <c r="AY51" s="106">
        <v>7867.2959318819885</v>
      </c>
      <c r="AZ51" s="106">
        <v>20.437634922143541</v>
      </c>
      <c r="BA51" s="106">
        <v>17461.915277479442</v>
      </c>
      <c r="BB51" s="106">
        <v>0</v>
      </c>
      <c r="BC51" s="106">
        <v>0</v>
      </c>
      <c r="BD51" s="106">
        <v>14.023300841620857</v>
      </c>
      <c r="BE51" s="106">
        <v>11981.50823908086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9.2035184561897587</v>
      </c>
      <c r="BM51" s="106">
        <v>7863.4861689685295</v>
      </c>
      <c r="BN51" s="106">
        <v>4.2989931395515777</v>
      </c>
      <c r="BO51" s="106">
        <v>3673.059738432868</v>
      </c>
      <c r="BP51" s="106">
        <v>3</v>
      </c>
      <c r="BQ51" s="106">
        <v>2563.1999999999998</v>
      </c>
      <c r="BR51" s="106">
        <v>1.832582167498912</v>
      </c>
      <c r="BS51" s="106">
        <v>1565.7582039110703</v>
      </c>
      <c r="BT51" s="106">
        <v>1.3537134857425812</v>
      </c>
      <c r="BU51" s="106">
        <v>1156.6128022184614</v>
      </c>
      <c r="BV51" s="106">
        <v>0</v>
      </c>
      <c r="BW51" s="106">
        <v>0</v>
      </c>
      <c r="BX51" s="106">
        <v>10.884494885560994</v>
      </c>
      <c r="BY51" s="106">
        <v>9299.7124302233133</v>
      </c>
      <c r="BZ51" s="106">
        <v>3.3812280232792822</v>
      </c>
      <c r="CA51" s="106">
        <v>2888.9212230898188</v>
      </c>
      <c r="CB51" s="106">
        <v>0</v>
      </c>
      <c r="CC51" s="106">
        <v>0</v>
      </c>
      <c r="CD51" s="106">
        <v>4.5635126051568129</v>
      </c>
      <c r="CE51" s="106">
        <v>3899.065169845981</v>
      </c>
      <c r="CF51" s="106">
        <v>0</v>
      </c>
      <c r="CG51" s="106">
        <v>0</v>
      </c>
      <c r="CH51" s="106">
        <v>0</v>
      </c>
      <c r="CI51" s="106">
        <v>0</v>
      </c>
      <c r="CJ51" s="106">
        <v>4.1762820497802107</v>
      </c>
      <c r="CK51" s="106">
        <v>3568.2153833322118</v>
      </c>
      <c r="CL51" s="106">
        <v>1.860682556555888</v>
      </c>
      <c r="CM51" s="106">
        <v>1589.7671763213507</v>
      </c>
      <c r="CN51" s="106">
        <v>4.2603281782435465</v>
      </c>
      <c r="CO51" s="106">
        <v>3640.0243954912862</v>
      </c>
      <c r="CP51" s="106">
        <v>0</v>
      </c>
      <c r="CQ51" s="106">
        <v>0</v>
      </c>
      <c r="CR51" s="106">
        <v>0</v>
      </c>
      <c r="CS51" s="106">
        <v>0</v>
      </c>
      <c r="CT51" s="106">
        <v>2.6816882027047972</v>
      </c>
      <c r="CU51" s="106">
        <v>2291.2344003909789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1.6193264116281911</v>
      </c>
      <c r="M52" s="106">
        <v>874.43626227922323</v>
      </c>
      <c r="N52" s="106">
        <v>0.42654873711042568</v>
      </c>
      <c r="O52" s="106">
        <v>230.33631803962987</v>
      </c>
      <c r="P52" s="106">
        <v>0.31761900366072182</v>
      </c>
      <c r="Q52" s="106">
        <v>171.51426197678978</v>
      </c>
      <c r="R52" s="106">
        <v>0.38037430725701066</v>
      </c>
      <c r="S52" s="106">
        <v>205.40212591878574</v>
      </c>
      <c r="T52" s="106">
        <v>0</v>
      </c>
      <c r="U52" s="106">
        <v>0</v>
      </c>
      <c r="V52" s="106">
        <v>3.1978680410016387</v>
      </c>
      <c r="W52" s="106">
        <v>1726.848742140885</v>
      </c>
      <c r="X52" s="106">
        <v>1.1339466027020493</v>
      </c>
      <c r="Y52" s="106">
        <v>612.33116545910661</v>
      </c>
      <c r="Z52" s="106">
        <v>1.2483637111470913</v>
      </c>
      <c r="AA52" s="106">
        <v>674.1164040194293</v>
      </c>
      <c r="AB52" s="106">
        <v>0</v>
      </c>
      <c r="AC52" s="106">
        <v>0</v>
      </c>
      <c r="AD52" s="106">
        <v>0.41720192395117156</v>
      </c>
      <c r="AE52" s="106">
        <v>225.28903893363264</v>
      </c>
      <c r="AF52" s="106">
        <v>3.8182138397791761</v>
      </c>
      <c r="AG52" s="106">
        <v>2061.8354734807549</v>
      </c>
      <c r="AH52" s="106">
        <v>0.29355777764882834</v>
      </c>
      <c r="AI52" s="106">
        <v>158.52119993036732</v>
      </c>
      <c r="AJ52" s="106">
        <v>0</v>
      </c>
      <c r="AK52" s="106">
        <v>0</v>
      </c>
      <c r="AL52" s="106">
        <v>8</v>
      </c>
      <c r="AM52" s="106">
        <v>4320</v>
      </c>
      <c r="AN52" s="106">
        <v>8.2116403816129182</v>
      </c>
      <c r="AO52" s="106">
        <v>4434.2858060709759</v>
      </c>
      <c r="AP52" s="106">
        <v>1.2303201666386578</v>
      </c>
      <c r="AQ52" s="106">
        <v>664.3728899848752</v>
      </c>
      <c r="AR52" s="106">
        <v>7.5553098996304584</v>
      </c>
      <c r="AS52" s="106">
        <v>4079.8673458004478</v>
      </c>
      <c r="AT52" s="106">
        <v>6.4861750029719323</v>
      </c>
      <c r="AU52" s="106">
        <v>3502.5345016048436</v>
      </c>
      <c r="AV52" s="106">
        <v>7.1004801104737147</v>
      </c>
      <c r="AW52" s="106">
        <v>3834.2592596558061</v>
      </c>
      <c r="AX52" s="106">
        <v>9.2268844891240924</v>
      </c>
      <c r="AY52" s="106">
        <v>4982.5176241270101</v>
      </c>
      <c r="AZ52" s="106">
        <v>22.002645557296287</v>
      </c>
      <c r="BA52" s="106">
        <v>11881.428600939995</v>
      </c>
      <c r="BB52" s="106">
        <v>0</v>
      </c>
      <c r="BC52" s="106">
        <v>0</v>
      </c>
      <c r="BD52" s="106">
        <v>16.694405763834354</v>
      </c>
      <c r="BE52" s="106">
        <v>9014.9791124705516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9.2035184561897587</v>
      </c>
      <c r="BM52" s="106">
        <v>4969.8999663424693</v>
      </c>
      <c r="BN52" s="106">
        <v>4.7766590439461973</v>
      </c>
      <c r="BO52" s="106">
        <v>2579.3958837309465</v>
      </c>
      <c r="BP52" s="106">
        <v>3</v>
      </c>
      <c r="BQ52" s="106">
        <v>1620</v>
      </c>
      <c r="BR52" s="106">
        <v>1.832582167498912</v>
      </c>
      <c r="BS52" s="106">
        <v>989.59437044941251</v>
      </c>
      <c r="BT52" s="106">
        <v>2.0305702286138718</v>
      </c>
      <c r="BU52" s="106">
        <v>1096.5079234514908</v>
      </c>
      <c r="BV52" s="106">
        <v>0</v>
      </c>
      <c r="BW52" s="106">
        <v>0</v>
      </c>
      <c r="BX52" s="106">
        <v>9.9774536450975759</v>
      </c>
      <c r="BY52" s="106">
        <v>5387.824968352691</v>
      </c>
      <c r="BZ52" s="106">
        <v>3.823867701505685</v>
      </c>
      <c r="CA52" s="106">
        <v>2064.8885588130697</v>
      </c>
      <c r="CB52" s="106">
        <v>0</v>
      </c>
      <c r="CC52" s="106">
        <v>0</v>
      </c>
      <c r="CD52" s="106">
        <v>5.3932421697307786</v>
      </c>
      <c r="CE52" s="106">
        <v>2912.3507716546205</v>
      </c>
      <c r="CF52" s="106">
        <v>0</v>
      </c>
      <c r="CG52" s="106">
        <v>0</v>
      </c>
      <c r="CH52" s="106">
        <v>0</v>
      </c>
      <c r="CI52" s="106">
        <v>0</v>
      </c>
      <c r="CJ52" s="106">
        <v>4.1762820497802107</v>
      </c>
      <c r="CK52" s="106">
        <v>2255.1923068813139</v>
      </c>
      <c r="CL52" s="106">
        <v>2.226573733482601</v>
      </c>
      <c r="CM52" s="106">
        <v>1202.3498160806046</v>
      </c>
      <c r="CN52" s="106">
        <v>4.7341423485135214</v>
      </c>
      <c r="CO52" s="106">
        <v>2556.4368681973015</v>
      </c>
      <c r="CP52" s="106">
        <v>0</v>
      </c>
      <c r="CQ52" s="106">
        <v>0</v>
      </c>
      <c r="CR52" s="106">
        <v>0</v>
      </c>
      <c r="CS52" s="106">
        <v>0</v>
      </c>
      <c r="CT52" s="106">
        <v>2.1453505621638378</v>
      </c>
      <c r="CU52" s="106">
        <v>1158.4893035684725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1.6193264116281911</v>
      </c>
      <c r="M53" s="106">
        <v>658.7419842503482</v>
      </c>
      <c r="N53" s="106">
        <v>0.34161886150947529</v>
      </c>
      <c r="O53" s="106">
        <v>138.97055286205455</v>
      </c>
      <c r="P53" s="106">
        <v>0.31767635792573801</v>
      </c>
      <c r="Q53" s="106">
        <v>129.23074240419024</v>
      </c>
      <c r="R53" s="106">
        <v>0.38037430725701066</v>
      </c>
      <c r="S53" s="106">
        <v>154.73626819215195</v>
      </c>
      <c r="T53" s="106">
        <v>0</v>
      </c>
      <c r="U53" s="106">
        <v>0</v>
      </c>
      <c r="V53" s="106">
        <v>3.0912724396349174</v>
      </c>
      <c r="W53" s="106">
        <v>1257.5296284434844</v>
      </c>
      <c r="X53" s="106">
        <v>1.1936280028442623</v>
      </c>
      <c r="Y53" s="106">
        <v>485.56787155704592</v>
      </c>
      <c r="Z53" s="106">
        <v>1.3118398320528757</v>
      </c>
      <c r="AA53" s="106">
        <v>533.65644367910988</v>
      </c>
      <c r="AB53" s="106">
        <v>0</v>
      </c>
      <c r="AC53" s="106">
        <v>0</v>
      </c>
      <c r="AD53" s="106">
        <v>0.41720192395117156</v>
      </c>
      <c r="AE53" s="106">
        <v>169.71774266333659</v>
      </c>
      <c r="AF53" s="106">
        <v>4.1653241888500103</v>
      </c>
      <c r="AG53" s="106">
        <v>1694.4538800241842</v>
      </c>
      <c r="AH53" s="106">
        <v>0.29355777764882834</v>
      </c>
      <c r="AI53" s="106">
        <v>119.41930394754337</v>
      </c>
      <c r="AJ53" s="106">
        <v>0</v>
      </c>
      <c r="AK53" s="106">
        <v>0</v>
      </c>
      <c r="AL53" s="106">
        <v>8</v>
      </c>
      <c r="AM53" s="106">
        <v>3254.4</v>
      </c>
      <c r="AN53" s="106">
        <v>8.1924003469208344</v>
      </c>
      <c r="AO53" s="106">
        <v>3332.6684611273954</v>
      </c>
      <c r="AP53" s="106">
        <v>1.4763841999663896</v>
      </c>
      <c r="AQ53" s="106">
        <v>600.59309254632728</v>
      </c>
      <c r="AR53" s="106">
        <v>7.5119394087562084</v>
      </c>
      <c r="AS53" s="106">
        <v>3055.8569514820256</v>
      </c>
      <c r="AT53" s="106">
        <v>7.9275472258545836</v>
      </c>
      <c r="AU53" s="106">
        <v>3224.9262114776448</v>
      </c>
      <c r="AV53" s="106">
        <v>7.1035764924218183</v>
      </c>
      <c r="AW53" s="106">
        <v>2889.7349171171959</v>
      </c>
      <c r="AX53" s="106">
        <v>9.1890704076034098</v>
      </c>
      <c r="AY53" s="106">
        <v>3738.1138418130672</v>
      </c>
      <c r="AZ53" s="106">
        <v>23.767156361132201</v>
      </c>
      <c r="BA53" s="106">
        <v>9668.4792077085804</v>
      </c>
      <c r="BB53" s="106">
        <v>0</v>
      </c>
      <c r="BC53" s="106">
        <v>0</v>
      </c>
      <c r="BD53" s="106">
        <v>14.524133014535888</v>
      </c>
      <c r="BE53" s="106">
        <v>5908.4173103131998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9.2035184561897587</v>
      </c>
      <c r="BM53" s="106">
        <v>3743.991307977994</v>
      </c>
      <c r="BN53" s="106">
        <v>5.254324948340817</v>
      </c>
      <c r="BO53" s="106">
        <v>2137.4593889850444</v>
      </c>
      <c r="BP53" s="106">
        <v>3</v>
      </c>
      <c r="BQ53" s="106">
        <v>1220.4000000000001</v>
      </c>
      <c r="BR53" s="106">
        <v>1.832582167498912</v>
      </c>
      <c r="BS53" s="106">
        <v>745.49442573855742</v>
      </c>
      <c r="BT53" s="106">
        <v>2.0305702286138718</v>
      </c>
      <c r="BU53" s="106">
        <v>826.03596900012303</v>
      </c>
      <c r="BV53" s="106">
        <v>0</v>
      </c>
      <c r="BW53" s="106">
        <v>0</v>
      </c>
      <c r="BX53" s="106">
        <v>10.884494885560994</v>
      </c>
      <c r="BY53" s="106">
        <v>4427.8125194462127</v>
      </c>
      <c r="BZ53" s="106">
        <v>3.8435381498658576</v>
      </c>
      <c r="CA53" s="106">
        <v>1563.551319365431</v>
      </c>
      <c r="CB53" s="106">
        <v>0</v>
      </c>
      <c r="CC53" s="106">
        <v>0</v>
      </c>
      <c r="CD53" s="106">
        <v>5.8081069520177619</v>
      </c>
      <c r="CE53" s="106">
        <v>2362.7379080808255</v>
      </c>
      <c r="CF53" s="106">
        <v>0</v>
      </c>
      <c r="CG53" s="106">
        <v>0</v>
      </c>
      <c r="CH53" s="106">
        <v>0</v>
      </c>
      <c r="CI53" s="106">
        <v>0</v>
      </c>
      <c r="CJ53" s="106">
        <v>4.8723290580769127</v>
      </c>
      <c r="CK53" s="106">
        <v>1982.0634608256883</v>
      </c>
      <c r="CL53" s="106">
        <v>2.226573733482601</v>
      </c>
      <c r="CM53" s="106">
        <v>905.77019478072214</v>
      </c>
      <c r="CN53" s="106">
        <v>3.8000770289748944</v>
      </c>
      <c r="CO53" s="106">
        <v>1545.8713353869871</v>
      </c>
      <c r="CP53" s="106">
        <v>0</v>
      </c>
      <c r="CQ53" s="106">
        <v>0</v>
      </c>
      <c r="CR53" s="106">
        <v>0</v>
      </c>
      <c r="CS53" s="106">
        <v>0</v>
      </c>
      <c r="CT53" s="106">
        <v>2.6816882027047972</v>
      </c>
      <c r="CU53" s="106">
        <v>1090.9107608603115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1.8892141468995562</v>
      </c>
      <c r="M54" s="106">
        <v>632.50889638197145</v>
      </c>
      <c r="N54" s="106">
        <v>0.42631131722221649</v>
      </c>
      <c r="O54" s="106">
        <v>142.72902900599809</v>
      </c>
      <c r="P54" s="106">
        <v>0.38097074159781769</v>
      </c>
      <c r="Q54" s="106">
        <v>127.54900428694937</v>
      </c>
      <c r="R54" s="106">
        <v>0.38037441880282608</v>
      </c>
      <c r="S54" s="106">
        <v>127.34935541518617</v>
      </c>
      <c r="T54" s="106">
        <v>0</v>
      </c>
      <c r="U54" s="106">
        <v>0</v>
      </c>
      <c r="V54" s="106">
        <v>3.2511658416849989</v>
      </c>
      <c r="W54" s="106">
        <v>1088.4903237961378</v>
      </c>
      <c r="X54" s="106">
        <v>1.3129908031286885</v>
      </c>
      <c r="Y54" s="106">
        <v>439.58932088748492</v>
      </c>
      <c r="Z54" s="106">
        <v>1.4811094878016338</v>
      </c>
      <c r="AA54" s="106">
        <v>495.87545651598703</v>
      </c>
      <c r="AB54" s="106">
        <v>0</v>
      </c>
      <c r="AC54" s="106">
        <v>0</v>
      </c>
      <c r="AD54" s="106">
        <v>0.39112680370422337</v>
      </c>
      <c r="AE54" s="106">
        <v>130.94925388017398</v>
      </c>
      <c r="AF54" s="106">
        <v>3.8182138397791761</v>
      </c>
      <c r="AG54" s="106">
        <v>1278.3379935580681</v>
      </c>
      <c r="AH54" s="106">
        <v>0.29355777764882834</v>
      </c>
      <c r="AI54" s="106">
        <v>98.283143956827729</v>
      </c>
      <c r="AJ54" s="106">
        <v>0</v>
      </c>
      <c r="AK54" s="106">
        <v>0</v>
      </c>
      <c r="AL54" s="106">
        <v>9</v>
      </c>
      <c r="AM54" s="106">
        <v>3013.2000000000003</v>
      </c>
      <c r="AN54" s="106">
        <v>9.2116403816129182</v>
      </c>
      <c r="AO54" s="106">
        <v>3084.057199764005</v>
      </c>
      <c r="AP54" s="106">
        <v>1.4763841999663896</v>
      </c>
      <c r="AQ54" s="106">
        <v>494.29343014874723</v>
      </c>
      <c r="AR54" s="106">
        <v>7.5536497087190559</v>
      </c>
      <c r="AS54" s="106">
        <v>2528.96192247914</v>
      </c>
      <c r="AT54" s="106">
        <v>6.4861750029719323</v>
      </c>
      <c r="AU54" s="106">
        <v>2171.5713909950032</v>
      </c>
      <c r="AV54" s="106">
        <v>8.1004801104737147</v>
      </c>
      <c r="AW54" s="106">
        <v>2712.0407409865998</v>
      </c>
      <c r="AX54" s="106">
        <v>9.1890704076034098</v>
      </c>
      <c r="AY54" s="106">
        <v>3076.5007724656216</v>
      </c>
      <c r="AZ54" s="106">
        <v>24.651096857593863</v>
      </c>
      <c r="BA54" s="106">
        <v>8253.1872279224262</v>
      </c>
      <c r="BB54" s="106">
        <v>0</v>
      </c>
      <c r="BC54" s="106">
        <v>0</v>
      </c>
      <c r="BD54" s="106">
        <v>15.358853302727606</v>
      </c>
      <c r="BE54" s="106">
        <v>5142.1440857532025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9.2035184561897587</v>
      </c>
      <c r="BM54" s="106">
        <v>3081.3379791323314</v>
      </c>
      <c r="BN54" s="106">
        <v>4.7766590439461973</v>
      </c>
      <c r="BO54" s="106">
        <v>1599.2254479131868</v>
      </c>
      <c r="BP54" s="106">
        <v>2</v>
      </c>
      <c r="BQ54" s="106">
        <v>669.6</v>
      </c>
      <c r="BR54" s="106">
        <v>1.832582167498912</v>
      </c>
      <c r="BS54" s="106">
        <v>613.54850967863581</v>
      </c>
      <c r="BT54" s="106">
        <v>1.3537134857425812</v>
      </c>
      <c r="BU54" s="106">
        <v>453.22327502661619</v>
      </c>
      <c r="BV54" s="106">
        <v>0</v>
      </c>
      <c r="BW54" s="106">
        <v>0</v>
      </c>
      <c r="BX54" s="106">
        <v>10.884494885560994</v>
      </c>
      <c r="BY54" s="106">
        <v>3644.1288876858207</v>
      </c>
      <c r="BZ54" s="106">
        <v>3.4016945796018381</v>
      </c>
      <c r="CA54" s="106">
        <v>1138.8873452506955</v>
      </c>
      <c r="CB54" s="106">
        <v>0</v>
      </c>
      <c r="CC54" s="106">
        <v>0</v>
      </c>
      <c r="CD54" s="106">
        <v>4.9783773874437962</v>
      </c>
      <c r="CE54" s="106">
        <v>1666.7607493161831</v>
      </c>
      <c r="CF54" s="106">
        <v>0</v>
      </c>
      <c r="CG54" s="106">
        <v>0</v>
      </c>
      <c r="CH54" s="106">
        <v>0</v>
      </c>
      <c r="CI54" s="106">
        <v>0</v>
      </c>
      <c r="CJ54" s="106">
        <v>5.5683760663736139</v>
      </c>
      <c r="CK54" s="106">
        <v>1864.292307021886</v>
      </c>
      <c r="CL54" s="106">
        <v>1.8754643928000196</v>
      </c>
      <c r="CM54" s="106">
        <v>627.90547870944658</v>
      </c>
      <c r="CN54" s="106">
        <v>3.7933396796855727</v>
      </c>
      <c r="CO54" s="106">
        <v>1270.0101247587297</v>
      </c>
      <c r="CP54" s="106">
        <v>0</v>
      </c>
      <c r="CQ54" s="106">
        <v>0</v>
      </c>
      <c r="CR54" s="106">
        <v>0</v>
      </c>
      <c r="CS54" s="106">
        <v>0</v>
      </c>
      <c r="CT54" s="106">
        <v>2.1453505621638378</v>
      </c>
      <c r="CU54" s="106">
        <v>718.26336821245297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1.6193264116281911</v>
      </c>
      <c r="M55" s="106">
        <v>1074.5850067564677</v>
      </c>
      <c r="N55" s="106">
        <v>0.42654873711042568</v>
      </c>
      <c r="O55" s="106">
        <v>283.05774194647847</v>
      </c>
      <c r="P55" s="106">
        <v>0.31761900366072182</v>
      </c>
      <c r="Q55" s="106">
        <v>210.771970829255</v>
      </c>
      <c r="R55" s="106">
        <v>0.44364123571760206</v>
      </c>
      <c r="S55" s="106">
        <v>294.40032402220072</v>
      </c>
      <c r="T55" s="106">
        <v>0</v>
      </c>
      <c r="U55" s="106">
        <v>0</v>
      </c>
      <c r="V55" s="106">
        <v>2.9846768382681961</v>
      </c>
      <c r="W55" s="106">
        <v>1980.6315498747749</v>
      </c>
      <c r="X55" s="106">
        <v>1.173734202796858</v>
      </c>
      <c r="Y55" s="106">
        <v>778.89001697599497</v>
      </c>
      <c r="Z55" s="106">
        <v>1.1214114693355226</v>
      </c>
      <c r="AA55" s="106">
        <v>744.16865105105285</v>
      </c>
      <c r="AB55" s="106">
        <v>0</v>
      </c>
      <c r="AC55" s="106">
        <v>0</v>
      </c>
      <c r="AD55" s="106">
        <v>0.36505168345727512</v>
      </c>
      <c r="AE55" s="106">
        <v>242.24829714224779</v>
      </c>
      <c r="AF55" s="106">
        <v>3.8182138397791761</v>
      </c>
      <c r="AG55" s="106">
        <v>2533.7667040774613</v>
      </c>
      <c r="AH55" s="106">
        <v>0.29355777764882834</v>
      </c>
      <c r="AI55" s="106">
        <v>194.80494124776249</v>
      </c>
      <c r="AJ55" s="106">
        <v>0</v>
      </c>
      <c r="AK55" s="106">
        <v>0</v>
      </c>
      <c r="AL55" s="106">
        <v>9</v>
      </c>
      <c r="AM55" s="106">
        <v>5972.4000000000005</v>
      </c>
      <c r="AN55" s="106">
        <v>8.1924003469208344</v>
      </c>
      <c r="AO55" s="106">
        <v>5436.4768702166657</v>
      </c>
      <c r="AP55" s="106">
        <v>1.2303201666386578</v>
      </c>
      <c r="AQ55" s="106">
        <v>816.44046258141339</v>
      </c>
      <c r="AR55" s="106">
        <v>7.6003405814161118</v>
      </c>
      <c r="AS55" s="106">
        <v>5043.5860098277317</v>
      </c>
      <c r="AT55" s="106">
        <v>7.2068611144132575</v>
      </c>
      <c r="AU55" s="106">
        <v>4782.4730355246375</v>
      </c>
      <c r="AV55" s="106">
        <v>7.1035764924218183</v>
      </c>
      <c r="AW55" s="106">
        <v>4713.9333603711184</v>
      </c>
      <c r="AX55" s="106">
        <v>8.2268844891240924</v>
      </c>
      <c r="AY55" s="106">
        <v>5459.360546982748</v>
      </c>
      <c r="AZ55" s="106">
        <v>20.45195822576504</v>
      </c>
      <c r="BA55" s="106">
        <v>13571.919478617681</v>
      </c>
      <c r="BB55" s="106">
        <v>0</v>
      </c>
      <c r="BC55" s="106">
        <v>0</v>
      </c>
      <c r="BD55" s="106">
        <v>15.358853302727606</v>
      </c>
      <c r="BE55" s="106">
        <v>10192.13505169004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8.0530786491660376</v>
      </c>
      <c r="BM55" s="106">
        <v>5344.022991586583</v>
      </c>
      <c r="BN55" s="106">
        <v>4.7766590439461973</v>
      </c>
      <c r="BO55" s="106">
        <v>3169.7909415626968</v>
      </c>
      <c r="BP55" s="106">
        <v>2</v>
      </c>
      <c r="BQ55" s="106">
        <v>1327.2</v>
      </c>
      <c r="BR55" s="106">
        <v>1.832582167498912</v>
      </c>
      <c r="BS55" s="106">
        <v>1216.1015263522781</v>
      </c>
      <c r="BT55" s="106">
        <v>2.0305702286138718</v>
      </c>
      <c r="BU55" s="106">
        <v>1347.4864037081654</v>
      </c>
      <c r="BV55" s="106">
        <v>0</v>
      </c>
      <c r="BW55" s="106">
        <v>0</v>
      </c>
      <c r="BX55" s="106">
        <v>9.9774536450975759</v>
      </c>
      <c r="BY55" s="106">
        <v>6621.038238886752</v>
      </c>
      <c r="BZ55" s="106">
        <v>3.381427050269878</v>
      </c>
      <c r="CA55" s="106">
        <v>2243.9149905590912</v>
      </c>
      <c r="CB55" s="106">
        <v>0</v>
      </c>
      <c r="CC55" s="106">
        <v>0</v>
      </c>
      <c r="CD55" s="106">
        <v>4.9783773874437962</v>
      </c>
      <c r="CE55" s="106">
        <v>3303.6512343077034</v>
      </c>
      <c r="CF55" s="106">
        <v>0</v>
      </c>
      <c r="CG55" s="106">
        <v>0</v>
      </c>
      <c r="CH55" s="106">
        <v>0</v>
      </c>
      <c r="CI55" s="106">
        <v>0</v>
      </c>
      <c r="CJ55" s="106">
        <v>4.8723290580769127</v>
      </c>
      <c r="CK55" s="106">
        <v>3233.2775629398393</v>
      </c>
      <c r="CL55" s="106">
        <v>1.8755683302646484</v>
      </c>
      <c r="CM55" s="106">
        <v>1244.6271439636207</v>
      </c>
      <c r="CN55" s="106">
        <v>4.2671538499555481</v>
      </c>
      <c r="CO55" s="106">
        <v>2831.6832948305018</v>
      </c>
      <c r="CP55" s="106">
        <v>0</v>
      </c>
      <c r="CQ55" s="106">
        <v>0</v>
      </c>
      <c r="CR55" s="106">
        <v>0</v>
      </c>
      <c r="CS55" s="106">
        <v>0</v>
      </c>
      <c r="CT55" s="106">
        <v>2.6816882027047972</v>
      </c>
      <c r="CU55" s="106">
        <v>1779.5682913149035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0.63025457491707393</v>
      </c>
      <c r="I56" s="106">
        <v>725.2969648145687</v>
      </c>
      <c r="J56" s="106">
        <v>0</v>
      </c>
      <c r="K56" s="106">
        <v>0</v>
      </c>
      <c r="L56" s="106">
        <v>0.42971695812854832</v>
      </c>
      <c r="M56" s="106">
        <v>494.5182754143334</v>
      </c>
      <c r="N56" s="106">
        <v>0.11941209572387522</v>
      </c>
      <c r="O56" s="106">
        <v>137.41943975903558</v>
      </c>
      <c r="P56" s="106">
        <v>0</v>
      </c>
      <c r="Q56" s="106">
        <v>0</v>
      </c>
      <c r="R56" s="106">
        <v>0.10719681413800963</v>
      </c>
      <c r="S56" s="106">
        <v>123.36209371002148</v>
      </c>
      <c r="T56" s="106">
        <v>1.3675262278604918</v>
      </c>
      <c r="U56" s="106">
        <v>1573.7491830218539</v>
      </c>
      <c r="V56" s="106">
        <v>2.6147371613664556</v>
      </c>
      <c r="W56" s="106">
        <v>3009.0395253005172</v>
      </c>
      <c r="X56" s="106">
        <v>0</v>
      </c>
      <c r="Y56" s="106">
        <v>0</v>
      </c>
      <c r="Z56" s="106">
        <v>0</v>
      </c>
      <c r="AA56" s="106">
        <v>0</v>
      </c>
      <c r="AB56" s="106">
        <v>1.0304334238060335</v>
      </c>
      <c r="AC56" s="106">
        <v>1185.8227841159833</v>
      </c>
      <c r="AD56" s="106">
        <v>0.31303665382495449</v>
      </c>
      <c r="AE56" s="106">
        <v>360.24258122175763</v>
      </c>
      <c r="AF56" s="106">
        <v>0</v>
      </c>
      <c r="AG56" s="106">
        <v>0</v>
      </c>
      <c r="AH56" s="106">
        <v>0</v>
      </c>
      <c r="AI56" s="106">
        <v>0</v>
      </c>
      <c r="AJ56" s="106">
        <v>1.1728853678700319</v>
      </c>
      <c r="AK56" s="106">
        <v>1349.7564813448328</v>
      </c>
      <c r="AL56" s="106">
        <v>2.5965959945396175</v>
      </c>
      <c r="AM56" s="106">
        <v>2988.1626705161916</v>
      </c>
      <c r="AN56" s="106">
        <v>0.99148933974895781</v>
      </c>
      <c r="AO56" s="106">
        <v>1141.0059321831006</v>
      </c>
      <c r="AP56" s="106">
        <v>2.3832765153725792</v>
      </c>
      <c r="AQ56" s="106">
        <v>2742.6746138907642</v>
      </c>
      <c r="AR56" s="106">
        <v>0.71644666211301689</v>
      </c>
      <c r="AS56" s="106">
        <v>824.48681875965985</v>
      </c>
      <c r="AT56" s="106">
        <v>1.0702204165479943</v>
      </c>
      <c r="AU56" s="106">
        <v>1231.6096553634318</v>
      </c>
      <c r="AV56" s="106">
        <v>0</v>
      </c>
      <c r="AW56" s="106">
        <v>0</v>
      </c>
      <c r="AX56" s="106">
        <v>1.1992639489005403</v>
      </c>
      <c r="AY56" s="106">
        <v>1380.1129523947418</v>
      </c>
      <c r="AZ56" s="106">
        <v>0</v>
      </c>
      <c r="BA56" s="106">
        <v>0</v>
      </c>
      <c r="BB56" s="106">
        <v>11.874502059586289</v>
      </c>
      <c r="BC56" s="106">
        <v>13665.1769701719</v>
      </c>
      <c r="BD56" s="106">
        <v>9.6801019328412448</v>
      </c>
      <c r="BE56" s="106">
        <v>11139.861304313705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3.582721158710708</v>
      </c>
      <c r="BM56" s="106">
        <v>4122.9955094442821</v>
      </c>
      <c r="BN56" s="106">
        <v>2.3005807247735572</v>
      </c>
      <c r="BO56" s="106">
        <v>2647.5082980694096</v>
      </c>
      <c r="BP56" s="106">
        <v>0.49066367036054248</v>
      </c>
      <c r="BQ56" s="106">
        <v>564.65575185091222</v>
      </c>
      <c r="BR56" s="106">
        <v>0</v>
      </c>
      <c r="BS56" s="106">
        <v>0</v>
      </c>
      <c r="BT56" s="106">
        <v>0</v>
      </c>
      <c r="BU56" s="106">
        <v>0</v>
      </c>
      <c r="BV56" s="106">
        <v>0.72810327695036525</v>
      </c>
      <c r="BW56" s="106">
        <v>837.90125111448026</v>
      </c>
      <c r="BX56" s="106">
        <v>3.9325635689867181E-16</v>
      </c>
      <c r="BY56" s="106">
        <v>4.5255941551899149E-13</v>
      </c>
      <c r="BZ56" s="106">
        <v>0.77604447449675396</v>
      </c>
      <c r="CA56" s="106">
        <v>893.07198125086438</v>
      </c>
      <c r="CB56" s="106">
        <v>1.3846546604712275</v>
      </c>
      <c r="CC56" s="106">
        <v>1593.4605832702887</v>
      </c>
      <c r="CD56" s="106">
        <v>0.74598436910939103</v>
      </c>
      <c r="CE56" s="106">
        <v>858.47881197108711</v>
      </c>
      <c r="CF56" s="106">
        <v>0</v>
      </c>
      <c r="CG56" s="106">
        <v>0</v>
      </c>
      <c r="CH56" s="106">
        <v>1.3534991795650122</v>
      </c>
      <c r="CI56" s="106">
        <v>1557.606855843416</v>
      </c>
      <c r="CJ56" s="106">
        <v>2.6250032590569616</v>
      </c>
      <c r="CK56" s="106">
        <v>3020.8537505227514</v>
      </c>
      <c r="CL56" s="106">
        <v>0</v>
      </c>
      <c r="CM56" s="106">
        <v>0</v>
      </c>
      <c r="CN56" s="106">
        <v>2.9097435508409708</v>
      </c>
      <c r="CO56" s="106">
        <v>3348.5328783077889</v>
      </c>
      <c r="CP56" s="106">
        <v>1.4386313641371096</v>
      </c>
      <c r="CQ56" s="106">
        <v>1655.5769738489855</v>
      </c>
      <c r="CR56" s="106">
        <v>1.3869053246666165</v>
      </c>
      <c r="CS56" s="106">
        <v>1596.0506476263422</v>
      </c>
      <c r="CT56" s="106">
        <v>0.88068251927783581</v>
      </c>
      <c r="CU56" s="106">
        <v>1013.4894431849334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1.6193264116281911</v>
      </c>
      <c r="M57" s="106">
        <v>2285.1934320897035</v>
      </c>
      <c r="N57" s="106">
        <v>0.3413814416212661</v>
      </c>
      <c r="O57" s="106">
        <v>481.75749041593076</v>
      </c>
      <c r="P57" s="106">
        <v>0.31756164939570564</v>
      </c>
      <c r="Q57" s="106">
        <v>448.14299962721981</v>
      </c>
      <c r="R57" s="106">
        <v>0.3803741957111953</v>
      </c>
      <c r="S57" s="106">
        <v>536.78406498763877</v>
      </c>
      <c r="T57" s="106">
        <v>0</v>
      </c>
      <c r="U57" s="106">
        <v>0</v>
      </c>
      <c r="V57" s="106">
        <v>2.3451032300678682</v>
      </c>
      <c r="W57" s="106">
        <v>3309.4096782717756</v>
      </c>
      <c r="X57" s="106">
        <v>1.014583802417623</v>
      </c>
      <c r="Y57" s="106">
        <v>1431.7806619717496</v>
      </c>
      <c r="Z57" s="106">
        <v>1.0367766414611437</v>
      </c>
      <c r="AA57" s="106">
        <v>1463.099196429966</v>
      </c>
      <c r="AB57" s="106">
        <v>0</v>
      </c>
      <c r="AC57" s="106">
        <v>0</v>
      </c>
      <c r="AD57" s="106">
        <v>0.33897656321032688</v>
      </c>
      <c r="AE57" s="106">
        <v>478.36372600241333</v>
      </c>
      <c r="AF57" s="106">
        <v>3.1239931416375084</v>
      </c>
      <c r="AG57" s="106">
        <v>4408.5791214788524</v>
      </c>
      <c r="AH57" s="106">
        <v>0.26687070695348031</v>
      </c>
      <c r="AI57" s="106">
        <v>376.60794165275144</v>
      </c>
      <c r="AJ57" s="106">
        <v>0</v>
      </c>
      <c r="AK57" s="106">
        <v>0</v>
      </c>
      <c r="AL57" s="106">
        <v>7</v>
      </c>
      <c r="AM57" s="106">
        <v>9878.4</v>
      </c>
      <c r="AN57" s="106">
        <v>7.2116403816129191</v>
      </c>
      <c r="AO57" s="106">
        <v>10177.066906532153</v>
      </c>
      <c r="AP57" s="106">
        <v>1.4763841999663896</v>
      </c>
      <c r="AQ57" s="106">
        <v>2083.473382992569</v>
      </c>
      <c r="AR57" s="106">
        <v>6.5086190269334026</v>
      </c>
      <c r="AS57" s="106">
        <v>9184.963170808418</v>
      </c>
      <c r="AT57" s="106">
        <v>6.4861750029719323</v>
      </c>
      <c r="AU57" s="106">
        <v>9153.2901641939916</v>
      </c>
      <c r="AV57" s="106">
        <v>5.3117707433739696</v>
      </c>
      <c r="AW57" s="106">
        <v>7495.9708730493458</v>
      </c>
      <c r="AX57" s="106">
        <v>7.2079774483637511</v>
      </c>
      <c r="AY57" s="106">
        <v>10171.897775130927</v>
      </c>
      <c r="AZ57" s="106">
        <v>17.343000637255869</v>
      </c>
      <c r="BA57" s="106">
        <v>24474.442499295485</v>
      </c>
      <c r="BB57" s="106">
        <v>0</v>
      </c>
      <c r="BC57" s="106">
        <v>0</v>
      </c>
      <c r="BD57" s="106">
        <v>11.686084034684049</v>
      </c>
      <c r="BE57" s="106">
        <v>16491.401789746131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8.0530786491660376</v>
      </c>
      <c r="BM57" s="106">
        <v>11364.504589703112</v>
      </c>
      <c r="BN57" s="106">
        <v>4.7766590439461973</v>
      </c>
      <c r="BO57" s="106">
        <v>6740.8212428168736</v>
      </c>
      <c r="BP57" s="106">
        <v>3</v>
      </c>
      <c r="BQ57" s="106">
        <v>4233.6000000000004</v>
      </c>
      <c r="BR57" s="106">
        <v>1.832582167498912</v>
      </c>
      <c r="BS57" s="106">
        <v>2586.1399547744645</v>
      </c>
      <c r="BT57" s="106">
        <v>1.3537134857425812</v>
      </c>
      <c r="BU57" s="106">
        <v>1910.3604710799307</v>
      </c>
      <c r="BV57" s="106">
        <v>0</v>
      </c>
      <c r="BW57" s="106">
        <v>0</v>
      </c>
      <c r="BX57" s="106">
        <v>9.9774536450975759</v>
      </c>
      <c r="BY57" s="106">
        <v>14080.182583961699</v>
      </c>
      <c r="BZ57" s="106">
        <v>3.3808299692980905</v>
      </c>
      <c r="CA57" s="106">
        <v>4771.0272526734652</v>
      </c>
      <c r="CB57" s="106">
        <v>0</v>
      </c>
      <c r="CC57" s="106">
        <v>0</v>
      </c>
      <c r="CD57" s="106">
        <v>4.5635126051568129</v>
      </c>
      <c r="CE57" s="106">
        <v>6440.0289883972946</v>
      </c>
      <c r="CF57" s="106">
        <v>0</v>
      </c>
      <c r="CG57" s="106">
        <v>0</v>
      </c>
      <c r="CH57" s="106">
        <v>0</v>
      </c>
      <c r="CI57" s="106">
        <v>0</v>
      </c>
      <c r="CJ57" s="106">
        <v>4.1762820497802107</v>
      </c>
      <c r="CK57" s="106">
        <v>5893.5692286498333</v>
      </c>
      <c r="CL57" s="106">
        <v>1.8607864940205165</v>
      </c>
      <c r="CM57" s="106">
        <v>2625.9419003617531</v>
      </c>
      <c r="CN57" s="106">
        <v>3.8000770289748944</v>
      </c>
      <c r="CO57" s="106">
        <v>5362.6687032893715</v>
      </c>
      <c r="CP57" s="106">
        <v>0</v>
      </c>
      <c r="CQ57" s="106">
        <v>0</v>
      </c>
      <c r="CR57" s="106">
        <v>0</v>
      </c>
      <c r="CS57" s="106">
        <v>0</v>
      </c>
      <c r="CT57" s="106">
        <v>2.6816882027047972</v>
      </c>
      <c r="CU57" s="106">
        <v>3784.3983916570101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0.68277578949349671</v>
      </c>
      <c r="I58" s="106">
        <v>803.76365939174434</v>
      </c>
      <c r="J58" s="106">
        <v>0</v>
      </c>
      <c r="K58" s="106">
        <v>0</v>
      </c>
      <c r="L58" s="106">
        <v>0.36832882125304139</v>
      </c>
      <c r="M58" s="106">
        <v>433.59668837908032</v>
      </c>
      <c r="N58" s="106">
        <v>0.14926511965484401</v>
      </c>
      <c r="O58" s="106">
        <v>175.71489885768239</v>
      </c>
      <c r="P58" s="106">
        <v>0</v>
      </c>
      <c r="Q58" s="106">
        <v>0</v>
      </c>
      <c r="R58" s="106">
        <v>0.10719681413800963</v>
      </c>
      <c r="S58" s="106">
        <v>126.19208960326495</v>
      </c>
      <c r="T58" s="106">
        <v>1.3675262278604918</v>
      </c>
      <c r="U58" s="106">
        <v>1609.8518754373711</v>
      </c>
      <c r="V58" s="106">
        <v>2.564371975105499</v>
      </c>
      <c r="W58" s="106">
        <v>3018.7786890941934</v>
      </c>
      <c r="X58" s="106">
        <v>0</v>
      </c>
      <c r="Y58" s="106">
        <v>0</v>
      </c>
      <c r="Z58" s="106">
        <v>0</v>
      </c>
      <c r="AA58" s="106">
        <v>0</v>
      </c>
      <c r="AB58" s="106">
        <v>1.0304334238060335</v>
      </c>
      <c r="AC58" s="106">
        <v>1213.0262265044628</v>
      </c>
      <c r="AD58" s="106">
        <v>0.36244700806163554</v>
      </c>
      <c r="AE58" s="106">
        <v>426.67261789015737</v>
      </c>
      <c r="AF58" s="106">
        <v>0</v>
      </c>
      <c r="AG58" s="106">
        <v>0</v>
      </c>
      <c r="AH58" s="106">
        <v>0</v>
      </c>
      <c r="AI58" s="106">
        <v>0</v>
      </c>
      <c r="AJ58" s="106">
        <v>1.1728853678700319</v>
      </c>
      <c r="AK58" s="106">
        <v>1380.7206550566016</v>
      </c>
      <c r="AL58" s="106">
        <v>2.5955468216367179</v>
      </c>
      <c r="AM58" s="106">
        <v>3055.4777184307445</v>
      </c>
      <c r="AN58" s="106">
        <v>1.1314227406972051</v>
      </c>
      <c r="AO58" s="106">
        <v>1331.9108503487498</v>
      </c>
      <c r="AP58" s="106">
        <v>2.3819164707476315</v>
      </c>
      <c r="AQ58" s="106">
        <v>2803.992069364112</v>
      </c>
      <c r="AR58" s="106">
        <v>0.71690264809989712</v>
      </c>
      <c r="AS58" s="106">
        <v>843.93779734319889</v>
      </c>
      <c r="AT58" s="106">
        <v>1.0702204165479943</v>
      </c>
      <c r="AU58" s="106">
        <v>1259.8634743602988</v>
      </c>
      <c r="AV58" s="106">
        <v>0</v>
      </c>
      <c r="AW58" s="106">
        <v>0</v>
      </c>
      <c r="AX58" s="106">
        <v>1.1992639489005403</v>
      </c>
      <c r="AY58" s="106">
        <v>1411.7735206457162</v>
      </c>
      <c r="AZ58" s="106">
        <v>0</v>
      </c>
      <c r="BA58" s="106">
        <v>0</v>
      </c>
      <c r="BB58" s="106">
        <v>10.9610788242335</v>
      </c>
      <c r="BC58" s="106">
        <v>12903.381991887676</v>
      </c>
      <c r="BD58" s="106">
        <v>10.69906003103506</v>
      </c>
      <c r="BE58" s="106">
        <v>12594.933468534473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3.3438730814633271</v>
      </c>
      <c r="BM58" s="106">
        <v>3936.4073914986288</v>
      </c>
      <c r="BN58" s="106">
        <v>2.8757259059669464</v>
      </c>
      <c r="BO58" s="106">
        <v>3385.3045365042894</v>
      </c>
      <c r="BP58" s="106">
        <v>0.49066367036054248</v>
      </c>
      <c r="BQ58" s="106">
        <v>577.60927274843061</v>
      </c>
      <c r="BR58" s="106">
        <v>0</v>
      </c>
      <c r="BS58" s="106">
        <v>0</v>
      </c>
      <c r="BT58" s="106">
        <v>0</v>
      </c>
      <c r="BU58" s="106">
        <v>0</v>
      </c>
      <c r="BV58" s="106">
        <v>0.72810327695036525</v>
      </c>
      <c r="BW58" s="106">
        <v>857.12317762597002</v>
      </c>
      <c r="BX58" s="106">
        <v>3.9325635689867181E-16</v>
      </c>
      <c r="BY58" s="106">
        <v>4.6294138334111646E-13</v>
      </c>
      <c r="BZ58" s="106">
        <v>0.77604447449675396</v>
      </c>
      <c r="CA58" s="106">
        <v>913.55955537757882</v>
      </c>
      <c r="CB58" s="106">
        <v>1.3846546604712275</v>
      </c>
      <c r="CC58" s="106">
        <v>1630.0154663067292</v>
      </c>
      <c r="CD58" s="106">
        <v>0.80814973320184014</v>
      </c>
      <c r="CE58" s="106">
        <v>951.35386592520626</v>
      </c>
      <c r="CF58" s="106">
        <v>0</v>
      </c>
      <c r="CG58" s="106">
        <v>0</v>
      </c>
      <c r="CH58" s="106">
        <v>1.5468562052171568</v>
      </c>
      <c r="CI58" s="106">
        <v>1820.959124781637</v>
      </c>
      <c r="CJ58" s="106">
        <v>2.6433121294791229</v>
      </c>
      <c r="CK58" s="106">
        <v>3111.7070388228235</v>
      </c>
      <c r="CL58" s="106">
        <v>0</v>
      </c>
      <c r="CM58" s="106">
        <v>0</v>
      </c>
      <c r="CN58" s="106">
        <v>3.2734614946960918</v>
      </c>
      <c r="CO58" s="106">
        <v>3853.5188715562394</v>
      </c>
      <c r="CP58" s="106">
        <v>1.2665265770430758</v>
      </c>
      <c r="CQ58" s="106">
        <v>1490.9550864951088</v>
      </c>
      <c r="CR58" s="106">
        <v>1.3838705520495096</v>
      </c>
      <c r="CS58" s="106">
        <v>1629.0924138726828</v>
      </c>
      <c r="CT58" s="106">
        <v>0.7168143601678677</v>
      </c>
      <c r="CU58" s="106">
        <v>843.83386478961393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1.8892141468995562</v>
      </c>
      <c r="M59" s="106">
        <v>573.56541499870525</v>
      </c>
      <c r="N59" s="106">
        <v>0.42643002716632106</v>
      </c>
      <c r="O59" s="106">
        <v>129.46415624769506</v>
      </c>
      <c r="P59" s="106">
        <v>0.31761900366072182</v>
      </c>
      <c r="Q59" s="106">
        <v>96.429129511395132</v>
      </c>
      <c r="R59" s="106">
        <v>0.44375156290477363</v>
      </c>
      <c r="S59" s="106">
        <v>134.72297449788925</v>
      </c>
      <c r="T59" s="106">
        <v>0</v>
      </c>
      <c r="U59" s="106">
        <v>0</v>
      </c>
      <c r="V59" s="106">
        <v>3.1445702403182776</v>
      </c>
      <c r="W59" s="106">
        <v>954.69152496062895</v>
      </c>
      <c r="X59" s="106">
        <v>1.2930970030812843</v>
      </c>
      <c r="Y59" s="106">
        <v>392.58425013547787</v>
      </c>
      <c r="Z59" s="106">
        <v>1.3753159529586598</v>
      </c>
      <c r="AA59" s="106">
        <v>417.54592331824909</v>
      </c>
      <c r="AB59" s="106">
        <v>0</v>
      </c>
      <c r="AC59" s="106">
        <v>0</v>
      </c>
      <c r="AD59" s="106">
        <v>0.41720192395117156</v>
      </c>
      <c r="AE59" s="106">
        <v>126.66250411157567</v>
      </c>
      <c r="AF59" s="106">
        <v>4.1653241888500103</v>
      </c>
      <c r="AG59" s="106">
        <v>1264.5924237348629</v>
      </c>
      <c r="AH59" s="106">
        <v>0.26687070695348031</v>
      </c>
      <c r="AI59" s="106">
        <v>81.021946631076617</v>
      </c>
      <c r="AJ59" s="106">
        <v>0</v>
      </c>
      <c r="AK59" s="106">
        <v>0</v>
      </c>
      <c r="AL59" s="106">
        <v>8</v>
      </c>
      <c r="AM59" s="106">
        <v>2428.7999999999997</v>
      </c>
      <c r="AN59" s="106">
        <v>9.230880416305002</v>
      </c>
      <c r="AO59" s="106">
        <v>2802.4952943901981</v>
      </c>
      <c r="AP59" s="106">
        <v>1.2303201666386578</v>
      </c>
      <c r="AQ59" s="106">
        <v>373.52520259149645</v>
      </c>
      <c r="AR59" s="106">
        <v>7.6003405814161118</v>
      </c>
      <c r="AS59" s="106">
        <v>2307.4634005179314</v>
      </c>
      <c r="AT59" s="106">
        <v>6.4861750029719323</v>
      </c>
      <c r="AU59" s="106">
        <v>1969.2027309022785</v>
      </c>
      <c r="AV59" s="106">
        <v>8.1035764924218174</v>
      </c>
      <c r="AW59" s="106">
        <v>2460.2458230992634</v>
      </c>
      <c r="AX59" s="106">
        <v>9.2268844891240924</v>
      </c>
      <c r="AY59" s="106">
        <v>2801.2821308980742</v>
      </c>
      <c r="AZ59" s="106">
        <v>23.994460589786513</v>
      </c>
      <c r="BA59" s="106">
        <v>7284.7182350591847</v>
      </c>
      <c r="BB59" s="106">
        <v>0</v>
      </c>
      <c r="BC59" s="106">
        <v>0</v>
      </c>
      <c r="BD59" s="106">
        <v>15.358853302727606</v>
      </c>
      <c r="BE59" s="106">
        <v>4662.9478627081007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9.2035184561897587</v>
      </c>
      <c r="BM59" s="106">
        <v>2794.1882032992103</v>
      </c>
      <c r="BN59" s="106">
        <v>4.7766590439461973</v>
      </c>
      <c r="BO59" s="106">
        <v>1450.1936857420653</v>
      </c>
      <c r="BP59" s="106">
        <v>3</v>
      </c>
      <c r="BQ59" s="106">
        <v>910.8</v>
      </c>
      <c r="BR59" s="106">
        <v>1.832582167498912</v>
      </c>
      <c r="BS59" s="106">
        <v>556.37194605266961</v>
      </c>
      <c r="BT59" s="106">
        <v>2.0305702286138718</v>
      </c>
      <c r="BU59" s="106">
        <v>616.48112140717137</v>
      </c>
      <c r="BV59" s="106">
        <v>0</v>
      </c>
      <c r="BW59" s="106">
        <v>0</v>
      </c>
      <c r="BX59" s="106">
        <v>10.884494885560994</v>
      </c>
      <c r="BY59" s="106">
        <v>3304.5326472563174</v>
      </c>
      <c r="BZ59" s="106">
        <v>3.3816260772604738</v>
      </c>
      <c r="CA59" s="106">
        <v>1026.6616770562798</v>
      </c>
      <c r="CB59" s="106">
        <v>0</v>
      </c>
      <c r="CC59" s="106">
        <v>0</v>
      </c>
      <c r="CD59" s="106">
        <v>5.3932421697307786</v>
      </c>
      <c r="CE59" s="106">
        <v>1637.3883227302642</v>
      </c>
      <c r="CF59" s="106">
        <v>0</v>
      </c>
      <c r="CG59" s="106">
        <v>0</v>
      </c>
      <c r="CH59" s="106">
        <v>0</v>
      </c>
      <c r="CI59" s="106">
        <v>0</v>
      </c>
      <c r="CJ59" s="106">
        <v>4.8723290580769127</v>
      </c>
      <c r="CK59" s="106">
        <v>1479.2391020321506</v>
      </c>
      <c r="CL59" s="106">
        <v>2.2122076470969838</v>
      </c>
      <c r="CM59" s="106">
        <v>671.62624165864418</v>
      </c>
      <c r="CN59" s="106">
        <v>4.7343189933588823</v>
      </c>
      <c r="CO59" s="106">
        <v>1437.3392463837565</v>
      </c>
      <c r="CP59" s="106">
        <v>0</v>
      </c>
      <c r="CQ59" s="106">
        <v>0</v>
      </c>
      <c r="CR59" s="106">
        <v>0</v>
      </c>
      <c r="CS59" s="106">
        <v>0</v>
      </c>
      <c r="CT59" s="106">
        <v>2.6816882027047972</v>
      </c>
      <c r="CU59" s="106">
        <v>814.16053834117633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1.8892141468995562</v>
      </c>
      <c r="M60" s="106">
        <v>1231.011938119751</v>
      </c>
      <c r="N60" s="106">
        <v>0.34161886150947529</v>
      </c>
      <c r="O60" s="106">
        <v>222.59885015957411</v>
      </c>
      <c r="P60" s="106">
        <v>0.31756164939570564</v>
      </c>
      <c r="Q60" s="106">
        <v>206.92317074624179</v>
      </c>
      <c r="R60" s="106">
        <v>0.44364112417178664</v>
      </c>
      <c r="S60" s="106">
        <v>289.07655651033616</v>
      </c>
      <c r="T60" s="106">
        <v>0</v>
      </c>
      <c r="U60" s="106">
        <v>0</v>
      </c>
      <c r="V60" s="106">
        <v>2.8780812369014748</v>
      </c>
      <c r="W60" s="106">
        <v>1875.357733965001</v>
      </c>
      <c r="X60" s="106">
        <v>1.2334156029390713</v>
      </c>
      <c r="Y60" s="106">
        <v>803.69360687509891</v>
      </c>
      <c r="Z60" s="106">
        <v>1.3541572459900653</v>
      </c>
      <c r="AA60" s="106">
        <v>882.36886148712654</v>
      </c>
      <c r="AB60" s="106">
        <v>0</v>
      </c>
      <c r="AC60" s="106">
        <v>0</v>
      </c>
      <c r="AD60" s="106">
        <v>0.41720192395117156</v>
      </c>
      <c r="AE60" s="106">
        <v>271.84877364658342</v>
      </c>
      <c r="AF60" s="106">
        <v>3.4711034907083427</v>
      </c>
      <c r="AG60" s="106">
        <v>2261.7710345455562</v>
      </c>
      <c r="AH60" s="106">
        <v>0.29355777764882834</v>
      </c>
      <c r="AI60" s="106">
        <v>191.28224791597657</v>
      </c>
      <c r="AJ60" s="106">
        <v>0</v>
      </c>
      <c r="AK60" s="106">
        <v>0</v>
      </c>
      <c r="AL60" s="106">
        <v>9</v>
      </c>
      <c r="AM60" s="106">
        <v>5864.4000000000005</v>
      </c>
      <c r="AN60" s="106">
        <v>9.1924003469208344</v>
      </c>
      <c r="AO60" s="106">
        <v>5989.7680660536162</v>
      </c>
      <c r="AP60" s="106">
        <v>1.4763841999663896</v>
      </c>
      <c r="AQ60" s="106">
        <v>962.01194469809946</v>
      </c>
      <c r="AR60" s="106">
        <v>6.5553098996304584</v>
      </c>
      <c r="AS60" s="106">
        <v>4271.4399305992065</v>
      </c>
      <c r="AT60" s="106">
        <v>7.2068611144132575</v>
      </c>
      <c r="AU60" s="106">
        <v>4695.9907021516783</v>
      </c>
      <c r="AV60" s="106">
        <v>7.1004801104737147</v>
      </c>
      <c r="AW60" s="106">
        <v>4626.6728399846725</v>
      </c>
      <c r="AX60" s="106">
        <v>8.1890704076034098</v>
      </c>
      <c r="AY60" s="106">
        <v>5335.9982775943818</v>
      </c>
      <c r="AZ60" s="106">
        <v>22.21225629324169</v>
      </c>
      <c r="BA60" s="106">
        <v>14473.506200676286</v>
      </c>
      <c r="BB60" s="106">
        <v>0</v>
      </c>
      <c r="BC60" s="106">
        <v>0</v>
      </c>
      <c r="BD60" s="106">
        <v>14.1902448992592</v>
      </c>
      <c r="BE60" s="106">
        <v>9246.3635763572947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8.628298552677899</v>
      </c>
      <c r="BM60" s="106">
        <v>5622.1993369249194</v>
      </c>
      <c r="BN60" s="106">
        <v>4.7766590439461973</v>
      </c>
      <c r="BO60" s="106">
        <v>3112.4710330353423</v>
      </c>
      <c r="BP60" s="106">
        <v>2</v>
      </c>
      <c r="BQ60" s="106">
        <v>1303.2</v>
      </c>
      <c r="BR60" s="106">
        <v>1.832582167498912</v>
      </c>
      <c r="BS60" s="106">
        <v>1194.1105403422912</v>
      </c>
      <c r="BT60" s="106">
        <v>2.0305702286138718</v>
      </c>
      <c r="BU60" s="106">
        <v>1323.1195609647989</v>
      </c>
      <c r="BV60" s="106">
        <v>0</v>
      </c>
      <c r="BW60" s="106">
        <v>0</v>
      </c>
      <c r="BX60" s="106">
        <v>9.9774536450975759</v>
      </c>
      <c r="BY60" s="106">
        <v>6501.3087951455809</v>
      </c>
      <c r="BZ60" s="106">
        <v>3.3810289962886859</v>
      </c>
      <c r="CA60" s="106">
        <v>2203.0784939817077</v>
      </c>
      <c r="CB60" s="106">
        <v>0</v>
      </c>
      <c r="CC60" s="106">
        <v>0</v>
      </c>
      <c r="CD60" s="106">
        <v>5.3932421697307786</v>
      </c>
      <c r="CE60" s="106">
        <v>3514.2365977965756</v>
      </c>
      <c r="CF60" s="106">
        <v>0</v>
      </c>
      <c r="CG60" s="106">
        <v>0</v>
      </c>
      <c r="CH60" s="106">
        <v>0</v>
      </c>
      <c r="CI60" s="106">
        <v>0</v>
      </c>
      <c r="CJ60" s="106">
        <v>4.8723290580769127</v>
      </c>
      <c r="CK60" s="106">
        <v>3174.8096142429163</v>
      </c>
      <c r="CL60" s="106">
        <v>1.8605786190912592</v>
      </c>
      <c r="CM60" s="106">
        <v>1212.3530281998646</v>
      </c>
      <c r="CN60" s="106">
        <v>4.2673304948009081</v>
      </c>
      <c r="CO60" s="106">
        <v>2780.592550412272</v>
      </c>
      <c r="CP60" s="106">
        <v>0</v>
      </c>
      <c r="CQ60" s="106">
        <v>0</v>
      </c>
      <c r="CR60" s="106">
        <v>0</v>
      </c>
      <c r="CS60" s="106">
        <v>0</v>
      </c>
      <c r="CT60" s="106">
        <v>2.6816882027047972</v>
      </c>
      <c r="CU60" s="106">
        <v>1747.3880328824459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1.8892141468995562</v>
      </c>
      <c r="M61" s="106">
        <v>1797.7761821896177</v>
      </c>
      <c r="N61" s="106">
        <v>0.42654873711042568</v>
      </c>
      <c r="O61" s="106">
        <v>405.90377823428105</v>
      </c>
      <c r="P61" s="106">
        <v>0.31756164939570564</v>
      </c>
      <c r="Q61" s="106">
        <v>302.19166556495344</v>
      </c>
      <c r="R61" s="106">
        <v>0.44375145135895827</v>
      </c>
      <c r="S61" s="106">
        <v>422.27388111318464</v>
      </c>
      <c r="T61" s="106">
        <v>0</v>
      </c>
      <c r="U61" s="106">
        <v>0</v>
      </c>
      <c r="V61" s="106">
        <v>2.5582944328013104</v>
      </c>
      <c r="W61" s="106">
        <v>2434.472982253727</v>
      </c>
      <c r="X61" s="106">
        <v>1.173734202796858</v>
      </c>
      <c r="Y61" s="106">
        <v>1116.9254673814901</v>
      </c>
      <c r="Z61" s="106">
        <v>1.100252762366928</v>
      </c>
      <c r="AA61" s="106">
        <v>1047.0005286683686</v>
      </c>
      <c r="AB61" s="106">
        <v>0</v>
      </c>
      <c r="AC61" s="106">
        <v>0</v>
      </c>
      <c r="AD61" s="106">
        <v>0.36505168345727512</v>
      </c>
      <c r="AE61" s="106">
        <v>347.38318197794297</v>
      </c>
      <c r="AF61" s="106">
        <v>3.4711034907083427</v>
      </c>
      <c r="AG61" s="106">
        <v>3303.1020817580584</v>
      </c>
      <c r="AH61" s="106">
        <v>0.26687070695348031</v>
      </c>
      <c r="AI61" s="106">
        <v>253.95416473693183</v>
      </c>
      <c r="AJ61" s="106">
        <v>0</v>
      </c>
      <c r="AK61" s="106">
        <v>0</v>
      </c>
      <c r="AL61" s="106">
        <v>8</v>
      </c>
      <c r="AM61" s="106">
        <v>7612.7999999999993</v>
      </c>
      <c r="AN61" s="106">
        <v>8.230880416305002</v>
      </c>
      <c r="AO61" s="106">
        <v>7832.5058041558395</v>
      </c>
      <c r="AP61" s="106">
        <v>1.4763841999663896</v>
      </c>
      <c r="AQ61" s="106">
        <v>1404.9272046880162</v>
      </c>
      <c r="AR61" s="106">
        <v>7.6003405814161118</v>
      </c>
      <c r="AS61" s="106">
        <v>7232.484097275571</v>
      </c>
      <c r="AT61" s="106">
        <v>6.4861750029719323</v>
      </c>
      <c r="AU61" s="106">
        <v>6172.2441328280902</v>
      </c>
      <c r="AV61" s="106">
        <v>7.1035764924218183</v>
      </c>
      <c r="AW61" s="106">
        <v>6759.763390188602</v>
      </c>
      <c r="AX61" s="106">
        <v>8.2079774483637511</v>
      </c>
      <c r="AY61" s="106">
        <v>7810.7113398629444</v>
      </c>
      <c r="AZ61" s="106">
        <v>19.340713500649063</v>
      </c>
      <c r="BA61" s="106">
        <v>18404.622967217645</v>
      </c>
      <c r="BB61" s="106">
        <v>0</v>
      </c>
      <c r="BC61" s="106">
        <v>0</v>
      </c>
      <c r="BD61" s="106">
        <v>13.021636495790798</v>
      </c>
      <c r="BE61" s="106">
        <v>12391.389289394521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8.0530786491660376</v>
      </c>
      <c r="BM61" s="106">
        <v>7663.3096425464009</v>
      </c>
      <c r="BN61" s="106">
        <v>4.7766590439461973</v>
      </c>
      <c r="BO61" s="106">
        <v>4545.4687462192005</v>
      </c>
      <c r="BP61" s="106">
        <v>2</v>
      </c>
      <c r="BQ61" s="106">
        <v>1903.1999999999998</v>
      </c>
      <c r="BR61" s="106">
        <v>1.832582167498912</v>
      </c>
      <c r="BS61" s="106">
        <v>1743.8851905919646</v>
      </c>
      <c r="BT61" s="106">
        <v>2.0305702286138718</v>
      </c>
      <c r="BU61" s="106">
        <v>1932.2906295489602</v>
      </c>
      <c r="BV61" s="106">
        <v>0</v>
      </c>
      <c r="BW61" s="106">
        <v>0</v>
      </c>
      <c r="BX61" s="106">
        <v>9.9774536450975759</v>
      </c>
      <c r="BY61" s="106">
        <v>9494.5448886748527</v>
      </c>
      <c r="BZ61" s="106">
        <v>3.3810289962886859</v>
      </c>
      <c r="CA61" s="106">
        <v>3217.3871928683134</v>
      </c>
      <c r="CB61" s="106">
        <v>0</v>
      </c>
      <c r="CC61" s="106">
        <v>0</v>
      </c>
      <c r="CD61" s="106">
        <v>5.3932421697307786</v>
      </c>
      <c r="CE61" s="106">
        <v>5132.2092487158088</v>
      </c>
      <c r="CF61" s="106">
        <v>0</v>
      </c>
      <c r="CG61" s="106">
        <v>0</v>
      </c>
      <c r="CH61" s="106">
        <v>0</v>
      </c>
      <c r="CI61" s="106">
        <v>0</v>
      </c>
      <c r="CJ61" s="106">
        <v>4.8723290580769127</v>
      </c>
      <c r="CK61" s="106">
        <v>4636.5083316659893</v>
      </c>
      <c r="CL61" s="106">
        <v>1.8608904314851453</v>
      </c>
      <c r="CM61" s="106">
        <v>1770.8233346012642</v>
      </c>
      <c r="CN61" s="106">
        <v>3.8001653513975735</v>
      </c>
      <c r="CO61" s="106">
        <v>3616.2373483899305</v>
      </c>
      <c r="CP61" s="106">
        <v>0</v>
      </c>
      <c r="CQ61" s="106">
        <v>0</v>
      </c>
      <c r="CR61" s="106">
        <v>0</v>
      </c>
      <c r="CS61" s="106">
        <v>0</v>
      </c>
      <c r="CT61" s="106">
        <v>2.6816882027047972</v>
      </c>
      <c r="CU61" s="106">
        <v>2551.8944936938847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1.6193264116281911</v>
      </c>
      <c r="M62" s="106">
        <v>2761.2753971083916</v>
      </c>
      <c r="N62" s="106">
        <v>0.34161886150947529</v>
      </c>
      <c r="O62" s="106">
        <v>582.5284826459573</v>
      </c>
      <c r="P62" s="106">
        <v>0.31756164939570564</v>
      </c>
      <c r="Q62" s="106">
        <v>541.50612454955728</v>
      </c>
      <c r="R62" s="106">
        <v>0.31699705160924779</v>
      </c>
      <c r="S62" s="106">
        <v>540.54337240408938</v>
      </c>
      <c r="T62" s="106">
        <v>0</v>
      </c>
      <c r="U62" s="106">
        <v>0</v>
      </c>
      <c r="V62" s="106">
        <v>2.3984010307512289</v>
      </c>
      <c r="W62" s="106">
        <v>4089.7534376369958</v>
      </c>
      <c r="X62" s="106">
        <v>0.97479620232281439</v>
      </c>
      <c r="Y62" s="106">
        <v>1662.2224842008632</v>
      </c>
      <c r="Z62" s="106">
        <v>0.90982439964957507</v>
      </c>
      <c r="AA62" s="106">
        <v>1551.4325662824554</v>
      </c>
      <c r="AB62" s="106">
        <v>0</v>
      </c>
      <c r="AC62" s="106">
        <v>0</v>
      </c>
      <c r="AD62" s="106">
        <v>0.31290144296337868</v>
      </c>
      <c r="AE62" s="106">
        <v>533.5595405411533</v>
      </c>
      <c r="AF62" s="106">
        <v>3.1239931416375084</v>
      </c>
      <c r="AG62" s="106">
        <v>5327.0331051202793</v>
      </c>
      <c r="AH62" s="106">
        <v>0.2401836362581323</v>
      </c>
      <c r="AI62" s="106">
        <v>409.5611365473672</v>
      </c>
      <c r="AJ62" s="106">
        <v>0</v>
      </c>
      <c r="AK62" s="106">
        <v>0</v>
      </c>
      <c r="AL62" s="106">
        <v>8</v>
      </c>
      <c r="AM62" s="106">
        <v>13641.6</v>
      </c>
      <c r="AN62" s="106">
        <v>8.2116403816129182</v>
      </c>
      <c r="AO62" s="106">
        <v>14002.489178726348</v>
      </c>
      <c r="AP62" s="106">
        <v>1.2303201666386578</v>
      </c>
      <c r="AQ62" s="106">
        <v>2097.9419481522395</v>
      </c>
      <c r="AR62" s="106">
        <v>6.46358834514775</v>
      </c>
      <c r="AS62" s="106">
        <v>11021.710846145943</v>
      </c>
      <c r="AT62" s="106">
        <v>5.7654888915306062</v>
      </c>
      <c r="AU62" s="106">
        <v>9831.3116578379904</v>
      </c>
      <c r="AV62" s="106">
        <v>6.2771295496657507</v>
      </c>
      <c r="AW62" s="106">
        <v>10703.761308090039</v>
      </c>
      <c r="AX62" s="106">
        <v>7.1890704076034098</v>
      </c>
      <c r="AY62" s="106">
        <v>12258.802859045334</v>
      </c>
      <c r="AZ62" s="106">
        <v>15.336862301144146</v>
      </c>
      <c r="BA62" s="106">
        <v>26152.417595911</v>
      </c>
      <c r="BB62" s="106">
        <v>0</v>
      </c>
      <c r="BC62" s="106">
        <v>0</v>
      </c>
      <c r="BD62" s="106">
        <v>12.353860265237422</v>
      </c>
      <c r="BE62" s="106">
        <v>21065.802524282852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8.0530786491660376</v>
      </c>
      <c r="BM62" s="106">
        <v>13732.109712557927</v>
      </c>
      <c r="BN62" s="106">
        <v>4.2989931395515777</v>
      </c>
      <c r="BO62" s="106">
        <v>7330.6431015633507</v>
      </c>
      <c r="BP62" s="106">
        <v>3</v>
      </c>
      <c r="BQ62" s="106">
        <v>5115.6000000000004</v>
      </c>
      <c r="BR62" s="106">
        <v>1.832582167498912</v>
      </c>
      <c r="BS62" s="106">
        <v>3124.9191120191449</v>
      </c>
      <c r="BT62" s="106">
        <v>2.0305702286138718</v>
      </c>
      <c r="BU62" s="106">
        <v>3462.5283538323743</v>
      </c>
      <c r="BV62" s="106">
        <v>0</v>
      </c>
      <c r="BW62" s="106">
        <v>0</v>
      </c>
      <c r="BX62" s="106">
        <v>9.0704124046341619</v>
      </c>
      <c r="BY62" s="106">
        <v>15466.867232382174</v>
      </c>
      <c r="BZ62" s="106">
        <v>3.3607614669567258</v>
      </c>
      <c r="CA62" s="106">
        <v>5730.7704534546092</v>
      </c>
      <c r="CB62" s="106">
        <v>0</v>
      </c>
      <c r="CC62" s="106">
        <v>0</v>
      </c>
      <c r="CD62" s="106">
        <v>4.1486478228698305</v>
      </c>
      <c r="CE62" s="106">
        <v>7074.2742675576355</v>
      </c>
      <c r="CF62" s="106">
        <v>0</v>
      </c>
      <c r="CG62" s="106">
        <v>0</v>
      </c>
      <c r="CH62" s="106">
        <v>0</v>
      </c>
      <c r="CI62" s="106">
        <v>0</v>
      </c>
      <c r="CJ62" s="106">
        <v>4.1762820497802107</v>
      </c>
      <c r="CK62" s="106">
        <v>7121.3961512852156</v>
      </c>
      <c r="CL62" s="106">
        <v>1.8461085952410132</v>
      </c>
      <c r="CM62" s="106">
        <v>3147.9843766049758</v>
      </c>
      <c r="CN62" s="106">
        <v>3.7860723958601694</v>
      </c>
      <c r="CO62" s="106">
        <v>6456.0106494207612</v>
      </c>
      <c r="CP62" s="106">
        <v>0</v>
      </c>
      <c r="CQ62" s="106">
        <v>0</v>
      </c>
      <c r="CR62" s="106">
        <v>0</v>
      </c>
      <c r="CS62" s="106">
        <v>0</v>
      </c>
      <c r="CT62" s="106">
        <v>2.1453505621638378</v>
      </c>
      <c r="CU62" s="106">
        <v>3658.2517786017761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1.8892141468995562</v>
      </c>
      <c r="M63" s="106">
        <v>1503.058775273287</v>
      </c>
      <c r="N63" s="106">
        <v>0.42654873711042568</v>
      </c>
      <c r="O63" s="106">
        <v>339.36217524505469</v>
      </c>
      <c r="P63" s="106">
        <v>0.31761900366072182</v>
      </c>
      <c r="Q63" s="106">
        <v>252.69767931247029</v>
      </c>
      <c r="R63" s="106">
        <v>0.44375133981314291</v>
      </c>
      <c r="S63" s="106">
        <v>353.04856595533653</v>
      </c>
      <c r="T63" s="106">
        <v>0</v>
      </c>
      <c r="U63" s="106">
        <v>0</v>
      </c>
      <c r="V63" s="106">
        <v>2.9846768382681961</v>
      </c>
      <c r="W63" s="106">
        <v>2374.608892526177</v>
      </c>
      <c r="X63" s="106">
        <v>1.074265202559836</v>
      </c>
      <c r="Y63" s="106">
        <v>854.68539515660552</v>
      </c>
      <c r="Z63" s="106">
        <v>1.2906811250842809</v>
      </c>
      <c r="AA63" s="106">
        <v>1026.8659031170539</v>
      </c>
      <c r="AB63" s="106">
        <v>0</v>
      </c>
      <c r="AC63" s="106">
        <v>0</v>
      </c>
      <c r="AD63" s="106">
        <v>0.36505168345727512</v>
      </c>
      <c r="AE63" s="106">
        <v>290.43511935860812</v>
      </c>
      <c r="AF63" s="106">
        <v>4.1653241888500103</v>
      </c>
      <c r="AG63" s="106">
        <v>3313.9319246490682</v>
      </c>
      <c r="AH63" s="106">
        <v>0.26687070695348031</v>
      </c>
      <c r="AI63" s="106">
        <v>212.32233445218893</v>
      </c>
      <c r="AJ63" s="106">
        <v>0</v>
      </c>
      <c r="AK63" s="106">
        <v>0</v>
      </c>
      <c r="AL63" s="106">
        <v>8</v>
      </c>
      <c r="AM63" s="106">
        <v>6364.8</v>
      </c>
      <c r="AN63" s="106">
        <v>9.2116403816129182</v>
      </c>
      <c r="AO63" s="106">
        <v>7328.781087611238</v>
      </c>
      <c r="AP63" s="106">
        <v>1.4763841999663896</v>
      </c>
      <c r="AQ63" s="106">
        <v>1174.6112694932597</v>
      </c>
      <c r="AR63" s="106">
        <v>7.5569700905418609</v>
      </c>
      <c r="AS63" s="106">
        <v>6012.3254040351048</v>
      </c>
      <c r="AT63" s="106">
        <v>7.2068611144132575</v>
      </c>
      <c r="AU63" s="106">
        <v>5733.7787026271881</v>
      </c>
      <c r="AV63" s="106">
        <v>7.1929608818335504</v>
      </c>
      <c r="AW63" s="106">
        <v>5722.7196775867733</v>
      </c>
      <c r="AX63" s="106">
        <v>9.2268844891240924</v>
      </c>
      <c r="AY63" s="106">
        <v>7340.9092995471283</v>
      </c>
      <c r="AZ63" s="106">
        <v>19.334815669746096</v>
      </c>
      <c r="BA63" s="106">
        <v>15382.779346849995</v>
      </c>
      <c r="BB63" s="106">
        <v>0</v>
      </c>
      <c r="BC63" s="106">
        <v>0</v>
      </c>
      <c r="BD63" s="106">
        <v>15.02496518745092</v>
      </c>
      <c r="BE63" s="106">
        <v>11953.862303135953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8.628298552677899</v>
      </c>
      <c r="BM63" s="106">
        <v>6864.6743285105367</v>
      </c>
      <c r="BN63" s="106">
        <v>4.7766590439461973</v>
      </c>
      <c r="BO63" s="106">
        <v>3800.3099353635948</v>
      </c>
      <c r="BP63" s="106">
        <v>3</v>
      </c>
      <c r="BQ63" s="106">
        <v>2386.8000000000002</v>
      </c>
      <c r="BR63" s="106">
        <v>1.832582167498912</v>
      </c>
      <c r="BS63" s="106">
        <v>1458.0023724621344</v>
      </c>
      <c r="BT63" s="106">
        <v>2.0305702286138718</v>
      </c>
      <c r="BU63" s="106">
        <v>1615.5216738851964</v>
      </c>
      <c r="BV63" s="106">
        <v>0</v>
      </c>
      <c r="BW63" s="106">
        <v>0</v>
      </c>
      <c r="BX63" s="106">
        <v>10.884494885560994</v>
      </c>
      <c r="BY63" s="106">
        <v>8659.7041309523265</v>
      </c>
      <c r="BZ63" s="106">
        <v>3.8437371768564539</v>
      </c>
      <c r="CA63" s="106">
        <v>3058.0772979069948</v>
      </c>
      <c r="CB63" s="106">
        <v>0</v>
      </c>
      <c r="CC63" s="106">
        <v>0</v>
      </c>
      <c r="CD63" s="106">
        <v>4.9783773874437962</v>
      </c>
      <c r="CE63" s="106">
        <v>3960.7970494502842</v>
      </c>
      <c r="CF63" s="106">
        <v>0</v>
      </c>
      <c r="CG63" s="106">
        <v>0</v>
      </c>
      <c r="CH63" s="106">
        <v>0</v>
      </c>
      <c r="CI63" s="106">
        <v>0</v>
      </c>
      <c r="CJ63" s="106">
        <v>4.1762820497802107</v>
      </c>
      <c r="CK63" s="106">
        <v>3322.6499988051355</v>
      </c>
      <c r="CL63" s="106">
        <v>2.2267816084118586</v>
      </c>
      <c r="CM63" s="106">
        <v>1771.6274476524748</v>
      </c>
      <c r="CN63" s="106">
        <v>3.8001653513975735</v>
      </c>
      <c r="CO63" s="106">
        <v>3023.4115535719097</v>
      </c>
      <c r="CP63" s="106">
        <v>0</v>
      </c>
      <c r="CQ63" s="106">
        <v>0</v>
      </c>
      <c r="CR63" s="106">
        <v>0</v>
      </c>
      <c r="CS63" s="106">
        <v>0</v>
      </c>
      <c r="CT63" s="106">
        <v>2.6816882027047972</v>
      </c>
      <c r="CU63" s="106">
        <v>2133.5511340719368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1.8892141468995562</v>
      </c>
      <c r="M64" s="106">
        <v>1906.5949170510319</v>
      </c>
      <c r="N64" s="106">
        <v>0.42631131722221649</v>
      </c>
      <c r="O64" s="106">
        <v>430.2333813406608</v>
      </c>
      <c r="P64" s="106">
        <v>0.31761900366072182</v>
      </c>
      <c r="Q64" s="106">
        <v>320.54109849440039</v>
      </c>
      <c r="R64" s="106">
        <v>0.38048474598999765</v>
      </c>
      <c r="S64" s="106">
        <v>383.98520565310554</v>
      </c>
      <c r="T64" s="106">
        <v>0</v>
      </c>
      <c r="U64" s="106">
        <v>0</v>
      </c>
      <c r="V64" s="106">
        <v>2.6648900341680317</v>
      </c>
      <c r="W64" s="106">
        <v>2689.4070224823772</v>
      </c>
      <c r="X64" s="106">
        <v>1.0941590026072405</v>
      </c>
      <c r="Y64" s="106">
        <v>1104.2252654312269</v>
      </c>
      <c r="Z64" s="106">
        <v>1.2695224181156861</v>
      </c>
      <c r="AA64" s="106">
        <v>1281.2020243623501</v>
      </c>
      <c r="AB64" s="106">
        <v>0</v>
      </c>
      <c r="AC64" s="106">
        <v>0</v>
      </c>
      <c r="AD64" s="106">
        <v>0.39112680370422337</v>
      </c>
      <c r="AE64" s="106">
        <v>394.72517029830215</v>
      </c>
      <c r="AF64" s="106">
        <v>3.4711034907083427</v>
      </c>
      <c r="AG64" s="106">
        <v>3503.0376428228587</v>
      </c>
      <c r="AH64" s="106">
        <v>0.26687070695348031</v>
      </c>
      <c r="AI64" s="106">
        <v>269.32591745745231</v>
      </c>
      <c r="AJ64" s="106">
        <v>0</v>
      </c>
      <c r="AK64" s="106">
        <v>0</v>
      </c>
      <c r="AL64" s="106">
        <v>8</v>
      </c>
      <c r="AM64" s="106">
        <v>8073.5999999999985</v>
      </c>
      <c r="AN64" s="106">
        <v>7.2116403816129191</v>
      </c>
      <c r="AO64" s="106">
        <v>7277.9874731237569</v>
      </c>
      <c r="AP64" s="106">
        <v>1.2303201666386578</v>
      </c>
      <c r="AQ64" s="106">
        <v>1241.6391121717334</v>
      </c>
      <c r="AR64" s="106">
        <v>6.5536497087190559</v>
      </c>
      <c r="AS64" s="106">
        <v>6613.9432860392699</v>
      </c>
      <c r="AT64" s="106">
        <v>7.2068611144132575</v>
      </c>
      <c r="AU64" s="106">
        <v>7273.164236665858</v>
      </c>
      <c r="AV64" s="106">
        <v>8.0110957210619826</v>
      </c>
      <c r="AW64" s="106">
        <v>8084.7978016957513</v>
      </c>
      <c r="AX64" s="106">
        <v>8.1890704076034098</v>
      </c>
      <c r="AY64" s="106">
        <v>8264.4098553533604</v>
      </c>
      <c r="AZ64" s="106">
        <v>18.450875173284434</v>
      </c>
      <c r="BA64" s="106">
        <v>18620.623224878647</v>
      </c>
      <c r="BB64" s="106">
        <v>0</v>
      </c>
      <c r="BC64" s="106">
        <v>0</v>
      </c>
      <c r="BD64" s="106">
        <v>12.353860265237422</v>
      </c>
      <c r="BE64" s="106">
        <v>12467.515779677604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9.2035184561897587</v>
      </c>
      <c r="BM64" s="106">
        <v>9288.1908259867032</v>
      </c>
      <c r="BN64" s="106">
        <v>4.2989931395515777</v>
      </c>
      <c r="BO64" s="106">
        <v>4338.5438764354512</v>
      </c>
      <c r="BP64" s="106">
        <v>3</v>
      </c>
      <c r="BQ64" s="106">
        <v>3027.5999999999995</v>
      </c>
      <c r="BR64" s="106">
        <v>1.832582167498912</v>
      </c>
      <c r="BS64" s="106">
        <v>1849.4419234399018</v>
      </c>
      <c r="BT64" s="106">
        <v>2.0305702286138718</v>
      </c>
      <c r="BU64" s="106">
        <v>2049.251474717119</v>
      </c>
      <c r="BV64" s="106">
        <v>0</v>
      </c>
      <c r="BW64" s="106">
        <v>0</v>
      </c>
      <c r="BX64" s="106">
        <v>9.9774536450975759</v>
      </c>
      <c r="BY64" s="106">
        <v>10069.246218632472</v>
      </c>
      <c r="BZ64" s="106">
        <v>3.8435381498658576</v>
      </c>
      <c r="CA64" s="106">
        <v>3878.8987008446229</v>
      </c>
      <c r="CB64" s="106">
        <v>0</v>
      </c>
      <c r="CC64" s="106">
        <v>0</v>
      </c>
      <c r="CD64" s="106">
        <v>4.9783773874437962</v>
      </c>
      <c r="CE64" s="106">
        <v>5024.1784594082783</v>
      </c>
      <c r="CF64" s="106">
        <v>0</v>
      </c>
      <c r="CG64" s="106">
        <v>0</v>
      </c>
      <c r="CH64" s="106">
        <v>0</v>
      </c>
      <c r="CI64" s="106">
        <v>0</v>
      </c>
      <c r="CJ64" s="106">
        <v>4.8723290580769127</v>
      </c>
      <c r="CK64" s="106">
        <v>4917.1544854112199</v>
      </c>
      <c r="CL64" s="106">
        <v>1.8753604553353911</v>
      </c>
      <c r="CM64" s="106">
        <v>1892.6137715244763</v>
      </c>
      <c r="CN64" s="106">
        <v>4.2603281782435465</v>
      </c>
      <c r="CO64" s="106">
        <v>4299.523197483386</v>
      </c>
      <c r="CP64" s="106">
        <v>0</v>
      </c>
      <c r="CQ64" s="106">
        <v>0</v>
      </c>
      <c r="CR64" s="106">
        <v>0</v>
      </c>
      <c r="CS64" s="106">
        <v>0</v>
      </c>
      <c r="CT64" s="106">
        <v>2.6816882027047972</v>
      </c>
      <c r="CU64" s="106">
        <v>2706.3597341696809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1.6193264116281911</v>
      </c>
      <c r="M65" s="106">
        <v>1661.4288983305241</v>
      </c>
      <c r="N65" s="106">
        <v>0.42643002716632106</v>
      </c>
      <c r="O65" s="106">
        <v>437.51720787264543</v>
      </c>
      <c r="P65" s="106">
        <v>0.31761900366072182</v>
      </c>
      <c r="Q65" s="106">
        <v>325.87709775590059</v>
      </c>
      <c r="R65" s="106">
        <v>0.38048452289836693</v>
      </c>
      <c r="S65" s="106">
        <v>390.37712049372448</v>
      </c>
      <c r="T65" s="106">
        <v>0</v>
      </c>
      <c r="U65" s="106">
        <v>0</v>
      </c>
      <c r="V65" s="106">
        <v>2.5049966321179502</v>
      </c>
      <c r="W65" s="106">
        <v>2570.1265445530171</v>
      </c>
      <c r="X65" s="106">
        <v>0.97479620232281439</v>
      </c>
      <c r="Y65" s="106">
        <v>1000.1409035832075</v>
      </c>
      <c r="Z65" s="106">
        <v>1.0579353484297385</v>
      </c>
      <c r="AA65" s="106">
        <v>1085.4416674889117</v>
      </c>
      <c r="AB65" s="106">
        <v>0</v>
      </c>
      <c r="AC65" s="106">
        <v>0</v>
      </c>
      <c r="AD65" s="106">
        <v>0.39112680370422337</v>
      </c>
      <c r="AE65" s="106">
        <v>401.29610060053318</v>
      </c>
      <c r="AF65" s="106">
        <v>3.4711034907083427</v>
      </c>
      <c r="AG65" s="106">
        <v>3561.3521814667597</v>
      </c>
      <c r="AH65" s="106">
        <v>0.26687070695348031</v>
      </c>
      <c r="AI65" s="106">
        <v>273.8093453342708</v>
      </c>
      <c r="AJ65" s="106">
        <v>0</v>
      </c>
      <c r="AK65" s="106">
        <v>0</v>
      </c>
      <c r="AL65" s="106">
        <v>9</v>
      </c>
      <c r="AM65" s="106">
        <v>9234</v>
      </c>
      <c r="AN65" s="106">
        <v>8.1924003469208344</v>
      </c>
      <c r="AO65" s="106">
        <v>8405.4027559407768</v>
      </c>
      <c r="AP65" s="106">
        <v>1.4763841999663896</v>
      </c>
      <c r="AQ65" s="106">
        <v>1514.7701891655156</v>
      </c>
      <c r="AR65" s="106">
        <v>7.5536497087190559</v>
      </c>
      <c r="AS65" s="106">
        <v>7750.0446011457516</v>
      </c>
      <c r="AT65" s="106">
        <v>7.2068611144132575</v>
      </c>
      <c r="AU65" s="106">
        <v>7394.239503388002</v>
      </c>
      <c r="AV65" s="106">
        <v>6.2771295496657507</v>
      </c>
      <c r="AW65" s="106">
        <v>6440.3349179570605</v>
      </c>
      <c r="AX65" s="106">
        <v>8.2079774483637511</v>
      </c>
      <c r="AY65" s="106">
        <v>8421.3848620212084</v>
      </c>
      <c r="AZ65" s="106">
        <v>19.333130575202389</v>
      </c>
      <c r="BA65" s="106">
        <v>19835.79197015765</v>
      </c>
      <c r="BB65" s="106">
        <v>0</v>
      </c>
      <c r="BC65" s="106">
        <v>0</v>
      </c>
      <c r="BD65" s="106">
        <v>13.021636495790798</v>
      </c>
      <c r="BE65" s="106">
        <v>13360.199044681358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7.4778587456541787</v>
      </c>
      <c r="BM65" s="106">
        <v>7672.283073041187</v>
      </c>
      <c r="BN65" s="106">
        <v>4.7766590439461973</v>
      </c>
      <c r="BO65" s="106">
        <v>4900.852179088798</v>
      </c>
      <c r="BP65" s="106">
        <v>2</v>
      </c>
      <c r="BQ65" s="106">
        <v>2052</v>
      </c>
      <c r="BR65" s="106">
        <v>1.832582167498912</v>
      </c>
      <c r="BS65" s="106">
        <v>1880.2293038538837</v>
      </c>
      <c r="BT65" s="106">
        <v>1.3537134857425812</v>
      </c>
      <c r="BU65" s="106">
        <v>1388.9100363718883</v>
      </c>
      <c r="BV65" s="106">
        <v>0</v>
      </c>
      <c r="BW65" s="106">
        <v>0</v>
      </c>
      <c r="BX65" s="106">
        <v>9.0704124046341619</v>
      </c>
      <c r="BY65" s="106">
        <v>9306.2431271546502</v>
      </c>
      <c r="BZ65" s="106">
        <v>3.3812280232792822</v>
      </c>
      <c r="CA65" s="106">
        <v>3469.1399518845437</v>
      </c>
      <c r="CB65" s="106">
        <v>0</v>
      </c>
      <c r="CC65" s="106">
        <v>0</v>
      </c>
      <c r="CD65" s="106">
        <v>4.9783773874437962</v>
      </c>
      <c r="CE65" s="106">
        <v>5107.8151995173348</v>
      </c>
      <c r="CF65" s="106">
        <v>0</v>
      </c>
      <c r="CG65" s="106">
        <v>0</v>
      </c>
      <c r="CH65" s="106">
        <v>0</v>
      </c>
      <c r="CI65" s="106">
        <v>0</v>
      </c>
      <c r="CJ65" s="106">
        <v>4.1762820497802107</v>
      </c>
      <c r="CK65" s="106">
        <v>4284.8653830744961</v>
      </c>
      <c r="CL65" s="106">
        <v>2.2118958347030979</v>
      </c>
      <c r="CM65" s="106">
        <v>2269.4051264053783</v>
      </c>
      <c r="CN65" s="106">
        <v>4.2670655275328677</v>
      </c>
      <c r="CO65" s="106">
        <v>4378.0092312487222</v>
      </c>
      <c r="CP65" s="106">
        <v>0</v>
      </c>
      <c r="CQ65" s="106">
        <v>0</v>
      </c>
      <c r="CR65" s="106">
        <v>0</v>
      </c>
      <c r="CS65" s="106">
        <v>0</v>
      </c>
      <c r="CT65" s="106">
        <v>2.6816882027047972</v>
      </c>
      <c r="CU65" s="106">
        <v>2751.4120959751222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1.8892141468995562</v>
      </c>
      <c r="M66" s="106">
        <v>2248.9205204692316</v>
      </c>
      <c r="N66" s="106">
        <v>0.3413814416212661</v>
      </c>
      <c r="O66" s="106">
        <v>406.38046810595512</v>
      </c>
      <c r="P66" s="106">
        <v>0.31756164939570564</v>
      </c>
      <c r="Q66" s="106">
        <v>378.02538744064793</v>
      </c>
      <c r="R66" s="106">
        <v>0.38037430725701066</v>
      </c>
      <c r="S66" s="106">
        <v>452.79757535874546</v>
      </c>
      <c r="T66" s="106">
        <v>0</v>
      </c>
      <c r="U66" s="106">
        <v>0</v>
      </c>
      <c r="V66" s="106">
        <v>2.8247834362181141</v>
      </c>
      <c r="W66" s="106">
        <v>3362.6222024740428</v>
      </c>
      <c r="X66" s="106">
        <v>0.93500860222800553</v>
      </c>
      <c r="Y66" s="106">
        <v>1113.0342400922177</v>
      </c>
      <c r="Z66" s="106">
        <v>1.0367766414611437</v>
      </c>
      <c r="AA66" s="106">
        <v>1234.1789139953453</v>
      </c>
      <c r="AB66" s="106">
        <v>0</v>
      </c>
      <c r="AC66" s="106">
        <v>0</v>
      </c>
      <c r="AD66" s="106">
        <v>0.33897656321032688</v>
      </c>
      <c r="AE66" s="106">
        <v>403.51770084557307</v>
      </c>
      <c r="AF66" s="106">
        <v>3.8182138397791761</v>
      </c>
      <c r="AG66" s="106">
        <v>4545.201754873131</v>
      </c>
      <c r="AH66" s="106">
        <v>0.26687070695348031</v>
      </c>
      <c r="AI66" s="106">
        <v>317.68288955742293</v>
      </c>
      <c r="AJ66" s="106">
        <v>0</v>
      </c>
      <c r="AK66" s="106">
        <v>0</v>
      </c>
      <c r="AL66" s="106">
        <v>7</v>
      </c>
      <c r="AM66" s="106">
        <v>8332.7999999999993</v>
      </c>
      <c r="AN66" s="106">
        <v>8.2116403816129182</v>
      </c>
      <c r="AO66" s="106">
        <v>9775.136710272016</v>
      </c>
      <c r="AP66" s="106">
        <v>1.4763841999663896</v>
      </c>
      <c r="AQ66" s="106">
        <v>1757.4877516399899</v>
      </c>
      <c r="AR66" s="106">
        <v>6.5553098996304584</v>
      </c>
      <c r="AS66" s="106">
        <v>7803.4409045200964</v>
      </c>
      <c r="AT66" s="106">
        <v>7.2068611144132575</v>
      </c>
      <c r="AU66" s="106">
        <v>8579.0474705975412</v>
      </c>
      <c r="AV66" s="106">
        <v>7.0110957210619826</v>
      </c>
      <c r="AW66" s="106">
        <v>8346.0083463521823</v>
      </c>
      <c r="AX66" s="106">
        <v>8.2079774483637511</v>
      </c>
      <c r="AY66" s="106">
        <v>9770.7763545322086</v>
      </c>
      <c r="AZ66" s="106">
        <v>17.560194298647946</v>
      </c>
      <c r="BA66" s="106">
        <v>20903.655293110514</v>
      </c>
      <c r="BB66" s="106">
        <v>0</v>
      </c>
      <c r="BC66" s="106">
        <v>0</v>
      </c>
      <c r="BD66" s="106">
        <v>12.186916207599078</v>
      </c>
      <c r="BE66" s="106">
        <v>14507.305053525941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8.628298552677899</v>
      </c>
      <c r="BM66" s="106">
        <v>10271.12659710777</v>
      </c>
      <c r="BN66" s="106">
        <v>4.2989931395515777</v>
      </c>
      <c r="BO66" s="106">
        <v>5117.5214333221975</v>
      </c>
      <c r="BP66" s="106">
        <v>2</v>
      </c>
      <c r="BQ66" s="106">
        <v>2380.7999999999997</v>
      </c>
      <c r="BR66" s="106">
        <v>1.832582167498912</v>
      </c>
      <c r="BS66" s="106">
        <v>2181.5058121907045</v>
      </c>
      <c r="BT66" s="106">
        <v>2.0305702286138718</v>
      </c>
      <c r="BU66" s="106">
        <v>2417.1908001419529</v>
      </c>
      <c r="BV66" s="106">
        <v>0</v>
      </c>
      <c r="BW66" s="106">
        <v>0</v>
      </c>
      <c r="BX66" s="106">
        <v>9.9774536450975759</v>
      </c>
      <c r="BY66" s="106">
        <v>11877.160819124154</v>
      </c>
      <c r="BZ66" s="106">
        <v>3.3607614669567258</v>
      </c>
      <c r="CA66" s="106">
        <v>4000.6504502652861</v>
      </c>
      <c r="CB66" s="106">
        <v>0</v>
      </c>
      <c r="CC66" s="106">
        <v>0</v>
      </c>
      <c r="CD66" s="106">
        <v>4.9783773874437962</v>
      </c>
      <c r="CE66" s="106">
        <v>5926.2604420130947</v>
      </c>
      <c r="CF66" s="106">
        <v>0</v>
      </c>
      <c r="CG66" s="106">
        <v>0</v>
      </c>
      <c r="CH66" s="106">
        <v>0</v>
      </c>
      <c r="CI66" s="106">
        <v>0</v>
      </c>
      <c r="CJ66" s="106">
        <v>4.1762820497802107</v>
      </c>
      <c r="CK66" s="106">
        <v>4971.4461520583618</v>
      </c>
      <c r="CL66" s="106">
        <v>1.860682556555888</v>
      </c>
      <c r="CM66" s="106">
        <v>2214.9565153241288</v>
      </c>
      <c r="CN66" s="106">
        <v>4.2602398558208661</v>
      </c>
      <c r="CO66" s="106">
        <v>5071.3895243691586</v>
      </c>
      <c r="CP66" s="106">
        <v>0</v>
      </c>
      <c r="CQ66" s="106">
        <v>0</v>
      </c>
      <c r="CR66" s="106">
        <v>0</v>
      </c>
      <c r="CS66" s="106">
        <v>0</v>
      </c>
      <c r="CT66" s="106">
        <v>2.6816882027047972</v>
      </c>
      <c r="CU66" s="106">
        <v>3192.2816364997902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1.8892141468995562</v>
      </c>
      <c r="M67" s="106">
        <v>2121.9653297975815</v>
      </c>
      <c r="N67" s="106">
        <v>0.34161886150947529</v>
      </c>
      <c r="O67" s="106">
        <v>383.70630524744269</v>
      </c>
      <c r="P67" s="106">
        <v>0.31761900366072182</v>
      </c>
      <c r="Q67" s="106">
        <v>356.74966491172279</v>
      </c>
      <c r="R67" s="106">
        <v>0.38026398006983914</v>
      </c>
      <c r="S67" s="106">
        <v>427.11250241444333</v>
      </c>
      <c r="T67" s="106">
        <v>0</v>
      </c>
      <c r="U67" s="106">
        <v>0</v>
      </c>
      <c r="V67" s="106">
        <v>2.771485635534753</v>
      </c>
      <c r="W67" s="106">
        <v>3112.9326658326349</v>
      </c>
      <c r="X67" s="106">
        <v>1.014583802417623</v>
      </c>
      <c r="Y67" s="106">
        <v>1139.5805268754743</v>
      </c>
      <c r="Z67" s="106">
        <v>1.184887590241307</v>
      </c>
      <c r="AA67" s="106">
        <v>1330.8657413590361</v>
      </c>
      <c r="AB67" s="106">
        <v>0</v>
      </c>
      <c r="AC67" s="106">
        <v>0</v>
      </c>
      <c r="AD67" s="106">
        <v>0.39112680370422337</v>
      </c>
      <c r="AE67" s="106">
        <v>439.31362592058372</v>
      </c>
      <c r="AF67" s="106">
        <v>3.8182138397791761</v>
      </c>
      <c r="AG67" s="106">
        <v>4288.6177848399711</v>
      </c>
      <c r="AH67" s="106">
        <v>0.29355777764882834</v>
      </c>
      <c r="AI67" s="106">
        <v>329.72409585516402</v>
      </c>
      <c r="AJ67" s="106">
        <v>0</v>
      </c>
      <c r="AK67" s="106">
        <v>0</v>
      </c>
      <c r="AL67" s="106">
        <v>9</v>
      </c>
      <c r="AM67" s="106">
        <v>10108.800000000001</v>
      </c>
      <c r="AN67" s="106">
        <v>8.1924003469208344</v>
      </c>
      <c r="AO67" s="106">
        <v>9201.7040696614822</v>
      </c>
      <c r="AP67" s="106">
        <v>1.2303201666386578</v>
      </c>
      <c r="AQ67" s="106">
        <v>1381.8956111685407</v>
      </c>
      <c r="AR67" s="106">
        <v>7.5102792178448059</v>
      </c>
      <c r="AS67" s="106">
        <v>8435.5456174832871</v>
      </c>
      <c r="AT67" s="106">
        <v>7.2068611144132575</v>
      </c>
      <c r="AU67" s="106">
        <v>8094.7464037089712</v>
      </c>
      <c r="AV67" s="106">
        <v>7.0110957210619826</v>
      </c>
      <c r="AW67" s="106">
        <v>7874.8627138968195</v>
      </c>
      <c r="AX67" s="106">
        <v>7.2079774483637511</v>
      </c>
      <c r="AY67" s="106">
        <v>8096.000270002166</v>
      </c>
      <c r="AZ67" s="106">
        <v>17.776545412768172</v>
      </c>
      <c r="BA67" s="106">
        <v>19966.615807621212</v>
      </c>
      <c r="BB67" s="106">
        <v>0</v>
      </c>
      <c r="BC67" s="106">
        <v>0</v>
      </c>
      <c r="BD67" s="106">
        <v>12.186916207599078</v>
      </c>
      <c r="BE67" s="106">
        <v>13688.344284375284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9.2035184561897587</v>
      </c>
      <c r="BM67" s="106">
        <v>10337.391929992338</v>
      </c>
      <c r="BN67" s="106">
        <v>3.8213272351569576</v>
      </c>
      <c r="BO67" s="106">
        <v>4292.1147505282952</v>
      </c>
      <c r="BP67" s="106">
        <v>2</v>
      </c>
      <c r="BQ67" s="106">
        <v>2246.4</v>
      </c>
      <c r="BR67" s="106">
        <v>1.832582167498912</v>
      </c>
      <c r="BS67" s="106">
        <v>2058.3562905347781</v>
      </c>
      <c r="BT67" s="106">
        <v>1.3537134857425812</v>
      </c>
      <c r="BU67" s="106">
        <v>1520.4909871860673</v>
      </c>
      <c r="BV67" s="106">
        <v>0</v>
      </c>
      <c r="BW67" s="106">
        <v>0</v>
      </c>
      <c r="BX67" s="106">
        <v>9.9774536450975759</v>
      </c>
      <c r="BY67" s="106">
        <v>11206.675934173598</v>
      </c>
      <c r="BZ67" s="106">
        <v>3.3609604939473217</v>
      </c>
      <c r="CA67" s="106">
        <v>3775.030826801632</v>
      </c>
      <c r="CB67" s="106">
        <v>0</v>
      </c>
      <c r="CC67" s="106">
        <v>0</v>
      </c>
      <c r="CD67" s="106">
        <v>4.5635126051568129</v>
      </c>
      <c r="CE67" s="106">
        <v>5125.7373581121328</v>
      </c>
      <c r="CF67" s="106">
        <v>0</v>
      </c>
      <c r="CG67" s="106">
        <v>0</v>
      </c>
      <c r="CH67" s="106">
        <v>0</v>
      </c>
      <c r="CI67" s="106">
        <v>0</v>
      </c>
      <c r="CJ67" s="106">
        <v>4.1762820497802107</v>
      </c>
      <c r="CK67" s="106">
        <v>4690.7999983131331</v>
      </c>
      <c r="CL67" s="106">
        <v>1.8754643928000196</v>
      </c>
      <c r="CM67" s="106">
        <v>2106.5216059929821</v>
      </c>
      <c r="CN67" s="106">
        <v>3.7930747124175315</v>
      </c>
      <c r="CO67" s="106">
        <v>4260.3815169873715</v>
      </c>
      <c r="CP67" s="106">
        <v>0</v>
      </c>
      <c r="CQ67" s="106">
        <v>0</v>
      </c>
      <c r="CR67" s="106">
        <v>0</v>
      </c>
      <c r="CS67" s="106">
        <v>0</v>
      </c>
      <c r="CT67" s="106">
        <v>2.6816882027047972</v>
      </c>
      <c r="CU67" s="106">
        <v>3012.0721892780284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1.6193264116281911</v>
      </c>
      <c r="M68" s="106">
        <v>1673.0880484942472</v>
      </c>
      <c r="N68" s="106">
        <v>0.34161886150947529</v>
      </c>
      <c r="O68" s="106">
        <v>352.96060771158989</v>
      </c>
      <c r="P68" s="106">
        <v>0.31761900366072182</v>
      </c>
      <c r="Q68" s="106">
        <v>328.16395458225782</v>
      </c>
      <c r="R68" s="106">
        <v>0.38037441880282608</v>
      </c>
      <c r="S68" s="106">
        <v>393.00284950707993</v>
      </c>
      <c r="T68" s="106">
        <v>0</v>
      </c>
      <c r="U68" s="106">
        <v>0</v>
      </c>
      <c r="V68" s="106">
        <v>2.771485635534753</v>
      </c>
      <c r="W68" s="106">
        <v>2863.4989586345068</v>
      </c>
      <c r="X68" s="106">
        <v>1.1339466027020493</v>
      </c>
      <c r="Y68" s="106">
        <v>1171.5936299117573</v>
      </c>
      <c r="Z68" s="106">
        <v>1.0790940553983333</v>
      </c>
      <c r="AA68" s="106">
        <v>1114.9199780375579</v>
      </c>
      <c r="AB68" s="106">
        <v>0</v>
      </c>
      <c r="AC68" s="106">
        <v>0</v>
      </c>
      <c r="AD68" s="106">
        <v>0.39112680370422337</v>
      </c>
      <c r="AE68" s="106">
        <v>404.1122135872036</v>
      </c>
      <c r="AF68" s="106">
        <v>3.8182138397791761</v>
      </c>
      <c r="AG68" s="106">
        <v>3944.9785392598451</v>
      </c>
      <c r="AH68" s="106">
        <v>0.26687070695348031</v>
      </c>
      <c r="AI68" s="106">
        <v>275.73081442433585</v>
      </c>
      <c r="AJ68" s="106">
        <v>0</v>
      </c>
      <c r="AK68" s="106">
        <v>0</v>
      </c>
      <c r="AL68" s="106">
        <v>8</v>
      </c>
      <c r="AM68" s="106">
        <v>8265.6</v>
      </c>
      <c r="AN68" s="106">
        <v>8.1924003469208344</v>
      </c>
      <c r="AO68" s="106">
        <v>8464.3880384386066</v>
      </c>
      <c r="AP68" s="106">
        <v>1.4763841999663896</v>
      </c>
      <c r="AQ68" s="106">
        <v>1525.4001554052738</v>
      </c>
      <c r="AR68" s="106">
        <v>7.5536497087190559</v>
      </c>
      <c r="AS68" s="106">
        <v>7804.4308790485293</v>
      </c>
      <c r="AT68" s="106">
        <v>6.4861750029719323</v>
      </c>
      <c r="AU68" s="106">
        <v>6701.5160130706008</v>
      </c>
      <c r="AV68" s="106">
        <v>7.0110957210619826</v>
      </c>
      <c r="AW68" s="106">
        <v>7243.8640990012409</v>
      </c>
      <c r="AX68" s="106">
        <v>7.1890704076034098</v>
      </c>
      <c r="AY68" s="106">
        <v>7427.7475451358432</v>
      </c>
      <c r="AZ68" s="106">
        <v>20.659883867166734</v>
      </c>
      <c r="BA68" s="106">
        <v>21345.79201155667</v>
      </c>
      <c r="BB68" s="106">
        <v>0</v>
      </c>
      <c r="BC68" s="106">
        <v>0</v>
      </c>
      <c r="BD68" s="106">
        <v>12.520804322875767</v>
      </c>
      <c r="BE68" s="106">
        <v>12936.495026395243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9.2035184561897587</v>
      </c>
      <c r="BM68" s="106">
        <v>9509.0752689352594</v>
      </c>
      <c r="BN68" s="106">
        <v>4.2989931395515777</v>
      </c>
      <c r="BO68" s="106">
        <v>4441.7197117846899</v>
      </c>
      <c r="BP68" s="106">
        <v>2</v>
      </c>
      <c r="BQ68" s="106">
        <v>2066.4</v>
      </c>
      <c r="BR68" s="106">
        <v>1.832582167498912</v>
      </c>
      <c r="BS68" s="106">
        <v>1893.4238954598759</v>
      </c>
      <c r="BT68" s="106">
        <v>1.3537134857425812</v>
      </c>
      <c r="BU68" s="106">
        <v>1398.6567734692351</v>
      </c>
      <c r="BV68" s="106">
        <v>0</v>
      </c>
      <c r="BW68" s="106">
        <v>0</v>
      </c>
      <c r="BX68" s="106">
        <v>9.0704124046341619</v>
      </c>
      <c r="BY68" s="106">
        <v>9371.5500964680159</v>
      </c>
      <c r="BZ68" s="106">
        <v>3.3810289962886859</v>
      </c>
      <c r="CA68" s="106">
        <v>3493.2791589654703</v>
      </c>
      <c r="CB68" s="106">
        <v>0</v>
      </c>
      <c r="CC68" s="106">
        <v>0</v>
      </c>
      <c r="CD68" s="106">
        <v>4.5635126051568129</v>
      </c>
      <c r="CE68" s="106">
        <v>4715.0212236480193</v>
      </c>
      <c r="CF68" s="106">
        <v>0</v>
      </c>
      <c r="CG68" s="106">
        <v>0</v>
      </c>
      <c r="CH68" s="106">
        <v>0</v>
      </c>
      <c r="CI68" s="106">
        <v>0</v>
      </c>
      <c r="CJ68" s="106">
        <v>4.8723290580769127</v>
      </c>
      <c r="CK68" s="106">
        <v>5034.0903828050668</v>
      </c>
      <c r="CL68" s="106">
        <v>1.8608904314851453</v>
      </c>
      <c r="CM68" s="106">
        <v>1922.6719938104522</v>
      </c>
      <c r="CN68" s="106">
        <v>3.8001653513975735</v>
      </c>
      <c r="CO68" s="106">
        <v>3926.3308410639729</v>
      </c>
      <c r="CP68" s="106">
        <v>0</v>
      </c>
      <c r="CQ68" s="106">
        <v>0</v>
      </c>
      <c r="CR68" s="106">
        <v>0</v>
      </c>
      <c r="CS68" s="106">
        <v>0</v>
      </c>
      <c r="CT68" s="106">
        <v>2.6816882027047972</v>
      </c>
      <c r="CU68" s="106">
        <v>2770.7202510345965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1.8892141468995562</v>
      </c>
      <c r="M69" s="106">
        <v>1432.7800090086234</v>
      </c>
      <c r="N69" s="106">
        <v>0.34150015156537067</v>
      </c>
      <c r="O69" s="106">
        <v>258.99371494717712</v>
      </c>
      <c r="P69" s="106">
        <v>0.31761900366072182</v>
      </c>
      <c r="Q69" s="106">
        <v>240.88225237629143</v>
      </c>
      <c r="R69" s="106">
        <v>0.38037441880282608</v>
      </c>
      <c r="S69" s="106">
        <v>288.47595922006326</v>
      </c>
      <c r="T69" s="106">
        <v>0</v>
      </c>
      <c r="U69" s="106">
        <v>0</v>
      </c>
      <c r="V69" s="106">
        <v>3.0379746389515567</v>
      </c>
      <c r="W69" s="106">
        <v>2303.9999661808606</v>
      </c>
      <c r="X69" s="106">
        <v>1.114052802654645</v>
      </c>
      <c r="Y69" s="106">
        <v>844.8976455332828</v>
      </c>
      <c r="Z69" s="106">
        <v>1.2695224181156861</v>
      </c>
      <c r="AA69" s="106">
        <v>962.80580189893635</v>
      </c>
      <c r="AB69" s="106">
        <v>0</v>
      </c>
      <c r="AC69" s="106">
        <v>0</v>
      </c>
      <c r="AD69" s="106">
        <v>0.36505168345727512</v>
      </c>
      <c r="AE69" s="106">
        <v>276.85519673399745</v>
      </c>
      <c r="AF69" s="106">
        <v>3.4711034907083427</v>
      </c>
      <c r="AG69" s="106">
        <v>2632.4848873532069</v>
      </c>
      <c r="AH69" s="106">
        <v>0.29355777764882834</v>
      </c>
      <c r="AI69" s="106">
        <v>222.6342185688714</v>
      </c>
      <c r="AJ69" s="106">
        <v>0</v>
      </c>
      <c r="AK69" s="106">
        <v>0</v>
      </c>
      <c r="AL69" s="106">
        <v>8</v>
      </c>
      <c r="AM69" s="106">
        <v>6067.2</v>
      </c>
      <c r="AN69" s="106">
        <v>9.1924003469208344</v>
      </c>
      <c r="AO69" s="106">
        <v>6971.5164231047602</v>
      </c>
      <c r="AP69" s="106">
        <v>1.4763841999663896</v>
      </c>
      <c r="AQ69" s="106">
        <v>1119.6897772545099</v>
      </c>
      <c r="AR69" s="106">
        <v>6.5102792178448059</v>
      </c>
      <c r="AS69" s="106">
        <v>4937.3957588135008</v>
      </c>
      <c r="AT69" s="106">
        <v>6.4861750029719323</v>
      </c>
      <c r="AU69" s="106">
        <v>4919.1151222539129</v>
      </c>
      <c r="AV69" s="106">
        <v>7.0110957210619826</v>
      </c>
      <c r="AW69" s="106">
        <v>5317.2149948534079</v>
      </c>
      <c r="AX69" s="106">
        <v>9.2079774483637511</v>
      </c>
      <c r="AY69" s="106">
        <v>6983.3300968390686</v>
      </c>
      <c r="AZ69" s="106">
        <v>22.661809466919198</v>
      </c>
      <c r="BA69" s="106">
        <v>17186.716299711519</v>
      </c>
      <c r="BB69" s="106">
        <v>0</v>
      </c>
      <c r="BC69" s="106">
        <v>0</v>
      </c>
      <c r="BD69" s="106">
        <v>15.191909245089263</v>
      </c>
      <c r="BE69" s="106">
        <v>11521.543971475698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8.0530786491660376</v>
      </c>
      <c r="BM69" s="106">
        <v>6107.4548475275224</v>
      </c>
      <c r="BN69" s="106">
        <v>4.2989931395515777</v>
      </c>
      <c r="BO69" s="106">
        <v>3260.3563970359164</v>
      </c>
      <c r="BP69" s="106">
        <v>3</v>
      </c>
      <c r="BQ69" s="106">
        <v>2275.1999999999998</v>
      </c>
      <c r="BR69" s="106">
        <v>1.832582167498912</v>
      </c>
      <c r="BS69" s="106">
        <v>1389.8303158311749</v>
      </c>
      <c r="BT69" s="106">
        <v>1.3537134857425812</v>
      </c>
      <c r="BU69" s="106">
        <v>1026.6563075871736</v>
      </c>
      <c r="BV69" s="106">
        <v>0</v>
      </c>
      <c r="BW69" s="106">
        <v>0</v>
      </c>
      <c r="BX69" s="106">
        <v>9.9774536450975759</v>
      </c>
      <c r="BY69" s="106">
        <v>7566.9008444420015</v>
      </c>
      <c r="BZ69" s="106">
        <v>3.8435381498658576</v>
      </c>
      <c r="CA69" s="106">
        <v>2914.9393328582664</v>
      </c>
      <c r="CB69" s="106">
        <v>0</v>
      </c>
      <c r="CC69" s="106">
        <v>0</v>
      </c>
      <c r="CD69" s="106">
        <v>4.9783773874437962</v>
      </c>
      <c r="CE69" s="106">
        <v>3775.601410637375</v>
      </c>
      <c r="CF69" s="106">
        <v>0</v>
      </c>
      <c r="CG69" s="106">
        <v>0</v>
      </c>
      <c r="CH69" s="106">
        <v>0</v>
      </c>
      <c r="CI69" s="106">
        <v>0</v>
      </c>
      <c r="CJ69" s="106">
        <v>4.8723290580769127</v>
      </c>
      <c r="CK69" s="106">
        <v>3695.1743576455306</v>
      </c>
      <c r="CL69" s="106">
        <v>1.8755683302646484</v>
      </c>
      <c r="CM69" s="106">
        <v>1422.4310216727092</v>
      </c>
      <c r="CN69" s="106">
        <v>3.7930747124175315</v>
      </c>
      <c r="CO69" s="106">
        <v>2876.6678618974556</v>
      </c>
      <c r="CP69" s="106">
        <v>0</v>
      </c>
      <c r="CQ69" s="106">
        <v>0</v>
      </c>
      <c r="CR69" s="106">
        <v>0</v>
      </c>
      <c r="CS69" s="106">
        <v>0</v>
      </c>
      <c r="CT69" s="106">
        <v>2.6816882027047972</v>
      </c>
      <c r="CU69" s="106">
        <v>2033.7923329313182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1.8892141468995562</v>
      </c>
      <c r="M70" s="106">
        <v>1011.1074114206424</v>
      </c>
      <c r="N70" s="106">
        <v>0.42631131722221649</v>
      </c>
      <c r="O70" s="106">
        <v>228.16181697733023</v>
      </c>
      <c r="P70" s="106">
        <v>0.38097074159781769</v>
      </c>
      <c r="Q70" s="106">
        <v>203.89554090315201</v>
      </c>
      <c r="R70" s="106">
        <v>0.38037430725701066</v>
      </c>
      <c r="S70" s="106">
        <v>203.57632924395207</v>
      </c>
      <c r="T70" s="106">
        <v>0</v>
      </c>
      <c r="U70" s="106">
        <v>0</v>
      </c>
      <c r="V70" s="106">
        <v>3.1978680410016387</v>
      </c>
      <c r="W70" s="106">
        <v>1711.4989755440768</v>
      </c>
      <c r="X70" s="106">
        <v>1.3129908031286885</v>
      </c>
      <c r="Y70" s="106">
        <v>702.71267783447399</v>
      </c>
      <c r="Z70" s="106">
        <v>1.3753159529586598</v>
      </c>
      <c r="AA70" s="106">
        <v>736.06909802347468</v>
      </c>
      <c r="AB70" s="106">
        <v>0</v>
      </c>
      <c r="AC70" s="106">
        <v>0</v>
      </c>
      <c r="AD70" s="106">
        <v>0.39112680370422337</v>
      </c>
      <c r="AE70" s="106">
        <v>209.33106534250032</v>
      </c>
      <c r="AF70" s="106">
        <v>3.8182138397791761</v>
      </c>
      <c r="AG70" s="106">
        <v>2043.5080470498149</v>
      </c>
      <c r="AH70" s="106">
        <v>0.26687070695348031</v>
      </c>
      <c r="AI70" s="106">
        <v>142.82920236150264</v>
      </c>
      <c r="AJ70" s="106">
        <v>0</v>
      </c>
      <c r="AK70" s="106">
        <v>0</v>
      </c>
      <c r="AL70" s="106">
        <v>8</v>
      </c>
      <c r="AM70" s="106">
        <v>4281.5999999999995</v>
      </c>
      <c r="AN70" s="106">
        <v>8.2116403816129182</v>
      </c>
      <c r="AO70" s="106">
        <v>4394.8699322392331</v>
      </c>
      <c r="AP70" s="106">
        <v>1.2303201666386578</v>
      </c>
      <c r="AQ70" s="106">
        <v>658.46735318500964</v>
      </c>
      <c r="AR70" s="106">
        <v>7.6003405814161118</v>
      </c>
      <c r="AS70" s="106">
        <v>4067.7022791739023</v>
      </c>
      <c r="AT70" s="106">
        <v>7.2068611144132575</v>
      </c>
      <c r="AU70" s="106">
        <v>3857.1120684339749</v>
      </c>
      <c r="AV70" s="106">
        <v>8.1035764924218174</v>
      </c>
      <c r="AW70" s="106">
        <v>4337.0341387441558</v>
      </c>
      <c r="AX70" s="106">
        <v>9.1890704076034098</v>
      </c>
      <c r="AY70" s="106">
        <v>4917.9904821493446</v>
      </c>
      <c r="AZ70" s="106">
        <v>24.662892519399801</v>
      </c>
      <c r="BA70" s="106">
        <v>13199.580076382772</v>
      </c>
      <c r="BB70" s="106">
        <v>0</v>
      </c>
      <c r="BC70" s="106">
        <v>0</v>
      </c>
      <c r="BD70" s="106">
        <v>15.02496518745092</v>
      </c>
      <c r="BE70" s="106">
        <v>8041.3613683237318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9.2035184561897587</v>
      </c>
      <c r="BM70" s="106">
        <v>4925.7230777527584</v>
      </c>
      <c r="BN70" s="106">
        <v>4.7766590439461973</v>
      </c>
      <c r="BO70" s="106">
        <v>2556.4679203200044</v>
      </c>
      <c r="BP70" s="106">
        <v>3</v>
      </c>
      <c r="BQ70" s="106">
        <v>1605.6</v>
      </c>
      <c r="BR70" s="106">
        <v>1.832582167498912</v>
      </c>
      <c r="BS70" s="106">
        <v>980.79797604541761</v>
      </c>
      <c r="BT70" s="106">
        <v>2.0305702286138718</v>
      </c>
      <c r="BU70" s="106">
        <v>1086.761186354144</v>
      </c>
      <c r="BV70" s="106">
        <v>0</v>
      </c>
      <c r="BW70" s="106">
        <v>0</v>
      </c>
      <c r="BX70" s="106">
        <v>9.9774536450975759</v>
      </c>
      <c r="BY70" s="106">
        <v>5339.9331908562217</v>
      </c>
      <c r="BZ70" s="106">
        <v>3.8437371768564539</v>
      </c>
      <c r="CA70" s="106">
        <v>2057.1681370535739</v>
      </c>
      <c r="CB70" s="106">
        <v>0</v>
      </c>
      <c r="CC70" s="106">
        <v>0</v>
      </c>
      <c r="CD70" s="106">
        <v>4.5635126051568129</v>
      </c>
      <c r="CE70" s="106">
        <v>2442.3919462799258</v>
      </c>
      <c r="CF70" s="106">
        <v>0</v>
      </c>
      <c r="CG70" s="106">
        <v>0</v>
      </c>
      <c r="CH70" s="106">
        <v>0</v>
      </c>
      <c r="CI70" s="106">
        <v>0</v>
      </c>
      <c r="CJ70" s="106">
        <v>4.8723290580769127</v>
      </c>
      <c r="CK70" s="106">
        <v>2607.6705118827635</v>
      </c>
      <c r="CL70" s="106">
        <v>1.8755683302646484</v>
      </c>
      <c r="CM70" s="106">
        <v>1003.8041703576397</v>
      </c>
      <c r="CN70" s="106">
        <v>3.8000770289748944</v>
      </c>
      <c r="CO70" s="106">
        <v>2033.8012259073632</v>
      </c>
      <c r="CP70" s="106">
        <v>0</v>
      </c>
      <c r="CQ70" s="106">
        <v>0</v>
      </c>
      <c r="CR70" s="106">
        <v>0</v>
      </c>
      <c r="CS70" s="106">
        <v>0</v>
      </c>
      <c r="CT70" s="106">
        <v>2.6816882027047972</v>
      </c>
      <c r="CU70" s="106">
        <v>1435.2395260876074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0.26260607288211413</v>
      </c>
      <c r="I71" s="106">
        <v>148.10982510551236</v>
      </c>
      <c r="J71" s="106">
        <v>0</v>
      </c>
      <c r="K71" s="106">
        <v>0</v>
      </c>
      <c r="L71" s="106">
        <v>1.7802559693897004</v>
      </c>
      <c r="M71" s="106">
        <v>1004.0643667357911</v>
      </c>
      <c r="N71" s="106">
        <v>1.0150028136529394</v>
      </c>
      <c r="O71" s="106">
        <v>572.46158690025788</v>
      </c>
      <c r="P71" s="106">
        <v>0</v>
      </c>
      <c r="Q71" s="106">
        <v>0</v>
      </c>
      <c r="R71" s="106">
        <v>0.57171634206938471</v>
      </c>
      <c r="S71" s="106">
        <v>322.44801692713298</v>
      </c>
      <c r="T71" s="106">
        <v>0.18480084160276916</v>
      </c>
      <c r="U71" s="106">
        <v>104.22767466396181</v>
      </c>
      <c r="V71" s="106">
        <v>0.42676179122818259</v>
      </c>
      <c r="W71" s="106">
        <v>240.69365025269497</v>
      </c>
      <c r="X71" s="106">
        <v>0</v>
      </c>
      <c r="Y71" s="106">
        <v>0</v>
      </c>
      <c r="Z71" s="106">
        <v>0</v>
      </c>
      <c r="AA71" s="106">
        <v>0</v>
      </c>
      <c r="AB71" s="106">
        <v>0.80962626156188355</v>
      </c>
      <c r="AC71" s="106">
        <v>456.62921152090235</v>
      </c>
      <c r="AD71" s="106">
        <v>0.2661842772682787</v>
      </c>
      <c r="AE71" s="106">
        <v>150.12793237930919</v>
      </c>
      <c r="AF71" s="106">
        <v>0</v>
      </c>
      <c r="AG71" s="106">
        <v>0</v>
      </c>
      <c r="AH71" s="106">
        <v>0</v>
      </c>
      <c r="AI71" s="106">
        <v>0</v>
      </c>
      <c r="AJ71" s="106">
        <v>5.6968717867972982</v>
      </c>
      <c r="AK71" s="106">
        <v>3213.035687753676</v>
      </c>
      <c r="AL71" s="106">
        <v>11.356641153807452</v>
      </c>
      <c r="AM71" s="106">
        <v>6405.1456107474032</v>
      </c>
      <c r="AN71" s="106">
        <v>5.3524751710577592</v>
      </c>
      <c r="AO71" s="106">
        <v>3018.795996476576</v>
      </c>
      <c r="AP71" s="106">
        <v>9.5216996600335566</v>
      </c>
      <c r="AQ71" s="106">
        <v>5370.2386082589255</v>
      </c>
      <c r="AR71" s="106">
        <v>3.5741142207736045</v>
      </c>
      <c r="AS71" s="106">
        <v>2015.8004205163129</v>
      </c>
      <c r="AT71" s="106">
        <v>3.4484880088768706</v>
      </c>
      <c r="AU71" s="106">
        <v>1944.947237006555</v>
      </c>
      <c r="AV71" s="106">
        <v>0</v>
      </c>
      <c r="AW71" s="106">
        <v>0</v>
      </c>
      <c r="AX71" s="106">
        <v>4.2830855317876448</v>
      </c>
      <c r="AY71" s="106">
        <v>2415.6602399282315</v>
      </c>
      <c r="AZ71" s="106">
        <v>0</v>
      </c>
      <c r="BA71" s="106">
        <v>0</v>
      </c>
      <c r="BB71" s="106">
        <v>0.26097806724365474</v>
      </c>
      <c r="BC71" s="106">
        <v>147.19162992542127</v>
      </c>
      <c r="BD71" s="106">
        <v>0.25473952454845383</v>
      </c>
      <c r="BE71" s="106">
        <v>143.67309184532797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4.7769615449476106</v>
      </c>
      <c r="BM71" s="106">
        <v>2694.2063113504523</v>
      </c>
      <c r="BN71" s="106">
        <v>3.7384436777570302</v>
      </c>
      <c r="BO71" s="106">
        <v>2108.4822342549651</v>
      </c>
      <c r="BP71" s="106">
        <v>6.7057368282607479</v>
      </c>
      <c r="BQ71" s="106">
        <v>3782.0355711390616</v>
      </c>
      <c r="BR71" s="106">
        <v>0</v>
      </c>
      <c r="BS71" s="106">
        <v>0</v>
      </c>
      <c r="BT71" s="106">
        <v>0</v>
      </c>
      <c r="BU71" s="106">
        <v>0</v>
      </c>
      <c r="BV71" s="106">
        <v>21.114995031560593</v>
      </c>
      <c r="BW71" s="106">
        <v>11908.857197800175</v>
      </c>
      <c r="BX71" s="106">
        <v>1.3585219601954118E-15</v>
      </c>
      <c r="BY71" s="106">
        <v>7.6620638555021227E-13</v>
      </c>
      <c r="BZ71" s="106">
        <v>6.5409462850440701</v>
      </c>
      <c r="CA71" s="106">
        <v>3689.0937047648554</v>
      </c>
      <c r="CB71" s="106">
        <v>8.7035435801048582</v>
      </c>
      <c r="CC71" s="106">
        <v>4908.7985791791398</v>
      </c>
      <c r="CD71" s="106">
        <v>3.4190950250847085</v>
      </c>
      <c r="CE71" s="106">
        <v>1928.3695941477756</v>
      </c>
      <c r="CF71" s="106">
        <v>0</v>
      </c>
      <c r="CG71" s="106">
        <v>0</v>
      </c>
      <c r="CH71" s="106">
        <v>1.5468562052171568</v>
      </c>
      <c r="CI71" s="106">
        <v>872.42689974247651</v>
      </c>
      <c r="CJ71" s="106">
        <v>2.1842704069392318</v>
      </c>
      <c r="CK71" s="106">
        <v>1231.9285095137268</v>
      </c>
      <c r="CL71" s="106">
        <v>0</v>
      </c>
      <c r="CM71" s="106">
        <v>0</v>
      </c>
      <c r="CN71" s="106">
        <v>2.1823076631307279</v>
      </c>
      <c r="CO71" s="106">
        <v>1230.8215220057305</v>
      </c>
      <c r="CP71" s="106">
        <v>1.083442920474561</v>
      </c>
      <c r="CQ71" s="106">
        <v>611.06180714765242</v>
      </c>
      <c r="CR71" s="106">
        <v>1.3751918927100506</v>
      </c>
      <c r="CS71" s="106">
        <v>775.60822748846851</v>
      </c>
      <c r="CT71" s="106">
        <v>1.5404787875632879</v>
      </c>
      <c r="CU71" s="106">
        <v>868.83003618569444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0.26260607288211413</v>
      </c>
      <c r="I72" s="106">
        <v>19.537891822429287</v>
      </c>
      <c r="J72" s="106">
        <v>0</v>
      </c>
      <c r="K72" s="106">
        <v>0</v>
      </c>
      <c r="L72" s="106">
        <v>1.8416441062652071</v>
      </c>
      <c r="M72" s="106">
        <v>137.0183215061314</v>
      </c>
      <c r="N72" s="106">
        <v>1.074708861514877</v>
      </c>
      <c r="O72" s="106">
        <v>79.958339296706839</v>
      </c>
      <c r="P72" s="106">
        <v>0</v>
      </c>
      <c r="Q72" s="106">
        <v>0</v>
      </c>
      <c r="R72" s="106">
        <v>0.60744861344872125</v>
      </c>
      <c r="S72" s="106">
        <v>45.194176840584859</v>
      </c>
      <c r="T72" s="106">
        <v>0.18480084160276916</v>
      </c>
      <c r="U72" s="106">
        <v>13.749182615246024</v>
      </c>
      <c r="V72" s="106">
        <v>0.42699189141840782</v>
      </c>
      <c r="W72" s="106">
        <v>31.768196721529538</v>
      </c>
      <c r="X72" s="106">
        <v>0</v>
      </c>
      <c r="Y72" s="106">
        <v>0</v>
      </c>
      <c r="Z72" s="106">
        <v>0</v>
      </c>
      <c r="AA72" s="106">
        <v>0</v>
      </c>
      <c r="AB72" s="106">
        <v>0.80962626156188355</v>
      </c>
      <c r="AC72" s="106">
        <v>60.236193860204132</v>
      </c>
      <c r="AD72" s="106">
        <v>0.3381542412358936</v>
      </c>
      <c r="AE72" s="106">
        <v>25.15867554795048</v>
      </c>
      <c r="AF72" s="106">
        <v>0</v>
      </c>
      <c r="AG72" s="106">
        <v>0</v>
      </c>
      <c r="AH72" s="106">
        <v>0</v>
      </c>
      <c r="AI72" s="106">
        <v>0</v>
      </c>
      <c r="AJ72" s="106">
        <v>5.6968717867972982</v>
      </c>
      <c r="AK72" s="106">
        <v>423.84726093771894</v>
      </c>
      <c r="AL72" s="106">
        <v>12.008354789509845</v>
      </c>
      <c r="AM72" s="106">
        <v>893.42159633953236</v>
      </c>
      <c r="AN72" s="106">
        <v>5.9201346854915791</v>
      </c>
      <c r="AO72" s="106">
        <v>440.45802060057343</v>
      </c>
      <c r="AP72" s="106">
        <v>12.285891002702181</v>
      </c>
      <c r="AQ72" s="106">
        <v>914.07029060104219</v>
      </c>
      <c r="AR72" s="106">
        <v>4.1688955206256058</v>
      </c>
      <c r="AS72" s="106">
        <v>310.16582673454502</v>
      </c>
      <c r="AT72" s="106">
        <v>3.6863147681097583</v>
      </c>
      <c r="AU72" s="106">
        <v>274.26181874736596</v>
      </c>
      <c r="AV72" s="106">
        <v>0</v>
      </c>
      <c r="AW72" s="106">
        <v>0</v>
      </c>
      <c r="AX72" s="106">
        <v>4.7970557956021613</v>
      </c>
      <c r="AY72" s="106">
        <v>356.90095119280079</v>
      </c>
      <c r="AZ72" s="106">
        <v>0</v>
      </c>
      <c r="BA72" s="106">
        <v>0</v>
      </c>
      <c r="BB72" s="106">
        <v>0.26097806724365474</v>
      </c>
      <c r="BC72" s="106">
        <v>19.416768202927912</v>
      </c>
      <c r="BD72" s="106">
        <v>0.25473952454845383</v>
      </c>
      <c r="BE72" s="106">
        <v>18.952620626404961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5.4935057766897524</v>
      </c>
      <c r="BM72" s="106">
        <v>408.71682978571755</v>
      </c>
      <c r="BN72" s="106">
        <v>4.3135888589504194</v>
      </c>
      <c r="BO72" s="106">
        <v>320.93101110591118</v>
      </c>
      <c r="BP72" s="106">
        <v>6.7057368282607479</v>
      </c>
      <c r="BQ72" s="106">
        <v>498.90682002259956</v>
      </c>
      <c r="BR72" s="106">
        <v>0</v>
      </c>
      <c r="BS72" s="106">
        <v>0</v>
      </c>
      <c r="BT72" s="106">
        <v>0</v>
      </c>
      <c r="BU72" s="106">
        <v>0</v>
      </c>
      <c r="BV72" s="106">
        <v>20.750943393085407</v>
      </c>
      <c r="BW72" s="106">
        <v>1543.870188445554</v>
      </c>
      <c r="BX72" s="106">
        <v>1.5730254275946872E-15</v>
      </c>
      <c r="BY72" s="106">
        <v>1.1703309181304472E-13</v>
      </c>
      <c r="BZ72" s="106">
        <v>7.0952637668274647</v>
      </c>
      <c r="CA72" s="106">
        <v>527.8876242519633</v>
      </c>
      <c r="CB72" s="106">
        <v>11.275045092408568</v>
      </c>
      <c r="CC72" s="106">
        <v>838.86335487519739</v>
      </c>
      <c r="CD72" s="106">
        <v>4.2272447582865489</v>
      </c>
      <c r="CE72" s="106">
        <v>314.50701001651919</v>
      </c>
      <c r="CF72" s="106">
        <v>0</v>
      </c>
      <c r="CG72" s="106">
        <v>0</v>
      </c>
      <c r="CH72" s="106">
        <v>1.7402132308693012</v>
      </c>
      <c r="CI72" s="106">
        <v>129.471864376676</v>
      </c>
      <c r="CJ72" s="106">
        <v>2.6155775780390669</v>
      </c>
      <c r="CK72" s="106">
        <v>194.59897180610656</v>
      </c>
      <c r="CL72" s="106">
        <v>0</v>
      </c>
      <c r="CM72" s="106">
        <v>0</v>
      </c>
      <c r="CN72" s="106">
        <v>2.5460256069858493</v>
      </c>
      <c r="CO72" s="106">
        <v>189.42430515974718</v>
      </c>
      <c r="CP72" s="106">
        <v>1.0892428756961665</v>
      </c>
      <c r="CQ72" s="106">
        <v>81.039669951794778</v>
      </c>
      <c r="CR72" s="106">
        <v>1.3811632090569119</v>
      </c>
      <c r="CS72" s="106">
        <v>102.75854275383423</v>
      </c>
      <c r="CT72" s="106">
        <v>1.8770144090787357</v>
      </c>
      <c r="CU72" s="106">
        <v>139.64987203545792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0.21008485830569132</v>
      </c>
      <c r="I73" s="106">
        <v>117.47945276454257</v>
      </c>
      <c r="J73" s="106">
        <v>0</v>
      </c>
      <c r="K73" s="106">
        <v>0</v>
      </c>
      <c r="L73" s="106">
        <v>1.7188678325141933</v>
      </c>
      <c r="M73" s="106">
        <v>961.1908919419368</v>
      </c>
      <c r="N73" s="106">
        <v>0.8955907179290642</v>
      </c>
      <c r="O73" s="106">
        <v>500.81432946593264</v>
      </c>
      <c r="P73" s="106">
        <v>0</v>
      </c>
      <c r="Q73" s="106">
        <v>0</v>
      </c>
      <c r="R73" s="106">
        <v>0.55385020637971638</v>
      </c>
      <c r="S73" s="106">
        <v>309.71303540753735</v>
      </c>
      <c r="T73" s="106">
        <v>0.14784067328221534</v>
      </c>
      <c r="U73" s="106">
        <v>82.672504499414813</v>
      </c>
      <c r="V73" s="106">
        <v>0.37367462949158037</v>
      </c>
      <c r="W73" s="106">
        <v>208.95885281169171</v>
      </c>
      <c r="X73" s="106">
        <v>0</v>
      </c>
      <c r="Y73" s="106">
        <v>0</v>
      </c>
      <c r="Z73" s="106">
        <v>0</v>
      </c>
      <c r="AA73" s="106">
        <v>0</v>
      </c>
      <c r="AB73" s="106">
        <v>0.73602387414716686</v>
      </c>
      <c r="AC73" s="106">
        <v>411.58455042309566</v>
      </c>
      <c r="AD73" s="106">
        <v>0.2661842772682787</v>
      </c>
      <c r="AE73" s="106">
        <v>148.85024784842142</v>
      </c>
      <c r="AF73" s="106">
        <v>0</v>
      </c>
      <c r="AG73" s="106">
        <v>0</v>
      </c>
      <c r="AH73" s="106">
        <v>0</v>
      </c>
      <c r="AI73" s="106">
        <v>0</v>
      </c>
      <c r="AJ73" s="106">
        <v>4.8590965240329895</v>
      </c>
      <c r="AK73" s="106">
        <v>2717.2067762392476</v>
      </c>
      <c r="AL73" s="106">
        <v>10.068594846549974</v>
      </c>
      <c r="AM73" s="106">
        <v>5630.3582381907445</v>
      </c>
      <c r="AN73" s="106">
        <v>4.9392735444946654</v>
      </c>
      <c r="AO73" s="106">
        <v>2762.0417660814164</v>
      </c>
      <c r="AP73" s="106">
        <v>11.103261609580045</v>
      </c>
      <c r="AQ73" s="106">
        <v>6208.9438920771599</v>
      </c>
      <c r="AR73" s="106">
        <v>3.695818506046876</v>
      </c>
      <c r="AS73" s="106">
        <v>2066.7017085814127</v>
      </c>
      <c r="AT73" s="106">
        <v>3.6863147681097583</v>
      </c>
      <c r="AU73" s="106">
        <v>2061.3872183269768</v>
      </c>
      <c r="AV73" s="106">
        <v>0</v>
      </c>
      <c r="AW73" s="106">
        <v>0</v>
      </c>
      <c r="AX73" s="106">
        <v>4.4544089530591497</v>
      </c>
      <c r="AY73" s="106">
        <v>2490.9054865506764</v>
      </c>
      <c r="AZ73" s="106">
        <v>0</v>
      </c>
      <c r="BA73" s="106">
        <v>0</v>
      </c>
      <c r="BB73" s="106">
        <v>0.26097806724365474</v>
      </c>
      <c r="BC73" s="106">
        <v>145.93893520265172</v>
      </c>
      <c r="BD73" s="106">
        <v>0.25473952454845383</v>
      </c>
      <c r="BE73" s="106">
        <v>142.45034212749536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4.5381134677002297</v>
      </c>
      <c r="BM73" s="106">
        <v>2537.7130511379683</v>
      </c>
      <c r="BN73" s="106">
        <v>4.3135888589504194</v>
      </c>
      <c r="BO73" s="106">
        <v>2412.1588899250742</v>
      </c>
      <c r="BP73" s="106">
        <v>6.7057368282607479</v>
      </c>
      <c r="BQ73" s="106">
        <v>3749.8480343634096</v>
      </c>
      <c r="BR73" s="106">
        <v>0</v>
      </c>
      <c r="BS73" s="106">
        <v>0</v>
      </c>
      <c r="BT73" s="106">
        <v>0</v>
      </c>
      <c r="BU73" s="106">
        <v>0</v>
      </c>
      <c r="BV73" s="106">
        <v>19.658788477659861</v>
      </c>
      <c r="BW73" s="106">
        <v>10993.194516707394</v>
      </c>
      <c r="BX73" s="106">
        <v>1.3227713822955323E-15</v>
      </c>
      <c r="BY73" s="106">
        <v>7.3969375697966155E-13</v>
      </c>
      <c r="BZ73" s="106">
        <v>6.0974922996173531</v>
      </c>
      <c r="CA73" s="106">
        <v>3409.7176939460232</v>
      </c>
      <c r="CB73" s="106">
        <v>9.2969670060210987</v>
      </c>
      <c r="CC73" s="106">
        <v>5198.8639497669974</v>
      </c>
      <c r="CD73" s="106">
        <v>3.4190950250847085</v>
      </c>
      <c r="CE73" s="106">
        <v>1911.9579380273688</v>
      </c>
      <c r="CF73" s="106">
        <v>0</v>
      </c>
      <c r="CG73" s="106">
        <v>0</v>
      </c>
      <c r="CH73" s="106">
        <v>1.5468562052171568</v>
      </c>
      <c r="CI73" s="106">
        <v>865.00198995743403</v>
      </c>
      <c r="CJ73" s="106">
        <v>2.1935152574192505</v>
      </c>
      <c r="CK73" s="106">
        <v>1226.6137319488448</v>
      </c>
      <c r="CL73" s="106">
        <v>0</v>
      </c>
      <c r="CM73" s="106">
        <v>0</v>
      </c>
      <c r="CN73" s="106">
        <v>2.1823076631307279</v>
      </c>
      <c r="CO73" s="106">
        <v>1220.3464452227029</v>
      </c>
      <c r="CP73" s="106">
        <v>0.9115769952915771</v>
      </c>
      <c r="CQ73" s="106">
        <v>509.75385576704986</v>
      </c>
      <c r="CR73" s="106">
        <v>1.3750936638226978</v>
      </c>
      <c r="CS73" s="106">
        <v>768.95237680965249</v>
      </c>
      <c r="CT73" s="106">
        <v>1.7087719382550706</v>
      </c>
      <c r="CU73" s="106">
        <v>955.5452678722354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0.26260607288211413</v>
      </c>
      <c r="I74" s="106">
        <v>105.88276858606841</v>
      </c>
      <c r="J74" s="106">
        <v>0</v>
      </c>
      <c r="K74" s="106">
        <v>0</v>
      </c>
      <c r="L74" s="106">
        <v>1.5960915587631797</v>
      </c>
      <c r="M74" s="106">
        <v>643.54411649331405</v>
      </c>
      <c r="N74" s="106">
        <v>0.92544374186003298</v>
      </c>
      <c r="O74" s="106">
        <v>373.13891671796529</v>
      </c>
      <c r="P74" s="106">
        <v>0</v>
      </c>
      <c r="Q74" s="106">
        <v>0</v>
      </c>
      <c r="R74" s="106">
        <v>0.60744861344872125</v>
      </c>
      <c r="S74" s="106">
        <v>244.9232809425244</v>
      </c>
      <c r="T74" s="106">
        <v>0.18480084160276916</v>
      </c>
      <c r="U74" s="106">
        <v>74.511699334236525</v>
      </c>
      <c r="V74" s="106">
        <v>0.42698948977715945</v>
      </c>
      <c r="W74" s="106">
        <v>172.16216227815067</v>
      </c>
      <c r="X74" s="106">
        <v>0</v>
      </c>
      <c r="Y74" s="106">
        <v>0</v>
      </c>
      <c r="Z74" s="106">
        <v>0</v>
      </c>
      <c r="AA74" s="106">
        <v>0</v>
      </c>
      <c r="AB74" s="106">
        <v>0.80962626156188355</v>
      </c>
      <c r="AC74" s="106">
        <v>326.44130866175146</v>
      </c>
      <c r="AD74" s="106">
        <v>0.31412090084600641</v>
      </c>
      <c r="AE74" s="106">
        <v>126.65354722110978</v>
      </c>
      <c r="AF74" s="106">
        <v>0</v>
      </c>
      <c r="AG74" s="106">
        <v>0</v>
      </c>
      <c r="AH74" s="106">
        <v>0</v>
      </c>
      <c r="AI74" s="106">
        <v>0</v>
      </c>
      <c r="AJ74" s="106">
        <v>4.8590965240329895</v>
      </c>
      <c r="AK74" s="106">
        <v>1959.1877184901014</v>
      </c>
      <c r="AL74" s="106">
        <v>11.038509109318003</v>
      </c>
      <c r="AM74" s="106">
        <v>4450.7268728770186</v>
      </c>
      <c r="AN74" s="106">
        <v>4.7954152837402777</v>
      </c>
      <c r="AO74" s="106">
        <v>1933.5114424040798</v>
      </c>
      <c r="AP74" s="106">
        <v>11.104621654204994</v>
      </c>
      <c r="AQ74" s="106">
        <v>4477.3834509754533</v>
      </c>
      <c r="AR74" s="106">
        <v>3.6953473833330079</v>
      </c>
      <c r="AS74" s="106">
        <v>1489.9640649598687</v>
      </c>
      <c r="AT74" s="106">
        <v>3.6863147681097583</v>
      </c>
      <c r="AU74" s="106">
        <v>1486.3221145018545</v>
      </c>
      <c r="AV74" s="106">
        <v>0</v>
      </c>
      <c r="AW74" s="106">
        <v>0</v>
      </c>
      <c r="AX74" s="106">
        <v>4.2830855317876448</v>
      </c>
      <c r="AY74" s="106">
        <v>1726.9400864167783</v>
      </c>
      <c r="AZ74" s="106">
        <v>0</v>
      </c>
      <c r="BA74" s="106">
        <v>0</v>
      </c>
      <c r="BB74" s="106">
        <v>0.26097806724365474</v>
      </c>
      <c r="BC74" s="106">
        <v>105.22635671264159</v>
      </c>
      <c r="BD74" s="106">
        <v>0.25473952454845383</v>
      </c>
      <c r="BE74" s="106">
        <v>102.71097629793658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5.0158096221949915</v>
      </c>
      <c r="BM74" s="106">
        <v>2022.3744396690206</v>
      </c>
      <c r="BN74" s="106">
        <v>4.3135888589504194</v>
      </c>
      <c r="BO74" s="106">
        <v>1739.239027928809</v>
      </c>
      <c r="BP74" s="106">
        <v>6.051518601113357</v>
      </c>
      <c r="BQ74" s="106">
        <v>2439.9722999689056</v>
      </c>
      <c r="BR74" s="106">
        <v>0</v>
      </c>
      <c r="BS74" s="106">
        <v>0</v>
      </c>
      <c r="BT74" s="106">
        <v>0</v>
      </c>
      <c r="BU74" s="106">
        <v>0</v>
      </c>
      <c r="BV74" s="106">
        <v>18.566633562234315</v>
      </c>
      <c r="BW74" s="106">
        <v>7486.0666522928759</v>
      </c>
      <c r="BX74" s="106">
        <v>1.3585219601954118E-15</v>
      </c>
      <c r="BY74" s="106">
        <v>5.4775605435079001E-13</v>
      </c>
      <c r="BZ74" s="106">
        <v>5.7649018105473147</v>
      </c>
      <c r="CA74" s="106">
        <v>2324.408410012677</v>
      </c>
      <c r="CB74" s="106">
        <v>8.7035435801048582</v>
      </c>
      <c r="CC74" s="106">
        <v>3509.2687714982785</v>
      </c>
      <c r="CD74" s="106">
        <v>3.6055911173620565</v>
      </c>
      <c r="CE74" s="106">
        <v>1453.7743385203812</v>
      </c>
      <c r="CF74" s="106">
        <v>0</v>
      </c>
      <c r="CG74" s="106">
        <v>0</v>
      </c>
      <c r="CH74" s="106">
        <v>1.7402132308693012</v>
      </c>
      <c r="CI74" s="106">
        <v>701.65397468650224</v>
      </c>
      <c r="CJ74" s="106">
        <v>2.1844512374771079</v>
      </c>
      <c r="CK74" s="106">
        <v>880.7707389507699</v>
      </c>
      <c r="CL74" s="106">
        <v>0</v>
      </c>
      <c r="CM74" s="106">
        <v>0</v>
      </c>
      <c r="CN74" s="106">
        <v>2.1823076631307279</v>
      </c>
      <c r="CO74" s="106">
        <v>879.90644977430941</v>
      </c>
      <c r="CP74" s="106">
        <v>1.0779773719284258</v>
      </c>
      <c r="CQ74" s="106">
        <v>434.64047636154129</v>
      </c>
      <c r="CR74" s="106">
        <v>1.1855883349728431</v>
      </c>
      <c r="CS74" s="106">
        <v>478.02921666105033</v>
      </c>
      <c r="CT74" s="106">
        <v>1.5406308271676394</v>
      </c>
      <c r="CU74" s="106">
        <v>621.18234951399222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0.26260607288211413</v>
      </c>
      <c r="I75" s="106">
        <v>168.90822607777579</v>
      </c>
      <c r="J75" s="106">
        <v>0</v>
      </c>
      <c r="K75" s="106">
        <v>0</v>
      </c>
      <c r="L75" s="106">
        <v>1.5960915587631797</v>
      </c>
      <c r="M75" s="106">
        <v>1026.6060905964771</v>
      </c>
      <c r="N75" s="106">
        <v>0.92544374186003298</v>
      </c>
      <c r="O75" s="106">
        <v>595.24541476437309</v>
      </c>
      <c r="P75" s="106">
        <v>0</v>
      </c>
      <c r="Q75" s="106">
        <v>0</v>
      </c>
      <c r="R75" s="106">
        <v>0.53598407069004816</v>
      </c>
      <c r="S75" s="106">
        <v>344.74495426783892</v>
      </c>
      <c r="T75" s="106">
        <v>0.18480084160276916</v>
      </c>
      <c r="U75" s="106">
        <v>118.86390131890111</v>
      </c>
      <c r="V75" s="106">
        <v>0.42699109087132497</v>
      </c>
      <c r="W75" s="106">
        <v>274.64066964843619</v>
      </c>
      <c r="X75" s="106">
        <v>0</v>
      </c>
      <c r="Y75" s="106">
        <v>0</v>
      </c>
      <c r="Z75" s="106">
        <v>0</v>
      </c>
      <c r="AA75" s="106">
        <v>0</v>
      </c>
      <c r="AB75" s="106">
        <v>0.73602387414716686</v>
      </c>
      <c r="AC75" s="106">
        <v>473.41055585145767</v>
      </c>
      <c r="AD75" s="106">
        <v>0.26592485083242395</v>
      </c>
      <c r="AE75" s="106">
        <v>171.04286405541507</v>
      </c>
      <c r="AF75" s="106">
        <v>0</v>
      </c>
      <c r="AG75" s="106">
        <v>0</v>
      </c>
      <c r="AH75" s="106">
        <v>0</v>
      </c>
      <c r="AI75" s="106">
        <v>0</v>
      </c>
      <c r="AJ75" s="106">
        <v>5.1942066291387121</v>
      </c>
      <c r="AK75" s="106">
        <v>3340.9137038620192</v>
      </c>
      <c r="AL75" s="106">
        <v>10.067696555314694</v>
      </c>
      <c r="AM75" s="106">
        <v>6475.54242437841</v>
      </c>
      <c r="AN75" s="106">
        <v>5.3524656471791907</v>
      </c>
      <c r="AO75" s="106">
        <v>3442.7059042656551</v>
      </c>
      <c r="AP75" s="106">
        <v>9.5230419599740834</v>
      </c>
      <c r="AQ75" s="106">
        <v>6125.2205886553302</v>
      </c>
      <c r="AR75" s="106">
        <v>3.6944483856966657</v>
      </c>
      <c r="AS75" s="106">
        <v>2376.2692016800952</v>
      </c>
      <c r="AT75" s="106">
        <v>3.5674013884933142</v>
      </c>
      <c r="AU75" s="106">
        <v>2294.5525730788995</v>
      </c>
      <c r="AV75" s="106">
        <v>0</v>
      </c>
      <c r="AW75" s="106">
        <v>0</v>
      </c>
      <c r="AX75" s="106">
        <v>4.9683792168736671</v>
      </c>
      <c r="AY75" s="106">
        <v>3195.6615122931426</v>
      </c>
      <c r="AZ75" s="106">
        <v>0</v>
      </c>
      <c r="BA75" s="106">
        <v>0</v>
      </c>
      <c r="BB75" s="106">
        <v>0.26097806724365474</v>
      </c>
      <c r="BC75" s="106">
        <v>167.86109285111871</v>
      </c>
      <c r="BD75" s="106">
        <v>0.25473952454845383</v>
      </c>
      <c r="BE75" s="106">
        <v>163.84846218956548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4.5381134677002297</v>
      </c>
      <c r="BM75" s="106">
        <v>2918.9145824247876</v>
      </c>
      <c r="BN75" s="106">
        <v>4.3135888589504194</v>
      </c>
      <c r="BO75" s="106">
        <v>2774.5003540769094</v>
      </c>
      <c r="BP75" s="106">
        <v>5.8879640443265098</v>
      </c>
      <c r="BQ75" s="106">
        <v>3787.1384733108107</v>
      </c>
      <c r="BR75" s="106">
        <v>0</v>
      </c>
      <c r="BS75" s="106">
        <v>0</v>
      </c>
      <c r="BT75" s="106">
        <v>0</v>
      </c>
      <c r="BU75" s="106">
        <v>0</v>
      </c>
      <c r="BV75" s="106">
        <v>20.022840116135043</v>
      </c>
      <c r="BW75" s="106">
        <v>12878.690762698059</v>
      </c>
      <c r="BX75" s="106">
        <v>1.3227713822955323E-15</v>
      </c>
      <c r="BY75" s="106">
        <v>8.5080655309248633E-13</v>
      </c>
      <c r="BZ75" s="106">
        <v>5.6540383141906361</v>
      </c>
      <c r="CA75" s="106">
        <v>3636.6774436874166</v>
      </c>
      <c r="CB75" s="106">
        <v>8.9013513887436044</v>
      </c>
      <c r="CC75" s="106">
        <v>5725.349213239886</v>
      </c>
      <c r="CD75" s="106">
        <v>3.5434257532696067</v>
      </c>
      <c r="CE75" s="106">
        <v>2279.1314445030107</v>
      </c>
      <c r="CF75" s="106">
        <v>0</v>
      </c>
      <c r="CG75" s="106">
        <v>0</v>
      </c>
      <c r="CH75" s="106">
        <v>1.7402132308693012</v>
      </c>
      <c r="CI75" s="106">
        <v>1119.3051500951344</v>
      </c>
      <c r="CJ75" s="106">
        <v>2.1935152574192505</v>
      </c>
      <c r="CK75" s="106">
        <v>1410.8690135720617</v>
      </c>
      <c r="CL75" s="106">
        <v>0</v>
      </c>
      <c r="CM75" s="106">
        <v>0</v>
      </c>
      <c r="CN75" s="106">
        <v>2.1823076631307279</v>
      </c>
      <c r="CO75" s="106">
        <v>1403.660288925684</v>
      </c>
      <c r="CP75" s="106">
        <v>0.90582481245218194</v>
      </c>
      <c r="CQ75" s="106">
        <v>582.6265193692434</v>
      </c>
      <c r="CR75" s="106">
        <v>1.3750936638226978</v>
      </c>
      <c r="CS75" s="106">
        <v>884.46024457075919</v>
      </c>
      <c r="CT75" s="106">
        <v>1.7087719382550706</v>
      </c>
      <c r="CU75" s="106">
        <v>1099.0821106856613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0.26260607288211413</v>
      </c>
      <c r="I76" s="106">
        <v>204.51760956059047</v>
      </c>
      <c r="J76" s="106">
        <v>0</v>
      </c>
      <c r="K76" s="106">
        <v>0</v>
      </c>
      <c r="L76" s="106">
        <v>1.6574796956386864</v>
      </c>
      <c r="M76" s="106">
        <v>1290.8451869634089</v>
      </c>
      <c r="N76" s="106">
        <v>0.8657376939980953</v>
      </c>
      <c r="O76" s="106">
        <v>674.23651608571663</v>
      </c>
      <c r="P76" s="106">
        <v>0</v>
      </c>
      <c r="Q76" s="106">
        <v>0</v>
      </c>
      <c r="R76" s="106">
        <v>0.58958247775905304</v>
      </c>
      <c r="S76" s="106">
        <v>459.16683367875049</v>
      </c>
      <c r="T76" s="106">
        <v>0.14784067328221534</v>
      </c>
      <c r="U76" s="106">
        <v>115.13831635218931</v>
      </c>
      <c r="V76" s="106">
        <v>0.37367302839741479</v>
      </c>
      <c r="W76" s="106">
        <v>291.01655451590659</v>
      </c>
      <c r="X76" s="106">
        <v>0</v>
      </c>
      <c r="Y76" s="106">
        <v>0</v>
      </c>
      <c r="Z76" s="106">
        <v>0</v>
      </c>
      <c r="AA76" s="106">
        <v>0</v>
      </c>
      <c r="AB76" s="106">
        <v>0.80962626156188355</v>
      </c>
      <c r="AC76" s="106">
        <v>630.53693250439483</v>
      </c>
      <c r="AD76" s="106">
        <v>0.29008790444023846</v>
      </c>
      <c r="AE76" s="106">
        <v>225.92045997805769</v>
      </c>
      <c r="AF76" s="106">
        <v>0</v>
      </c>
      <c r="AG76" s="106">
        <v>0</v>
      </c>
      <c r="AH76" s="106">
        <v>0</v>
      </c>
      <c r="AI76" s="106">
        <v>0</v>
      </c>
      <c r="AJ76" s="106">
        <v>4.8590965240329895</v>
      </c>
      <c r="AK76" s="106">
        <v>3784.2643729168922</v>
      </c>
      <c r="AL76" s="106">
        <v>11.356572571231261</v>
      </c>
      <c r="AM76" s="106">
        <v>8844.4987184749061</v>
      </c>
      <c r="AN76" s="106">
        <v>4.6514332125644957</v>
      </c>
      <c r="AO76" s="106">
        <v>3622.5361859452291</v>
      </c>
      <c r="AP76" s="106">
        <v>8.7309541746291526</v>
      </c>
      <c r="AQ76" s="106">
        <v>6799.6671112011836</v>
      </c>
      <c r="AR76" s="106">
        <v>3.1028806116485224</v>
      </c>
      <c r="AS76" s="106">
        <v>2416.5234203518689</v>
      </c>
      <c r="AT76" s="106">
        <v>3.2106612496439828</v>
      </c>
      <c r="AU76" s="106">
        <v>2500.4629812227336</v>
      </c>
      <c r="AV76" s="106">
        <v>0</v>
      </c>
      <c r="AW76" s="106">
        <v>0</v>
      </c>
      <c r="AX76" s="106">
        <v>4.7970557956021613</v>
      </c>
      <c r="AY76" s="106">
        <v>3735.9470536149629</v>
      </c>
      <c r="AZ76" s="106">
        <v>0</v>
      </c>
      <c r="BA76" s="106">
        <v>0</v>
      </c>
      <c r="BB76" s="106">
        <v>0.26097806724365474</v>
      </c>
      <c r="BC76" s="106">
        <v>203.24971876935831</v>
      </c>
      <c r="BD76" s="106">
        <v>0.25473952454845383</v>
      </c>
      <c r="BE76" s="106">
        <v>198.39114171833583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4.7769615449476106</v>
      </c>
      <c r="BM76" s="106">
        <v>3720.2976512051991</v>
      </c>
      <c r="BN76" s="106">
        <v>4.0260162683537244</v>
      </c>
      <c r="BO76" s="106">
        <v>3135.4614697938805</v>
      </c>
      <c r="BP76" s="106">
        <v>5.5608549307528152</v>
      </c>
      <c r="BQ76" s="106">
        <v>4330.793820070292</v>
      </c>
      <c r="BR76" s="106">
        <v>0</v>
      </c>
      <c r="BS76" s="106">
        <v>0</v>
      </c>
      <c r="BT76" s="106">
        <v>0</v>
      </c>
      <c r="BU76" s="106">
        <v>0</v>
      </c>
      <c r="BV76" s="106">
        <v>18.930685200709494</v>
      </c>
      <c r="BW76" s="106">
        <v>14743.217634312554</v>
      </c>
      <c r="BX76" s="106">
        <v>1.2155196485958946E-15</v>
      </c>
      <c r="BY76" s="106">
        <v>9.4664670232648255E-13</v>
      </c>
      <c r="BZ76" s="106">
        <v>5.7649018105473147</v>
      </c>
      <c r="CA76" s="106">
        <v>4489.7055300542488</v>
      </c>
      <c r="CB76" s="106">
        <v>8.3079279628273657</v>
      </c>
      <c r="CC76" s="106">
        <v>6470.214297449952</v>
      </c>
      <c r="CD76" s="106">
        <v>3.2325989328073605</v>
      </c>
      <c r="CE76" s="106">
        <v>2517.5480488703724</v>
      </c>
      <c r="CF76" s="106">
        <v>0</v>
      </c>
      <c r="CG76" s="106">
        <v>0</v>
      </c>
      <c r="CH76" s="106">
        <v>1.5468562052171568</v>
      </c>
      <c r="CI76" s="106">
        <v>1204.6916126231217</v>
      </c>
      <c r="CJ76" s="106">
        <v>2.1846320680149844</v>
      </c>
      <c r="CK76" s="106">
        <v>1701.3914545700698</v>
      </c>
      <c r="CL76" s="106">
        <v>0</v>
      </c>
      <c r="CM76" s="106">
        <v>0</v>
      </c>
      <c r="CN76" s="106">
        <v>2.1823076631307279</v>
      </c>
      <c r="CO76" s="106">
        <v>1699.5812080462108</v>
      </c>
      <c r="CP76" s="106">
        <v>1.0779773719284258</v>
      </c>
      <c r="CQ76" s="106">
        <v>839.528777257858</v>
      </c>
      <c r="CR76" s="106">
        <v>1.1856865638601959</v>
      </c>
      <c r="CS76" s="106">
        <v>923.41269593432048</v>
      </c>
      <c r="CT76" s="106">
        <v>1.5361551557177082</v>
      </c>
      <c r="CU76" s="106">
        <v>1196.357635272951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0.26260607288211413</v>
      </c>
      <c r="I77" s="106">
        <v>73.109530690380566</v>
      </c>
      <c r="J77" s="106">
        <v>0</v>
      </c>
      <c r="K77" s="106">
        <v>0</v>
      </c>
      <c r="L77" s="106">
        <v>1.6574796956386864</v>
      </c>
      <c r="M77" s="106">
        <v>461.44234726581027</v>
      </c>
      <c r="N77" s="106">
        <v>0.92544374186003298</v>
      </c>
      <c r="O77" s="106">
        <v>257.64353773383317</v>
      </c>
      <c r="P77" s="106">
        <v>0</v>
      </c>
      <c r="Q77" s="106">
        <v>0</v>
      </c>
      <c r="R77" s="106">
        <v>0.69677929189706256</v>
      </c>
      <c r="S77" s="106">
        <v>193.9833548641422</v>
      </c>
      <c r="T77" s="106">
        <v>0.18480084160276916</v>
      </c>
      <c r="U77" s="106">
        <v>51.44855430221093</v>
      </c>
      <c r="V77" s="106">
        <v>0.42721798887321921</v>
      </c>
      <c r="W77" s="106">
        <v>118.93748810230421</v>
      </c>
      <c r="X77" s="106">
        <v>0</v>
      </c>
      <c r="Y77" s="106">
        <v>0</v>
      </c>
      <c r="Z77" s="106">
        <v>0</v>
      </c>
      <c r="AA77" s="106">
        <v>0</v>
      </c>
      <c r="AB77" s="106">
        <v>0.73602387414716686</v>
      </c>
      <c r="AC77" s="106">
        <v>204.90904656257123</v>
      </c>
      <c r="AD77" s="106">
        <v>0.29021744566610619</v>
      </c>
      <c r="AE77" s="106">
        <v>80.796536873443955</v>
      </c>
      <c r="AF77" s="106">
        <v>0</v>
      </c>
      <c r="AG77" s="106">
        <v>0</v>
      </c>
      <c r="AH77" s="106">
        <v>0</v>
      </c>
      <c r="AI77" s="106">
        <v>0</v>
      </c>
      <c r="AJ77" s="106">
        <v>5.1942066291387121</v>
      </c>
      <c r="AK77" s="106">
        <v>1446.0671255522172</v>
      </c>
      <c r="AL77" s="106">
        <v>10.714219192563538</v>
      </c>
      <c r="AM77" s="106">
        <v>2982.8386232096886</v>
      </c>
      <c r="AN77" s="106">
        <v>5.219121298634021</v>
      </c>
      <c r="AO77" s="106">
        <v>1453.0033695397112</v>
      </c>
      <c r="AP77" s="106">
        <v>11.097839175764674</v>
      </c>
      <c r="AQ77" s="106">
        <v>3089.6384265328852</v>
      </c>
      <c r="AR77" s="106">
        <v>3.5791473657458432</v>
      </c>
      <c r="AS77" s="106">
        <v>996.43462662364266</v>
      </c>
      <c r="AT77" s="106">
        <v>3.6863147681097583</v>
      </c>
      <c r="AU77" s="106">
        <v>1026.2700314417566</v>
      </c>
      <c r="AV77" s="106">
        <v>0</v>
      </c>
      <c r="AW77" s="106">
        <v>0</v>
      </c>
      <c r="AX77" s="106">
        <v>4.4544089530591497</v>
      </c>
      <c r="AY77" s="106">
        <v>1240.1074525316671</v>
      </c>
      <c r="AZ77" s="106">
        <v>0</v>
      </c>
      <c r="BA77" s="106">
        <v>0</v>
      </c>
      <c r="BB77" s="106">
        <v>0.26097806724365474</v>
      </c>
      <c r="BC77" s="106">
        <v>72.656293920633473</v>
      </c>
      <c r="BD77" s="106">
        <v>0.25473952454845383</v>
      </c>
      <c r="BE77" s="106">
        <v>70.919483634289534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4.7769615449476106</v>
      </c>
      <c r="BM77" s="106">
        <v>1329.9060941134146</v>
      </c>
      <c r="BN77" s="106">
        <v>4.3135888589504194</v>
      </c>
      <c r="BO77" s="106">
        <v>1200.9031383317968</v>
      </c>
      <c r="BP77" s="106">
        <v>7.359955055408137</v>
      </c>
      <c r="BQ77" s="106">
        <v>2049.0114874256251</v>
      </c>
      <c r="BR77" s="106">
        <v>0</v>
      </c>
      <c r="BS77" s="106">
        <v>0</v>
      </c>
      <c r="BT77" s="106">
        <v>0</v>
      </c>
      <c r="BU77" s="106">
        <v>0</v>
      </c>
      <c r="BV77" s="106">
        <v>21.114995031560593</v>
      </c>
      <c r="BW77" s="106">
        <v>5878.4146167864683</v>
      </c>
      <c r="BX77" s="106">
        <v>1.3585219601954118E-15</v>
      </c>
      <c r="BY77" s="106">
        <v>3.7821251371840261E-13</v>
      </c>
      <c r="BZ77" s="106">
        <v>6.0974922996173531</v>
      </c>
      <c r="CA77" s="106">
        <v>1697.541856213471</v>
      </c>
      <c r="CB77" s="106">
        <v>10.879429475131074</v>
      </c>
      <c r="CC77" s="106">
        <v>3028.833165876491</v>
      </c>
      <c r="CD77" s="106">
        <v>4.0407486660092014</v>
      </c>
      <c r="CE77" s="106">
        <v>1124.9444286169617</v>
      </c>
      <c r="CF77" s="106">
        <v>0</v>
      </c>
      <c r="CG77" s="106">
        <v>0</v>
      </c>
      <c r="CH77" s="106">
        <v>1.5468562052171568</v>
      </c>
      <c r="CI77" s="106">
        <v>430.6447675324564</v>
      </c>
      <c r="CJ77" s="106">
        <v>2.6153967475011903</v>
      </c>
      <c r="CK77" s="106">
        <v>728.12645450433138</v>
      </c>
      <c r="CL77" s="106">
        <v>0</v>
      </c>
      <c r="CM77" s="106">
        <v>0</v>
      </c>
      <c r="CN77" s="106">
        <v>2.1823076631307279</v>
      </c>
      <c r="CO77" s="106">
        <v>607.55445341559459</v>
      </c>
      <c r="CP77" s="106">
        <v>1.0778818271640056</v>
      </c>
      <c r="CQ77" s="106">
        <v>300.08230068245916</v>
      </c>
      <c r="CR77" s="106">
        <v>1.3811959520193628</v>
      </c>
      <c r="CS77" s="106">
        <v>384.52495304219059</v>
      </c>
      <c r="CT77" s="106">
        <v>1.7088226181231878</v>
      </c>
      <c r="CU77" s="106">
        <v>475.73621688549542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0.26260607288211413</v>
      </c>
      <c r="I78" s="106">
        <v>144.95855223092701</v>
      </c>
      <c r="J78" s="106">
        <v>0</v>
      </c>
      <c r="K78" s="106">
        <v>0</v>
      </c>
      <c r="L78" s="106">
        <v>1.5960915587631797</v>
      </c>
      <c r="M78" s="106">
        <v>881.04254043727519</v>
      </c>
      <c r="N78" s="106">
        <v>1.0150028136529394</v>
      </c>
      <c r="O78" s="106">
        <v>560.28155313642253</v>
      </c>
      <c r="P78" s="106">
        <v>0</v>
      </c>
      <c r="Q78" s="106">
        <v>0</v>
      </c>
      <c r="R78" s="106">
        <v>0.58958247775905304</v>
      </c>
      <c r="S78" s="106">
        <v>325.44952772299729</v>
      </c>
      <c r="T78" s="106">
        <v>0.18480084160276916</v>
      </c>
      <c r="U78" s="106">
        <v>102.01006456472858</v>
      </c>
      <c r="V78" s="106">
        <v>0.37367382894449763</v>
      </c>
      <c r="W78" s="106">
        <v>206.2679535773627</v>
      </c>
      <c r="X78" s="106">
        <v>0</v>
      </c>
      <c r="Y78" s="106">
        <v>0</v>
      </c>
      <c r="Z78" s="106">
        <v>0</v>
      </c>
      <c r="AA78" s="106">
        <v>0</v>
      </c>
      <c r="AB78" s="106">
        <v>0.66242148673245016</v>
      </c>
      <c r="AC78" s="106">
        <v>365.65666067631247</v>
      </c>
      <c r="AD78" s="106">
        <v>0.28995836321437074</v>
      </c>
      <c r="AE78" s="106">
        <v>160.05701649433266</v>
      </c>
      <c r="AF78" s="106">
        <v>0</v>
      </c>
      <c r="AG78" s="106">
        <v>0</v>
      </c>
      <c r="AH78" s="106">
        <v>0</v>
      </c>
      <c r="AI78" s="106">
        <v>0</v>
      </c>
      <c r="AJ78" s="106">
        <v>4.8590965240329895</v>
      </c>
      <c r="AK78" s="106">
        <v>2682.2212812662101</v>
      </c>
      <c r="AL78" s="106">
        <v>10.069602869907159</v>
      </c>
      <c r="AM78" s="106">
        <v>5558.4207841887519</v>
      </c>
      <c r="AN78" s="106">
        <v>5.3538786964454932</v>
      </c>
      <c r="AO78" s="106">
        <v>2955.3410404379124</v>
      </c>
      <c r="AP78" s="106">
        <v>9.9148726336385504</v>
      </c>
      <c r="AQ78" s="106">
        <v>5473.0096937684802</v>
      </c>
      <c r="AR78" s="106">
        <v>3.3380425114189682</v>
      </c>
      <c r="AS78" s="106">
        <v>1842.5994663032704</v>
      </c>
      <c r="AT78" s="106">
        <v>3.805228147726202</v>
      </c>
      <c r="AU78" s="106">
        <v>2100.4859375448636</v>
      </c>
      <c r="AV78" s="106">
        <v>0</v>
      </c>
      <c r="AW78" s="106">
        <v>0</v>
      </c>
      <c r="AX78" s="106">
        <v>4.7970557956021613</v>
      </c>
      <c r="AY78" s="106">
        <v>2647.974799172393</v>
      </c>
      <c r="AZ78" s="106">
        <v>0</v>
      </c>
      <c r="BA78" s="106">
        <v>0</v>
      </c>
      <c r="BB78" s="106">
        <v>0.26097806724365474</v>
      </c>
      <c r="BC78" s="106">
        <v>144.05989311849743</v>
      </c>
      <c r="BD78" s="106">
        <v>0.25473952454845383</v>
      </c>
      <c r="BE78" s="106">
        <v>140.61621755074651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4.2992653904528497</v>
      </c>
      <c r="BM78" s="106">
        <v>2373.1944955299732</v>
      </c>
      <c r="BN78" s="106">
        <v>3.7384436777570302</v>
      </c>
      <c r="BO78" s="106">
        <v>2063.6209101218806</v>
      </c>
      <c r="BP78" s="106">
        <v>6.8692913850475952</v>
      </c>
      <c r="BQ78" s="106">
        <v>3791.8488445462726</v>
      </c>
      <c r="BR78" s="106">
        <v>0</v>
      </c>
      <c r="BS78" s="106">
        <v>0</v>
      </c>
      <c r="BT78" s="106">
        <v>0</v>
      </c>
      <c r="BU78" s="106">
        <v>0</v>
      </c>
      <c r="BV78" s="106">
        <v>20.022840116135043</v>
      </c>
      <c r="BW78" s="106">
        <v>11052.607744106544</v>
      </c>
      <c r="BX78" s="106">
        <v>1.2512702264957738E-15</v>
      </c>
      <c r="BY78" s="106">
        <v>6.907011650256672E-13</v>
      </c>
      <c r="BZ78" s="106">
        <v>6.5409462850440701</v>
      </c>
      <c r="CA78" s="106">
        <v>3610.6023493443267</v>
      </c>
      <c r="CB78" s="106">
        <v>9.0991591973823525</v>
      </c>
      <c r="CC78" s="106">
        <v>5022.7358769550583</v>
      </c>
      <c r="CD78" s="106">
        <v>3.6677564814545054</v>
      </c>
      <c r="CE78" s="106">
        <v>2024.601577762887</v>
      </c>
      <c r="CF78" s="106">
        <v>0</v>
      </c>
      <c r="CG78" s="106">
        <v>0</v>
      </c>
      <c r="CH78" s="106">
        <v>1.7402132308693012</v>
      </c>
      <c r="CI78" s="106">
        <v>960.59770343985429</v>
      </c>
      <c r="CJ78" s="106">
        <v>2.193696087957127</v>
      </c>
      <c r="CK78" s="106">
        <v>1210.920240552334</v>
      </c>
      <c r="CL78" s="106">
        <v>0</v>
      </c>
      <c r="CM78" s="106">
        <v>0</v>
      </c>
      <c r="CN78" s="106">
        <v>2.1823076631307279</v>
      </c>
      <c r="CO78" s="106">
        <v>1204.6338300481618</v>
      </c>
      <c r="CP78" s="106">
        <v>0.91148145052715734</v>
      </c>
      <c r="CQ78" s="106">
        <v>503.13776069099083</v>
      </c>
      <c r="CR78" s="106">
        <v>1.1886558505524012</v>
      </c>
      <c r="CS78" s="106">
        <v>656.1380295049255</v>
      </c>
      <c r="CT78" s="106">
        <v>1.7086705785188361</v>
      </c>
      <c r="CU78" s="106">
        <v>943.18615934239756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0.26260607288211413</v>
      </c>
      <c r="I79" s="106">
        <v>198.8453183863368</v>
      </c>
      <c r="J79" s="106">
        <v>0</v>
      </c>
      <c r="K79" s="106">
        <v>0</v>
      </c>
      <c r="L79" s="106">
        <v>1.7188678325141933</v>
      </c>
      <c r="M79" s="106">
        <v>1301.5267227797469</v>
      </c>
      <c r="N79" s="106">
        <v>0.83588467006712652</v>
      </c>
      <c r="O79" s="106">
        <v>632.93187217482819</v>
      </c>
      <c r="P79" s="106">
        <v>0</v>
      </c>
      <c r="Q79" s="106">
        <v>0</v>
      </c>
      <c r="R79" s="106">
        <v>0.57171634206938471</v>
      </c>
      <c r="S79" s="106">
        <v>432.90361421493805</v>
      </c>
      <c r="T79" s="106">
        <v>0.14784067328221534</v>
      </c>
      <c r="U79" s="106">
        <v>111.94495780929344</v>
      </c>
      <c r="V79" s="106">
        <v>0.37390072694639165</v>
      </c>
      <c r="W79" s="106">
        <v>283.11763044380774</v>
      </c>
      <c r="X79" s="106">
        <v>0</v>
      </c>
      <c r="Y79" s="106">
        <v>0</v>
      </c>
      <c r="Z79" s="106">
        <v>0</v>
      </c>
      <c r="AA79" s="106">
        <v>0</v>
      </c>
      <c r="AB79" s="106">
        <v>0.80962626156188355</v>
      </c>
      <c r="AC79" s="106">
        <v>613.04900525465814</v>
      </c>
      <c r="AD79" s="106">
        <v>0.2659246788403643</v>
      </c>
      <c r="AE79" s="106">
        <v>201.35816681792383</v>
      </c>
      <c r="AF79" s="106">
        <v>0</v>
      </c>
      <c r="AG79" s="106">
        <v>0</v>
      </c>
      <c r="AH79" s="106">
        <v>0</v>
      </c>
      <c r="AI79" s="106">
        <v>0</v>
      </c>
      <c r="AJ79" s="106">
        <v>5.3617616816915747</v>
      </c>
      <c r="AK79" s="106">
        <v>4059.92594537686</v>
      </c>
      <c r="AL79" s="106">
        <v>10.386617158917517</v>
      </c>
      <c r="AM79" s="106">
        <v>7864.746512732343</v>
      </c>
      <c r="AN79" s="106">
        <v>4.6527414991665417</v>
      </c>
      <c r="AO79" s="106">
        <v>3523.055863168905</v>
      </c>
      <c r="AP79" s="106">
        <v>9.5215754472426113</v>
      </c>
      <c r="AQ79" s="106">
        <v>7209.7369286521043</v>
      </c>
      <c r="AR79" s="106">
        <v>3.5750543038117715</v>
      </c>
      <c r="AS79" s="106">
        <v>2707.0311188462733</v>
      </c>
      <c r="AT79" s="106">
        <v>3.5674013884933142</v>
      </c>
      <c r="AU79" s="106">
        <v>2701.2363313671372</v>
      </c>
      <c r="AV79" s="106">
        <v>0</v>
      </c>
      <c r="AW79" s="106">
        <v>0</v>
      </c>
      <c r="AX79" s="106">
        <v>4.4544089530591497</v>
      </c>
      <c r="AY79" s="106">
        <v>3372.8784592563879</v>
      </c>
      <c r="AZ79" s="106">
        <v>0</v>
      </c>
      <c r="BA79" s="106">
        <v>0</v>
      </c>
      <c r="BB79" s="106">
        <v>0.26097806724365474</v>
      </c>
      <c r="BC79" s="106">
        <v>197.61259251689535</v>
      </c>
      <c r="BD79" s="106">
        <v>0.25473952454845383</v>
      </c>
      <c r="BE79" s="106">
        <v>192.88876798808923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4.2992653904528497</v>
      </c>
      <c r="BM79" s="106">
        <v>3255.4037536508977</v>
      </c>
      <c r="BN79" s="106">
        <v>3.7384436777570302</v>
      </c>
      <c r="BO79" s="106">
        <v>2830.749552797623</v>
      </c>
      <c r="BP79" s="106">
        <v>5.5608549307528152</v>
      </c>
      <c r="BQ79" s="106">
        <v>4210.6793535660318</v>
      </c>
      <c r="BR79" s="106">
        <v>0</v>
      </c>
      <c r="BS79" s="106">
        <v>0</v>
      </c>
      <c r="BT79" s="106">
        <v>0</v>
      </c>
      <c r="BU79" s="106">
        <v>0</v>
      </c>
      <c r="BV79" s="106">
        <v>19.294736839184679</v>
      </c>
      <c r="BW79" s="106">
        <v>14609.974734630638</v>
      </c>
      <c r="BX79" s="106">
        <v>1.2512702264957738E-15</v>
      </c>
      <c r="BY79" s="106">
        <v>9.4746181550259991E-13</v>
      </c>
      <c r="BZ79" s="106">
        <v>5.432311321477278</v>
      </c>
      <c r="CA79" s="106">
        <v>4113.3461326225943</v>
      </c>
      <c r="CB79" s="106">
        <v>9.692582623298593</v>
      </c>
      <c r="CC79" s="106">
        <v>7339.2235623616943</v>
      </c>
      <c r="CD79" s="106">
        <v>3.6055911173620565</v>
      </c>
      <c r="CE79" s="106">
        <v>2730.153594066549</v>
      </c>
      <c r="CF79" s="106">
        <v>0</v>
      </c>
      <c r="CG79" s="106">
        <v>0</v>
      </c>
      <c r="CH79" s="106">
        <v>1.5468562052171568</v>
      </c>
      <c r="CI79" s="106">
        <v>1171.2795185904311</v>
      </c>
      <c r="CJ79" s="106">
        <v>2.1935152574192505</v>
      </c>
      <c r="CK79" s="106">
        <v>1660.9297529178564</v>
      </c>
      <c r="CL79" s="106">
        <v>0</v>
      </c>
      <c r="CM79" s="106">
        <v>0</v>
      </c>
      <c r="CN79" s="106">
        <v>2.1823076631307279</v>
      </c>
      <c r="CO79" s="106">
        <v>1652.443362522587</v>
      </c>
      <c r="CP79" s="106">
        <v>1.0834906928567711</v>
      </c>
      <c r="CQ79" s="106">
        <v>820.41915263114697</v>
      </c>
      <c r="CR79" s="106">
        <v>1.3781611794022559</v>
      </c>
      <c r="CS79" s="106">
        <v>1043.5436450433881</v>
      </c>
      <c r="CT79" s="106">
        <v>1.5405294674314054</v>
      </c>
      <c r="CU79" s="106">
        <v>1166.48891273906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0.21008485830569132</v>
      </c>
      <c r="I80" s="106">
        <v>169.16032790774264</v>
      </c>
      <c r="J80" s="106">
        <v>0</v>
      </c>
      <c r="K80" s="106">
        <v>0</v>
      </c>
      <c r="L80" s="106">
        <v>1.6574796956386864</v>
      </c>
      <c r="M80" s="106">
        <v>1334.6026509282701</v>
      </c>
      <c r="N80" s="106">
        <v>0.80603164613615774</v>
      </c>
      <c r="O80" s="106">
        <v>649.01668146883412</v>
      </c>
      <c r="P80" s="106">
        <v>0</v>
      </c>
      <c r="Q80" s="106">
        <v>0</v>
      </c>
      <c r="R80" s="106">
        <v>0.60744861344872125</v>
      </c>
      <c r="S80" s="106">
        <v>489.11762354891033</v>
      </c>
      <c r="T80" s="106">
        <v>0.14784067328221534</v>
      </c>
      <c r="U80" s="106">
        <v>119.04131012683978</v>
      </c>
      <c r="V80" s="106">
        <v>0.42698948977715945</v>
      </c>
      <c r="W80" s="106">
        <v>343.81193716856876</v>
      </c>
      <c r="X80" s="106">
        <v>0</v>
      </c>
      <c r="Y80" s="106">
        <v>0</v>
      </c>
      <c r="Z80" s="106">
        <v>0</v>
      </c>
      <c r="AA80" s="106">
        <v>0</v>
      </c>
      <c r="AB80" s="106">
        <v>0.66242148673245016</v>
      </c>
      <c r="AC80" s="106">
        <v>533.3817811169688</v>
      </c>
      <c r="AD80" s="106">
        <v>0.28995819122231109</v>
      </c>
      <c r="AE80" s="106">
        <v>233.47433557220486</v>
      </c>
      <c r="AF80" s="106">
        <v>0</v>
      </c>
      <c r="AG80" s="106">
        <v>0</v>
      </c>
      <c r="AH80" s="106">
        <v>0</v>
      </c>
      <c r="AI80" s="106">
        <v>0</v>
      </c>
      <c r="AJ80" s="106">
        <v>4.6915414714801278</v>
      </c>
      <c r="AK80" s="106">
        <v>3777.6291928357987</v>
      </c>
      <c r="AL80" s="106">
        <v>10.711085390370076</v>
      </c>
      <c r="AM80" s="106">
        <v>8624.5659563259851</v>
      </c>
      <c r="AN80" s="106">
        <v>5.2124846268380987</v>
      </c>
      <c r="AO80" s="106">
        <v>4197.0926215300369</v>
      </c>
      <c r="AP80" s="106">
        <v>10.308205309403331</v>
      </c>
      <c r="AQ80" s="106">
        <v>8300.1669151315618</v>
      </c>
      <c r="AR80" s="106">
        <v>3.4551631505381719</v>
      </c>
      <c r="AS80" s="106">
        <v>2782.0973688133358</v>
      </c>
      <c r="AT80" s="106">
        <v>3.6863147681097583</v>
      </c>
      <c r="AU80" s="106">
        <v>2968.2206512819771</v>
      </c>
      <c r="AV80" s="106">
        <v>0</v>
      </c>
      <c r="AW80" s="106">
        <v>0</v>
      </c>
      <c r="AX80" s="106">
        <v>4.6257323743306555</v>
      </c>
      <c r="AY80" s="106">
        <v>3724.6397078110435</v>
      </c>
      <c r="AZ80" s="106">
        <v>0</v>
      </c>
      <c r="BA80" s="106">
        <v>0</v>
      </c>
      <c r="BB80" s="106">
        <v>0.26097806724365474</v>
      </c>
      <c r="BC80" s="106">
        <v>210.13953974459079</v>
      </c>
      <c r="BD80" s="106">
        <v>0.25473952454845383</v>
      </c>
      <c r="BE80" s="106">
        <v>205.11626516641502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5.0158096221949915</v>
      </c>
      <c r="BM80" s="106">
        <v>4038.7299077914067</v>
      </c>
      <c r="BN80" s="106">
        <v>4.0260162683537244</v>
      </c>
      <c r="BO80" s="106">
        <v>3241.7482992784185</v>
      </c>
      <c r="BP80" s="106">
        <v>6.2150731579002052</v>
      </c>
      <c r="BQ80" s="106">
        <v>5004.376906741245</v>
      </c>
      <c r="BR80" s="106">
        <v>0</v>
      </c>
      <c r="BS80" s="106">
        <v>0</v>
      </c>
      <c r="BT80" s="106">
        <v>0</v>
      </c>
      <c r="BU80" s="106">
        <v>0</v>
      </c>
      <c r="BV80" s="106">
        <v>17.838530285283948</v>
      </c>
      <c r="BW80" s="106">
        <v>14363.584585710634</v>
      </c>
      <c r="BX80" s="106">
        <v>1.2870208043956531E-15</v>
      </c>
      <c r="BY80" s="106">
        <v>1.0363091516993797E-12</v>
      </c>
      <c r="BZ80" s="106">
        <v>5.875765306903995</v>
      </c>
      <c r="CA80" s="106">
        <v>4731.1662251190965</v>
      </c>
      <c r="CB80" s="106">
        <v>9.4947748146598467</v>
      </c>
      <c r="CC80" s="106">
        <v>7645.1926807641075</v>
      </c>
      <c r="CD80" s="106">
        <v>3.2325989328073605</v>
      </c>
      <c r="CE80" s="106">
        <v>2602.8886606964866</v>
      </c>
      <c r="CF80" s="106">
        <v>0</v>
      </c>
      <c r="CG80" s="106">
        <v>0</v>
      </c>
      <c r="CH80" s="106">
        <v>1.7402132308693012</v>
      </c>
      <c r="CI80" s="106">
        <v>1401.2196934959613</v>
      </c>
      <c r="CJ80" s="106">
        <v>2.1842704069392318</v>
      </c>
      <c r="CK80" s="106">
        <v>1758.7745316674693</v>
      </c>
      <c r="CL80" s="106">
        <v>0</v>
      </c>
      <c r="CM80" s="106">
        <v>0</v>
      </c>
      <c r="CN80" s="106">
        <v>2.1823076631307279</v>
      </c>
      <c r="CO80" s="106">
        <v>1757.194130352862</v>
      </c>
      <c r="CP80" s="106">
        <v>1.0778818271640056</v>
      </c>
      <c r="CQ80" s="106">
        <v>867.91044723245727</v>
      </c>
      <c r="CR80" s="106">
        <v>1.185653820897745</v>
      </c>
      <c r="CS80" s="106">
        <v>954.68845658686416</v>
      </c>
      <c r="CT80" s="106">
        <v>1.7087719382550706</v>
      </c>
      <c r="CU80" s="106">
        <v>1375.9031646829826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0.26260607288211413</v>
      </c>
      <c r="I81" s="106">
        <v>197.8999365239612</v>
      </c>
      <c r="J81" s="106">
        <v>0</v>
      </c>
      <c r="K81" s="106">
        <v>0</v>
      </c>
      <c r="L81" s="106">
        <v>1.4733152850121656</v>
      </c>
      <c r="M81" s="106">
        <v>1110.290398785168</v>
      </c>
      <c r="N81" s="106">
        <v>0.80603164613615774</v>
      </c>
      <c r="O81" s="106">
        <v>607.42544852820845</v>
      </c>
      <c r="P81" s="106">
        <v>0</v>
      </c>
      <c r="Q81" s="106">
        <v>0</v>
      </c>
      <c r="R81" s="106">
        <v>0.53598407069004816</v>
      </c>
      <c r="S81" s="106">
        <v>403.9175956720203</v>
      </c>
      <c r="T81" s="106">
        <v>0.14784067328221534</v>
      </c>
      <c r="U81" s="106">
        <v>111.41273138547749</v>
      </c>
      <c r="V81" s="106">
        <v>0.37367623058574601</v>
      </c>
      <c r="W81" s="106">
        <v>281.60240736941819</v>
      </c>
      <c r="X81" s="106">
        <v>0</v>
      </c>
      <c r="Y81" s="106">
        <v>0</v>
      </c>
      <c r="Z81" s="106">
        <v>0</v>
      </c>
      <c r="AA81" s="106">
        <v>0</v>
      </c>
      <c r="AB81" s="106">
        <v>0.73602387414716686</v>
      </c>
      <c r="AC81" s="106">
        <v>554.66759155730495</v>
      </c>
      <c r="AD81" s="106">
        <v>0.26592450684830471</v>
      </c>
      <c r="AE81" s="106">
        <v>200.40070836088245</v>
      </c>
      <c r="AF81" s="106">
        <v>0</v>
      </c>
      <c r="AG81" s="106">
        <v>0</v>
      </c>
      <c r="AH81" s="106">
        <v>0</v>
      </c>
      <c r="AI81" s="106">
        <v>0</v>
      </c>
      <c r="AJ81" s="106">
        <v>4.6915414714801278</v>
      </c>
      <c r="AK81" s="106">
        <v>3535.5456529074245</v>
      </c>
      <c r="AL81" s="106">
        <v>11.0363010313903</v>
      </c>
      <c r="AM81" s="106">
        <v>8316.9564572557301</v>
      </c>
      <c r="AN81" s="106">
        <v>5.0777843722980407</v>
      </c>
      <c r="AO81" s="106">
        <v>3826.6183029638037</v>
      </c>
      <c r="AP81" s="106">
        <v>10.705671353096216</v>
      </c>
      <c r="AQ81" s="106">
        <v>8067.7939316933089</v>
      </c>
      <c r="AR81" s="106">
        <v>3.5759662757855319</v>
      </c>
      <c r="AS81" s="106">
        <v>2694.8481854319771</v>
      </c>
      <c r="AT81" s="106">
        <v>3.5674013884933142</v>
      </c>
      <c r="AU81" s="106">
        <v>2688.3936863685617</v>
      </c>
      <c r="AV81" s="106">
        <v>0</v>
      </c>
      <c r="AW81" s="106">
        <v>0</v>
      </c>
      <c r="AX81" s="106">
        <v>4.2830855317876448</v>
      </c>
      <c r="AY81" s="106">
        <v>3227.7332567551694</v>
      </c>
      <c r="AZ81" s="106">
        <v>0</v>
      </c>
      <c r="BA81" s="106">
        <v>0</v>
      </c>
      <c r="BB81" s="106">
        <v>0.26097806724365474</v>
      </c>
      <c r="BC81" s="106">
        <v>196.67307147481822</v>
      </c>
      <c r="BD81" s="106">
        <v>0.25473952454845383</v>
      </c>
      <c r="BE81" s="106">
        <v>191.97170569971482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4.5381134677002297</v>
      </c>
      <c r="BM81" s="106">
        <v>3419.9223092588932</v>
      </c>
      <c r="BN81" s="106">
        <v>4.0260162683537244</v>
      </c>
      <c r="BO81" s="106">
        <v>3034.0058598313667</v>
      </c>
      <c r="BP81" s="106">
        <v>6.5421822714738997</v>
      </c>
      <c r="BQ81" s="106">
        <v>4930.1885597827313</v>
      </c>
      <c r="BR81" s="106">
        <v>0</v>
      </c>
      <c r="BS81" s="106">
        <v>0</v>
      </c>
      <c r="BT81" s="106">
        <v>0</v>
      </c>
      <c r="BU81" s="106">
        <v>0</v>
      </c>
      <c r="BV81" s="106">
        <v>20.022840116135043</v>
      </c>
      <c r="BW81" s="106">
        <v>15089.21231151937</v>
      </c>
      <c r="BX81" s="106">
        <v>1.2870208043956531E-15</v>
      </c>
      <c r="BY81" s="106">
        <v>9.6989887819256425E-13</v>
      </c>
      <c r="BZ81" s="106">
        <v>6.0974922996173531</v>
      </c>
      <c r="CA81" s="106">
        <v>4595.0701969916372</v>
      </c>
      <c r="CB81" s="106">
        <v>8.9013513887436044</v>
      </c>
      <c r="CC81" s="106">
        <v>6708.0584065571802</v>
      </c>
      <c r="CD81" s="106">
        <v>3.5434257532696067</v>
      </c>
      <c r="CE81" s="106">
        <v>2670.3256476639758</v>
      </c>
      <c r="CF81" s="106">
        <v>0</v>
      </c>
      <c r="CG81" s="106">
        <v>0</v>
      </c>
      <c r="CH81" s="106">
        <v>1.7402132308693012</v>
      </c>
      <c r="CI81" s="106">
        <v>1311.4246907831055</v>
      </c>
      <c r="CJ81" s="106">
        <v>2.1935152574192505</v>
      </c>
      <c r="CK81" s="106">
        <v>1653.0330979911471</v>
      </c>
      <c r="CL81" s="106">
        <v>0</v>
      </c>
      <c r="CM81" s="106">
        <v>0</v>
      </c>
      <c r="CN81" s="106">
        <v>2.1823076631307279</v>
      </c>
      <c r="CO81" s="106">
        <v>1644.5870549353165</v>
      </c>
      <c r="CP81" s="106">
        <v>1.083538465238981</v>
      </c>
      <c r="CQ81" s="106">
        <v>816.55458740409608</v>
      </c>
      <c r="CR81" s="106">
        <v>1.3750936638226978</v>
      </c>
      <c r="CS81" s="106">
        <v>1036.2705850567852</v>
      </c>
      <c r="CT81" s="106">
        <v>1.7086705785188361</v>
      </c>
      <c r="CU81" s="106">
        <v>1287.6541479717948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0.21008485830569132</v>
      </c>
      <c r="I82" s="106">
        <v>106.89117590593573</v>
      </c>
      <c r="J82" s="106">
        <v>0</v>
      </c>
      <c r="K82" s="106">
        <v>0</v>
      </c>
      <c r="L82" s="106">
        <v>1.6574796956386864</v>
      </c>
      <c r="M82" s="106">
        <v>843.32566914096344</v>
      </c>
      <c r="N82" s="106">
        <v>1.0150028136529394</v>
      </c>
      <c r="O82" s="106">
        <v>516.43343158661548</v>
      </c>
      <c r="P82" s="106">
        <v>0</v>
      </c>
      <c r="Q82" s="106">
        <v>0</v>
      </c>
      <c r="R82" s="106">
        <v>0.60744861344872125</v>
      </c>
      <c r="S82" s="106">
        <v>309.06985452270931</v>
      </c>
      <c r="T82" s="106">
        <v>0.18480084160276916</v>
      </c>
      <c r="U82" s="106">
        <v>94.026668207488925</v>
      </c>
      <c r="V82" s="106">
        <v>0.42699109087132497</v>
      </c>
      <c r="W82" s="106">
        <v>217.2530670353301</v>
      </c>
      <c r="X82" s="106">
        <v>0</v>
      </c>
      <c r="Y82" s="106">
        <v>0</v>
      </c>
      <c r="Z82" s="106">
        <v>0</v>
      </c>
      <c r="AA82" s="106">
        <v>0</v>
      </c>
      <c r="AB82" s="106">
        <v>0.80962626156188355</v>
      </c>
      <c r="AC82" s="106">
        <v>411.93784188268626</v>
      </c>
      <c r="AD82" s="106">
        <v>0.31425044207187414</v>
      </c>
      <c r="AE82" s="106">
        <v>159.89062492616952</v>
      </c>
      <c r="AF82" s="106">
        <v>0</v>
      </c>
      <c r="AG82" s="106">
        <v>0</v>
      </c>
      <c r="AH82" s="106">
        <v>0</v>
      </c>
      <c r="AI82" s="106">
        <v>0</v>
      </c>
      <c r="AJ82" s="106">
        <v>5.6968717867972982</v>
      </c>
      <c r="AK82" s="106">
        <v>2898.5683651224649</v>
      </c>
      <c r="AL82" s="106">
        <v>12.007086152363133</v>
      </c>
      <c r="AM82" s="106">
        <v>6109.2054343223608</v>
      </c>
      <c r="AN82" s="106">
        <v>4.9352439220242674</v>
      </c>
      <c r="AO82" s="106">
        <v>2511.0521075259467</v>
      </c>
      <c r="AP82" s="106">
        <v>11.096443641770886</v>
      </c>
      <c r="AQ82" s="106">
        <v>5645.870524933026</v>
      </c>
      <c r="AR82" s="106">
        <v>3.6967456147476243</v>
      </c>
      <c r="AS82" s="106">
        <v>1880.9041687835909</v>
      </c>
      <c r="AT82" s="106">
        <v>3.805228147726202</v>
      </c>
      <c r="AU82" s="106">
        <v>1936.1000815630912</v>
      </c>
      <c r="AV82" s="106">
        <v>0</v>
      </c>
      <c r="AW82" s="106">
        <v>0</v>
      </c>
      <c r="AX82" s="106">
        <v>4.7970557956021613</v>
      </c>
      <c r="AY82" s="106">
        <v>2440.7419888023792</v>
      </c>
      <c r="AZ82" s="106">
        <v>0</v>
      </c>
      <c r="BA82" s="106">
        <v>0</v>
      </c>
      <c r="BB82" s="106">
        <v>0.26097806724365474</v>
      </c>
      <c r="BC82" s="106">
        <v>132.7856406135715</v>
      </c>
      <c r="BD82" s="106">
        <v>0.25473952454845383</v>
      </c>
      <c r="BE82" s="106">
        <v>129.61147009025328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4.5381134677002297</v>
      </c>
      <c r="BM82" s="106">
        <v>2308.9921323658764</v>
      </c>
      <c r="BN82" s="106">
        <v>3.7384436777570302</v>
      </c>
      <c r="BO82" s="106">
        <v>1902.1201432427765</v>
      </c>
      <c r="BP82" s="106">
        <v>6.8692913850475952</v>
      </c>
      <c r="BQ82" s="106">
        <v>3495.0954567122158</v>
      </c>
      <c r="BR82" s="106">
        <v>0</v>
      </c>
      <c r="BS82" s="106">
        <v>0</v>
      </c>
      <c r="BT82" s="106">
        <v>0</v>
      </c>
      <c r="BU82" s="106">
        <v>0</v>
      </c>
      <c r="BV82" s="106">
        <v>21.114995031560593</v>
      </c>
      <c r="BW82" s="106">
        <v>10743.309472058027</v>
      </c>
      <c r="BX82" s="106">
        <v>1.3585219601954118E-15</v>
      </c>
      <c r="BY82" s="106">
        <v>6.9121597334742537E-13</v>
      </c>
      <c r="BZ82" s="106">
        <v>6.0974922996173531</v>
      </c>
      <c r="CA82" s="106">
        <v>3102.4040820453088</v>
      </c>
      <c r="CB82" s="106">
        <v>9.4947748146598467</v>
      </c>
      <c r="CC82" s="106">
        <v>4830.9414256989294</v>
      </c>
      <c r="CD82" s="106">
        <v>3.6055911173620565</v>
      </c>
      <c r="CE82" s="106">
        <v>1834.524760513814</v>
      </c>
      <c r="CF82" s="106">
        <v>0</v>
      </c>
      <c r="CG82" s="106">
        <v>0</v>
      </c>
      <c r="CH82" s="106">
        <v>1.5468562052171568</v>
      </c>
      <c r="CI82" s="106">
        <v>787.0404372144892</v>
      </c>
      <c r="CJ82" s="106">
        <v>2.193696087957127</v>
      </c>
      <c r="CK82" s="106">
        <v>1116.1525695525861</v>
      </c>
      <c r="CL82" s="106">
        <v>0</v>
      </c>
      <c r="CM82" s="106">
        <v>0</v>
      </c>
      <c r="CN82" s="106">
        <v>2.1823076631307279</v>
      </c>
      <c r="CO82" s="106">
        <v>1110.3581390009142</v>
      </c>
      <c r="CP82" s="106">
        <v>1.0834906928567711</v>
      </c>
      <c r="CQ82" s="106">
        <v>551.28006452552506</v>
      </c>
      <c r="CR82" s="106">
        <v>1.3781939223647066</v>
      </c>
      <c r="CS82" s="106">
        <v>701.22506769916254</v>
      </c>
      <c r="CT82" s="106">
        <v>1.7088226181231878</v>
      </c>
      <c r="CU82" s="106">
        <v>869.4489481010778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0.21008485830569132</v>
      </c>
      <c r="I83" s="106">
        <v>180.7570120862168</v>
      </c>
      <c r="J83" s="106">
        <v>0</v>
      </c>
      <c r="K83" s="106">
        <v>0</v>
      </c>
      <c r="L83" s="106">
        <v>1.6574796956386864</v>
      </c>
      <c r="M83" s="106">
        <v>1426.0955301275258</v>
      </c>
      <c r="N83" s="106">
        <v>0.83588467006712652</v>
      </c>
      <c r="O83" s="106">
        <v>719.19517012575568</v>
      </c>
      <c r="P83" s="106">
        <v>0</v>
      </c>
      <c r="Q83" s="106">
        <v>0</v>
      </c>
      <c r="R83" s="106">
        <v>0.51811793500037984</v>
      </c>
      <c r="S83" s="106">
        <v>445.78867127432682</v>
      </c>
      <c r="T83" s="106">
        <v>0.14784067328221534</v>
      </c>
      <c r="U83" s="106">
        <v>127.20211529201808</v>
      </c>
      <c r="V83" s="106">
        <v>0.42698788868299387</v>
      </c>
      <c r="W83" s="106">
        <v>367.38037942284791</v>
      </c>
      <c r="X83" s="106">
        <v>0</v>
      </c>
      <c r="Y83" s="106">
        <v>0</v>
      </c>
      <c r="Z83" s="106">
        <v>0</v>
      </c>
      <c r="AA83" s="106">
        <v>0</v>
      </c>
      <c r="AB83" s="106">
        <v>0.66242148673245016</v>
      </c>
      <c r="AC83" s="106">
        <v>569.94744718460015</v>
      </c>
      <c r="AD83" s="106">
        <v>0.29008790444023846</v>
      </c>
      <c r="AE83" s="106">
        <v>249.59163298038118</v>
      </c>
      <c r="AF83" s="106">
        <v>0</v>
      </c>
      <c r="AG83" s="106">
        <v>0</v>
      </c>
      <c r="AH83" s="106">
        <v>0</v>
      </c>
      <c r="AI83" s="106">
        <v>0</v>
      </c>
      <c r="AJ83" s="106">
        <v>4.8590965240329895</v>
      </c>
      <c r="AK83" s="106">
        <v>4180.7666492779845</v>
      </c>
      <c r="AL83" s="106">
        <v>11.355509681813123</v>
      </c>
      <c r="AM83" s="106">
        <v>9770.2805302320103</v>
      </c>
      <c r="AN83" s="106">
        <v>4.7966378554352049</v>
      </c>
      <c r="AO83" s="106">
        <v>4127.02721081645</v>
      </c>
      <c r="AP83" s="106">
        <v>8.7308477065226278</v>
      </c>
      <c r="AQ83" s="106">
        <v>7512.021366692069</v>
      </c>
      <c r="AR83" s="106">
        <v>3.338958808171868</v>
      </c>
      <c r="AS83" s="106">
        <v>2872.8401585510751</v>
      </c>
      <c r="AT83" s="106">
        <v>3.4484880088768706</v>
      </c>
      <c r="AU83" s="106">
        <v>2967.0790828376594</v>
      </c>
      <c r="AV83" s="106">
        <v>0</v>
      </c>
      <c r="AW83" s="106">
        <v>0</v>
      </c>
      <c r="AX83" s="106">
        <v>4.6257323743306555</v>
      </c>
      <c r="AY83" s="106">
        <v>3979.9801348740957</v>
      </c>
      <c r="AZ83" s="106">
        <v>0</v>
      </c>
      <c r="BA83" s="106">
        <v>0</v>
      </c>
      <c r="BB83" s="106">
        <v>0.26097806724365474</v>
      </c>
      <c r="BC83" s="106">
        <v>224.54552905644053</v>
      </c>
      <c r="BD83" s="106">
        <v>0.25473952454845383</v>
      </c>
      <c r="BE83" s="106">
        <v>219.17788692148966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5.0158096221949915</v>
      </c>
      <c r="BM83" s="106">
        <v>4315.6025989365708</v>
      </c>
      <c r="BN83" s="106">
        <v>3.4508710871603356</v>
      </c>
      <c r="BO83" s="106">
        <v>2969.1294833927527</v>
      </c>
      <c r="BP83" s="106">
        <v>6.2150731579002052</v>
      </c>
      <c r="BQ83" s="106">
        <v>5347.4489450573365</v>
      </c>
      <c r="BR83" s="106">
        <v>0</v>
      </c>
      <c r="BS83" s="106">
        <v>0</v>
      </c>
      <c r="BT83" s="106">
        <v>0</v>
      </c>
      <c r="BU83" s="106">
        <v>0</v>
      </c>
      <c r="BV83" s="106">
        <v>17.474478646808766</v>
      </c>
      <c r="BW83" s="106">
        <v>15035.041427714263</v>
      </c>
      <c r="BX83" s="106">
        <v>1.2512702264957738E-15</v>
      </c>
      <c r="BY83" s="106">
        <v>1.0765929028769639E-12</v>
      </c>
      <c r="BZ83" s="106">
        <v>5.0997208324072405</v>
      </c>
      <c r="CA83" s="106">
        <v>4387.7998042031895</v>
      </c>
      <c r="CB83" s="106">
        <v>8.7035435801048582</v>
      </c>
      <c r="CC83" s="106">
        <v>7488.5288963222201</v>
      </c>
      <c r="CD83" s="106">
        <v>3.4812603891771579</v>
      </c>
      <c r="CE83" s="106">
        <v>2995.2764388480264</v>
      </c>
      <c r="CF83" s="106">
        <v>0</v>
      </c>
      <c r="CG83" s="106">
        <v>0</v>
      </c>
      <c r="CH83" s="106">
        <v>1.7402132308693012</v>
      </c>
      <c r="CI83" s="106">
        <v>1497.2794638399469</v>
      </c>
      <c r="CJ83" s="106">
        <v>2.1933344268813744</v>
      </c>
      <c r="CK83" s="106">
        <v>1887.1449408887345</v>
      </c>
      <c r="CL83" s="106">
        <v>0</v>
      </c>
      <c r="CM83" s="106">
        <v>0</v>
      </c>
      <c r="CN83" s="106">
        <v>2.1823076631307279</v>
      </c>
      <c r="CO83" s="106">
        <v>1877.6575133576782</v>
      </c>
      <c r="CP83" s="106">
        <v>0.90587258483439181</v>
      </c>
      <c r="CQ83" s="106">
        <v>779.41277199151068</v>
      </c>
      <c r="CR83" s="106">
        <v>1.3781939223647066</v>
      </c>
      <c r="CS83" s="106">
        <v>1185.7980508025935</v>
      </c>
      <c r="CT83" s="106">
        <v>1.7087719382550706</v>
      </c>
      <c r="CU83" s="106">
        <v>1470.2273756746627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0.21008485830569132</v>
      </c>
      <c r="I84" s="106">
        <v>164.11829130840604</v>
      </c>
      <c r="J84" s="106">
        <v>0</v>
      </c>
      <c r="K84" s="106">
        <v>0</v>
      </c>
      <c r="L84" s="106">
        <v>1.5960915587631797</v>
      </c>
      <c r="M84" s="106">
        <v>1246.8667257057959</v>
      </c>
      <c r="N84" s="106">
        <v>0.98514978972197054</v>
      </c>
      <c r="O84" s="106">
        <v>769.59901573080333</v>
      </c>
      <c r="P84" s="106">
        <v>0</v>
      </c>
      <c r="Q84" s="106">
        <v>0</v>
      </c>
      <c r="R84" s="106">
        <v>0.55385020637971638</v>
      </c>
      <c r="S84" s="106">
        <v>432.66778122383442</v>
      </c>
      <c r="T84" s="106">
        <v>0.18480084160276916</v>
      </c>
      <c r="U84" s="106">
        <v>144.36641746008326</v>
      </c>
      <c r="V84" s="106">
        <v>0.37367382894449763</v>
      </c>
      <c r="W84" s="106">
        <v>291.91399517144151</v>
      </c>
      <c r="X84" s="106">
        <v>0</v>
      </c>
      <c r="Y84" s="106">
        <v>0</v>
      </c>
      <c r="Z84" s="106">
        <v>0</v>
      </c>
      <c r="AA84" s="106">
        <v>0</v>
      </c>
      <c r="AB84" s="106">
        <v>0.80962626156188355</v>
      </c>
      <c r="AC84" s="106">
        <v>632.48003553214335</v>
      </c>
      <c r="AD84" s="106">
        <v>0.29008773244817887</v>
      </c>
      <c r="AE84" s="106">
        <v>226.61653658851731</v>
      </c>
      <c r="AF84" s="106">
        <v>0</v>
      </c>
      <c r="AG84" s="106">
        <v>0</v>
      </c>
      <c r="AH84" s="106">
        <v>0</v>
      </c>
      <c r="AI84" s="106">
        <v>0</v>
      </c>
      <c r="AJ84" s="106">
        <v>5.1942066291387121</v>
      </c>
      <c r="AK84" s="106">
        <v>4057.7142186831616</v>
      </c>
      <c r="AL84" s="106">
        <v>10.066455351198458</v>
      </c>
      <c r="AM84" s="106">
        <v>7863.9149203562347</v>
      </c>
      <c r="AN84" s="106">
        <v>4.3781840347067851</v>
      </c>
      <c r="AO84" s="106">
        <v>3420.23736791294</v>
      </c>
      <c r="AP84" s="106">
        <v>9.5148284581711344</v>
      </c>
      <c r="AQ84" s="106">
        <v>7432.9839915232897</v>
      </c>
      <c r="AR84" s="106">
        <v>3.5736517476180154</v>
      </c>
      <c r="AS84" s="106">
        <v>2791.7367452391932</v>
      </c>
      <c r="AT84" s="106">
        <v>3.2106612496439828</v>
      </c>
      <c r="AU84" s="106">
        <v>2508.168568221879</v>
      </c>
      <c r="AV84" s="106">
        <v>0</v>
      </c>
      <c r="AW84" s="106">
        <v>0</v>
      </c>
      <c r="AX84" s="106">
        <v>4.7970557956021613</v>
      </c>
      <c r="AY84" s="106">
        <v>3747.459987524408</v>
      </c>
      <c r="AZ84" s="106">
        <v>0</v>
      </c>
      <c r="BA84" s="106">
        <v>0</v>
      </c>
      <c r="BB84" s="106">
        <v>0.26097806724365474</v>
      </c>
      <c r="BC84" s="106">
        <v>203.87606613074306</v>
      </c>
      <c r="BD84" s="106">
        <v>0.25473952454845383</v>
      </c>
      <c r="BE84" s="106">
        <v>199.00251657725212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5.0158096221949915</v>
      </c>
      <c r="BM84" s="106">
        <v>3918.3504768587272</v>
      </c>
      <c r="BN84" s="106">
        <v>3.7384436777570302</v>
      </c>
      <c r="BO84" s="106">
        <v>2920.4722010637915</v>
      </c>
      <c r="BP84" s="106">
        <v>5.5608549307528152</v>
      </c>
      <c r="BQ84" s="106">
        <v>4344.139871904099</v>
      </c>
      <c r="BR84" s="106">
        <v>0</v>
      </c>
      <c r="BS84" s="106">
        <v>0</v>
      </c>
      <c r="BT84" s="106">
        <v>0</v>
      </c>
      <c r="BU84" s="106">
        <v>0</v>
      </c>
      <c r="BV84" s="106">
        <v>18.20258192375913</v>
      </c>
      <c r="BW84" s="106">
        <v>14219.856998840631</v>
      </c>
      <c r="BX84" s="106">
        <v>1.3227713822955323E-15</v>
      </c>
      <c r="BY84" s="106">
        <v>1.0333490038492697E-12</v>
      </c>
      <c r="BZ84" s="106">
        <v>6.0974922996173531</v>
      </c>
      <c r="CA84" s="106">
        <v>4763.3609844610755</v>
      </c>
      <c r="CB84" s="106">
        <v>9.692582623298593</v>
      </c>
      <c r="CC84" s="106">
        <v>7571.8455453208599</v>
      </c>
      <c r="CD84" s="106">
        <v>3.4190950250847085</v>
      </c>
      <c r="CE84" s="106">
        <v>2670.9970335961739</v>
      </c>
      <c r="CF84" s="106">
        <v>0</v>
      </c>
      <c r="CG84" s="106">
        <v>0</v>
      </c>
      <c r="CH84" s="106">
        <v>1.5468562052171568</v>
      </c>
      <c r="CI84" s="106">
        <v>1208.4040675156427</v>
      </c>
      <c r="CJ84" s="106">
        <v>2.1844512374771079</v>
      </c>
      <c r="CK84" s="106">
        <v>1706.4933067171166</v>
      </c>
      <c r="CL84" s="106">
        <v>0</v>
      </c>
      <c r="CM84" s="106">
        <v>0</v>
      </c>
      <c r="CN84" s="106">
        <v>2.1823076631307279</v>
      </c>
      <c r="CO84" s="106">
        <v>1704.8187464377245</v>
      </c>
      <c r="CP84" s="106">
        <v>0.91143367814494725</v>
      </c>
      <c r="CQ84" s="106">
        <v>712.01198936683272</v>
      </c>
      <c r="CR84" s="106">
        <v>1.1856210779352938</v>
      </c>
      <c r="CS84" s="106">
        <v>926.2071860830514</v>
      </c>
      <c r="CT84" s="106">
        <v>1.7087719382550706</v>
      </c>
      <c r="CU84" s="106">
        <v>1334.892638164861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0.26260607288211413</v>
      </c>
      <c r="I85" s="106">
        <v>39.390910932317119</v>
      </c>
      <c r="J85" s="106">
        <v>0</v>
      </c>
      <c r="K85" s="106">
        <v>0</v>
      </c>
      <c r="L85" s="106">
        <v>1.8416441062652071</v>
      </c>
      <c r="M85" s="106">
        <v>276.24661593978107</v>
      </c>
      <c r="N85" s="106">
        <v>1.0448558375839081</v>
      </c>
      <c r="O85" s="106">
        <v>156.72837563758623</v>
      </c>
      <c r="P85" s="106">
        <v>0</v>
      </c>
      <c r="Q85" s="106">
        <v>0</v>
      </c>
      <c r="R85" s="106">
        <v>0.62531474913838958</v>
      </c>
      <c r="S85" s="106">
        <v>93.79721237075843</v>
      </c>
      <c r="T85" s="106">
        <v>0.18480084160276916</v>
      </c>
      <c r="U85" s="106">
        <v>27.720126240415375</v>
      </c>
      <c r="V85" s="106">
        <v>0.37412762494828578</v>
      </c>
      <c r="W85" s="106">
        <v>56.119143742242869</v>
      </c>
      <c r="X85" s="106">
        <v>0</v>
      </c>
      <c r="Y85" s="106">
        <v>0</v>
      </c>
      <c r="Z85" s="106">
        <v>0</v>
      </c>
      <c r="AA85" s="106">
        <v>0</v>
      </c>
      <c r="AB85" s="106">
        <v>0.73602387414716686</v>
      </c>
      <c r="AC85" s="106">
        <v>110.40358112207502</v>
      </c>
      <c r="AD85" s="106">
        <v>0.31399135962013863</v>
      </c>
      <c r="AE85" s="106">
        <v>47.098703943020794</v>
      </c>
      <c r="AF85" s="106">
        <v>0</v>
      </c>
      <c r="AG85" s="106">
        <v>0</v>
      </c>
      <c r="AH85" s="106">
        <v>0</v>
      </c>
      <c r="AI85" s="106">
        <v>0</v>
      </c>
      <c r="AJ85" s="106">
        <v>5.5293167342444365</v>
      </c>
      <c r="AK85" s="106">
        <v>829.39751013666546</v>
      </c>
      <c r="AL85" s="106">
        <v>11.685155195203992</v>
      </c>
      <c r="AM85" s="106">
        <v>1752.7732792805987</v>
      </c>
      <c r="AN85" s="106">
        <v>4.939264020616096</v>
      </c>
      <c r="AO85" s="106">
        <v>740.8896030924144</v>
      </c>
      <c r="AP85" s="106">
        <v>11.492514151469983</v>
      </c>
      <c r="AQ85" s="106">
        <v>1723.8771227204975</v>
      </c>
      <c r="AR85" s="106">
        <v>4.0531212155713447</v>
      </c>
      <c r="AS85" s="106">
        <v>607.96818233570173</v>
      </c>
      <c r="AT85" s="106">
        <v>4.0430549069590889</v>
      </c>
      <c r="AU85" s="106">
        <v>606.45823604386328</v>
      </c>
      <c r="AV85" s="106">
        <v>0</v>
      </c>
      <c r="AW85" s="106">
        <v>0</v>
      </c>
      <c r="AX85" s="106">
        <v>4.6257323743306555</v>
      </c>
      <c r="AY85" s="106">
        <v>693.85985614959839</v>
      </c>
      <c r="AZ85" s="106">
        <v>0</v>
      </c>
      <c r="BA85" s="106">
        <v>0</v>
      </c>
      <c r="BB85" s="106">
        <v>0.26097806724365474</v>
      </c>
      <c r="BC85" s="106">
        <v>39.146710086548211</v>
      </c>
      <c r="BD85" s="106">
        <v>0.25473952454845383</v>
      </c>
      <c r="BE85" s="106">
        <v>38.210928682268076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5.4935057766897524</v>
      </c>
      <c r="BM85" s="106">
        <v>824.02586650346291</v>
      </c>
      <c r="BN85" s="106">
        <v>4.3135888589504194</v>
      </c>
      <c r="BO85" s="106">
        <v>647.03832884256292</v>
      </c>
      <c r="BP85" s="106">
        <v>7.0328459418344416</v>
      </c>
      <c r="BQ85" s="106">
        <v>1054.9268912751663</v>
      </c>
      <c r="BR85" s="106">
        <v>0</v>
      </c>
      <c r="BS85" s="106">
        <v>0</v>
      </c>
      <c r="BT85" s="106">
        <v>0</v>
      </c>
      <c r="BU85" s="106">
        <v>0</v>
      </c>
      <c r="BV85" s="106">
        <v>22.207149946986139</v>
      </c>
      <c r="BW85" s="106">
        <v>3331.0724920479206</v>
      </c>
      <c r="BX85" s="106">
        <v>1.4300231159951703E-15</v>
      </c>
      <c r="BY85" s="106">
        <v>2.1450346739927553E-13</v>
      </c>
      <c r="BZ85" s="106">
        <v>6.0974922996173531</v>
      </c>
      <c r="CA85" s="106">
        <v>914.623844942603</v>
      </c>
      <c r="CB85" s="106">
        <v>9.2969670060210987</v>
      </c>
      <c r="CC85" s="106">
        <v>1394.5450509031648</v>
      </c>
      <c r="CD85" s="106">
        <v>4.3515754864714475</v>
      </c>
      <c r="CE85" s="106">
        <v>652.73632297071708</v>
      </c>
      <c r="CF85" s="106">
        <v>0</v>
      </c>
      <c r="CG85" s="106">
        <v>0</v>
      </c>
      <c r="CH85" s="106">
        <v>1.7402132308693012</v>
      </c>
      <c r="CI85" s="106">
        <v>261.03198463039519</v>
      </c>
      <c r="CJ85" s="106">
        <v>2.6244607674433329</v>
      </c>
      <c r="CK85" s="106">
        <v>393.66911511649994</v>
      </c>
      <c r="CL85" s="106">
        <v>0</v>
      </c>
      <c r="CM85" s="106">
        <v>0</v>
      </c>
      <c r="CN85" s="106">
        <v>2.5460256069858493</v>
      </c>
      <c r="CO85" s="106">
        <v>381.90384104787739</v>
      </c>
      <c r="CP85" s="106">
        <v>1.083538465238981</v>
      </c>
      <c r="CQ85" s="106">
        <v>162.53076978584716</v>
      </c>
      <c r="CR85" s="106">
        <v>1.381130466094461</v>
      </c>
      <c r="CS85" s="106">
        <v>207.16956991416916</v>
      </c>
      <c r="CT85" s="106">
        <v>1.713146249968768</v>
      </c>
      <c r="CU85" s="106">
        <v>256.97193749531522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0.26260607288211413</v>
      </c>
      <c r="I86" s="106">
        <v>141.80727935634164</v>
      </c>
      <c r="J86" s="106">
        <v>0</v>
      </c>
      <c r="K86" s="106">
        <v>0</v>
      </c>
      <c r="L86" s="106">
        <v>1.6574796956386864</v>
      </c>
      <c r="M86" s="106">
        <v>895.03903564489065</v>
      </c>
      <c r="N86" s="106">
        <v>0.8657376939980953</v>
      </c>
      <c r="O86" s="106">
        <v>467.49835475897146</v>
      </c>
      <c r="P86" s="106">
        <v>0</v>
      </c>
      <c r="Q86" s="106">
        <v>0</v>
      </c>
      <c r="R86" s="106">
        <v>0.58958247775905304</v>
      </c>
      <c r="S86" s="106">
        <v>318.37453798988867</v>
      </c>
      <c r="T86" s="106">
        <v>0.18480084160276916</v>
      </c>
      <c r="U86" s="106">
        <v>99.792454465495354</v>
      </c>
      <c r="V86" s="106">
        <v>0.42699029032424229</v>
      </c>
      <c r="W86" s="106">
        <v>230.57475677509083</v>
      </c>
      <c r="X86" s="106">
        <v>0</v>
      </c>
      <c r="Y86" s="106">
        <v>0</v>
      </c>
      <c r="Z86" s="106">
        <v>0</v>
      </c>
      <c r="AA86" s="106">
        <v>0</v>
      </c>
      <c r="AB86" s="106">
        <v>0.73602387414716686</v>
      </c>
      <c r="AC86" s="106">
        <v>397.4528920394701</v>
      </c>
      <c r="AD86" s="106">
        <v>0.31399135962013863</v>
      </c>
      <c r="AE86" s="106">
        <v>169.55533419487486</v>
      </c>
      <c r="AF86" s="106">
        <v>0</v>
      </c>
      <c r="AG86" s="106">
        <v>0</v>
      </c>
      <c r="AH86" s="106">
        <v>0</v>
      </c>
      <c r="AI86" s="106">
        <v>0</v>
      </c>
      <c r="AJ86" s="106">
        <v>5.6968717867972982</v>
      </c>
      <c r="AK86" s="106">
        <v>3076.3107648705409</v>
      </c>
      <c r="AL86" s="106">
        <v>12.002916893782009</v>
      </c>
      <c r="AM86" s="106">
        <v>6481.5751226422854</v>
      </c>
      <c r="AN86" s="106">
        <v>4.7927415672647715</v>
      </c>
      <c r="AO86" s="106">
        <v>2588.0804463229765</v>
      </c>
      <c r="AP86" s="106">
        <v>9.5163127155870271</v>
      </c>
      <c r="AQ86" s="106">
        <v>5138.8088664169945</v>
      </c>
      <c r="AR86" s="106">
        <v>3.1010761292071303</v>
      </c>
      <c r="AS86" s="106">
        <v>1674.5811097718504</v>
      </c>
      <c r="AT86" s="106">
        <v>3.9241415273426457</v>
      </c>
      <c r="AU86" s="106">
        <v>2119.0364247650286</v>
      </c>
      <c r="AV86" s="106">
        <v>0</v>
      </c>
      <c r="AW86" s="106">
        <v>0</v>
      </c>
      <c r="AX86" s="106">
        <v>4.6257323743306555</v>
      </c>
      <c r="AY86" s="106">
        <v>2497.8954821385541</v>
      </c>
      <c r="AZ86" s="106">
        <v>0</v>
      </c>
      <c r="BA86" s="106">
        <v>0</v>
      </c>
      <c r="BB86" s="106">
        <v>0.26097806724365474</v>
      </c>
      <c r="BC86" s="106">
        <v>140.92815631157356</v>
      </c>
      <c r="BD86" s="106">
        <v>0.25473952454845383</v>
      </c>
      <c r="BE86" s="106">
        <v>137.55934325616508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4.7769615449476106</v>
      </c>
      <c r="BM86" s="106">
        <v>2579.5592342717096</v>
      </c>
      <c r="BN86" s="106">
        <v>4.0260162683537244</v>
      </c>
      <c r="BO86" s="106">
        <v>2174.0487849110114</v>
      </c>
      <c r="BP86" s="106">
        <v>6.8692913850475952</v>
      </c>
      <c r="BQ86" s="106">
        <v>3709.4173479257015</v>
      </c>
      <c r="BR86" s="106">
        <v>0</v>
      </c>
      <c r="BS86" s="106">
        <v>0</v>
      </c>
      <c r="BT86" s="106">
        <v>0</v>
      </c>
      <c r="BU86" s="106">
        <v>0</v>
      </c>
      <c r="BV86" s="106">
        <v>18.930685200709494</v>
      </c>
      <c r="BW86" s="106">
        <v>10222.570008383127</v>
      </c>
      <c r="BX86" s="106">
        <v>1.2512702264957738E-15</v>
      </c>
      <c r="BY86" s="106">
        <v>6.7568592230771784E-13</v>
      </c>
      <c r="BZ86" s="106">
        <v>6.2083557959740316</v>
      </c>
      <c r="CA86" s="106">
        <v>3352.5121298259769</v>
      </c>
      <c r="CB86" s="106">
        <v>8.9013513887436044</v>
      </c>
      <c r="CC86" s="106">
        <v>4806.7297499215465</v>
      </c>
      <c r="CD86" s="106">
        <v>3.7299218455469547</v>
      </c>
      <c r="CE86" s="106">
        <v>2014.1577965953556</v>
      </c>
      <c r="CF86" s="106">
        <v>0</v>
      </c>
      <c r="CG86" s="106">
        <v>0</v>
      </c>
      <c r="CH86" s="106">
        <v>1.7402132308693012</v>
      </c>
      <c r="CI86" s="106">
        <v>939.71514466942267</v>
      </c>
      <c r="CJ86" s="106">
        <v>2.1844512374771079</v>
      </c>
      <c r="CK86" s="106">
        <v>1179.6036682376382</v>
      </c>
      <c r="CL86" s="106">
        <v>0</v>
      </c>
      <c r="CM86" s="106">
        <v>0</v>
      </c>
      <c r="CN86" s="106">
        <v>2.1823076631307279</v>
      </c>
      <c r="CO86" s="106">
        <v>1178.446138090593</v>
      </c>
      <c r="CP86" s="106">
        <v>0.91162476767378708</v>
      </c>
      <c r="CQ86" s="106">
        <v>492.27737454384504</v>
      </c>
      <c r="CR86" s="106">
        <v>1.1856210779352938</v>
      </c>
      <c r="CS86" s="106">
        <v>640.23538208505863</v>
      </c>
      <c r="CT86" s="106">
        <v>1.7086705785188361</v>
      </c>
      <c r="CU86" s="106">
        <v>922.68211240017149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0.7352970040699196</v>
      </c>
      <c r="I87" s="106">
        <v>1437.3585835558788</v>
      </c>
      <c r="J87" s="106">
        <v>0</v>
      </c>
      <c r="K87" s="106">
        <v>0</v>
      </c>
      <c r="L87" s="106">
        <v>0.61388136875506905</v>
      </c>
      <c r="M87" s="106">
        <v>1200.015299642409</v>
      </c>
      <c r="N87" s="106">
        <v>0.20897116751678163</v>
      </c>
      <c r="O87" s="106">
        <v>408.49683826180473</v>
      </c>
      <c r="P87" s="106">
        <v>0</v>
      </c>
      <c r="Q87" s="106">
        <v>0</v>
      </c>
      <c r="R87" s="106">
        <v>0.14292908551734618</v>
      </c>
      <c r="S87" s="106">
        <v>279.3977763693083</v>
      </c>
      <c r="T87" s="106">
        <v>0.22176100992332301</v>
      </c>
      <c r="U87" s="106">
        <v>433.49842219811183</v>
      </c>
      <c r="V87" s="106">
        <v>0.2668124070889486</v>
      </c>
      <c r="W87" s="106">
        <v>521.56489337747666</v>
      </c>
      <c r="X87" s="106">
        <v>0</v>
      </c>
      <c r="Y87" s="106">
        <v>0</v>
      </c>
      <c r="Z87" s="106">
        <v>0</v>
      </c>
      <c r="AA87" s="106">
        <v>0</v>
      </c>
      <c r="AB87" s="106">
        <v>0.36801193707358343</v>
      </c>
      <c r="AC87" s="106">
        <v>719.38973459144086</v>
      </c>
      <c r="AD87" s="106">
        <v>9.704255802945759E-2</v>
      </c>
      <c r="AE87" s="106">
        <v>189.69879243598371</v>
      </c>
      <c r="AF87" s="106">
        <v>0</v>
      </c>
      <c r="AG87" s="106">
        <v>0</v>
      </c>
      <c r="AH87" s="106">
        <v>0</v>
      </c>
      <c r="AI87" s="106">
        <v>0</v>
      </c>
      <c r="AJ87" s="106">
        <v>0.5026651576585851</v>
      </c>
      <c r="AK87" s="106">
        <v>982.60985019100212</v>
      </c>
      <c r="AL87" s="106">
        <v>1.2993814614608035</v>
      </c>
      <c r="AM87" s="106">
        <v>2540.0308808635787</v>
      </c>
      <c r="AN87" s="106">
        <v>0.42512858803861625</v>
      </c>
      <c r="AO87" s="106">
        <v>831.04136389788698</v>
      </c>
      <c r="AP87" s="106">
        <v>1.5870376174151224</v>
      </c>
      <c r="AQ87" s="106">
        <v>3102.3411345230811</v>
      </c>
      <c r="AR87" s="106">
        <v>0.71510681521678388</v>
      </c>
      <c r="AS87" s="106">
        <v>1397.8908023857691</v>
      </c>
      <c r="AT87" s="106">
        <v>0.71348027769866285</v>
      </c>
      <c r="AU87" s="106">
        <v>1394.7112468453461</v>
      </c>
      <c r="AV87" s="106">
        <v>0</v>
      </c>
      <c r="AW87" s="106">
        <v>0</v>
      </c>
      <c r="AX87" s="106">
        <v>1.0279405276290345</v>
      </c>
      <c r="AY87" s="106">
        <v>2009.4181434092366</v>
      </c>
      <c r="AZ87" s="106">
        <v>0</v>
      </c>
      <c r="BA87" s="106">
        <v>0</v>
      </c>
      <c r="BB87" s="106">
        <v>1.1744013025964464</v>
      </c>
      <c r="BC87" s="106">
        <v>2295.7196663155332</v>
      </c>
      <c r="BD87" s="106">
        <v>1.1463278604680422</v>
      </c>
      <c r="BE87" s="106">
        <v>2240.8417016429289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4.5381134677002297</v>
      </c>
      <c r="BM87" s="106">
        <v>8871.1042066604095</v>
      </c>
      <c r="BN87" s="106">
        <v>5.1763066307405028</v>
      </c>
      <c r="BO87" s="106">
        <v>10118.644201771534</v>
      </c>
      <c r="BP87" s="106">
        <v>2.7804274653764076</v>
      </c>
      <c r="BQ87" s="106">
        <v>5435.1796093178018</v>
      </c>
      <c r="BR87" s="106">
        <v>0</v>
      </c>
      <c r="BS87" s="106">
        <v>0</v>
      </c>
      <c r="BT87" s="106">
        <v>0</v>
      </c>
      <c r="BU87" s="106">
        <v>0</v>
      </c>
      <c r="BV87" s="106">
        <v>5.0967229386525572</v>
      </c>
      <c r="BW87" s="106">
        <v>9963.0740004780182</v>
      </c>
      <c r="BX87" s="106">
        <v>6.0775982429794729E-16</v>
      </c>
      <c r="BY87" s="106">
        <v>1.1880489045376274E-12</v>
      </c>
      <c r="BZ87" s="106">
        <v>2.3281334234902622</v>
      </c>
      <c r="CA87" s="106">
        <v>4551.0352162387644</v>
      </c>
      <c r="CB87" s="106">
        <v>3.758348364136189</v>
      </c>
      <c r="CC87" s="106">
        <v>7346.8193822134217</v>
      </c>
      <c r="CD87" s="106">
        <v>0.87031509729428946</v>
      </c>
      <c r="CE87" s="106">
        <v>1701.2919521908771</v>
      </c>
      <c r="CF87" s="106">
        <v>0</v>
      </c>
      <c r="CG87" s="106">
        <v>0</v>
      </c>
      <c r="CH87" s="106">
        <v>0.96678512826072294</v>
      </c>
      <c r="CI87" s="106">
        <v>1889.8715687240613</v>
      </c>
      <c r="CJ87" s="106">
        <v>2.5876621960611343</v>
      </c>
      <c r="CK87" s="106">
        <v>5058.3620608603051</v>
      </c>
      <c r="CL87" s="106">
        <v>0</v>
      </c>
      <c r="CM87" s="106">
        <v>0</v>
      </c>
      <c r="CN87" s="106">
        <v>2.9097435508409708</v>
      </c>
      <c r="CO87" s="106">
        <v>5687.9666931839292</v>
      </c>
      <c r="CP87" s="106">
        <v>1.2231103986539622</v>
      </c>
      <c r="CQ87" s="106">
        <v>2390.9362072887652</v>
      </c>
      <c r="CR87" s="106">
        <v>1.9737281758061769</v>
      </c>
      <c r="CS87" s="106">
        <v>3858.2438380659146</v>
      </c>
      <c r="CT87" s="106">
        <v>1.9027028008116298</v>
      </c>
      <c r="CU87" s="106">
        <v>3719.4034350265738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0.84033943322276528</v>
      </c>
      <c r="I88" s="106">
        <v>1590.258343430761</v>
      </c>
      <c r="J88" s="106">
        <v>0</v>
      </c>
      <c r="K88" s="106">
        <v>0</v>
      </c>
      <c r="L88" s="106">
        <v>0.61388136875506905</v>
      </c>
      <c r="M88" s="106">
        <v>1161.7091022320926</v>
      </c>
      <c r="N88" s="106">
        <v>0.17911814358581282</v>
      </c>
      <c r="O88" s="106">
        <v>338.96317492179219</v>
      </c>
      <c r="P88" s="106">
        <v>0</v>
      </c>
      <c r="Q88" s="106">
        <v>0</v>
      </c>
      <c r="R88" s="106">
        <v>0.12506294982767791</v>
      </c>
      <c r="S88" s="106">
        <v>236.66912625389764</v>
      </c>
      <c r="T88" s="106">
        <v>0.22176100992332301</v>
      </c>
      <c r="U88" s="106">
        <v>419.66053517889645</v>
      </c>
      <c r="V88" s="106">
        <v>0.26681160654186581</v>
      </c>
      <c r="W88" s="106">
        <v>504.91428421982681</v>
      </c>
      <c r="X88" s="106">
        <v>0</v>
      </c>
      <c r="Y88" s="106">
        <v>0</v>
      </c>
      <c r="Z88" s="106">
        <v>0</v>
      </c>
      <c r="AA88" s="106">
        <v>0</v>
      </c>
      <c r="AB88" s="106">
        <v>0.36801193707358343</v>
      </c>
      <c r="AC88" s="106">
        <v>696.42578971804926</v>
      </c>
      <c r="AD88" s="106">
        <v>9.7042730021517212E-2</v>
      </c>
      <c r="AE88" s="106">
        <v>183.64366229271917</v>
      </c>
      <c r="AF88" s="106">
        <v>0</v>
      </c>
      <c r="AG88" s="106">
        <v>0</v>
      </c>
      <c r="AH88" s="106">
        <v>0</v>
      </c>
      <c r="AI88" s="106">
        <v>0</v>
      </c>
      <c r="AJ88" s="106">
        <v>0.67022021021144684</v>
      </c>
      <c r="AK88" s="106">
        <v>1268.324725804142</v>
      </c>
      <c r="AL88" s="106">
        <v>1.2993677449455654</v>
      </c>
      <c r="AM88" s="106">
        <v>2458.9235205349878</v>
      </c>
      <c r="AN88" s="106">
        <v>0.28518566321180033</v>
      </c>
      <c r="AO88" s="106">
        <v>539.68534906201091</v>
      </c>
      <c r="AP88" s="106">
        <v>1.5870376174151224</v>
      </c>
      <c r="AQ88" s="106">
        <v>3003.3099871963773</v>
      </c>
      <c r="AR88" s="106">
        <v>0.71464866684033401</v>
      </c>
      <c r="AS88" s="106">
        <v>1352.4011371286481</v>
      </c>
      <c r="AT88" s="106">
        <v>0.71348027769866285</v>
      </c>
      <c r="AU88" s="106">
        <v>1350.1900775169495</v>
      </c>
      <c r="AV88" s="106">
        <v>0</v>
      </c>
      <c r="AW88" s="106">
        <v>0</v>
      </c>
      <c r="AX88" s="106">
        <v>1.0279405276290345</v>
      </c>
      <c r="AY88" s="106">
        <v>1945.2746544851848</v>
      </c>
      <c r="AZ88" s="106">
        <v>0</v>
      </c>
      <c r="BA88" s="106">
        <v>0</v>
      </c>
      <c r="BB88" s="106">
        <v>0.91342323535279146</v>
      </c>
      <c r="BC88" s="106">
        <v>1728.5621305816223</v>
      </c>
      <c r="BD88" s="106">
        <v>1.1463278604680422</v>
      </c>
      <c r="BE88" s="106">
        <v>2169.310843149723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5.2546576994423715</v>
      </c>
      <c r="BM88" s="106">
        <v>9943.9142304247434</v>
      </c>
      <c r="BN88" s="106">
        <v>4.8887340401438086</v>
      </c>
      <c r="BO88" s="106">
        <v>9251.4402975681423</v>
      </c>
      <c r="BP88" s="106">
        <v>2.4533183518027122</v>
      </c>
      <c r="BQ88" s="106">
        <v>4642.6596489514523</v>
      </c>
      <c r="BR88" s="106">
        <v>0</v>
      </c>
      <c r="BS88" s="106">
        <v>0</v>
      </c>
      <c r="BT88" s="106">
        <v>0</v>
      </c>
      <c r="BU88" s="106">
        <v>0</v>
      </c>
      <c r="BV88" s="106">
        <v>6.1888778540781049</v>
      </c>
      <c r="BW88" s="106">
        <v>11711.832451057406</v>
      </c>
      <c r="BX88" s="106">
        <v>5.7200924639806805E-16</v>
      </c>
      <c r="BY88" s="106">
        <v>1.0824702978837039E-12</v>
      </c>
      <c r="BZ88" s="106">
        <v>2.4389969198469412</v>
      </c>
      <c r="CA88" s="106">
        <v>4615.5577711183514</v>
      </c>
      <c r="CB88" s="106">
        <v>3.5605405554974419</v>
      </c>
      <c r="CC88" s="106">
        <v>6737.9669472233581</v>
      </c>
      <c r="CD88" s="106">
        <v>0.93248046138673868</v>
      </c>
      <c r="CE88" s="106">
        <v>1764.6260251282642</v>
      </c>
      <c r="CF88" s="106">
        <v>0</v>
      </c>
      <c r="CG88" s="106">
        <v>0</v>
      </c>
      <c r="CH88" s="106">
        <v>1.1601421539128676</v>
      </c>
      <c r="CI88" s="106">
        <v>2195.4530120647105</v>
      </c>
      <c r="CJ88" s="106">
        <v>2.165780705979194</v>
      </c>
      <c r="CK88" s="106">
        <v>4098.5234079950269</v>
      </c>
      <c r="CL88" s="106">
        <v>0</v>
      </c>
      <c r="CM88" s="106">
        <v>0</v>
      </c>
      <c r="CN88" s="106">
        <v>3.2734614946960918</v>
      </c>
      <c r="CO88" s="106">
        <v>6194.6985325628839</v>
      </c>
      <c r="CP88" s="106">
        <v>1.2245754526806287</v>
      </c>
      <c r="CQ88" s="106">
        <v>2317.3865866528217</v>
      </c>
      <c r="CR88" s="106">
        <v>1.9737609187686274</v>
      </c>
      <c r="CS88" s="106">
        <v>3735.1451626777502</v>
      </c>
      <c r="CT88" s="106">
        <v>1.9113500645027899</v>
      </c>
      <c r="CU88" s="106">
        <v>3617.0388620650792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0.84033943322276528</v>
      </c>
      <c r="I89" s="106">
        <v>2014.797825094902</v>
      </c>
      <c r="J89" s="106">
        <v>0</v>
      </c>
      <c r="K89" s="106">
        <v>0</v>
      </c>
      <c r="L89" s="106">
        <v>0.55249323187956212</v>
      </c>
      <c r="M89" s="106">
        <v>1324.6577727544382</v>
      </c>
      <c r="N89" s="106">
        <v>0.17911814358581282</v>
      </c>
      <c r="O89" s="106">
        <v>429.4536610613448</v>
      </c>
      <c r="P89" s="106">
        <v>0</v>
      </c>
      <c r="Q89" s="106">
        <v>0</v>
      </c>
      <c r="R89" s="106">
        <v>0.12506294982767791</v>
      </c>
      <c r="S89" s="106">
        <v>299.85092850684055</v>
      </c>
      <c r="T89" s="106">
        <v>0.18480084160276916</v>
      </c>
      <c r="U89" s="106">
        <v>443.07849782679932</v>
      </c>
      <c r="V89" s="106">
        <v>0.26681320763603134</v>
      </c>
      <c r="W89" s="106">
        <v>639.7113466281487</v>
      </c>
      <c r="X89" s="106">
        <v>0</v>
      </c>
      <c r="Y89" s="106">
        <v>0</v>
      </c>
      <c r="Z89" s="106">
        <v>0</v>
      </c>
      <c r="AA89" s="106">
        <v>0</v>
      </c>
      <c r="AB89" s="106">
        <v>0.36801193707358343</v>
      </c>
      <c r="AC89" s="106">
        <v>882.34542032762363</v>
      </c>
      <c r="AD89" s="106">
        <v>9.6913188795649488E-2</v>
      </c>
      <c r="AE89" s="106">
        <v>232.35906145644921</v>
      </c>
      <c r="AF89" s="106">
        <v>0</v>
      </c>
      <c r="AG89" s="106">
        <v>0</v>
      </c>
      <c r="AH89" s="106">
        <v>0</v>
      </c>
      <c r="AI89" s="106">
        <v>0</v>
      </c>
      <c r="AJ89" s="106">
        <v>0.67022021021144684</v>
      </c>
      <c r="AK89" s="106">
        <v>1606.9199760029649</v>
      </c>
      <c r="AL89" s="106">
        <v>1.2993677449455654</v>
      </c>
      <c r="AM89" s="106">
        <v>3115.3641052814874</v>
      </c>
      <c r="AN89" s="106">
        <v>0.28518566321180033</v>
      </c>
      <c r="AO89" s="106">
        <v>683.76114611661251</v>
      </c>
      <c r="AP89" s="106">
        <v>1.5856775727901746</v>
      </c>
      <c r="AQ89" s="106">
        <v>3801.8205485217227</v>
      </c>
      <c r="AR89" s="106">
        <v>0.71464434206119443</v>
      </c>
      <c r="AS89" s="106">
        <v>1713.4312745259197</v>
      </c>
      <c r="AT89" s="106">
        <v>0.71348027769866285</v>
      </c>
      <c r="AU89" s="106">
        <v>1710.640313810314</v>
      </c>
      <c r="AV89" s="106">
        <v>0</v>
      </c>
      <c r="AW89" s="106">
        <v>0</v>
      </c>
      <c r="AX89" s="106">
        <v>0.85661710635752875</v>
      </c>
      <c r="AY89" s="106">
        <v>2053.825174202811</v>
      </c>
      <c r="AZ89" s="106">
        <v>0</v>
      </c>
      <c r="BA89" s="106">
        <v>0</v>
      </c>
      <c r="BB89" s="106">
        <v>0.91342323535279146</v>
      </c>
      <c r="BC89" s="106">
        <v>2190.0235490818527</v>
      </c>
      <c r="BD89" s="106">
        <v>1.0189580981938153</v>
      </c>
      <c r="BE89" s="106">
        <v>2443.0539362294917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4.7769615449476106</v>
      </c>
      <c r="BM89" s="106">
        <v>11453.243000166391</v>
      </c>
      <c r="BN89" s="106">
        <v>4.3135888589504194</v>
      </c>
      <c r="BO89" s="106">
        <v>10342.260648219526</v>
      </c>
      <c r="BP89" s="106">
        <v>2.7804274653764076</v>
      </c>
      <c r="BQ89" s="106">
        <v>6666.3528909864744</v>
      </c>
      <c r="BR89" s="106">
        <v>0</v>
      </c>
      <c r="BS89" s="106">
        <v>0</v>
      </c>
      <c r="BT89" s="106">
        <v>0</v>
      </c>
      <c r="BU89" s="106">
        <v>0</v>
      </c>
      <c r="BV89" s="106">
        <v>5.0967229386525572</v>
      </c>
      <c r="BW89" s="106">
        <v>12219.902917713371</v>
      </c>
      <c r="BX89" s="106">
        <v>5.362586684981888E-16</v>
      </c>
      <c r="BY89" s="106">
        <v>1.2857337835912574E-12</v>
      </c>
      <c r="BZ89" s="106">
        <v>2.2172699271335827</v>
      </c>
      <c r="CA89" s="106">
        <v>5316.1263772954781</v>
      </c>
      <c r="CB89" s="106">
        <v>3.1649249382199485</v>
      </c>
      <c r="CC89" s="106">
        <v>7588.2240318761478</v>
      </c>
      <c r="CD89" s="106">
        <v>0.87031509729428946</v>
      </c>
      <c r="CE89" s="106">
        <v>2086.6674772727883</v>
      </c>
      <c r="CF89" s="106">
        <v>0</v>
      </c>
      <c r="CG89" s="106">
        <v>0</v>
      </c>
      <c r="CH89" s="106">
        <v>0.96678512826072294</v>
      </c>
      <c r="CI89" s="106">
        <v>2317.964023517909</v>
      </c>
      <c r="CJ89" s="106">
        <v>2.1565358554991754</v>
      </c>
      <c r="CK89" s="106">
        <v>5170.5103671448223</v>
      </c>
      <c r="CL89" s="106">
        <v>0</v>
      </c>
      <c r="CM89" s="106">
        <v>0</v>
      </c>
      <c r="CN89" s="106">
        <v>3.2734614946960918</v>
      </c>
      <c r="CO89" s="106">
        <v>7848.4512796833496</v>
      </c>
      <c r="CP89" s="106">
        <v>1.2231103986539622</v>
      </c>
      <c r="CQ89" s="106">
        <v>2932.5294918127397</v>
      </c>
      <c r="CR89" s="106">
        <v>1.9767629484232838</v>
      </c>
      <c r="CS89" s="106">
        <v>4739.4868451396651</v>
      </c>
      <c r="CT89" s="106">
        <v>1.738885321569779</v>
      </c>
      <c r="CU89" s="106">
        <v>4169.1514469957019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0.78781821864634238</v>
      </c>
      <c r="I90" s="106">
        <v>1730.9941900097433</v>
      </c>
      <c r="J90" s="106">
        <v>0</v>
      </c>
      <c r="K90" s="106">
        <v>0</v>
      </c>
      <c r="L90" s="106">
        <v>0.67526950563057597</v>
      </c>
      <c r="M90" s="106">
        <v>1483.7021577715013</v>
      </c>
      <c r="N90" s="106">
        <v>0.20897116751678163</v>
      </c>
      <c r="O90" s="106">
        <v>459.15144926787258</v>
      </c>
      <c r="P90" s="106">
        <v>0</v>
      </c>
      <c r="Q90" s="106">
        <v>0</v>
      </c>
      <c r="R90" s="106">
        <v>0.14292908551734618</v>
      </c>
      <c r="S90" s="106">
        <v>314.04378669871301</v>
      </c>
      <c r="T90" s="106">
        <v>0.18480084160276916</v>
      </c>
      <c r="U90" s="106">
        <v>406.04440916960436</v>
      </c>
      <c r="V90" s="106">
        <v>0.26681320763603134</v>
      </c>
      <c r="W90" s="106">
        <v>586.24197981788802</v>
      </c>
      <c r="X90" s="106">
        <v>0</v>
      </c>
      <c r="Y90" s="106">
        <v>0</v>
      </c>
      <c r="Z90" s="106">
        <v>0</v>
      </c>
      <c r="AA90" s="106">
        <v>0</v>
      </c>
      <c r="AB90" s="106">
        <v>0.36801193707358343</v>
      </c>
      <c r="AC90" s="106">
        <v>808.59582813807742</v>
      </c>
      <c r="AD90" s="106">
        <v>7.2880020397821932E-2</v>
      </c>
      <c r="AE90" s="106">
        <v>160.13198081809435</v>
      </c>
      <c r="AF90" s="106">
        <v>0</v>
      </c>
      <c r="AG90" s="106">
        <v>0</v>
      </c>
      <c r="AH90" s="106">
        <v>0</v>
      </c>
      <c r="AI90" s="106">
        <v>0</v>
      </c>
      <c r="AJ90" s="106">
        <v>0.67022021021144684</v>
      </c>
      <c r="AK90" s="106">
        <v>1472.6078458765908</v>
      </c>
      <c r="AL90" s="106">
        <v>1.2993814614608035</v>
      </c>
      <c r="AM90" s="106">
        <v>2855.0009471216772</v>
      </c>
      <c r="AN90" s="106">
        <v>0.42512858803861625</v>
      </c>
      <c r="AO90" s="106">
        <v>934.09253363844755</v>
      </c>
      <c r="AP90" s="106">
        <v>1.5870376174151224</v>
      </c>
      <c r="AQ90" s="106">
        <v>3487.0390529845067</v>
      </c>
      <c r="AR90" s="106">
        <v>0.59615574498135104</v>
      </c>
      <c r="AS90" s="106">
        <v>1309.8734028730244</v>
      </c>
      <c r="AT90" s="106">
        <v>0.71348027769866285</v>
      </c>
      <c r="AU90" s="106">
        <v>1567.6588661595019</v>
      </c>
      <c r="AV90" s="106">
        <v>0</v>
      </c>
      <c r="AW90" s="106">
        <v>0</v>
      </c>
      <c r="AX90" s="106">
        <v>1.0279405276290345</v>
      </c>
      <c r="AY90" s="106">
        <v>2258.5909273065145</v>
      </c>
      <c r="AZ90" s="106">
        <v>0</v>
      </c>
      <c r="BA90" s="106">
        <v>0</v>
      </c>
      <c r="BB90" s="106">
        <v>0.91342323535279146</v>
      </c>
      <c r="BC90" s="106">
        <v>2006.9735327171531</v>
      </c>
      <c r="BD90" s="106">
        <v>1.1463278604680422</v>
      </c>
      <c r="BE90" s="106">
        <v>2518.711575020382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4.5381134677002297</v>
      </c>
      <c r="BM90" s="106">
        <v>9971.1429112309434</v>
      </c>
      <c r="BN90" s="106">
        <v>4.6011614495471145</v>
      </c>
      <c r="BO90" s="106">
        <v>10109.671936944918</v>
      </c>
      <c r="BP90" s="106">
        <v>2.4533183518027122</v>
      </c>
      <c r="BQ90" s="106">
        <v>5390.4310825809189</v>
      </c>
      <c r="BR90" s="106">
        <v>0</v>
      </c>
      <c r="BS90" s="106">
        <v>0</v>
      </c>
      <c r="BT90" s="106">
        <v>0</v>
      </c>
      <c r="BU90" s="106">
        <v>0</v>
      </c>
      <c r="BV90" s="106">
        <v>5.824826215602922</v>
      </c>
      <c r="BW90" s="106">
        <v>12798.308160922739</v>
      </c>
      <c r="BX90" s="106">
        <v>5.0050809059830955E-16</v>
      </c>
      <c r="BY90" s="106">
        <v>1.0997163766626056E-12</v>
      </c>
      <c r="BZ90" s="106">
        <v>2.4389969198469412</v>
      </c>
      <c r="CA90" s="106">
        <v>5358.9640322876985</v>
      </c>
      <c r="CB90" s="106">
        <v>3.5605405554974419</v>
      </c>
      <c r="CC90" s="106">
        <v>7823.2197085389789</v>
      </c>
      <c r="CD90" s="106">
        <v>0.87031509729428946</v>
      </c>
      <c r="CE90" s="106">
        <v>1912.2563317750125</v>
      </c>
      <c r="CF90" s="106">
        <v>0</v>
      </c>
      <c r="CG90" s="106">
        <v>0</v>
      </c>
      <c r="CH90" s="106">
        <v>0.96678512826072294</v>
      </c>
      <c r="CI90" s="106">
        <v>2124.2202838144603</v>
      </c>
      <c r="CJ90" s="106">
        <v>2.165780705979194</v>
      </c>
      <c r="CK90" s="106">
        <v>4758.6533671774851</v>
      </c>
      <c r="CL90" s="106">
        <v>0</v>
      </c>
      <c r="CM90" s="106">
        <v>0</v>
      </c>
      <c r="CN90" s="106">
        <v>2.9097435508409708</v>
      </c>
      <c r="CO90" s="106">
        <v>6393.2885299077807</v>
      </c>
      <c r="CP90" s="106">
        <v>1.3936545869569095</v>
      </c>
      <c r="CQ90" s="106">
        <v>3062.1378584617214</v>
      </c>
      <c r="CR90" s="106">
        <v>1.9737936617310785</v>
      </c>
      <c r="CS90" s="106">
        <v>4336.8194335555254</v>
      </c>
      <c r="CT90" s="106">
        <v>1.7345110098560819</v>
      </c>
      <c r="CU90" s="106">
        <v>3811.0675908557828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0.84033943322276528</v>
      </c>
      <c r="I91" s="106">
        <v>1930.0916102260471</v>
      </c>
      <c r="J91" s="106">
        <v>0</v>
      </c>
      <c r="K91" s="106">
        <v>0</v>
      </c>
      <c r="L91" s="106">
        <v>0.55249323187956212</v>
      </c>
      <c r="M91" s="106">
        <v>1268.9664549809781</v>
      </c>
      <c r="N91" s="106">
        <v>0.17911814358581282</v>
      </c>
      <c r="O91" s="106">
        <v>411.39855218789484</v>
      </c>
      <c r="P91" s="106">
        <v>0</v>
      </c>
      <c r="Q91" s="106">
        <v>0</v>
      </c>
      <c r="R91" s="106">
        <v>0.14292908551734618</v>
      </c>
      <c r="S91" s="106">
        <v>328.27952361624068</v>
      </c>
      <c r="T91" s="106">
        <v>0.22176100992332301</v>
      </c>
      <c r="U91" s="106">
        <v>509.34068759188824</v>
      </c>
      <c r="V91" s="106">
        <v>0.26681320763603134</v>
      </c>
      <c r="W91" s="106">
        <v>612.81657529843665</v>
      </c>
      <c r="X91" s="106">
        <v>0</v>
      </c>
      <c r="Y91" s="106">
        <v>0</v>
      </c>
      <c r="Z91" s="106">
        <v>0</v>
      </c>
      <c r="AA91" s="106">
        <v>0</v>
      </c>
      <c r="AB91" s="106">
        <v>0.29440954965886673</v>
      </c>
      <c r="AC91" s="106">
        <v>676.19985365648506</v>
      </c>
      <c r="AD91" s="106">
        <v>7.3009561623689656E-2</v>
      </c>
      <c r="AE91" s="106">
        <v>167.68836113729037</v>
      </c>
      <c r="AF91" s="106">
        <v>0</v>
      </c>
      <c r="AG91" s="106">
        <v>0</v>
      </c>
      <c r="AH91" s="106">
        <v>0</v>
      </c>
      <c r="AI91" s="106">
        <v>0</v>
      </c>
      <c r="AJ91" s="106">
        <v>0.5026651576585851</v>
      </c>
      <c r="AK91" s="106">
        <v>1154.5213341102381</v>
      </c>
      <c r="AL91" s="106">
        <v>1.2993677449455654</v>
      </c>
      <c r="AM91" s="106">
        <v>2984.3878365909741</v>
      </c>
      <c r="AN91" s="106">
        <v>0.2851761393332316</v>
      </c>
      <c r="AO91" s="106">
        <v>654.99255682056628</v>
      </c>
      <c r="AP91" s="106">
        <v>1.1923448970253943</v>
      </c>
      <c r="AQ91" s="106">
        <v>2738.5777594879251</v>
      </c>
      <c r="AR91" s="106">
        <v>0.71465082922990375</v>
      </c>
      <c r="AS91" s="106">
        <v>1641.4100245752427</v>
      </c>
      <c r="AT91" s="106">
        <v>0.71348027769866285</v>
      </c>
      <c r="AU91" s="106">
        <v>1638.7215018182887</v>
      </c>
      <c r="AV91" s="106">
        <v>0</v>
      </c>
      <c r="AW91" s="106">
        <v>0</v>
      </c>
      <c r="AX91" s="106">
        <v>1.0279405276290345</v>
      </c>
      <c r="AY91" s="106">
        <v>2360.9738038583664</v>
      </c>
      <c r="AZ91" s="106">
        <v>0</v>
      </c>
      <c r="BA91" s="106">
        <v>0</v>
      </c>
      <c r="BB91" s="106">
        <v>1.043912268974619</v>
      </c>
      <c r="BC91" s="106">
        <v>2397.6576993809044</v>
      </c>
      <c r="BD91" s="106">
        <v>1.1463278604680422</v>
      </c>
      <c r="BE91" s="106">
        <v>2632.8858299229992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4.2992653904528497</v>
      </c>
      <c r="BM91" s="106">
        <v>9874.5527487921045</v>
      </c>
      <c r="BN91" s="106">
        <v>4.3135888589504194</v>
      </c>
      <c r="BO91" s="106">
        <v>9907.4508912373221</v>
      </c>
      <c r="BP91" s="106">
        <v>2.6168729085895599</v>
      </c>
      <c r="BQ91" s="106">
        <v>6010.4336964485001</v>
      </c>
      <c r="BR91" s="106">
        <v>0</v>
      </c>
      <c r="BS91" s="106">
        <v>0</v>
      </c>
      <c r="BT91" s="106">
        <v>0</v>
      </c>
      <c r="BU91" s="106">
        <v>0</v>
      </c>
      <c r="BV91" s="106">
        <v>5.4607745771277392</v>
      </c>
      <c r="BW91" s="106">
        <v>12542.30704874699</v>
      </c>
      <c r="BX91" s="106">
        <v>5.362586684981888E-16</v>
      </c>
      <c r="BY91" s="106">
        <v>1.23167890980664E-12</v>
      </c>
      <c r="BZ91" s="106">
        <v>2.3281334234902622</v>
      </c>
      <c r="CA91" s="106">
        <v>5347.2568470724336</v>
      </c>
      <c r="CB91" s="106">
        <v>3.3627327468586952</v>
      </c>
      <c r="CC91" s="106">
        <v>7723.5245729850503</v>
      </c>
      <c r="CD91" s="106">
        <v>0.93248046138673868</v>
      </c>
      <c r="CE91" s="106">
        <v>2141.7211237130609</v>
      </c>
      <c r="CF91" s="106">
        <v>0</v>
      </c>
      <c r="CG91" s="106">
        <v>0</v>
      </c>
      <c r="CH91" s="106">
        <v>0.96678512826072294</v>
      </c>
      <c r="CI91" s="106">
        <v>2220.5120825892282</v>
      </c>
      <c r="CJ91" s="106">
        <v>2.1659615365170706</v>
      </c>
      <c r="CK91" s="106">
        <v>4974.7804570724074</v>
      </c>
      <c r="CL91" s="106">
        <v>0</v>
      </c>
      <c r="CM91" s="106">
        <v>0</v>
      </c>
      <c r="CN91" s="106">
        <v>2.9097435508409708</v>
      </c>
      <c r="CO91" s="106">
        <v>6683.0989875715413</v>
      </c>
      <c r="CP91" s="106">
        <v>1.2245754526806287</v>
      </c>
      <c r="CQ91" s="106">
        <v>2812.6048997168677</v>
      </c>
      <c r="CR91" s="106">
        <v>1.7842555899187729</v>
      </c>
      <c r="CS91" s="106">
        <v>4098.0782389254373</v>
      </c>
      <c r="CT91" s="106">
        <v>1.9070264326572099</v>
      </c>
      <c r="CU91" s="106">
        <v>4380.0583105270789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0.94538186237561084</v>
      </c>
      <c r="I92" s="106">
        <v>1343.1985500632679</v>
      </c>
      <c r="J92" s="106">
        <v>0</v>
      </c>
      <c r="K92" s="106">
        <v>0</v>
      </c>
      <c r="L92" s="106">
        <v>0.67526950563057597</v>
      </c>
      <c r="M92" s="106">
        <v>959.42291359992237</v>
      </c>
      <c r="N92" s="106">
        <v>0.20897116751678163</v>
      </c>
      <c r="O92" s="106">
        <v>296.9062348078433</v>
      </c>
      <c r="P92" s="106">
        <v>0</v>
      </c>
      <c r="Q92" s="106">
        <v>0</v>
      </c>
      <c r="R92" s="106">
        <v>0.14292908551734618</v>
      </c>
      <c r="S92" s="106">
        <v>203.07364470304543</v>
      </c>
      <c r="T92" s="106">
        <v>0.18480084160276916</v>
      </c>
      <c r="U92" s="106">
        <v>262.56503574921442</v>
      </c>
      <c r="V92" s="106">
        <v>0.2668124070889486</v>
      </c>
      <c r="W92" s="106">
        <v>379.08706799197813</v>
      </c>
      <c r="X92" s="106">
        <v>0</v>
      </c>
      <c r="Y92" s="106">
        <v>0</v>
      </c>
      <c r="Z92" s="106">
        <v>0</v>
      </c>
      <c r="AA92" s="106">
        <v>0</v>
      </c>
      <c r="AB92" s="106">
        <v>0.36801193707358343</v>
      </c>
      <c r="AC92" s="106">
        <v>522.87136019414731</v>
      </c>
      <c r="AD92" s="106">
        <v>9.7043074005636457E-2</v>
      </c>
      <c r="AE92" s="106">
        <v>137.87879954720827</v>
      </c>
      <c r="AF92" s="106">
        <v>0</v>
      </c>
      <c r="AG92" s="106">
        <v>0</v>
      </c>
      <c r="AH92" s="106">
        <v>0</v>
      </c>
      <c r="AI92" s="106">
        <v>0</v>
      </c>
      <c r="AJ92" s="106">
        <v>0.5026651576585851</v>
      </c>
      <c r="AK92" s="106">
        <v>714.18665600131771</v>
      </c>
      <c r="AL92" s="106">
        <v>1.2993677449455654</v>
      </c>
      <c r="AM92" s="106">
        <v>1846.1416920186593</v>
      </c>
      <c r="AN92" s="106">
        <v>0.42512858803861625</v>
      </c>
      <c r="AO92" s="106">
        <v>604.02269788526598</v>
      </c>
      <c r="AP92" s="106">
        <v>1.5884154067244907</v>
      </c>
      <c r="AQ92" s="106">
        <v>2256.8206098741562</v>
      </c>
      <c r="AR92" s="106">
        <v>0.83314375108888683</v>
      </c>
      <c r="AS92" s="106">
        <v>1183.7306415470903</v>
      </c>
      <c r="AT92" s="106">
        <v>0.71348027769866285</v>
      </c>
      <c r="AU92" s="106">
        <v>1013.7127785542601</v>
      </c>
      <c r="AV92" s="106">
        <v>0</v>
      </c>
      <c r="AW92" s="106">
        <v>0</v>
      </c>
      <c r="AX92" s="106">
        <v>1.1992639489005403</v>
      </c>
      <c r="AY92" s="106">
        <v>1703.9142185978876</v>
      </c>
      <c r="AZ92" s="106">
        <v>0</v>
      </c>
      <c r="BA92" s="106">
        <v>0</v>
      </c>
      <c r="BB92" s="106">
        <v>1.1744013025964464</v>
      </c>
      <c r="BC92" s="106">
        <v>1668.5893707290309</v>
      </c>
      <c r="BD92" s="106">
        <v>1.1463278604680422</v>
      </c>
      <c r="BE92" s="106">
        <v>1628.7026241529943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5.4935057766897524</v>
      </c>
      <c r="BM92" s="106">
        <v>7805.1730075207997</v>
      </c>
      <c r="BN92" s="106">
        <v>4.8887340401438086</v>
      </c>
      <c r="BO92" s="106">
        <v>6945.9133242363232</v>
      </c>
      <c r="BP92" s="106">
        <v>3.1075365789501026</v>
      </c>
      <c r="BQ92" s="106">
        <v>4415.1879713723056</v>
      </c>
      <c r="BR92" s="106">
        <v>0</v>
      </c>
      <c r="BS92" s="106">
        <v>0</v>
      </c>
      <c r="BT92" s="106">
        <v>0</v>
      </c>
      <c r="BU92" s="106">
        <v>0</v>
      </c>
      <c r="BV92" s="106">
        <v>5.824826215602922</v>
      </c>
      <c r="BW92" s="106">
        <v>8275.9130871286307</v>
      </c>
      <c r="BX92" s="106">
        <v>6.4351040219782654E-16</v>
      </c>
      <c r="BY92" s="106">
        <v>9.1429957944267197E-13</v>
      </c>
      <c r="BZ92" s="106">
        <v>2.5498604162036203</v>
      </c>
      <c r="CA92" s="106">
        <v>3622.8416793421034</v>
      </c>
      <c r="CB92" s="106">
        <v>3.9561561727749357</v>
      </c>
      <c r="CC92" s="106">
        <v>5620.906690278628</v>
      </c>
      <c r="CD92" s="106">
        <v>0.93248046138673868</v>
      </c>
      <c r="CE92" s="106">
        <v>1324.8682395382782</v>
      </c>
      <c r="CF92" s="106">
        <v>0</v>
      </c>
      <c r="CG92" s="106">
        <v>0</v>
      </c>
      <c r="CH92" s="106">
        <v>0.96678512826072294</v>
      </c>
      <c r="CI92" s="106">
        <v>1373.608310232835</v>
      </c>
      <c r="CJ92" s="106">
        <v>2.165780705979194</v>
      </c>
      <c r="CK92" s="106">
        <v>3077.1412270552387</v>
      </c>
      <c r="CL92" s="106">
        <v>0</v>
      </c>
      <c r="CM92" s="106">
        <v>0</v>
      </c>
      <c r="CN92" s="106">
        <v>2.9097435508409708</v>
      </c>
      <c r="CO92" s="106">
        <v>4134.1636370348515</v>
      </c>
      <c r="CP92" s="106">
        <v>1.5685939373398563</v>
      </c>
      <c r="CQ92" s="106">
        <v>2228.6582661724678</v>
      </c>
      <c r="CR92" s="106">
        <v>1.9738264046935294</v>
      </c>
      <c r="CS92" s="106">
        <v>2804.4125557885664</v>
      </c>
      <c r="CT92" s="106">
        <v>1.7432596332834764</v>
      </c>
      <c r="CU92" s="106">
        <v>2476.8232869691633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0.84033943322276528</v>
      </c>
      <c r="I93" s="106">
        <v>1489.417611444029</v>
      </c>
      <c r="J93" s="106">
        <v>0</v>
      </c>
      <c r="K93" s="106">
        <v>0</v>
      </c>
      <c r="L93" s="106">
        <v>0.67526950563057597</v>
      </c>
      <c r="M93" s="106">
        <v>1196.8476717796327</v>
      </c>
      <c r="N93" s="106">
        <v>0.17911814358581282</v>
      </c>
      <c r="O93" s="106">
        <v>317.46899769149462</v>
      </c>
      <c r="P93" s="106">
        <v>0</v>
      </c>
      <c r="Q93" s="106">
        <v>0</v>
      </c>
      <c r="R93" s="106">
        <v>0.14292908551734618</v>
      </c>
      <c r="S93" s="106">
        <v>253.32751117094435</v>
      </c>
      <c r="T93" s="106">
        <v>0.18480084160276916</v>
      </c>
      <c r="U93" s="106">
        <v>327.54101165674803</v>
      </c>
      <c r="V93" s="106">
        <v>0.26681400818311418</v>
      </c>
      <c r="W93" s="106">
        <v>472.90114810375155</v>
      </c>
      <c r="X93" s="106">
        <v>0</v>
      </c>
      <c r="Y93" s="106">
        <v>0</v>
      </c>
      <c r="Z93" s="106">
        <v>0</v>
      </c>
      <c r="AA93" s="106">
        <v>0</v>
      </c>
      <c r="AB93" s="106">
        <v>0.36801193707358343</v>
      </c>
      <c r="AC93" s="106">
        <v>652.2643572692192</v>
      </c>
      <c r="AD93" s="106">
        <v>9.7042730021517212E-2</v>
      </c>
      <c r="AE93" s="106">
        <v>171.99853469013709</v>
      </c>
      <c r="AF93" s="106">
        <v>0</v>
      </c>
      <c r="AG93" s="106">
        <v>0</v>
      </c>
      <c r="AH93" s="106">
        <v>0</v>
      </c>
      <c r="AI93" s="106">
        <v>0</v>
      </c>
      <c r="AJ93" s="106">
        <v>0.5026651576585851</v>
      </c>
      <c r="AK93" s="106">
        <v>890.92372543407612</v>
      </c>
      <c r="AL93" s="106">
        <v>1.2993814614608035</v>
      </c>
      <c r="AM93" s="106">
        <v>2303.0237022931278</v>
      </c>
      <c r="AN93" s="106">
        <v>0.42512858803861625</v>
      </c>
      <c r="AO93" s="106">
        <v>753.49790943964342</v>
      </c>
      <c r="AP93" s="106">
        <v>1.5870553620995429</v>
      </c>
      <c r="AQ93" s="106">
        <v>2812.8969237852298</v>
      </c>
      <c r="AR93" s="106">
        <v>0.71465082922990375</v>
      </c>
      <c r="AS93" s="106">
        <v>1266.6471297270814</v>
      </c>
      <c r="AT93" s="106">
        <v>0.71348027769866285</v>
      </c>
      <c r="AU93" s="106">
        <v>1264.57244419311</v>
      </c>
      <c r="AV93" s="106">
        <v>0</v>
      </c>
      <c r="AW93" s="106">
        <v>0</v>
      </c>
      <c r="AX93" s="106">
        <v>1.1992639489005403</v>
      </c>
      <c r="AY93" s="106">
        <v>2125.5754230313173</v>
      </c>
      <c r="AZ93" s="106">
        <v>0</v>
      </c>
      <c r="BA93" s="106">
        <v>0</v>
      </c>
      <c r="BB93" s="106">
        <v>1.043912268974619</v>
      </c>
      <c r="BC93" s="106">
        <v>1850.2301055306145</v>
      </c>
      <c r="BD93" s="106">
        <v>1.1463278604680422</v>
      </c>
      <c r="BE93" s="106">
        <v>2031.7514998935578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5.2546576994423715</v>
      </c>
      <c r="BM93" s="106">
        <v>9313.3553064916578</v>
      </c>
      <c r="BN93" s="106">
        <v>4.3135888589504194</v>
      </c>
      <c r="BO93" s="106">
        <v>7645.4048936037225</v>
      </c>
      <c r="BP93" s="106">
        <v>2.9439820221632549</v>
      </c>
      <c r="BQ93" s="106">
        <v>5217.9137360821524</v>
      </c>
      <c r="BR93" s="106">
        <v>0</v>
      </c>
      <c r="BS93" s="106">
        <v>0</v>
      </c>
      <c r="BT93" s="106">
        <v>0</v>
      </c>
      <c r="BU93" s="106">
        <v>0</v>
      </c>
      <c r="BV93" s="106">
        <v>5.824826215602922</v>
      </c>
      <c r="BW93" s="106">
        <v>10323.921984534618</v>
      </c>
      <c r="BX93" s="106">
        <v>5.7200924639806805E-16</v>
      </c>
      <c r="BY93" s="106">
        <v>1.0138291883159358E-12</v>
      </c>
      <c r="BZ93" s="106">
        <v>2.6607239125602997</v>
      </c>
      <c r="CA93" s="106">
        <v>4715.8670626218745</v>
      </c>
      <c r="CB93" s="106">
        <v>3.9561561727749357</v>
      </c>
      <c r="CC93" s="106">
        <v>7011.8912006262954</v>
      </c>
      <c r="CD93" s="106">
        <v>0.9946458254791879</v>
      </c>
      <c r="CE93" s="106">
        <v>1762.9102610793125</v>
      </c>
      <c r="CF93" s="106">
        <v>0</v>
      </c>
      <c r="CG93" s="106">
        <v>0</v>
      </c>
      <c r="CH93" s="106">
        <v>0.96678512826072294</v>
      </c>
      <c r="CI93" s="106">
        <v>1713.5299613293053</v>
      </c>
      <c r="CJ93" s="106">
        <v>2.1659615365170706</v>
      </c>
      <c r="CK93" s="106">
        <v>3838.9502273228554</v>
      </c>
      <c r="CL93" s="106">
        <v>0</v>
      </c>
      <c r="CM93" s="106">
        <v>0</v>
      </c>
      <c r="CN93" s="106">
        <v>3.2734614946960918</v>
      </c>
      <c r="CO93" s="106">
        <v>5801.8831531993528</v>
      </c>
      <c r="CP93" s="106">
        <v>1.5685939373398563</v>
      </c>
      <c r="CQ93" s="106">
        <v>2780.1758945411611</v>
      </c>
      <c r="CR93" s="106">
        <v>2.1633317335433841</v>
      </c>
      <c r="CS93" s="106">
        <v>3834.2891645322939</v>
      </c>
      <c r="CT93" s="106">
        <v>1.9027534806797473</v>
      </c>
      <c r="CU93" s="106">
        <v>3372.4402691567839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0.84033943322276528</v>
      </c>
      <c r="I94" s="106">
        <v>2012.7810104551672</v>
      </c>
      <c r="J94" s="106">
        <v>0</v>
      </c>
      <c r="K94" s="106">
        <v>0</v>
      </c>
      <c r="L94" s="106">
        <v>0.61388136875506905</v>
      </c>
      <c r="M94" s="106">
        <v>1470.3686544421412</v>
      </c>
      <c r="N94" s="106">
        <v>0.17911814358581282</v>
      </c>
      <c r="O94" s="106">
        <v>429.02377751673885</v>
      </c>
      <c r="P94" s="106">
        <v>0</v>
      </c>
      <c r="Q94" s="106">
        <v>0</v>
      </c>
      <c r="R94" s="106">
        <v>0.14292908551734618</v>
      </c>
      <c r="S94" s="106">
        <v>342.34374563114756</v>
      </c>
      <c r="T94" s="106">
        <v>0.18480084160276916</v>
      </c>
      <c r="U94" s="106">
        <v>442.63497580695264</v>
      </c>
      <c r="V94" s="106">
        <v>0.2668124070889486</v>
      </c>
      <c r="W94" s="106">
        <v>639.06907745944966</v>
      </c>
      <c r="X94" s="106">
        <v>0</v>
      </c>
      <c r="Y94" s="106">
        <v>0</v>
      </c>
      <c r="Z94" s="106">
        <v>0</v>
      </c>
      <c r="AA94" s="106">
        <v>0</v>
      </c>
      <c r="AB94" s="106">
        <v>0.36801193707358343</v>
      </c>
      <c r="AC94" s="106">
        <v>881.46219167864695</v>
      </c>
      <c r="AD94" s="106">
        <v>7.287984840576231E-2</v>
      </c>
      <c r="AE94" s="106">
        <v>174.56181290148186</v>
      </c>
      <c r="AF94" s="106">
        <v>0</v>
      </c>
      <c r="AG94" s="106">
        <v>0</v>
      </c>
      <c r="AH94" s="106">
        <v>0</v>
      </c>
      <c r="AI94" s="106">
        <v>0</v>
      </c>
      <c r="AJ94" s="106">
        <v>0.5026651576585851</v>
      </c>
      <c r="AK94" s="106">
        <v>1203.9835856238431</v>
      </c>
      <c r="AL94" s="106">
        <v>1.2983322885579036</v>
      </c>
      <c r="AM94" s="106">
        <v>3109.7654975538903</v>
      </c>
      <c r="AN94" s="106">
        <v>0.42512858803861625</v>
      </c>
      <c r="AO94" s="106">
        <v>1018.2679940700936</v>
      </c>
      <c r="AP94" s="106">
        <v>1.1923448970253943</v>
      </c>
      <c r="AQ94" s="106">
        <v>2855.9044973552241</v>
      </c>
      <c r="AR94" s="106">
        <v>0.71464866684033401</v>
      </c>
      <c r="AS94" s="106">
        <v>1711.726486815968</v>
      </c>
      <c r="AT94" s="106">
        <v>0.71348027769866285</v>
      </c>
      <c r="AU94" s="106">
        <v>1708.9279611438371</v>
      </c>
      <c r="AV94" s="106">
        <v>0</v>
      </c>
      <c r="AW94" s="106">
        <v>0</v>
      </c>
      <c r="AX94" s="106">
        <v>0.85661710635752875</v>
      </c>
      <c r="AY94" s="106">
        <v>2051.7692931475526</v>
      </c>
      <c r="AZ94" s="106">
        <v>0</v>
      </c>
      <c r="BA94" s="106">
        <v>0</v>
      </c>
      <c r="BB94" s="106">
        <v>0.91342323535279146</v>
      </c>
      <c r="BC94" s="106">
        <v>2187.8313333170058</v>
      </c>
      <c r="BD94" s="106">
        <v>1.1463278604680422</v>
      </c>
      <c r="BE94" s="106">
        <v>2745.6844913930545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4.2992653904528497</v>
      </c>
      <c r="BM94" s="106">
        <v>10297.600463212664</v>
      </c>
      <c r="BN94" s="106">
        <v>4.0260162683537244</v>
      </c>
      <c r="BO94" s="106">
        <v>9643.1141659608402</v>
      </c>
      <c r="BP94" s="106">
        <v>2.2897637950158649</v>
      </c>
      <c r="BQ94" s="106">
        <v>5484.4422418219992</v>
      </c>
      <c r="BR94" s="106">
        <v>0</v>
      </c>
      <c r="BS94" s="106">
        <v>0</v>
      </c>
      <c r="BT94" s="106">
        <v>0</v>
      </c>
      <c r="BU94" s="106">
        <v>0</v>
      </c>
      <c r="BV94" s="106">
        <v>5.824826215602922</v>
      </c>
      <c r="BW94" s="106">
        <v>13951.623751612118</v>
      </c>
      <c r="BX94" s="106">
        <v>5.362586684981888E-16</v>
      </c>
      <c r="BY94" s="106">
        <v>1.2844467627868616E-12</v>
      </c>
      <c r="BZ94" s="106">
        <v>2.2172699271335827</v>
      </c>
      <c r="CA94" s="106">
        <v>5310.8049294703569</v>
      </c>
      <c r="CB94" s="106">
        <v>3.3627327468586952</v>
      </c>
      <c r="CC94" s="106">
        <v>8054.4174752759463</v>
      </c>
      <c r="CD94" s="106">
        <v>0.87031509729428946</v>
      </c>
      <c r="CE94" s="106">
        <v>2084.5787210392818</v>
      </c>
      <c r="CF94" s="106">
        <v>0</v>
      </c>
      <c r="CG94" s="106">
        <v>0</v>
      </c>
      <c r="CH94" s="106">
        <v>0.96678512826072294</v>
      </c>
      <c r="CI94" s="106">
        <v>2315.6437392100834</v>
      </c>
      <c r="CJ94" s="106">
        <v>2.1565358554991754</v>
      </c>
      <c r="CK94" s="106">
        <v>5165.3346810916246</v>
      </c>
      <c r="CL94" s="106">
        <v>0</v>
      </c>
      <c r="CM94" s="106">
        <v>0</v>
      </c>
      <c r="CN94" s="106">
        <v>2.9097435508409708</v>
      </c>
      <c r="CO94" s="106">
        <v>6969.4177529742929</v>
      </c>
      <c r="CP94" s="106">
        <v>1.2216453446272955</v>
      </c>
      <c r="CQ94" s="106">
        <v>2926.0849294512977</v>
      </c>
      <c r="CR94" s="106">
        <v>1.7812535602641164</v>
      </c>
      <c r="CS94" s="106">
        <v>4266.4585275446116</v>
      </c>
      <c r="CT94" s="106">
        <v>1.5705921708779964</v>
      </c>
      <c r="CU94" s="106">
        <v>3761.8823676869765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0.21008485830569132</v>
      </c>
      <c r="I95" s="106">
        <v>364.03504247210191</v>
      </c>
      <c r="J95" s="106">
        <v>0</v>
      </c>
      <c r="K95" s="106">
        <v>0</v>
      </c>
      <c r="L95" s="106">
        <v>0.61388136875506905</v>
      </c>
      <c r="M95" s="106">
        <v>1063.7336357787835</v>
      </c>
      <c r="N95" s="106">
        <v>0.26867721537871925</v>
      </c>
      <c r="O95" s="106">
        <v>465.56387880824468</v>
      </c>
      <c r="P95" s="106">
        <v>0</v>
      </c>
      <c r="Q95" s="106">
        <v>0</v>
      </c>
      <c r="R95" s="106">
        <v>0.25012589965535581</v>
      </c>
      <c r="S95" s="106">
        <v>433.41815892280056</v>
      </c>
      <c r="T95" s="106">
        <v>0.22176100992332301</v>
      </c>
      <c r="U95" s="106">
        <v>384.26747799513413</v>
      </c>
      <c r="V95" s="106">
        <v>0.48029794568607614</v>
      </c>
      <c r="W95" s="106">
        <v>832.26028028483267</v>
      </c>
      <c r="X95" s="106">
        <v>0</v>
      </c>
      <c r="Y95" s="106">
        <v>0</v>
      </c>
      <c r="Z95" s="106">
        <v>0</v>
      </c>
      <c r="AA95" s="106">
        <v>0</v>
      </c>
      <c r="AB95" s="106">
        <v>0.80962626156188355</v>
      </c>
      <c r="AC95" s="106">
        <v>1402.9203860344319</v>
      </c>
      <c r="AD95" s="106">
        <v>0.24215145285457032</v>
      </c>
      <c r="AE95" s="106">
        <v>419.60003750639942</v>
      </c>
      <c r="AF95" s="106">
        <v>0</v>
      </c>
      <c r="AG95" s="106">
        <v>0</v>
      </c>
      <c r="AH95" s="106">
        <v>0</v>
      </c>
      <c r="AI95" s="106">
        <v>0</v>
      </c>
      <c r="AJ95" s="106">
        <v>2.8484358933986491</v>
      </c>
      <c r="AK95" s="106">
        <v>4935.7697160811795</v>
      </c>
      <c r="AL95" s="106">
        <v>3.9145333718869013</v>
      </c>
      <c r="AM95" s="106">
        <v>6783.1034268056228</v>
      </c>
      <c r="AN95" s="106">
        <v>2.2668560561076689</v>
      </c>
      <c r="AO95" s="106">
        <v>3928.0081740233686</v>
      </c>
      <c r="AP95" s="106">
        <v>3.9895676937500166</v>
      </c>
      <c r="AQ95" s="106">
        <v>6913.1228997300286</v>
      </c>
      <c r="AR95" s="106">
        <v>4.6622626913195431</v>
      </c>
      <c r="AS95" s="106">
        <v>8078.7687915185043</v>
      </c>
      <c r="AT95" s="106">
        <v>4.7565351846577526</v>
      </c>
      <c r="AU95" s="106">
        <v>8242.1241679749528</v>
      </c>
      <c r="AV95" s="106">
        <v>0</v>
      </c>
      <c r="AW95" s="106">
        <v>0</v>
      </c>
      <c r="AX95" s="106">
        <v>9.5941115912043227</v>
      </c>
      <c r="AY95" s="106">
        <v>16624.676565238849</v>
      </c>
      <c r="AZ95" s="106">
        <v>0</v>
      </c>
      <c r="BA95" s="106">
        <v>0</v>
      </c>
      <c r="BB95" s="106">
        <v>4.1756490758984759</v>
      </c>
      <c r="BC95" s="106">
        <v>7235.5647187168788</v>
      </c>
      <c r="BD95" s="106">
        <v>5.0947904909690767</v>
      </c>
      <c r="BE95" s="106">
        <v>8828.2529627512158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1.4330884634842831</v>
      </c>
      <c r="BM95" s="106">
        <v>2483.2556895255657</v>
      </c>
      <c r="BN95" s="106">
        <v>2.8757259059669464</v>
      </c>
      <c r="BO95" s="106">
        <v>4983.057849859525</v>
      </c>
      <c r="BP95" s="106">
        <v>1.4719910110816274</v>
      </c>
      <c r="BQ95" s="106">
        <v>2550.6660240022438</v>
      </c>
      <c r="BR95" s="106">
        <v>0</v>
      </c>
      <c r="BS95" s="106">
        <v>0</v>
      </c>
      <c r="BT95" s="106">
        <v>0</v>
      </c>
      <c r="BU95" s="106">
        <v>0</v>
      </c>
      <c r="BV95" s="106">
        <v>3.2764647462766434</v>
      </c>
      <c r="BW95" s="106">
        <v>5677.4581123481676</v>
      </c>
      <c r="BX95" s="106">
        <v>1.4300231159951701E-16</v>
      </c>
      <c r="BY95" s="106">
        <v>2.4779440553964306E-13</v>
      </c>
      <c r="BZ95" s="106">
        <v>0.55431748178339568</v>
      </c>
      <c r="CA95" s="106">
        <v>960.52133243426806</v>
      </c>
      <c r="CB95" s="106">
        <v>1.1868468518324808</v>
      </c>
      <c r="CC95" s="106">
        <v>2056.5682248553226</v>
      </c>
      <c r="CD95" s="106">
        <v>0.37299218455469552</v>
      </c>
      <c r="CE95" s="106">
        <v>646.32085739637637</v>
      </c>
      <c r="CF95" s="106">
        <v>0</v>
      </c>
      <c r="CG95" s="106">
        <v>0</v>
      </c>
      <c r="CH95" s="106">
        <v>1.7402132308693012</v>
      </c>
      <c r="CI95" s="106">
        <v>3015.4414864503251</v>
      </c>
      <c r="CJ95" s="106">
        <v>4.3861263621491187</v>
      </c>
      <c r="CK95" s="106">
        <v>7600.2797603319923</v>
      </c>
      <c r="CL95" s="106">
        <v>0</v>
      </c>
      <c r="CM95" s="106">
        <v>0</v>
      </c>
      <c r="CN95" s="106">
        <v>2.9097435508409708</v>
      </c>
      <c r="CO95" s="106">
        <v>5042.0036248972337</v>
      </c>
      <c r="CP95" s="106">
        <v>1.92286780018575</v>
      </c>
      <c r="CQ95" s="106">
        <v>3331.9453241618676</v>
      </c>
      <c r="CR95" s="106">
        <v>1.7930979640704865</v>
      </c>
      <c r="CS95" s="106">
        <v>3107.0801521413391</v>
      </c>
      <c r="CT95" s="106">
        <v>1.5705921708779964</v>
      </c>
      <c r="CU95" s="106">
        <v>2721.5221136973919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0.21008485830569132</v>
      </c>
      <c r="I96" s="106">
        <v>172.94185535724509</v>
      </c>
      <c r="J96" s="106">
        <v>0</v>
      </c>
      <c r="K96" s="106">
        <v>0</v>
      </c>
      <c r="L96" s="106">
        <v>0.61388136875506905</v>
      </c>
      <c r="M96" s="106">
        <v>505.34714275917281</v>
      </c>
      <c r="N96" s="106">
        <v>0.32838326324065686</v>
      </c>
      <c r="O96" s="106">
        <v>270.3251022997087</v>
      </c>
      <c r="P96" s="106">
        <v>0</v>
      </c>
      <c r="Q96" s="106">
        <v>0</v>
      </c>
      <c r="R96" s="106">
        <v>0.33945657810369717</v>
      </c>
      <c r="S96" s="106">
        <v>279.44065509496346</v>
      </c>
      <c r="T96" s="106">
        <v>0.2587211782438768</v>
      </c>
      <c r="U96" s="106">
        <v>212.97927393035937</v>
      </c>
      <c r="V96" s="106">
        <v>0.48052644478213585</v>
      </c>
      <c r="W96" s="106">
        <v>395.56936934465421</v>
      </c>
      <c r="X96" s="106">
        <v>0</v>
      </c>
      <c r="Y96" s="106">
        <v>0</v>
      </c>
      <c r="Z96" s="106">
        <v>0</v>
      </c>
      <c r="AA96" s="106">
        <v>0</v>
      </c>
      <c r="AB96" s="106">
        <v>0.88322864897660025</v>
      </c>
      <c r="AC96" s="106">
        <v>727.07382383753725</v>
      </c>
      <c r="AD96" s="106">
        <v>0.26618513722857673</v>
      </c>
      <c r="AE96" s="106">
        <v>219.12360496656436</v>
      </c>
      <c r="AF96" s="106">
        <v>0</v>
      </c>
      <c r="AG96" s="106">
        <v>0</v>
      </c>
      <c r="AH96" s="106">
        <v>0</v>
      </c>
      <c r="AI96" s="106">
        <v>0</v>
      </c>
      <c r="AJ96" s="106">
        <v>3.1835459985043726</v>
      </c>
      <c r="AK96" s="106">
        <v>2620.6950659687991</v>
      </c>
      <c r="AL96" s="106">
        <v>3.9135253485297157</v>
      </c>
      <c r="AM96" s="106">
        <v>3221.6140669096617</v>
      </c>
      <c r="AN96" s="106">
        <v>2.5493965744796689</v>
      </c>
      <c r="AO96" s="106">
        <v>2098.6632601116635</v>
      </c>
      <c r="AP96" s="106">
        <v>4.3843491375618475</v>
      </c>
      <c r="AQ96" s="106">
        <v>3609.1962100409128</v>
      </c>
      <c r="AR96" s="106">
        <v>6.0857100531952817</v>
      </c>
      <c r="AS96" s="106">
        <v>5009.7565157903555</v>
      </c>
      <c r="AT96" s="106">
        <v>5.826755601205746</v>
      </c>
      <c r="AU96" s="106">
        <v>4796.5852109125699</v>
      </c>
      <c r="AV96" s="106">
        <v>0</v>
      </c>
      <c r="AW96" s="106">
        <v>0</v>
      </c>
      <c r="AX96" s="106">
        <v>12.335286331548415</v>
      </c>
      <c r="AY96" s="106">
        <v>10154.407708130655</v>
      </c>
      <c r="AZ96" s="106">
        <v>0</v>
      </c>
      <c r="BA96" s="106">
        <v>0</v>
      </c>
      <c r="BB96" s="106">
        <v>4.9585832776294394</v>
      </c>
      <c r="BC96" s="106">
        <v>4081.9057541445541</v>
      </c>
      <c r="BD96" s="106">
        <v>5.6042695400659843</v>
      </c>
      <c r="BE96" s="106">
        <v>4613.4346853823181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1.6719365407316635</v>
      </c>
      <c r="BM96" s="106">
        <v>1376.3381603303053</v>
      </c>
      <c r="BN96" s="106">
        <v>3.4508710871603356</v>
      </c>
      <c r="BO96" s="106">
        <v>2840.7570789503879</v>
      </c>
      <c r="BP96" s="106">
        <v>1.7991001246553224</v>
      </c>
      <c r="BQ96" s="106">
        <v>1481.0192226162612</v>
      </c>
      <c r="BR96" s="106">
        <v>0</v>
      </c>
      <c r="BS96" s="106">
        <v>0</v>
      </c>
      <c r="BT96" s="106">
        <v>0</v>
      </c>
      <c r="BU96" s="106">
        <v>0</v>
      </c>
      <c r="BV96" s="106">
        <v>2.912413107801461</v>
      </c>
      <c r="BW96" s="106">
        <v>2397.4984703421624</v>
      </c>
      <c r="BX96" s="106">
        <v>1.4300231159951701E-16</v>
      </c>
      <c r="BY96" s="106">
        <v>1.177195029087224E-13</v>
      </c>
      <c r="BZ96" s="106">
        <v>0.66518097814007493</v>
      </c>
      <c r="CA96" s="106">
        <v>547.57698120490966</v>
      </c>
      <c r="CB96" s="106">
        <v>1.3846546604712275</v>
      </c>
      <c r="CC96" s="106">
        <v>1139.8477164999144</v>
      </c>
      <c r="CD96" s="106">
        <v>0.43515754864714473</v>
      </c>
      <c r="CE96" s="106">
        <v>358.2216940463295</v>
      </c>
      <c r="CF96" s="106">
        <v>0</v>
      </c>
      <c r="CG96" s="106">
        <v>0</v>
      </c>
      <c r="CH96" s="106">
        <v>1.9335702565214459</v>
      </c>
      <c r="CI96" s="106">
        <v>1591.7150351684541</v>
      </c>
      <c r="CJ96" s="106">
        <v>4.8353807425953637</v>
      </c>
      <c r="CK96" s="106">
        <v>3980.485427304503</v>
      </c>
      <c r="CL96" s="106">
        <v>0</v>
      </c>
      <c r="CM96" s="106">
        <v>0</v>
      </c>
      <c r="CN96" s="106">
        <v>3.2734614946960918</v>
      </c>
      <c r="CO96" s="106">
        <v>2694.7135024338227</v>
      </c>
      <c r="CP96" s="106">
        <v>2.0992722045953633</v>
      </c>
      <c r="CQ96" s="106">
        <v>1728.120878822903</v>
      </c>
      <c r="CR96" s="106">
        <v>2.1842149692761734</v>
      </c>
      <c r="CS96" s="106">
        <v>1798.0457627081457</v>
      </c>
      <c r="CT96" s="106">
        <v>1.5879880579965511</v>
      </c>
      <c r="CU96" s="106">
        <v>1307.2317693427608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0.21008485830569132</v>
      </c>
      <c r="I97" s="106">
        <v>384.2031888694483</v>
      </c>
      <c r="J97" s="106">
        <v>0</v>
      </c>
      <c r="K97" s="106">
        <v>0</v>
      </c>
      <c r="L97" s="106">
        <v>0.61388136875506905</v>
      </c>
      <c r="M97" s="106">
        <v>1122.6662471792702</v>
      </c>
      <c r="N97" s="106">
        <v>0.26867721537871925</v>
      </c>
      <c r="O97" s="106">
        <v>491.35689148460176</v>
      </c>
      <c r="P97" s="106">
        <v>0</v>
      </c>
      <c r="Q97" s="106">
        <v>0</v>
      </c>
      <c r="R97" s="106">
        <v>0.28585817103469235</v>
      </c>
      <c r="S97" s="106">
        <v>522.77742318824539</v>
      </c>
      <c r="T97" s="106">
        <v>0.18480084160276916</v>
      </c>
      <c r="U97" s="106">
        <v>337.96377912314421</v>
      </c>
      <c r="V97" s="106">
        <v>0.48029954678024184</v>
      </c>
      <c r="W97" s="106">
        <v>878.3718111517062</v>
      </c>
      <c r="X97" s="106">
        <v>0</v>
      </c>
      <c r="Y97" s="106">
        <v>0</v>
      </c>
      <c r="Z97" s="106">
        <v>0</v>
      </c>
      <c r="AA97" s="106">
        <v>0</v>
      </c>
      <c r="AB97" s="106">
        <v>0.73602387414716686</v>
      </c>
      <c r="AC97" s="106">
        <v>1346.0404610403386</v>
      </c>
      <c r="AD97" s="106">
        <v>0.21824799767467015</v>
      </c>
      <c r="AE97" s="106">
        <v>399.13193814743676</v>
      </c>
      <c r="AF97" s="106">
        <v>0</v>
      </c>
      <c r="AG97" s="106">
        <v>0</v>
      </c>
      <c r="AH97" s="106">
        <v>0</v>
      </c>
      <c r="AI97" s="106">
        <v>0</v>
      </c>
      <c r="AJ97" s="106">
        <v>2.6808808408457874</v>
      </c>
      <c r="AK97" s="106">
        <v>4902.794881738776</v>
      </c>
      <c r="AL97" s="106">
        <v>4.232610550315397</v>
      </c>
      <c r="AM97" s="106">
        <v>7740.5981744167975</v>
      </c>
      <c r="AN97" s="106">
        <v>2.2681548188311473</v>
      </c>
      <c r="AO97" s="106">
        <v>4148.0015326784023</v>
      </c>
      <c r="AP97" s="106">
        <v>3.5894525395449182</v>
      </c>
      <c r="AQ97" s="106">
        <v>6564.3908043197462</v>
      </c>
      <c r="AR97" s="106">
        <v>4.2999441359393931</v>
      </c>
      <c r="AS97" s="106">
        <v>7863.7378358059623</v>
      </c>
      <c r="AT97" s="106">
        <v>4.1619682865755339</v>
      </c>
      <c r="AU97" s="106">
        <v>7611.4076024893366</v>
      </c>
      <c r="AV97" s="106">
        <v>0</v>
      </c>
      <c r="AW97" s="106">
        <v>0</v>
      </c>
      <c r="AX97" s="106">
        <v>8.5661710635752897</v>
      </c>
      <c r="AY97" s="106">
        <v>15665.81364106649</v>
      </c>
      <c r="AZ97" s="106">
        <v>0</v>
      </c>
      <c r="BA97" s="106">
        <v>0</v>
      </c>
      <c r="BB97" s="106">
        <v>4.6976052103857855</v>
      </c>
      <c r="BC97" s="106">
        <v>8590.9804087535249</v>
      </c>
      <c r="BD97" s="106">
        <v>4.4579416795979414</v>
      </c>
      <c r="BE97" s="106">
        <v>8152.6837436487149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1.6719365407316635</v>
      </c>
      <c r="BM97" s="106">
        <v>3057.6375456900664</v>
      </c>
      <c r="BN97" s="106">
        <v>2.8757259059669464</v>
      </c>
      <c r="BO97" s="106">
        <v>5259.1275368323513</v>
      </c>
      <c r="BP97" s="106">
        <v>1.6355455678684749</v>
      </c>
      <c r="BQ97" s="106">
        <v>2991.085734517867</v>
      </c>
      <c r="BR97" s="106">
        <v>0</v>
      </c>
      <c r="BS97" s="106">
        <v>0</v>
      </c>
      <c r="BT97" s="106">
        <v>0</v>
      </c>
      <c r="BU97" s="106">
        <v>0</v>
      </c>
      <c r="BV97" s="106">
        <v>2.912413107801461</v>
      </c>
      <c r="BW97" s="106">
        <v>5326.2210915473115</v>
      </c>
      <c r="BX97" s="106">
        <v>1.4300231159951701E-16</v>
      </c>
      <c r="BY97" s="106">
        <v>2.615226274531967E-13</v>
      </c>
      <c r="BZ97" s="106">
        <v>0.66518097814007493</v>
      </c>
      <c r="CA97" s="106">
        <v>1216.4829728225691</v>
      </c>
      <c r="CB97" s="106">
        <v>1.1868468518324808</v>
      </c>
      <c r="CC97" s="106">
        <v>2170.5055226312411</v>
      </c>
      <c r="CD97" s="106">
        <v>0.37299218455469552</v>
      </c>
      <c r="CE97" s="106">
        <v>682.12810711362715</v>
      </c>
      <c r="CF97" s="106">
        <v>0</v>
      </c>
      <c r="CG97" s="106">
        <v>0</v>
      </c>
      <c r="CH97" s="106">
        <v>1.7402132308693012</v>
      </c>
      <c r="CI97" s="106">
        <v>3182.501956613778</v>
      </c>
      <c r="CJ97" s="106">
        <v>4.3765198505933478</v>
      </c>
      <c r="CK97" s="106">
        <v>8003.7795027651146</v>
      </c>
      <c r="CL97" s="106">
        <v>0</v>
      </c>
      <c r="CM97" s="106">
        <v>0</v>
      </c>
      <c r="CN97" s="106">
        <v>2.9097435508409708</v>
      </c>
      <c r="CO97" s="106">
        <v>5321.339005777967</v>
      </c>
      <c r="CP97" s="106">
        <v>2.094877042515364</v>
      </c>
      <c r="CQ97" s="106">
        <v>3831.1111353520978</v>
      </c>
      <c r="CR97" s="106">
        <v>1.7931634499953883</v>
      </c>
      <c r="CS97" s="106">
        <v>3279.3373173515661</v>
      </c>
      <c r="CT97" s="106">
        <v>1.579340794305391</v>
      </c>
      <c r="CU97" s="106">
        <v>2888.2984446256992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0.21008485830569132</v>
      </c>
      <c r="I98" s="106">
        <v>265.46322695507155</v>
      </c>
      <c r="J98" s="106">
        <v>0</v>
      </c>
      <c r="K98" s="106">
        <v>0</v>
      </c>
      <c r="L98" s="106">
        <v>0.61388136875506905</v>
      </c>
      <c r="M98" s="106">
        <v>775.70049755890523</v>
      </c>
      <c r="N98" s="106">
        <v>0.26867721537871925</v>
      </c>
      <c r="O98" s="106">
        <v>339.50052935254962</v>
      </c>
      <c r="P98" s="106">
        <v>0</v>
      </c>
      <c r="Q98" s="106">
        <v>0</v>
      </c>
      <c r="R98" s="106">
        <v>0.30372430672436063</v>
      </c>
      <c r="S98" s="106">
        <v>383.78603397690205</v>
      </c>
      <c r="T98" s="106">
        <v>0.22176100992332301</v>
      </c>
      <c r="U98" s="106">
        <v>280.21721213911093</v>
      </c>
      <c r="V98" s="106">
        <v>0.48075254223694719</v>
      </c>
      <c r="W98" s="106">
        <v>607.47891237060639</v>
      </c>
      <c r="X98" s="106">
        <v>0</v>
      </c>
      <c r="Y98" s="106">
        <v>0</v>
      </c>
      <c r="Z98" s="106">
        <v>0</v>
      </c>
      <c r="AA98" s="106">
        <v>0</v>
      </c>
      <c r="AB98" s="106">
        <v>0.73602387414716686</v>
      </c>
      <c r="AC98" s="106">
        <v>930.03976737235996</v>
      </c>
      <c r="AD98" s="106">
        <v>0.24241122327454426</v>
      </c>
      <c r="AE98" s="106">
        <v>306.31082172971412</v>
      </c>
      <c r="AF98" s="106">
        <v>0</v>
      </c>
      <c r="AG98" s="106">
        <v>0</v>
      </c>
      <c r="AH98" s="106">
        <v>0</v>
      </c>
      <c r="AI98" s="106">
        <v>0</v>
      </c>
      <c r="AJ98" s="106">
        <v>3.1835459985043726</v>
      </c>
      <c r="AK98" s="106">
        <v>4022.728723710125</v>
      </c>
      <c r="AL98" s="106">
        <v>4.5579359234575243</v>
      </c>
      <c r="AM98" s="106">
        <v>5759.4078328809273</v>
      </c>
      <c r="AN98" s="106">
        <v>2.4067894570559161</v>
      </c>
      <c r="AO98" s="106">
        <v>3041.2191579358555</v>
      </c>
      <c r="AP98" s="106">
        <v>3.9883318619160137</v>
      </c>
      <c r="AQ98" s="106">
        <v>5039.6561407170748</v>
      </c>
      <c r="AR98" s="106">
        <v>5.3741321944472009</v>
      </c>
      <c r="AS98" s="106">
        <v>6790.7534409034824</v>
      </c>
      <c r="AT98" s="106">
        <v>4.7565351846577526</v>
      </c>
      <c r="AU98" s="106">
        <v>6010.357859333536</v>
      </c>
      <c r="AV98" s="106">
        <v>0</v>
      </c>
      <c r="AW98" s="106">
        <v>0</v>
      </c>
      <c r="AX98" s="106">
        <v>11.478669225190886</v>
      </c>
      <c r="AY98" s="106">
        <v>14504.446432951203</v>
      </c>
      <c r="AZ98" s="106">
        <v>0</v>
      </c>
      <c r="BA98" s="106">
        <v>0</v>
      </c>
      <c r="BB98" s="106">
        <v>4.8280942440076124</v>
      </c>
      <c r="BC98" s="106">
        <v>6100.7798867280189</v>
      </c>
      <c r="BD98" s="106">
        <v>4.585311441872169</v>
      </c>
      <c r="BE98" s="106">
        <v>5793.9995379496722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1.6719365407316635</v>
      </c>
      <c r="BM98" s="106">
        <v>2112.6590128685298</v>
      </c>
      <c r="BN98" s="106">
        <v>2.8757259059669464</v>
      </c>
      <c r="BO98" s="106">
        <v>3633.7672547798334</v>
      </c>
      <c r="BP98" s="106">
        <v>1.7991001246553224</v>
      </c>
      <c r="BQ98" s="106">
        <v>2273.3429175144652</v>
      </c>
      <c r="BR98" s="106">
        <v>0</v>
      </c>
      <c r="BS98" s="106">
        <v>0</v>
      </c>
      <c r="BT98" s="106">
        <v>0</v>
      </c>
      <c r="BU98" s="106">
        <v>0</v>
      </c>
      <c r="BV98" s="106">
        <v>2.912413107801461</v>
      </c>
      <c r="BW98" s="106">
        <v>3680.1252030179257</v>
      </c>
      <c r="BX98" s="106">
        <v>1.4300231159951701E-16</v>
      </c>
      <c r="BY98" s="106">
        <v>1.8069772093714967E-13</v>
      </c>
      <c r="BZ98" s="106">
        <v>0.66518097814007493</v>
      </c>
      <c r="CA98" s="106">
        <v>840.52268397779858</v>
      </c>
      <c r="CB98" s="106">
        <v>1.1868468518324808</v>
      </c>
      <c r="CC98" s="106">
        <v>1499.6996819755227</v>
      </c>
      <c r="CD98" s="106">
        <v>0.37299218455469552</v>
      </c>
      <c r="CE98" s="106">
        <v>471.31292440331322</v>
      </c>
      <c r="CF98" s="106">
        <v>0</v>
      </c>
      <c r="CG98" s="106">
        <v>0</v>
      </c>
      <c r="CH98" s="106">
        <v>1.9335702565214459</v>
      </c>
      <c r="CI98" s="106">
        <v>2443.2593761404987</v>
      </c>
      <c r="CJ98" s="106">
        <v>4.3859455316112426</v>
      </c>
      <c r="CK98" s="106">
        <v>5542.0807737439654</v>
      </c>
      <c r="CL98" s="106">
        <v>0</v>
      </c>
      <c r="CM98" s="106">
        <v>0</v>
      </c>
      <c r="CN98" s="106">
        <v>3.6371794385512128</v>
      </c>
      <c r="CO98" s="106">
        <v>4595.9399385533125</v>
      </c>
      <c r="CP98" s="106">
        <v>2.097807150568697</v>
      </c>
      <c r="CQ98" s="106">
        <v>2650.7891154586055</v>
      </c>
      <c r="CR98" s="106">
        <v>1.9976789271185242</v>
      </c>
      <c r="CS98" s="106">
        <v>2524.2670923069672</v>
      </c>
      <c r="CT98" s="106">
        <v>1.5836644261509711</v>
      </c>
      <c r="CU98" s="106">
        <v>2001.1183688843669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0.15756364372926848</v>
      </c>
      <c r="I99" s="106">
        <v>863.70086946635797</v>
      </c>
      <c r="J99" s="106">
        <v>0</v>
      </c>
      <c r="K99" s="106">
        <v>0</v>
      </c>
      <c r="L99" s="106">
        <v>0.36832882125304139</v>
      </c>
      <c r="M99" s="106">
        <v>2019.0312665806714</v>
      </c>
      <c r="N99" s="106">
        <v>0.17911814358581282</v>
      </c>
      <c r="O99" s="106">
        <v>981.85401587999149</v>
      </c>
      <c r="P99" s="106">
        <v>0</v>
      </c>
      <c r="Q99" s="106">
        <v>0</v>
      </c>
      <c r="R99" s="106">
        <v>0.17866135689668272</v>
      </c>
      <c r="S99" s="106">
        <v>979.35009396485589</v>
      </c>
      <c r="T99" s="106">
        <v>0.14784067328221534</v>
      </c>
      <c r="U99" s="106">
        <v>810.40343466379147</v>
      </c>
      <c r="V99" s="106">
        <v>0.32057866173706745</v>
      </c>
      <c r="W99" s="106">
        <v>1757.2839921779087</v>
      </c>
      <c r="X99" s="106">
        <v>0</v>
      </c>
      <c r="Y99" s="106">
        <v>0</v>
      </c>
      <c r="Z99" s="106">
        <v>0</v>
      </c>
      <c r="AA99" s="106">
        <v>0</v>
      </c>
      <c r="AB99" s="106">
        <v>0.51521671190301677</v>
      </c>
      <c r="AC99" s="106">
        <v>2824.2119279675762</v>
      </c>
      <c r="AD99" s="106">
        <v>0.14549889443919292</v>
      </c>
      <c r="AE99" s="106">
        <v>797.56673975787987</v>
      </c>
      <c r="AF99" s="106">
        <v>0</v>
      </c>
      <c r="AG99" s="106">
        <v>0</v>
      </c>
      <c r="AH99" s="106">
        <v>0</v>
      </c>
      <c r="AI99" s="106">
        <v>0</v>
      </c>
      <c r="AJ99" s="106">
        <v>1.8431055780814787</v>
      </c>
      <c r="AK99" s="106">
        <v>10103.167536811432</v>
      </c>
      <c r="AL99" s="106">
        <v>2.6079997313191332</v>
      </c>
      <c r="AM99" s="106">
        <v>14296.011327198959</v>
      </c>
      <c r="AN99" s="106">
        <v>1.2793106239219894</v>
      </c>
      <c r="AO99" s="106">
        <v>7012.6691160907758</v>
      </c>
      <c r="AP99" s="106">
        <v>2.7904225735998844</v>
      </c>
      <c r="AQ99" s="106">
        <v>15295.980379445125</v>
      </c>
      <c r="AR99" s="106">
        <v>2.6273636503072293</v>
      </c>
      <c r="AS99" s="106">
        <v>14402.156585524106</v>
      </c>
      <c r="AT99" s="106">
        <v>2.3782675923288763</v>
      </c>
      <c r="AU99" s="106">
        <v>13036.711634109966</v>
      </c>
      <c r="AV99" s="106">
        <v>0</v>
      </c>
      <c r="AW99" s="106">
        <v>0</v>
      </c>
      <c r="AX99" s="106">
        <v>4.7970557956021613</v>
      </c>
      <c r="AY99" s="106">
        <v>26295.541049172803</v>
      </c>
      <c r="AZ99" s="106">
        <v>0</v>
      </c>
      <c r="BA99" s="106">
        <v>0</v>
      </c>
      <c r="BB99" s="106">
        <v>2.6097806724365471</v>
      </c>
      <c r="BC99" s="106">
        <v>14305.773734028175</v>
      </c>
      <c r="BD99" s="106">
        <v>2.674765007758765</v>
      </c>
      <c r="BE99" s="106">
        <v>14661.991866530445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0.95539230898952221</v>
      </c>
      <c r="BM99" s="106">
        <v>5237.0784809569641</v>
      </c>
      <c r="BN99" s="106">
        <v>2.3005807247735572</v>
      </c>
      <c r="BO99" s="106">
        <v>12610.863300918731</v>
      </c>
      <c r="BP99" s="106">
        <v>1.1448818975079325</v>
      </c>
      <c r="BQ99" s="106">
        <v>6275.7846093794815</v>
      </c>
      <c r="BR99" s="106">
        <v>0</v>
      </c>
      <c r="BS99" s="106">
        <v>0</v>
      </c>
      <c r="BT99" s="106">
        <v>0</v>
      </c>
      <c r="BU99" s="106">
        <v>0</v>
      </c>
      <c r="BV99" s="106">
        <v>1.8202581923759131</v>
      </c>
      <c r="BW99" s="106">
        <v>9977.9273073278036</v>
      </c>
      <c r="BX99" s="106">
        <v>1.0725173369963776E-16</v>
      </c>
      <c r="BY99" s="106">
        <v>5.8791110344793436E-13</v>
      </c>
      <c r="BZ99" s="106">
        <v>0.44345398542671655</v>
      </c>
      <c r="CA99" s="106">
        <v>2430.8373665150893</v>
      </c>
      <c r="CB99" s="106">
        <v>0.79123123455498712</v>
      </c>
      <c r="CC99" s="106">
        <v>4337.2131353366167</v>
      </c>
      <c r="CD99" s="106">
        <v>0.31082682046224624</v>
      </c>
      <c r="CE99" s="106">
        <v>1703.8282990458488</v>
      </c>
      <c r="CF99" s="106">
        <v>0</v>
      </c>
      <c r="CG99" s="106">
        <v>0</v>
      </c>
      <c r="CH99" s="106">
        <v>1.3534991795650122</v>
      </c>
      <c r="CI99" s="106">
        <v>7419.34110270357</v>
      </c>
      <c r="CJ99" s="106">
        <v>2.6429504684033702</v>
      </c>
      <c r="CK99" s="106">
        <v>14487.597287599912</v>
      </c>
      <c r="CL99" s="106">
        <v>0</v>
      </c>
      <c r="CM99" s="106">
        <v>0</v>
      </c>
      <c r="CN99" s="106">
        <v>1.8185897192756064</v>
      </c>
      <c r="CO99" s="106">
        <v>9968.7814051811638</v>
      </c>
      <c r="CP99" s="106">
        <v>1.2260405067072953</v>
      </c>
      <c r="CQ99" s="106">
        <v>6720.663641566709</v>
      </c>
      <c r="CR99" s="106">
        <v>1.2034695410509761</v>
      </c>
      <c r="CS99" s="106">
        <v>6596.9386362250298</v>
      </c>
      <c r="CT99" s="106">
        <v>1.2255106454076232</v>
      </c>
      <c r="CU99" s="106">
        <v>6717.7591538664265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0.21008485830569132</v>
      </c>
      <c r="I100" s="106">
        <v>340.84167411515358</v>
      </c>
      <c r="J100" s="106">
        <v>0</v>
      </c>
      <c r="K100" s="106">
        <v>0</v>
      </c>
      <c r="L100" s="106">
        <v>0.61388136875506905</v>
      </c>
      <c r="M100" s="106">
        <v>995.96113266822397</v>
      </c>
      <c r="N100" s="106">
        <v>0.29853023930968803</v>
      </c>
      <c r="O100" s="106">
        <v>484.33546025603783</v>
      </c>
      <c r="P100" s="106">
        <v>0</v>
      </c>
      <c r="Q100" s="106">
        <v>0</v>
      </c>
      <c r="R100" s="106">
        <v>0.26799203534502408</v>
      </c>
      <c r="S100" s="106">
        <v>434.79027814376701</v>
      </c>
      <c r="T100" s="106">
        <v>0.22176100992332301</v>
      </c>
      <c r="U100" s="106">
        <v>359.78506249959923</v>
      </c>
      <c r="V100" s="106">
        <v>0.42743848249845084</v>
      </c>
      <c r="W100" s="106">
        <v>693.4761940054866</v>
      </c>
      <c r="X100" s="106">
        <v>0</v>
      </c>
      <c r="Y100" s="106">
        <v>0</v>
      </c>
      <c r="Z100" s="106">
        <v>0</v>
      </c>
      <c r="AA100" s="106">
        <v>0</v>
      </c>
      <c r="AB100" s="106">
        <v>0.80962626156188355</v>
      </c>
      <c r="AC100" s="106">
        <v>1313.5376467579997</v>
      </c>
      <c r="AD100" s="106">
        <v>0.21824851365084899</v>
      </c>
      <c r="AE100" s="106">
        <v>354.08638854713735</v>
      </c>
      <c r="AF100" s="106">
        <v>0</v>
      </c>
      <c r="AG100" s="106">
        <v>0</v>
      </c>
      <c r="AH100" s="106">
        <v>0</v>
      </c>
      <c r="AI100" s="106">
        <v>0</v>
      </c>
      <c r="AJ100" s="106">
        <v>2.6808808408457874</v>
      </c>
      <c r="AK100" s="106">
        <v>4349.461076188205</v>
      </c>
      <c r="AL100" s="106">
        <v>4.2367935254117581</v>
      </c>
      <c r="AM100" s="106">
        <v>6873.7738156280357</v>
      </c>
      <c r="AN100" s="106">
        <v>2.1282214178828998</v>
      </c>
      <c r="AO100" s="106">
        <v>3452.8264283732165</v>
      </c>
      <c r="AP100" s="106">
        <v>3.9868653491845416</v>
      </c>
      <c r="AQ100" s="106">
        <v>6468.2903425169998</v>
      </c>
      <c r="AR100" s="106">
        <v>4.544681741434319</v>
      </c>
      <c r="AS100" s="106">
        <v>7373.2916573030388</v>
      </c>
      <c r="AT100" s="106">
        <v>4.6376218050413085</v>
      </c>
      <c r="AU100" s="106">
        <v>7524.0776164990184</v>
      </c>
      <c r="AV100" s="106">
        <v>0</v>
      </c>
      <c r="AW100" s="106">
        <v>0</v>
      </c>
      <c r="AX100" s="106">
        <v>9.0801413273898053</v>
      </c>
      <c r="AY100" s="106">
        <v>14731.621289557219</v>
      </c>
      <c r="AZ100" s="106">
        <v>0</v>
      </c>
      <c r="BA100" s="106">
        <v>0</v>
      </c>
      <c r="BB100" s="106">
        <v>4.8280942440076124</v>
      </c>
      <c r="BC100" s="106">
        <v>7833.1001014779495</v>
      </c>
      <c r="BD100" s="106">
        <v>4.4579416795979414</v>
      </c>
      <c r="BE100" s="106">
        <v>7232.5645809796997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1.4330884634842831</v>
      </c>
      <c r="BM100" s="106">
        <v>2325.0427231569006</v>
      </c>
      <c r="BN100" s="106">
        <v>3.4508710871603356</v>
      </c>
      <c r="BO100" s="106">
        <v>5598.6932518089279</v>
      </c>
      <c r="BP100" s="106">
        <v>1.4719910110816274</v>
      </c>
      <c r="BQ100" s="106">
        <v>2388.1582163788321</v>
      </c>
      <c r="BR100" s="106">
        <v>0</v>
      </c>
      <c r="BS100" s="106">
        <v>0</v>
      </c>
      <c r="BT100" s="106">
        <v>0</v>
      </c>
      <c r="BU100" s="106">
        <v>0</v>
      </c>
      <c r="BV100" s="106">
        <v>3.2764647462766434</v>
      </c>
      <c r="BW100" s="106">
        <v>5315.7364043592261</v>
      </c>
      <c r="BX100" s="106">
        <v>1.0725173369963776E-16</v>
      </c>
      <c r="BY100" s="106">
        <v>1.740052127542923E-13</v>
      </c>
      <c r="BZ100" s="106">
        <v>0.66518097814007493</v>
      </c>
      <c r="CA100" s="106">
        <v>1079.1896189344575</v>
      </c>
      <c r="CB100" s="106">
        <v>1.1868468518324808</v>
      </c>
      <c r="CC100" s="106">
        <v>1925.5403324130168</v>
      </c>
      <c r="CD100" s="106">
        <v>0.43515754864714473</v>
      </c>
      <c r="CE100" s="106">
        <v>705.99960692512752</v>
      </c>
      <c r="CF100" s="106">
        <v>0</v>
      </c>
      <c r="CG100" s="106">
        <v>0</v>
      </c>
      <c r="CH100" s="106">
        <v>1.9335702565214459</v>
      </c>
      <c r="CI100" s="106">
        <v>3137.0243841803936</v>
      </c>
      <c r="CJ100" s="106">
        <v>4.377062342206977</v>
      </c>
      <c r="CK100" s="106">
        <v>7101.3459439965991</v>
      </c>
      <c r="CL100" s="106">
        <v>0</v>
      </c>
      <c r="CM100" s="106">
        <v>0</v>
      </c>
      <c r="CN100" s="106">
        <v>2.9097435508409708</v>
      </c>
      <c r="CO100" s="106">
        <v>4720.767936884391</v>
      </c>
      <c r="CP100" s="106">
        <v>2.0934119884886973</v>
      </c>
      <c r="CQ100" s="106">
        <v>3396.3516101240621</v>
      </c>
      <c r="CR100" s="106">
        <v>1.9916421248467608</v>
      </c>
      <c r="CS100" s="106">
        <v>3231.2401833513845</v>
      </c>
      <c r="CT100" s="106">
        <v>1.5836137462828537</v>
      </c>
      <c r="CU100" s="106">
        <v>2569.2549419693014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0.21008485830569132</v>
      </c>
      <c r="I101" s="106">
        <v>250.08501532709491</v>
      </c>
      <c r="J101" s="106">
        <v>0</v>
      </c>
      <c r="K101" s="106">
        <v>0</v>
      </c>
      <c r="L101" s="106">
        <v>0.67526950563057597</v>
      </c>
      <c r="M101" s="106">
        <v>803.8408195026376</v>
      </c>
      <c r="N101" s="106">
        <v>0.26867721537871925</v>
      </c>
      <c r="O101" s="106">
        <v>319.83335718682736</v>
      </c>
      <c r="P101" s="106">
        <v>0</v>
      </c>
      <c r="Q101" s="106">
        <v>0</v>
      </c>
      <c r="R101" s="106">
        <v>0.28585817103469235</v>
      </c>
      <c r="S101" s="106">
        <v>340.28556679969773</v>
      </c>
      <c r="T101" s="106">
        <v>0.2587211782438768</v>
      </c>
      <c r="U101" s="106">
        <v>307.98169058151092</v>
      </c>
      <c r="V101" s="106">
        <v>0.48029874623315899</v>
      </c>
      <c r="W101" s="106">
        <v>571.74762751595244</v>
      </c>
      <c r="X101" s="106">
        <v>0</v>
      </c>
      <c r="Y101" s="106">
        <v>0</v>
      </c>
      <c r="Z101" s="106">
        <v>0</v>
      </c>
      <c r="AA101" s="106">
        <v>0</v>
      </c>
      <c r="AB101" s="106">
        <v>0.80962626156188355</v>
      </c>
      <c r="AC101" s="106">
        <v>963.77910176326611</v>
      </c>
      <c r="AD101" s="106">
        <v>0.24228168204867656</v>
      </c>
      <c r="AE101" s="106">
        <v>288.41211431074453</v>
      </c>
      <c r="AF101" s="106">
        <v>0</v>
      </c>
      <c r="AG101" s="106">
        <v>0</v>
      </c>
      <c r="AH101" s="106">
        <v>0</v>
      </c>
      <c r="AI101" s="106">
        <v>0</v>
      </c>
      <c r="AJ101" s="106">
        <v>2.6808808408457874</v>
      </c>
      <c r="AK101" s="106">
        <v>3191.3205529428251</v>
      </c>
      <c r="AL101" s="106">
        <v>3.9135390650449544</v>
      </c>
      <c r="AM101" s="106">
        <v>4658.6769030295136</v>
      </c>
      <c r="AN101" s="106">
        <v>2.2681738665882842</v>
      </c>
      <c r="AO101" s="106">
        <v>2700.0341707866933</v>
      </c>
      <c r="AP101" s="106">
        <v>4.774926234707892</v>
      </c>
      <c r="AQ101" s="106">
        <v>5684.072189796274</v>
      </c>
      <c r="AR101" s="106">
        <v>5.6083821222438859</v>
      </c>
      <c r="AS101" s="106">
        <v>6676.2180783191207</v>
      </c>
      <c r="AT101" s="106">
        <v>5.113275323507084</v>
      </c>
      <c r="AU101" s="106">
        <v>6086.8429451028323</v>
      </c>
      <c r="AV101" s="106">
        <v>0</v>
      </c>
      <c r="AW101" s="106">
        <v>0</v>
      </c>
      <c r="AX101" s="106">
        <v>11.649992646462392</v>
      </c>
      <c r="AY101" s="106">
        <v>13868.151246348831</v>
      </c>
      <c r="AZ101" s="106">
        <v>0</v>
      </c>
      <c r="BA101" s="106">
        <v>0</v>
      </c>
      <c r="BB101" s="106">
        <v>4.6976052103857855</v>
      </c>
      <c r="BC101" s="106">
        <v>5592.0292424432382</v>
      </c>
      <c r="BD101" s="106">
        <v>4.8400509664206224</v>
      </c>
      <c r="BE101" s="106">
        <v>5761.5966704271086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1.4330884634842831</v>
      </c>
      <c r="BM101" s="106">
        <v>1705.9485069316904</v>
      </c>
      <c r="BN101" s="106">
        <v>3.4508710871603356</v>
      </c>
      <c r="BO101" s="106">
        <v>4107.9169421556635</v>
      </c>
      <c r="BP101" s="106">
        <v>1.7991001246553224</v>
      </c>
      <c r="BQ101" s="106">
        <v>2141.6487883896957</v>
      </c>
      <c r="BR101" s="106">
        <v>0</v>
      </c>
      <c r="BS101" s="106">
        <v>0</v>
      </c>
      <c r="BT101" s="106">
        <v>0</v>
      </c>
      <c r="BU101" s="106">
        <v>0</v>
      </c>
      <c r="BV101" s="106">
        <v>3.2764647462766434</v>
      </c>
      <c r="BW101" s="106">
        <v>3900.303633967716</v>
      </c>
      <c r="BX101" s="106">
        <v>1.4300231159951701E-16</v>
      </c>
      <c r="BY101" s="106">
        <v>1.7022995172806504E-13</v>
      </c>
      <c r="BZ101" s="106">
        <v>0.66518097814007493</v>
      </c>
      <c r="CA101" s="106">
        <v>791.83143637794512</v>
      </c>
      <c r="CB101" s="106">
        <v>1.3846546604712275</v>
      </c>
      <c r="CC101" s="106">
        <v>1648.292907824949</v>
      </c>
      <c r="CD101" s="106">
        <v>0.37299218455469552</v>
      </c>
      <c r="CE101" s="106">
        <v>444.00989649390948</v>
      </c>
      <c r="CF101" s="106">
        <v>0</v>
      </c>
      <c r="CG101" s="106">
        <v>0</v>
      </c>
      <c r="CH101" s="106">
        <v>1.9335702565214459</v>
      </c>
      <c r="CI101" s="106">
        <v>2301.722033363129</v>
      </c>
      <c r="CJ101" s="106">
        <v>4.7991246628267925</v>
      </c>
      <c r="CK101" s="106">
        <v>5712.8779986290128</v>
      </c>
      <c r="CL101" s="106">
        <v>0</v>
      </c>
      <c r="CM101" s="106">
        <v>0</v>
      </c>
      <c r="CN101" s="106">
        <v>2.9097435508409708</v>
      </c>
      <c r="CO101" s="106">
        <v>3463.7587229210912</v>
      </c>
      <c r="CP101" s="106">
        <v>2.097807150568697</v>
      </c>
      <c r="CQ101" s="106">
        <v>2497.2296320369765</v>
      </c>
      <c r="CR101" s="106">
        <v>1.9946114115389662</v>
      </c>
      <c r="CS101" s="106">
        <v>2374.3854242959851</v>
      </c>
      <c r="CT101" s="106">
        <v>1.7475832651290562</v>
      </c>
      <c r="CU101" s="106">
        <v>2080.3231188096283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0.21008485830569132</v>
      </c>
      <c r="I102" s="106">
        <v>407.39655722639657</v>
      </c>
      <c r="J102" s="106">
        <v>0</v>
      </c>
      <c r="K102" s="106">
        <v>0</v>
      </c>
      <c r="L102" s="106">
        <v>0.55249323187956212</v>
      </c>
      <c r="M102" s="106">
        <v>1071.3948752608467</v>
      </c>
      <c r="N102" s="106">
        <v>0.26867721537871925</v>
      </c>
      <c r="O102" s="106">
        <v>521.01885606241228</v>
      </c>
      <c r="P102" s="106">
        <v>0</v>
      </c>
      <c r="Q102" s="106">
        <v>0</v>
      </c>
      <c r="R102" s="106">
        <v>0.26799203534502408</v>
      </c>
      <c r="S102" s="106">
        <v>519.69015494107066</v>
      </c>
      <c r="T102" s="106">
        <v>0.22176100992332301</v>
      </c>
      <c r="U102" s="106">
        <v>430.03895044330795</v>
      </c>
      <c r="V102" s="106">
        <v>0.48007104768418207</v>
      </c>
      <c r="W102" s="106">
        <v>930.95377566916579</v>
      </c>
      <c r="X102" s="106">
        <v>0</v>
      </c>
      <c r="Y102" s="106">
        <v>0</v>
      </c>
      <c r="Z102" s="106">
        <v>0</v>
      </c>
      <c r="AA102" s="106">
        <v>0</v>
      </c>
      <c r="AB102" s="106">
        <v>0.66242148673245016</v>
      </c>
      <c r="AC102" s="106">
        <v>1284.5677470715673</v>
      </c>
      <c r="AD102" s="106">
        <v>0.19421534525302145</v>
      </c>
      <c r="AE102" s="106">
        <v>376.62239751465916</v>
      </c>
      <c r="AF102" s="106">
        <v>0</v>
      </c>
      <c r="AG102" s="106">
        <v>0</v>
      </c>
      <c r="AH102" s="106">
        <v>0</v>
      </c>
      <c r="AI102" s="106">
        <v>0</v>
      </c>
      <c r="AJ102" s="106">
        <v>2.3457707357400639</v>
      </c>
      <c r="AK102" s="106">
        <v>4548.9186107471314</v>
      </c>
      <c r="AL102" s="106">
        <v>3.9124898921420548</v>
      </c>
      <c r="AM102" s="106">
        <v>7587.1003988418715</v>
      </c>
      <c r="AN102" s="106">
        <v>2.408078695900826</v>
      </c>
      <c r="AO102" s="106">
        <v>4669.7462070908814</v>
      </c>
      <c r="AP102" s="106">
        <v>3.9855762832972768</v>
      </c>
      <c r="AQ102" s="106">
        <v>7728.8295285700788</v>
      </c>
      <c r="AR102" s="106">
        <v>4.1873790319098507</v>
      </c>
      <c r="AS102" s="106">
        <v>8120.1654186795822</v>
      </c>
      <c r="AT102" s="106">
        <v>4.5187084254248644</v>
      </c>
      <c r="AU102" s="106">
        <v>8762.6793785838963</v>
      </c>
      <c r="AV102" s="106">
        <v>0</v>
      </c>
      <c r="AW102" s="106">
        <v>0</v>
      </c>
      <c r="AX102" s="106">
        <v>9.7654350124758285</v>
      </c>
      <c r="AY102" s="106">
        <v>18937.131576193126</v>
      </c>
      <c r="AZ102" s="106">
        <v>0</v>
      </c>
      <c r="BA102" s="106">
        <v>0</v>
      </c>
      <c r="BB102" s="106">
        <v>4.1756490758984759</v>
      </c>
      <c r="BC102" s="106">
        <v>8097.4186879823237</v>
      </c>
      <c r="BD102" s="106">
        <v>4.8400509664206224</v>
      </c>
      <c r="BE102" s="106">
        <v>9385.8268340828708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1.4330884634842831</v>
      </c>
      <c r="BM102" s="106">
        <v>2779.0451483887214</v>
      </c>
      <c r="BN102" s="106">
        <v>2.8757259059669464</v>
      </c>
      <c r="BO102" s="106">
        <v>5576.607676851102</v>
      </c>
      <c r="BP102" s="106">
        <v>1.4719910110816274</v>
      </c>
      <c r="BQ102" s="106">
        <v>2854.4849686894918</v>
      </c>
      <c r="BR102" s="106">
        <v>0</v>
      </c>
      <c r="BS102" s="106">
        <v>0</v>
      </c>
      <c r="BT102" s="106">
        <v>0</v>
      </c>
      <c r="BU102" s="106">
        <v>0</v>
      </c>
      <c r="BV102" s="106">
        <v>2.912413107801461</v>
      </c>
      <c r="BW102" s="106">
        <v>5647.751498648593</v>
      </c>
      <c r="BX102" s="106">
        <v>1.4300231159951701E-16</v>
      </c>
      <c r="BY102" s="106">
        <v>2.7731008265378336E-13</v>
      </c>
      <c r="BZ102" s="106">
        <v>0.66518097814007493</v>
      </c>
      <c r="CA102" s="106">
        <v>1289.9189528092331</v>
      </c>
      <c r="CB102" s="106">
        <v>1.1868468518324808</v>
      </c>
      <c r="CC102" s="106">
        <v>2301.5334150735466</v>
      </c>
      <c r="CD102" s="106">
        <v>0.37299218455469552</v>
      </c>
      <c r="CE102" s="106">
        <v>723.30644428846551</v>
      </c>
      <c r="CF102" s="106">
        <v>0</v>
      </c>
      <c r="CG102" s="106">
        <v>0</v>
      </c>
      <c r="CH102" s="106">
        <v>1.7402132308693012</v>
      </c>
      <c r="CI102" s="106">
        <v>3374.6214973017486</v>
      </c>
      <c r="CJ102" s="106">
        <v>3.9638832109914266</v>
      </c>
      <c r="CK102" s="106">
        <v>7686.7623227545737</v>
      </c>
      <c r="CL102" s="106">
        <v>0</v>
      </c>
      <c r="CM102" s="106">
        <v>0</v>
      </c>
      <c r="CN102" s="106">
        <v>2.9097435508409708</v>
      </c>
      <c r="CO102" s="106">
        <v>5642.5746937908098</v>
      </c>
      <c r="CP102" s="106">
        <v>1.9243328542124163</v>
      </c>
      <c r="CQ102" s="106">
        <v>3731.6662708887175</v>
      </c>
      <c r="CR102" s="106">
        <v>1.6006233485284265</v>
      </c>
      <c r="CS102" s="106">
        <v>3103.9287974663243</v>
      </c>
      <c r="CT102" s="106">
        <v>1.4110476436136083</v>
      </c>
      <c r="CU102" s="106">
        <v>2736.3035904955091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0.21008485830569132</v>
      </c>
      <c r="I103" s="106">
        <v>426.05209264394199</v>
      </c>
      <c r="J103" s="106">
        <v>0</v>
      </c>
      <c r="K103" s="106">
        <v>0</v>
      </c>
      <c r="L103" s="106">
        <v>0.61388136875506905</v>
      </c>
      <c r="M103" s="106">
        <v>1244.9514158352799</v>
      </c>
      <c r="N103" s="106">
        <v>0.26867721537871925</v>
      </c>
      <c r="O103" s="106">
        <v>544.87739278804258</v>
      </c>
      <c r="P103" s="106">
        <v>0</v>
      </c>
      <c r="Q103" s="106">
        <v>0</v>
      </c>
      <c r="R103" s="106">
        <v>0.28585817103469235</v>
      </c>
      <c r="S103" s="106">
        <v>579.72037085835609</v>
      </c>
      <c r="T103" s="106">
        <v>0.18480084160276916</v>
      </c>
      <c r="U103" s="106">
        <v>374.77610677041588</v>
      </c>
      <c r="V103" s="106">
        <v>0.48029874623315899</v>
      </c>
      <c r="W103" s="106">
        <v>974.04585736084641</v>
      </c>
      <c r="X103" s="106">
        <v>0</v>
      </c>
      <c r="Y103" s="106">
        <v>0</v>
      </c>
      <c r="Z103" s="106">
        <v>0</v>
      </c>
      <c r="AA103" s="106">
        <v>0</v>
      </c>
      <c r="AB103" s="106">
        <v>0.73602387414716686</v>
      </c>
      <c r="AC103" s="106">
        <v>1492.6564167704544</v>
      </c>
      <c r="AD103" s="106">
        <v>0.21798839924675581</v>
      </c>
      <c r="AE103" s="106">
        <v>442.08047367242079</v>
      </c>
      <c r="AF103" s="106">
        <v>0</v>
      </c>
      <c r="AG103" s="106">
        <v>0</v>
      </c>
      <c r="AH103" s="106">
        <v>0</v>
      </c>
      <c r="AI103" s="106">
        <v>0</v>
      </c>
      <c r="AJ103" s="106">
        <v>2.3457707357400639</v>
      </c>
      <c r="AK103" s="106">
        <v>4757.2230520808498</v>
      </c>
      <c r="AL103" s="106">
        <v>3.9083206335609315</v>
      </c>
      <c r="AM103" s="106">
        <v>7926.0742448615692</v>
      </c>
      <c r="AN103" s="106">
        <v>2.404153836094685</v>
      </c>
      <c r="AO103" s="106">
        <v>4875.6239796000209</v>
      </c>
      <c r="AP103" s="106">
        <v>3.9882786278627518</v>
      </c>
      <c r="AQ103" s="106">
        <v>8088.2290573056607</v>
      </c>
      <c r="AR103" s="106">
        <v>4.7775637112703651</v>
      </c>
      <c r="AS103" s="106">
        <v>9688.8992064563008</v>
      </c>
      <c r="AT103" s="106">
        <v>4.1619682865755339</v>
      </c>
      <c r="AU103" s="106">
        <v>8440.4716851751818</v>
      </c>
      <c r="AV103" s="106">
        <v>0</v>
      </c>
      <c r="AW103" s="106">
        <v>0</v>
      </c>
      <c r="AX103" s="106">
        <v>8.5661710635752897</v>
      </c>
      <c r="AY103" s="106">
        <v>17372.194916930686</v>
      </c>
      <c r="AZ103" s="106">
        <v>0</v>
      </c>
      <c r="BA103" s="106">
        <v>0</v>
      </c>
      <c r="BB103" s="106">
        <v>4.045160042276648</v>
      </c>
      <c r="BC103" s="106">
        <v>8203.5845657370428</v>
      </c>
      <c r="BD103" s="106">
        <v>4.4579416795979414</v>
      </c>
      <c r="BE103" s="106">
        <v>9040.7057262246253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1.6719365407316635</v>
      </c>
      <c r="BM103" s="106">
        <v>3390.6873046038136</v>
      </c>
      <c r="BN103" s="106">
        <v>3.163298496563641</v>
      </c>
      <c r="BO103" s="106">
        <v>6415.1693510310643</v>
      </c>
      <c r="BP103" s="106">
        <v>1.6355455678684749</v>
      </c>
      <c r="BQ103" s="106">
        <v>3316.886411637267</v>
      </c>
      <c r="BR103" s="106">
        <v>0</v>
      </c>
      <c r="BS103" s="106">
        <v>0</v>
      </c>
      <c r="BT103" s="106">
        <v>0</v>
      </c>
      <c r="BU103" s="106">
        <v>0</v>
      </c>
      <c r="BV103" s="106">
        <v>3.2764647462766434</v>
      </c>
      <c r="BW103" s="106">
        <v>6644.670505449033</v>
      </c>
      <c r="BX103" s="106">
        <v>1.4300231159951701E-16</v>
      </c>
      <c r="BY103" s="106">
        <v>2.900086879238205E-13</v>
      </c>
      <c r="BZ103" s="106">
        <v>0.66518097814007493</v>
      </c>
      <c r="CA103" s="106">
        <v>1348.987023668072</v>
      </c>
      <c r="CB103" s="106">
        <v>1.1868468518324808</v>
      </c>
      <c r="CC103" s="106">
        <v>2406.9254155162712</v>
      </c>
      <c r="CD103" s="106">
        <v>0.37299218455469552</v>
      </c>
      <c r="CE103" s="106">
        <v>756.42815027692245</v>
      </c>
      <c r="CF103" s="106">
        <v>0</v>
      </c>
      <c r="CG103" s="106">
        <v>0</v>
      </c>
      <c r="CH103" s="106">
        <v>1.7402132308693012</v>
      </c>
      <c r="CI103" s="106">
        <v>3529.1524322029427</v>
      </c>
      <c r="CJ103" s="106">
        <v>4.3765198505933478</v>
      </c>
      <c r="CK103" s="106">
        <v>8875.5822570033088</v>
      </c>
      <c r="CL103" s="106">
        <v>0</v>
      </c>
      <c r="CM103" s="106">
        <v>0</v>
      </c>
      <c r="CN103" s="106">
        <v>2.9097435508409708</v>
      </c>
      <c r="CO103" s="106">
        <v>5900.9599211054892</v>
      </c>
      <c r="CP103" s="106">
        <v>1.7493935038294697</v>
      </c>
      <c r="CQ103" s="106">
        <v>3547.7700257661645</v>
      </c>
      <c r="CR103" s="106">
        <v>1.5976213188737702</v>
      </c>
      <c r="CS103" s="106">
        <v>3239.9760346760058</v>
      </c>
      <c r="CT103" s="106">
        <v>1.5705921708779964</v>
      </c>
      <c r="CU103" s="106">
        <v>3185.1609225405768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0.21008485830569132</v>
      </c>
      <c r="I104" s="106">
        <v>435.37986035271473</v>
      </c>
      <c r="J104" s="106">
        <v>0</v>
      </c>
      <c r="K104" s="106">
        <v>0</v>
      </c>
      <c r="L104" s="106">
        <v>0.55249323187956212</v>
      </c>
      <c r="M104" s="106">
        <v>1144.9869737472045</v>
      </c>
      <c r="N104" s="106">
        <v>0.23882419144775044</v>
      </c>
      <c r="O104" s="106">
        <v>494.93925435631803</v>
      </c>
      <c r="P104" s="106">
        <v>0</v>
      </c>
      <c r="Q104" s="106">
        <v>0</v>
      </c>
      <c r="R104" s="106">
        <v>0.30372430672436063</v>
      </c>
      <c r="S104" s="106">
        <v>629.43825325556497</v>
      </c>
      <c r="T104" s="106">
        <v>0.18480084160276916</v>
      </c>
      <c r="U104" s="106">
        <v>382.98126413757882</v>
      </c>
      <c r="V104" s="106">
        <v>0.42698388594757991</v>
      </c>
      <c r="W104" s="106">
        <v>884.88140523776462</v>
      </c>
      <c r="X104" s="106">
        <v>0</v>
      </c>
      <c r="Y104" s="106">
        <v>0</v>
      </c>
      <c r="Z104" s="106">
        <v>0</v>
      </c>
      <c r="AA104" s="106">
        <v>0</v>
      </c>
      <c r="AB104" s="106">
        <v>0.73602387414716686</v>
      </c>
      <c r="AC104" s="106">
        <v>1525.3358767825887</v>
      </c>
      <c r="AD104" s="106">
        <v>0.21824816966672977</v>
      </c>
      <c r="AE104" s="106">
        <v>452.29750681733083</v>
      </c>
      <c r="AF104" s="106">
        <v>0</v>
      </c>
      <c r="AG104" s="106">
        <v>0</v>
      </c>
      <c r="AH104" s="106">
        <v>0</v>
      </c>
      <c r="AI104" s="106">
        <v>0</v>
      </c>
      <c r="AJ104" s="106">
        <v>2.6808808408457874</v>
      </c>
      <c r="AK104" s="106">
        <v>5555.8574545688098</v>
      </c>
      <c r="AL104" s="106">
        <v>3.5850798897093661</v>
      </c>
      <c r="AM104" s="106">
        <v>7429.7195634336904</v>
      </c>
      <c r="AN104" s="106">
        <v>2.1269226551594218</v>
      </c>
      <c r="AO104" s="106">
        <v>4407.8345105523858</v>
      </c>
      <c r="AP104" s="106">
        <v>3.5881457289732324</v>
      </c>
      <c r="AQ104" s="106">
        <v>7436.0732087241267</v>
      </c>
      <c r="AR104" s="106">
        <v>4.7739158233753258</v>
      </c>
      <c r="AS104" s="106">
        <v>9893.4631523630251</v>
      </c>
      <c r="AT104" s="106">
        <v>4.3997950458084212</v>
      </c>
      <c r="AU104" s="106">
        <v>9118.1352529333726</v>
      </c>
      <c r="AV104" s="106">
        <v>0</v>
      </c>
      <c r="AW104" s="106">
        <v>0</v>
      </c>
      <c r="AX104" s="106">
        <v>9.5941115912043227</v>
      </c>
      <c r="AY104" s="106">
        <v>19882.836861611839</v>
      </c>
      <c r="AZ104" s="106">
        <v>0</v>
      </c>
      <c r="BA104" s="106">
        <v>0</v>
      </c>
      <c r="BB104" s="106">
        <v>4.3061381095203028</v>
      </c>
      <c r="BC104" s="106">
        <v>8924.0406181698763</v>
      </c>
      <c r="BD104" s="106">
        <v>4.7126812041463957</v>
      </c>
      <c r="BE104" s="106">
        <v>9766.5605274729915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1.4330884634842831</v>
      </c>
      <c r="BM104" s="106">
        <v>2969.9325317248286</v>
      </c>
      <c r="BN104" s="106">
        <v>2.5881533153702514</v>
      </c>
      <c r="BO104" s="106">
        <v>5363.688930773309</v>
      </c>
      <c r="BP104" s="106">
        <v>1.3084364542947799</v>
      </c>
      <c r="BQ104" s="106">
        <v>2711.603707880502</v>
      </c>
      <c r="BR104" s="106">
        <v>0</v>
      </c>
      <c r="BS104" s="106">
        <v>0</v>
      </c>
      <c r="BT104" s="106">
        <v>0</v>
      </c>
      <c r="BU104" s="106">
        <v>0</v>
      </c>
      <c r="BV104" s="106">
        <v>2.912413107801461</v>
      </c>
      <c r="BW104" s="106">
        <v>6035.6849246077481</v>
      </c>
      <c r="BX104" s="106">
        <v>1.4300231159951701E-16</v>
      </c>
      <c r="BY104" s="106">
        <v>2.9635799055883904E-13</v>
      </c>
      <c r="BZ104" s="106">
        <v>0.66518097814007493</v>
      </c>
      <c r="CA104" s="106">
        <v>1378.5210590974914</v>
      </c>
      <c r="CB104" s="106">
        <v>1.1868468518324808</v>
      </c>
      <c r="CC104" s="106">
        <v>2459.6214157376335</v>
      </c>
      <c r="CD104" s="106">
        <v>0.37299218455469552</v>
      </c>
      <c r="CE104" s="106">
        <v>772.98900327115098</v>
      </c>
      <c r="CF104" s="106">
        <v>0</v>
      </c>
      <c r="CG104" s="106">
        <v>0</v>
      </c>
      <c r="CH104" s="106">
        <v>1.5468562052171568</v>
      </c>
      <c r="CI104" s="106">
        <v>3205.704799692036</v>
      </c>
      <c r="CJ104" s="106">
        <v>3.5420017209094867</v>
      </c>
      <c r="CK104" s="106">
        <v>7340.4443664128203</v>
      </c>
      <c r="CL104" s="106">
        <v>0</v>
      </c>
      <c r="CM104" s="106">
        <v>0</v>
      </c>
      <c r="CN104" s="106">
        <v>2.9097435508409708</v>
      </c>
      <c r="CO104" s="106">
        <v>6030.1525347628285</v>
      </c>
      <c r="CP104" s="106">
        <v>1.92286780018575</v>
      </c>
      <c r="CQ104" s="106">
        <v>3984.9512291049487</v>
      </c>
      <c r="CR104" s="106">
        <v>1.5976213188737702</v>
      </c>
      <c r="CS104" s="106">
        <v>3310.9104212340017</v>
      </c>
      <c r="CT104" s="106">
        <v>1.5791887547010393</v>
      </c>
      <c r="CU104" s="106">
        <v>3272.710775242434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0.21008485830569132</v>
      </c>
      <c r="I105" s="106">
        <v>419.74954689477124</v>
      </c>
      <c r="J105" s="106">
        <v>0</v>
      </c>
      <c r="K105" s="106">
        <v>0</v>
      </c>
      <c r="L105" s="106">
        <v>0.55249323187956212</v>
      </c>
      <c r="M105" s="106">
        <v>1103.8814772953651</v>
      </c>
      <c r="N105" s="106">
        <v>0.23882419144775044</v>
      </c>
      <c r="O105" s="106">
        <v>477.17073451260535</v>
      </c>
      <c r="P105" s="106">
        <v>0</v>
      </c>
      <c r="Q105" s="106">
        <v>0</v>
      </c>
      <c r="R105" s="106">
        <v>0.28585817103469235</v>
      </c>
      <c r="S105" s="106">
        <v>571.14462572731532</v>
      </c>
      <c r="T105" s="106">
        <v>0.22176100992332301</v>
      </c>
      <c r="U105" s="106">
        <v>443.07849782679938</v>
      </c>
      <c r="V105" s="106">
        <v>0.42698468649466265</v>
      </c>
      <c r="W105" s="106">
        <v>853.11540361633593</v>
      </c>
      <c r="X105" s="106">
        <v>0</v>
      </c>
      <c r="Y105" s="106">
        <v>0</v>
      </c>
      <c r="Z105" s="106">
        <v>0</v>
      </c>
      <c r="AA105" s="106">
        <v>0</v>
      </c>
      <c r="AB105" s="106">
        <v>0.73602387414716686</v>
      </c>
      <c r="AC105" s="106">
        <v>1470.5757005460393</v>
      </c>
      <c r="AD105" s="106">
        <v>0.21811828445674275</v>
      </c>
      <c r="AE105" s="106">
        <v>435.80033234457204</v>
      </c>
      <c r="AF105" s="106">
        <v>0</v>
      </c>
      <c r="AG105" s="106">
        <v>0</v>
      </c>
      <c r="AH105" s="106">
        <v>0</v>
      </c>
      <c r="AI105" s="106">
        <v>0</v>
      </c>
      <c r="AJ105" s="106">
        <v>2.6808808408457874</v>
      </c>
      <c r="AK105" s="106">
        <v>5356.3999200098833</v>
      </c>
      <c r="AL105" s="106">
        <v>3.9093423734333546</v>
      </c>
      <c r="AM105" s="106">
        <v>7810.8660621198424</v>
      </c>
      <c r="AN105" s="106">
        <v>2.1282214178828998</v>
      </c>
      <c r="AO105" s="106">
        <v>4252.1863929300334</v>
      </c>
      <c r="AP105" s="106">
        <v>3.9868653491845416</v>
      </c>
      <c r="AQ105" s="106">
        <v>7965.7569676707144</v>
      </c>
      <c r="AR105" s="106">
        <v>4.1832751580279304</v>
      </c>
      <c r="AS105" s="106">
        <v>8358.1837657398046</v>
      </c>
      <c r="AT105" s="106">
        <v>4.1619682865755339</v>
      </c>
      <c r="AU105" s="106">
        <v>8315.6126365779164</v>
      </c>
      <c r="AV105" s="106">
        <v>0</v>
      </c>
      <c r="AW105" s="106">
        <v>0</v>
      </c>
      <c r="AX105" s="106">
        <v>8.5661710635752897</v>
      </c>
      <c r="AY105" s="106">
        <v>17115.209785023428</v>
      </c>
      <c r="AZ105" s="106">
        <v>0</v>
      </c>
      <c r="BA105" s="106">
        <v>0</v>
      </c>
      <c r="BB105" s="106">
        <v>4.5671161767639576</v>
      </c>
      <c r="BC105" s="106">
        <v>9125.0981211743874</v>
      </c>
      <c r="BD105" s="106">
        <v>4.4579416795979414</v>
      </c>
      <c r="BE105" s="106">
        <v>8906.9674758366873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1.4330884634842831</v>
      </c>
      <c r="BM105" s="106">
        <v>2863.3107500415977</v>
      </c>
      <c r="BN105" s="106">
        <v>2.8757259059669464</v>
      </c>
      <c r="BO105" s="106">
        <v>5745.7003601219594</v>
      </c>
      <c r="BP105" s="106">
        <v>1.6355455678684749</v>
      </c>
      <c r="BQ105" s="106">
        <v>3267.8200446012129</v>
      </c>
      <c r="BR105" s="106">
        <v>0</v>
      </c>
      <c r="BS105" s="106">
        <v>0</v>
      </c>
      <c r="BT105" s="106">
        <v>0</v>
      </c>
      <c r="BU105" s="106">
        <v>0</v>
      </c>
      <c r="BV105" s="106">
        <v>3.2764647462766434</v>
      </c>
      <c r="BW105" s="106">
        <v>6546.3765630607331</v>
      </c>
      <c r="BX105" s="106">
        <v>1.4300231159951701E-16</v>
      </c>
      <c r="BY105" s="106">
        <v>2.8571861857583499E-13</v>
      </c>
      <c r="BZ105" s="106">
        <v>0.66518097814007493</v>
      </c>
      <c r="CA105" s="106">
        <v>1329.0315943238697</v>
      </c>
      <c r="CB105" s="106">
        <v>1.1868468518324808</v>
      </c>
      <c r="CC105" s="106">
        <v>2371.3200099612968</v>
      </c>
      <c r="CD105" s="106">
        <v>0.37299218455469552</v>
      </c>
      <c r="CE105" s="106">
        <v>745.23838474028162</v>
      </c>
      <c r="CF105" s="106">
        <v>0</v>
      </c>
      <c r="CG105" s="106">
        <v>0</v>
      </c>
      <c r="CH105" s="106">
        <v>1.7402132308693012</v>
      </c>
      <c r="CI105" s="106">
        <v>3476.9460352768638</v>
      </c>
      <c r="CJ105" s="106">
        <v>3.9544575299735309</v>
      </c>
      <c r="CK105" s="106">
        <v>7901.0061448871147</v>
      </c>
      <c r="CL105" s="106">
        <v>0</v>
      </c>
      <c r="CM105" s="106">
        <v>0</v>
      </c>
      <c r="CN105" s="106">
        <v>2.9097435508409708</v>
      </c>
      <c r="CO105" s="106">
        <v>5813.6676145802594</v>
      </c>
      <c r="CP105" s="106">
        <v>1.9214027461590837</v>
      </c>
      <c r="CQ105" s="106">
        <v>3838.9626868258492</v>
      </c>
      <c r="CR105" s="106">
        <v>1.9916093818843099</v>
      </c>
      <c r="CS105" s="106">
        <v>3979.2355450048512</v>
      </c>
      <c r="CT105" s="106">
        <v>1.5749664825916936</v>
      </c>
      <c r="CU105" s="106">
        <v>3146.783032218204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94.017720575013627</v>
      </c>
      <c r="F109" s="106">
        <f>SUM(T$6:T$19)+SUM(V$6:V$19)+SUM(X$6:X$19)+SUM(Z$6:Z$19)</f>
        <v>12.748734766557185</v>
      </c>
      <c r="G109" s="106">
        <f>SUM(AB$6:AB$19)+SUM(AD$6:AD$19)+SUM(AF$6:AF$19)+SUM(AH$6:AH$19)</f>
        <v>103.25375466969716</v>
      </c>
      <c r="H109" s="106">
        <f>SUM(AJ$6:AJ$19)+SUM(AL$6:AL$19)+SUM(AN$6:AN$19)+SUM(AP$6:AP$19)</f>
        <v>273.30970110697353</v>
      </c>
      <c r="I109" s="106">
        <f>SUM(AR$6:AR$19)+SUM(AT$6:AT$19)+SUM(AV$6:AV$19)+SUM(AX$6:AX$19)</f>
        <v>324.73077521419765</v>
      </c>
      <c r="J109" s="106">
        <f>SUM(AZ$6:AZ$19)+SUM(BB$6:BB$19)+SUM(BD$6:BD$19)+SUM(BF$6:BF$19)</f>
        <v>199.81595356645855</v>
      </c>
      <c r="K109" s="106">
        <f>SUM(BH$6:BH$19)+SUM(BJ$6:BJ$19)+SUM(BL$6:BL$19)+SUM(BN$6:BN$19)</f>
        <v>685.40809611753093</v>
      </c>
      <c r="L109" s="106">
        <f>SUM(BP$6:BP$19)+SUM(BR$6:BR$19)+SUM(BT$6:BT$19)+SUM(BV$6:BV$19)</f>
        <v>790.70530479068418</v>
      </c>
      <c r="M109" s="106">
        <f>SUM(BX$6:BX$19)+SUM(BZ$6:BZ$19)+SUM(CB$6:CB$19)+SUM(CD$6:CD$19)</f>
        <v>481.94700307655683</v>
      </c>
      <c r="N109" s="106">
        <f>SUM(CF$6:CF$19)+SUM(CH$6:CH$19)+SUM(CJ$6:CJ$19)+SUM(CL$6:CL$19)</f>
        <v>409.77234365518251</v>
      </c>
      <c r="O109" s="106">
        <f>SUM(CN$6:CN$19)+SUM(CP$6:CP$19)+SUM(CR$6:CR$19)+SUM(CT$6:CT$19)</f>
        <v>683.38956277607599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293.003092530392</v>
      </c>
      <c r="F110" s="106">
        <f>SUM(T$20:T$36)+SUM(V$20:V$36)+SUM(X$20:X$36)+SUM(Z$20:Z$36)</f>
        <v>70.073152557638338</v>
      </c>
      <c r="G110" s="106">
        <f>SUM(AB$20:AB$36)+SUM(AD$20:AD$36)+SUM(AF$20:AF$36)+SUM(AH$20:AH$36)</f>
        <v>343.01783729082553</v>
      </c>
      <c r="H110" s="106">
        <f>SUM(AJ$20:AJ$36)+SUM(AL$20:AL$36)+SUM(AN$20:AN$36)+SUM(AP$20:AP$36)</f>
        <v>333.78395610522398</v>
      </c>
      <c r="I110" s="106">
        <f>SUM(AR$20:AR$36)+SUM(AT$20:AT$36)+SUM(AV$20:AV$36)+SUM(AX$20:AX$36)</f>
        <v>595.46209728125712</v>
      </c>
      <c r="J110" s="106">
        <f>SUM(AZ$20:AZ$36)+SUM(BB$20:BB$36)+SUM(BD$20:BD$36)+SUM(BF$20:BF$36)</f>
        <v>457.19074677129424</v>
      </c>
      <c r="K110" s="106">
        <f>SUM(BH$20:BH$36)+SUM(BJ$20:BJ$36)+SUM(BL$20:BL$36)+SUM(BN$20:BN$36)</f>
        <v>324.06340856338647</v>
      </c>
      <c r="L110" s="106">
        <f>SUM(BP$20:BP$36)+SUM(BR$20:BR$36)+SUM(BT$20:BT$36)+SUM(BV$20:BV$36)</f>
        <v>760.64645102392114</v>
      </c>
      <c r="M110" s="106">
        <f>SUM(BX$20:BX$36)+SUM(BZ$20:BZ$36)+SUM(CB$20:CB$36)+SUM(CD$20:CD$36)</f>
        <v>454.74712479503557</v>
      </c>
      <c r="N110" s="106">
        <f>SUM(CF$20:CF$36)+SUM(CH$20:CH$36)+SUM(CJ$20:CJ$36)+SUM(CL$20:CL$36)</f>
        <v>303.42216508668417</v>
      </c>
      <c r="O110" s="106">
        <f>SUM(CN$20:CN$36)+SUM(CP$20:CP$36)+SUM(CR$20:CR$36)+SUM(CT$20:CT$36)</f>
        <v>311.00353844593002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101.69973664762477</v>
      </c>
      <c r="F111" s="106">
        <f>SUM(T$37:T$48)+SUM(V$37:V$48)+SUM(X$37:X$48)+SUM(Z$37:Z$48)</f>
        <v>88.809212385568529</v>
      </c>
      <c r="G111" s="106">
        <f>SUM(AB$37:AB$48)+SUM(AD$37:AD$48)+SUM(AF$37:AF$48)+SUM(AH$37:AH$48)</f>
        <v>295.59503757595451</v>
      </c>
      <c r="H111" s="106">
        <f>SUM(AJ$37:AJ$48)+SUM(AL$37:AL$48)+SUM(AN$37:AN$48)+SUM(AP$37:AP$48)</f>
        <v>807.87556317459826</v>
      </c>
      <c r="I111" s="106">
        <f>SUM(AR$37:AR$48)+SUM(AT$37:AT$48)+SUM(AV$37:AV$48)+SUM(AX$37:AX$48)</f>
        <v>120.64379908850779</v>
      </c>
      <c r="J111" s="106">
        <f>SUM(AZ$37:AZ$48)+SUM(BB$37:BB$48)+SUM(BD$37:BD$48)+SUM(BF$37:BF$48)</f>
        <v>14.098702638219835</v>
      </c>
      <c r="K111" s="106">
        <f>SUM(BH$37:BH$48)+SUM(BJ$37:BJ$48)+SUM(BL$37:BL$48)+SUM(BN$37:BN$48)</f>
        <v>348.9626601390562</v>
      </c>
      <c r="L111" s="106">
        <f>SUM(BP$37:BP$48)+SUM(BR$37:BR$48)+SUM(BT$37:BT$48)+SUM(BV$37:BV$48)</f>
        <v>614.59922386116602</v>
      </c>
      <c r="M111" s="106">
        <f>SUM(BX$37:BX$48)+SUM(BZ$37:BZ$48)+SUM(CB$37:CB$48)+SUM(CD$37:CD$48)</f>
        <v>1297.7332015178899</v>
      </c>
      <c r="N111" s="106">
        <f>SUM(CF$37:CF$48)+SUM(CH$37:CH$48)+SUM(CJ$37:CJ$48)+SUM(CL$37:CL$48)</f>
        <v>191.63246441648585</v>
      </c>
      <c r="O111" s="106">
        <f>SUM(CN$37:CN$48)+SUM(CP$37:CP$48)+SUM(CR$37:CR$48)+SUM(CT$37:CT$48)</f>
        <v>198.68465582074668</v>
      </c>
    </row>
    <row r="112" spans="2:99" x14ac:dyDescent="0.2">
      <c r="C112" s="105" t="s">
        <v>129</v>
      </c>
      <c r="D112" s="106">
        <f>SUM(D$49:D$70)+SUM(F$49:F$70)+SUM(H$49:H$70)+SUM(J$49:J$70)</f>
        <v>1.9958061539040672</v>
      </c>
      <c r="E112" s="106">
        <f>SUM(L$49:L$70)+SUM(N$49:N$70)+SUM(P$49:P$70)+SUM(R$49:R$70)</f>
        <v>57.081845372341256</v>
      </c>
      <c r="F112" s="106">
        <f>SUM(T$49:T$70)+SUM(V$49:V$70)+SUM(X$49:X$70)+SUM(Z$49:Z$70)</f>
        <v>110.79891319419831</v>
      </c>
      <c r="G112" s="106">
        <f>SUM(AB$49:AB$70)+SUM(AD$49:AD$70)+SUM(AF$49:AF$70)+SUM(AH$49:AH$70)</f>
        <v>87.123103920817115</v>
      </c>
      <c r="H112" s="106">
        <f>SUM(AJ$49:AJ$70)+SUM(AL$49:AL$70)+SUM(AN$49:AN$70)+SUM(AP$49:AP$70)</f>
        <v>365.46183981406227</v>
      </c>
      <c r="I112" s="106">
        <f>SUM(AR$49:AR$70)+SUM(AT$49:AT$70)+SUM(AV$49:AV$70)+SUM(AX$49:AX$70)</f>
        <v>572.33345269714744</v>
      </c>
      <c r="J112" s="106">
        <f>SUM(AZ$49:AZ$70)+SUM(BB$49:BB$70)+SUM(BD$49:BD$70)+SUM(BF$49:BF$70)</f>
        <v>729.07124563975628</v>
      </c>
      <c r="K112" s="106">
        <f>SUM(BH$49:BH$70)+SUM(BJ$49:BJ$70)+SUM(BL$49:BL$70)+SUM(BN$49:BN$70)</f>
        <v>271.01356598426196</v>
      </c>
      <c r="L112" s="106">
        <f>SUM(BP$49:BP$70)+SUM(BR$49:BR$70)+SUM(BT$49:BT$70)+SUM(BV$49:BV$70)</f>
        <v>120.64134242510531</v>
      </c>
      <c r="M112" s="106">
        <f>SUM(BX$49:BX$70)+SUM(BZ$49:BZ$70)+SUM(CB$49:CB$70)+SUM(CD$49:CD$70)</f>
        <v>361.95481740441988</v>
      </c>
      <c r="N112" s="106">
        <f>SUM(CF$49:CF$70)+SUM(CH$49:CH$70)+SUM(CJ$49:CJ$70)+SUM(CL$49:CL$70)</f>
        <v>136.99718633066431</v>
      </c>
      <c r="O112" s="106">
        <f>SUM(CN$49:CN$70)+SUM(CP$49:CP$70)+SUM(CR$49:CR$70)+SUM(CT$49:CT$70)</f>
        <v>145.70500597870105</v>
      </c>
    </row>
    <row r="113" spans="2:15" x14ac:dyDescent="0.2">
      <c r="C113" s="105" t="s">
        <v>130</v>
      </c>
      <c r="D113" s="106">
        <f>SUM(D$71:D$86)+SUM(F$71:F$86)+SUM(H$71:H$86)+SUM(J$71:J$86)</f>
        <v>3.9390910932317107</v>
      </c>
      <c r="E113" s="106">
        <f>SUM(L$71:L$86)+SUM(N$71:N$86)+SUM(P$71:P$86)+SUM(R$71:R$86)</f>
        <v>50.902647535923172</v>
      </c>
      <c r="F113" s="106">
        <f>SUM(T$71:T$86)+SUM(V$71:V$86)+SUM(X$71:X$86)+SUM(Z$71:Z$86)</f>
        <v>9.1943633658034098</v>
      </c>
      <c r="G113" s="106">
        <f>SUM(AB$71:AB$86)+SUM(AD$71:AD$86)+SUM(AF$71:AF$86)+SUM(AH$71:AH$86)</f>
        <v>16.735839971896681</v>
      </c>
      <c r="H113" s="106">
        <f>SUM(AJ$71:AJ$86)+SUM(AL$71:AL$86)+SUM(AN$71:AN$86)+SUM(AP$71:AP$86)</f>
        <v>503.40892904865541</v>
      </c>
      <c r="I113" s="106">
        <f>SUM(AR$71:AR$86)+SUM(AT$71:AT$86)+SUM(AV$71:AV$86)+SUM(AX$71:AX$86)</f>
        <v>188.9172321503126</v>
      </c>
      <c r="J113" s="106">
        <f>SUM(AZ$71:AZ$86)+SUM(BB$71:BB$86)+SUM(BD$71:BD$86)+SUM(BF$71:BF$86)</f>
        <v>8.2514814686737381</v>
      </c>
      <c r="K113" s="106">
        <f>SUM(BH$71:BH$86)+SUM(BJ$71:BJ$86)+SUM(BL$71:BL$86)+SUM(BN$71:BN$86)</f>
        <v>141.03776857671943</v>
      </c>
      <c r="L113" s="106">
        <f>SUM(BP$71:BP$86)+SUM(BR$71:BR$86)+SUM(BT$71:BT$86)+SUM(BV$71:BV$86)</f>
        <v>417.98098058164834</v>
      </c>
      <c r="M113" s="106">
        <f>SUM(BX$71:BX$86)+SUM(BZ$71:BZ$86)+SUM(CB$71:CB$86)+SUM(CD$71:CD$86)</f>
        <v>304.03161627536144</v>
      </c>
      <c r="N113" s="106">
        <f>SUM(CF$71:CF$86)+SUM(CH$71:CH$86)+SUM(CJ$71:CJ$86)+SUM(CL$71:CL$86)</f>
        <v>62.806661834124796</v>
      </c>
      <c r="O113" s="106">
        <f>SUM(CN$71:CN$86)+SUM(CP$71:CP$86)+SUM(CR$71:CR$86)+SUM(CT$71:CT$86)</f>
        <v>99.651445118913131</v>
      </c>
    </row>
    <row r="114" spans="2:15" x14ac:dyDescent="0.2">
      <c r="C114" s="105" t="s">
        <v>131</v>
      </c>
      <c r="D114" s="106">
        <f>SUM(D$87:D$94)+SUM(F$87:F$94)+SUM(H$87:H$94)+SUM(J$87:J$94)</f>
        <v>6.6701942512057002</v>
      </c>
      <c r="E114" s="106">
        <f>SUM(L$87:L$94)+SUM(N$87:N$94)+SUM(P$87:P$94)+SUM(R$87:R$94)</f>
        <v>7.6026437201549015</v>
      </c>
      <c r="F114" s="106">
        <f>SUM(T$87:T$94)+SUM(V$87:V$94)+SUM(X$87:X$94)+SUM(Z$87:Z$94)</f>
        <v>3.7237896966837343</v>
      </c>
      <c r="G114" s="106">
        <f>SUM(AB$87:AB$94)+SUM(AD$87:AD$94)+SUM(AF$87:AF$94)+SUM(AH$87:AH$94)</f>
        <v>3.5743468204750024</v>
      </c>
      <c r="H114" s="106">
        <f>SUM(AJ$87:AJ$94)+SUM(AL$87:AL$94)+SUM(AN$87:AN$94)+SUM(AP$87:AP$94)</f>
        <v>29.806075465510119</v>
      </c>
      <c r="I114" s="106">
        <f>SUM(AR$87:AR$94)+SUM(AT$87:AT$94)+SUM(AV$87:AV$94)+SUM(AX$87:AX$94)</f>
        <v>19.649016088110272</v>
      </c>
      <c r="J114" s="106">
        <f>SUM(AZ$87:AZ$94)+SUM(BB$87:BB$94)+SUM(BD$87:BD$94)+SUM(BF$87:BF$94)</f>
        <v>17.133573206023406</v>
      </c>
      <c r="K114" s="106">
        <f>SUM(BH$87:BH$94)+SUM(BJ$87:BJ$94)+SUM(BL$87:BL$94)+SUM(BN$87:BN$94)</f>
        <v>74.97625944260848</v>
      </c>
      <c r="L114" s="106">
        <f>SUM(BP$87:BP$94)+SUM(BR$87:BR$94)+SUM(BT$87:BT$94)+SUM(BV$87:BV$94)</f>
        <v>66.568050109999675</v>
      </c>
      <c r="M114" s="106">
        <f>SUM(BX$87:BX$94)+SUM(BZ$87:BZ$94)+SUM(CB$87:CB$94)+SUM(CD$87:CD$94)</f>
        <v>55.134864721140339</v>
      </c>
      <c r="N114" s="106">
        <f>SUM(CF$87:CF$94)+SUM(CH$87:CH$94)+SUM(CJ$87:CJ$94)+SUM(CL$87:CL$94)</f>
        <v>25.657637149769133</v>
      </c>
      <c r="O114" s="106">
        <f>SUM(CN$87:CN$94)+SUM(CP$87:CP$94)+SUM(CR$87:CR$94)+SUM(CT$87:CT$94)</f>
        <v>65.028755654613917</v>
      </c>
    </row>
    <row r="115" spans="2:15" x14ac:dyDescent="0.2">
      <c r="C115" s="105" t="s">
        <v>132</v>
      </c>
      <c r="D115" s="106">
        <f>SUM(D$95:D$105)+SUM(F$95:F$105)+SUM(H$95:H$105)+SUM(J$95:J$105)</f>
        <v>2.2584122267861813</v>
      </c>
      <c r="E115" s="106">
        <f>SUM(L$95:L$105)+SUM(N$95:N$105)+SUM(P$95:P$105)+SUM(R$95:R$105)</f>
        <v>12.335218759289965</v>
      </c>
      <c r="F115" s="106">
        <f>SUM(T$95:T$105)+SUM(V$95:V$105)+SUM(X$95:X$105)+SUM(Z$95:Z$105)</f>
        <v>7.2930213405085542</v>
      </c>
      <c r="G115" s="106">
        <f>SUM(AB$95:AB$105)+SUM(AD$95:AD$105)+SUM(AF$95:AF$105)+SUM(AH$95:AH$105)</f>
        <v>10.593460102827882</v>
      </c>
      <c r="H115" s="106">
        <f>SUM(AJ$95:AJ$105)+SUM(AL$95:AL$105)+SUM(AN$95:AN$105)+SUM(AP$95:AP$105)</f>
        <v>139.13381024849735</v>
      </c>
      <c r="I115" s="106">
        <f>SUM(AR$95:AR$105)+SUM(AT$95:AT$105)+SUM(AV$95:AV$105)+SUM(AX$95:AX$105)</f>
        <v>203.99132604763275</v>
      </c>
      <c r="J115" s="106">
        <f>SUM(AZ$95:AZ$105)+SUM(BB$95:BB$105)+SUM(BD$95:BD$105)+SUM(BF$95:BF$105)</f>
        <v>98.073161675256046</v>
      </c>
      <c r="K115" s="106">
        <f>SUM(BH$95:BH$105)+SUM(BJ$95:BJ$105)+SUM(BL$95:BL$105)+SUM(BN$95:BN$105)</f>
        <v>49.024944580845073</v>
      </c>
      <c r="L115" s="106">
        <f>SUM(BP$95:BP$105)+SUM(BR$95:BR$105)+SUM(BT$95:BT$105)+SUM(BV$95:BV$105)</f>
        <v>49.937875925385427</v>
      </c>
      <c r="M115" s="106">
        <f>SUM(BX$95:BX$105)+SUM(BZ$95:BZ$105)+SUM(CB$95:CB$105)+SUM(CD$95:CD$105)</f>
        <v>24.204795034822176</v>
      </c>
      <c r="N115" s="106">
        <f>SUM(CF$95:CF$105)+SUM(CH$95:CH$105)+SUM(CJ$95:CJ$105)+SUM(CL$95:CL$105)</f>
        <v>64.975674838068457</v>
      </c>
      <c r="O115" s="106">
        <f>SUM(CN$95:CN$105)+SUM(CP$95:CP$105)+SUM(CR$95:CR$105)+SUM(CT$95:CT$105)</f>
        <v>89.916701721259599</v>
      </c>
    </row>
    <row r="116" spans="2:15" x14ac:dyDescent="0.2">
      <c r="C116" s="105" t="s">
        <v>277</v>
      </c>
      <c r="D116" s="106">
        <f t="shared" ref="D116:O116" si="0">SUM(D$109:D$115)</f>
        <v>14.863503725127659</v>
      </c>
      <c r="E116" s="106">
        <f t="shared" si="0"/>
        <v>616.64290514073969</v>
      </c>
      <c r="F116" s="106">
        <f t="shared" si="0"/>
        <v>302.64118730695805</v>
      </c>
      <c r="G116" s="106">
        <f t="shared" si="0"/>
        <v>859.89338035249386</v>
      </c>
      <c r="H116" s="106">
        <f t="shared" si="0"/>
        <v>2452.7798749635213</v>
      </c>
      <c r="I116" s="106">
        <f t="shared" si="0"/>
        <v>2025.7276985671658</v>
      </c>
      <c r="J116" s="106">
        <f t="shared" si="0"/>
        <v>1523.634864965682</v>
      </c>
      <c r="K116" s="106">
        <f t="shared" si="0"/>
        <v>1894.4867034044087</v>
      </c>
      <c r="L116" s="106">
        <f t="shared" si="0"/>
        <v>2821.0792287179106</v>
      </c>
      <c r="M116" s="106">
        <f t="shared" si="0"/>
        <v>2979.7534228252262</v>
      </c>
      <c r="N116" s="106">
        <f t="shared" si="0"/>
        <v>1195.2641333109793</v>
      </c>
      <c r="O116" s="106">
        <f t="shared" si="0"/>
        <v>1593.3796655162405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0</v>
      </c>
      <c r="E120" s="106">
        <f>E109*pricing!E33*2000</f>
        <v>347463.16464242613</v>
      </c>
      <c r="F120" s="106">
        <f>F109*pricing!F33*2000</f>
        <v>47611.708646020365</v>
      </c>
      <c r="G120" s="106">
        <f>G109*pricing!G33*2000</f>
        <v>381596.96001266793</v>
      </c>
      <c r="H120" s="106">
        <f>H109*pricing!H33*2000</f>
        <v>1210625.8458079654</v>
      </c>
      <c r="I120" s="106">
        <f>I109*pricing!I33*2000</f>
        <v>1664429.1829569216</v>
      </c>
      <c r="J120" s="106">
        <f>J109*pricing!J33*2000</f>
        <v>495345.74305446725</v>
      </c>
      <c r="K120" s="106">
        <f>K109*pricing!K33*2000</f>
        <v>1654043.335885942</v>
      </c>
      <c r="L120" s="106">
        <f>L109*pricing!L33*2000</f>
        <v>2612397.861950078</v>
      </c>
      <c r="M120" s="106">
        <f>M109*pricing!M33*2000</f>
        <v>1592296.5392824039</v>
      </c>
      <c r="N120" s="106">
        <f>N109*pricing!N33*2000</f>
        <v>1353839.9046588559</v>
      </c>
      <c r="O120" s="106">
        <f>O109*pricing!O33*2000</f>
        <v>1598786.2601499471</v>
      </c>
    </row>
    <row r="121" spans="2:15" x14ac:dyDescent="0.2">
      <c r="C121" s="105" t="s">
        <v>127</v>
      </c>
      <c r="D121" s="106">
        <f>D110*pricing!D34*2000</f>
        <v>0</v>
      </c>
      <c r="E121" s="106">
        <f>E110*pricing!E34*2000</f>
        <v>662943.7282057642</v>
      </c>
      <c r="F121" s="106">
        <f>F110*pricing!F34*2000</f>
        <v>158546.30271137325</v>
      </c>
      <c r="G121" s="106">
        <f>G110*pricing!G34*2000</f>
        <v>776106.22444563662</v>
      </c>
      <c r="H121" s="106">
        <f>H110*pricing!H34*2000</f>
        <v>1466676.1829253573</v>
      </c>
      <c r="I121" s="106">
        <f>I110*pricing!I34*2000</f>
        <v>2584604.352718039</v>
      </c>
      <c r="J121" s="106">
        <f>J110*pricing!J34*2000</f>
        <v>934045.72475196864</v>
      </c>
      <c r="K121" s="106">
        <f>K110*pricing!K34*2000</f>
        <v>1075629.3148418728</v>
      </c>
      <c r="L121" s="106">
        <f>L110*pricing!L34*2000</f>
        <v>2496988.8004656597</v>
      </c>
      <c r="M121" s="106">
        <f>M110*pricing!M34*2000</f>
        <v>1575740.9060934968</v>
      </c>
      <c r="N121" s="106">
        <f>N110*pricing!N34*2000</f>
        <v>1040318.6846782903</v>
      </c>
      <c r="O121" s="106">
        <f>O110*pricing!O34*2000</f>
        <v>1061423.7648797084</v>
      </c>
    </row>
    <row r="122" spans="2:15" x14ac:dyDescent="0.2">
      <c r="C122" s="105" t="s">
        <v>128</v>
      </c>
      <c r="D122" s="106">
        <f>D111*pricing!D35*2000</f>
        <v>0</v>
      </c>
      <c r="E122" s="106">
        <f>E111*pricing!E35*2000</f>
        <v>398535.67620031146</v>
      </c>
      <c r="F122" s="106">
        <f>F111*pricing!F35*2000</f>
        <v>199022.86057490451</v>
      </c>
      <c r="G122" s="106">
        <f>G111*pricing!G35*2000</f>
        <v>662433.19099261309</v>
      </c>
      <c r="H122" s="106">
        <f>H111*pricing!H35*2000</f>
        <v>2479109.9674514998</v>
      </c>
      <c r="I122" s="106">
        <f>I111*pricing!I35*2000</f>
        <v>965150.39270806231</v>
      </c>
      <c r="J122" s="106">
        <f>J111*pricing!J35*2000</f>
        <v>112789.62110575868</v>
      </c>
      <c r="K122" s="106">
        <f>K111*pricing!K35*2000</f>
        <v>1178910.4234118022</v>
      </c>
      <c r="L122" s="106">
        <f>L111*pricing!L35*2000</f>
        <v>2076317.9388362279</v>
      </c>
      <c r="M122" s="106">
        <f>M111*pricing!M35*2000</f>
        <v>2829009.3249939824</v>
      </c>
      <c r="N122" s="106">
        <f>N111*pricing!N35*2000</f>
        <v>758701.25373575755</v>
      </c>
      <c r="O122" s="106">
        <f>O111*pricing!O35*2000</f>
        <v>794648.67476560362</v>
      </c>
    </row>
    <row r="123" spans="2:15" x14ac:dyDescent="0.2">
      <c r="C123" s="105" t="s">
        <v>129</v>
      </c>
      <c r="D123" s="106">
        <f>D112*pricing!D36*2000</f>
        <v>7991.7811155915324</v>
      </c>
      <c r="E123" s="106">
        <f>E112*pricing!E36*2000</f>
        <v>281759.66711199225</v>
      </c>
      <c r="F123" s="106">
        <f>F112*pricing!F36*2000</f>
        <v>240824.26541585475</v>
      </c>
      <c r="G123" s="106">
        <f>G112*pricing!G36*2000</f>
        <v>337290.86230012687</v>
      </c>
      <c r="H123" s="106">
        <f>H112*pricing!H36*2000</f>
        <v>1722517.4312826539</v>
      </c>
      <c r="I123" s="106">
        <f>I112*pricing!I36*2000</f>
        <v>2664660.5196520495</v>
      </c>
      <c r="J123" s="106">
        <f>J112*pricing!J36*2000</f>
        <v>1321091.8243384003</v>
      </c>
      <c r="K123" s="106">
        <f>K112*pricing!K36*2000</f>
        <v>991473.10827058263</v>
      </c>
      <c r="L123" s="106">
        <f>L112*pricing!L36*2000</f>
        <v>965130.73940084246</v>
      </c>
      <c r="M123" s="106">
        <f>M112*pricing!M36*2000</f>
        <v>1572211.3044370494</v>
      </c>
      <c r="N123" s="106">
        <f>N112*pricing!N36*2000</f>
        <v>680080.22680744412</v>
      </c>
      <c r="O123" s="106">
        <f>O112*pricing!O36*2000</f>
        <v>715088.10549984907</v>
      </c>
    </row>
    <row r="124" spans="2:15" x14ac:dyDescent="0.2">
      <c r="C124" s="105" t="s">
        <v>130</v>
      </c>
      <c r="D124" s="106">
        <f>D113*pricing!D37*2000</f>
        <v>20670.92969981362</v>
      </c>
      <c r="E124" s="106">
        <f>E113*pricing!E37*2000</f>
        <v>130218.12571097138</v>
      </c>
      <c r="F124" s="106">
        <f>F113*pricing!F37*2000</f>
        <v>44498.179758988677</v>
      </c>
      <c r="G124" s="106">
        <f>G113*pricing!G37*2000</f>
        <v>68920.494868301859</v>
      </c>
      <c r="H124" s="106">
        <f>H113*pricing!H37*2000</f>
        <v>1289615.7778514719</v>
      </c>
      <c r="I124" s="106">
        <f>I113*pricing!I37*2000</f>
        <v>483961.70435333124</v>
      </c>
      <c r="J124" s="106">
        <f>J113*pricing!J37*2000</f>
        <v>66011.851749389898</v>
      </c>
      <c r="K124" s="106">
        <f>K113*pricing!K37*2000</f>
        <v>484087.13746397622</v>
      </c>
      <c r="L124" s="106">
        <f>L113*pricing!L37*2000</f>
        <v>954941.83561358904</v>
      </c>
      <c r="M124" s="106">
        <f>M113*pricing!M37*2000</f>
        <v>670859.41233115585</v>
      </c>
      <c r="N124" s="106">
        <f>N113*pricing!N37*2000</f>
        <v>291262.6785546678</v>
      </c>
      <c r="O124" s="106">
        <f>O113*pricing!O37*2000</f>
        <v>456047.83508314303</v>
      </c>
    </row>
    <row r="125" spans="2:15" x14ac:dyDescent="0.2">
      <c r="C125" s="105" t="s">
        <v>131</v>
      </c>
      <c r="D125" s="106">
        <f>D114*pricing!D38*2000</f>
        <v>21549.096542032836</v>
      </c>
      <c r="E125" s="106">
        <f>E114*pricing!E38*2000</f>
        <v>32543.185932286662</v>
      </c>
      <c r="F125" s="106">
        <f>F114*pricing!F38*2000</f>
        <v>19670.123745728411</v>
      </c>
      <c r="G125" s="106">
        <f>G114*pricing!G38*2000</f>
        <v>20290.243605156709</v>
      </c>
      <c r="H125" s="106">
        <f>H114*pricing!H38*2000</f>
        <v>180882.3024689937</v>
      </c>
      <c r="I125" s="106">
        <f>I114*pricing!I38*2000</f>
        <v>86796.161120849938</v>
      </c>
      <c r="J125" s="106">
        <f>J114*pricing!J38*2000</f>
        <v>71095.662986340991</v>
      </c>
      <c r="K125" s="106">
        <f>K114*pricing!K38*2000</f>
        <v>250598.23832447091</v>
      </c>
      <c r="L125" s="106">
        <f>L114*pricing!L38*2000</f>
        <v>245428.86125821332</v>
      </c>
      <c r="M125" s="106">
        <f>M114*pricing!M38*2000</f>
        <v>176488.6416169111</v>
      </c>
      <c r="N125" s="106">
        <f>N114*pricing!N38*2000</f>
        <v>149649.55624104553</v>
      </c>
      <c r="O125" s="106">
        <f>O114*pricing!O38*2000</f>
        <v>282439.0224702023</v>
      </c>
    </row>
    <row r="126" spans="2:15" x14ac:dyDescent="0.2">
      <c r="C126" s="105" t="s">
        <v>132</v>
      </c>
      <c r="D126" s="106">
        <f>D115*pricing!D39*2000</f>
        <v>13987.796911472908</v>
      </c>
      <c r="E126" s="106">
        <f>E115*pricing!E39*2000</f>
        <v>49067.89861965178</v>
      </c>
      <c r="F126" s="106">
        <f>F115*pricing!F39*2000</f>
        <v>36915.665768588296</v>
      </c>
      <c r="G126" s="106">
        <f>G115*pricing!G39*2000</f>
        <v>44944.030998189679</v>
      </c>
      <c r="H126" s="106">
        <f>H115*pricing!H39*2000</f>
        <v>519258.02358387614</v>
      </c>
      <c r="I126" s="106">
        <f>I115*pricing!I39*2000</f>
        <v>472574.71852423227</v>
      </c>
      <c r="J126" s="106">
        <f>J115*pricing!J39*2000</f>
        <v>263896.72668735118</v>
      </c>
      <c r="K126" s="106">
        <f>K115*pricing!K39*2000</f>
        <v>219770.52173031645</v>
      </c>
      <c r="L126" s="106">
        <f>L115*pricing!L39*2000</f>
        <v>207089.56994773395</v>
      </c>
      <c r="M126" s="106">
        <f>M115*pricing!M39*2000</f>
        <v>139439.9766013918</v>
      </c>
      <c r="N126" s="106">
        <f>N115*pricing!N39*2000</f>
        <v>299468.06673261151</v>
      </c>
      <c r="O126" s="106">
        <f>O115*pricing!O39*2000</f>
        <v>414419.41001068585</v>
      </c>
    </row>
    <row r="127" spans="2:15" x14ac:dyDescent="0.2">
      <c r="C127" s="105" t="s">
        <v>277</v>
      </c>
      <c r="D127" s="106">
        <f>SUM(D$120:D$126)</f>
        <v>64199.604268910894</v>
      </c>
      <c r="E127" s="106">
        <f t="shared" ref="E127:O127" si="1">SUM(E$120:E$126)</f>
        <v>1902531.4464234037</v>
      </c>
      <c r="F127" s="106">
        <f t="shared" si="1"/>
        <v>747089.10662145831</v>
      </c>
      <c r="G127" s="106">
        <f t="shared" si="1"/>
        <v>2291582.0072226929</v>
      </c>
      <c r="H127" s="106">
        <f t="shared" si="1"/>
        <v>8868685.5313718189</v>
      </c>
      <c r="I127" s="106">
        <f t="shared" si="1"/>
        <v>8922177.0320334863</v>
      </c>
      <c r="J127" s="106">
        <f t="shared" si="1"/>
        <v>3264277.1546736769</v>
      </c>
      <c r="K127" s="106">
        <f t="shared" si="1"/>
        <v>5854512.0799289644</v>
      </c>
      <c r="L127" s="106">
        <f t="shared" si="1"/>
        <v>9558295.6074723434</v>
      </c>
      <c r="M127" s="106">
        <f t="shared" si="1"/>
        <v>8556046.1053563915</v>
      </c>
      <c r="N127" s="106">
        <f t="shared" si="1"/>
        <v>4573320.3714086721</v>
      </c>
      <c r="O127" s="106">
        <f t="shared" si="1"/>
        <v>5322853.0728591401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47388.771908933035</v>
      </c>
      <c r="F131" s="112">
        <f>SUM(U$6:U$19)+SUM(W$6:W$19)+SUM(Y$6:Y$19)+SUM(AA$6:AA$19)</f>
        <v>6380.9006476808736</v>
      </c>
      <c r="G131" s="112">
        <f>SUM(AC$6:AC$19)+SUM(AE$6:AE$19)+SUM(AG$6:AG$19)+SUM(AI$6:AI$19)</f>
        <v>52253.527888809549</v>
      </c>
      <c r="H131" s="112">
        <f>SUM(AK$6:AK$19)+SUM(AM$6:AM$19)+SUM(AO$6:AO$19)+SUM(AQ$6:AQ$19)</f>
        <v>137612.29412668946</v>
      </c>
      <c r="I131" s="112">
        <f>SUM(AS$6:AS$19)+SUM(AU$6:AU$19)+SUM(AW$6:AW$19)+SUM(AY$6:AY$19)</f>
        <v>163698.19732486512</v>
      </c>
      <c r="J131" s="112">
        <f>SUM(BA$6:BA$19)+SUM(BC$6:BC$19)+SUM(BE$6:BE$19)+SUM(BG$6:BG$19)</f>
        <v>99802.62356702541</v>
      </c>
      <c r="K131" s="112">
        <f>SUM(BI$6:BI$19)+SUM(BK$6:BK$19)+SUM(BM$6:BM$19)+SUM(BO$6:BO$19)</f>
        <v>342856.66979273997</v>
      </c>
      <c r="L131" s="112">
        <f>SUM(BQ$6:BQ$19)+SUM(BS$6:BS$19)+SUM(BU$6:BU$19)+SUM(BW$6:BW$19)</f>
        <v>395470.17746676854</v>
      </c>
      <c r="M131" s="112">
        <f>SUM(BY$6:BY$19)+SUM(CA$6:CA$19)+SUM(CC$6:CC$19)+SUM(CE$6:CE$19)</f>
        <v>242031.2835915059</v>
      </c>
      <c r="N131" s="112">
        <f>SUM(CG$6:CG$19)+SUM(CI$6:CI$19)+SUM(CK$6:CK$19)+SUM(CM$6:CM$19)</f>
        <v>205900.78828732329</v>
      </c>
      <c r="O131" s="112">
        <f>SUM(CO$6:CO$19)+SUM(CQ$6:CQ$19)+SUM(CS$6:CS$19)+SUM(CU$6:CU$19)</f>
        <v>342468.6093040565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123014.06626306791</v>
      </c>
      <c r="F132" s="112">
        <f>SUM(U$20:U$36)+SUM(W$20:W$36)+SUM(Y$20:Y$36)+SUM(AA$20:AA$36)</f>
        <v>29323.732683211994</v>
      </c>
      <c r="G132" s="112">
        <f>SUM(AC$20:AC$36)+SUM(AE$20:AE$36)+SUM(AG$20:AG$36)+SUM(AI$20:AI$36)</f>
        <v>143032.22206037029</v>
      </c>
      <c r="H132" s="112">
        <f>SUM(AK$20:AK$36)+SUM(AM$20:AM$36)+SUM(AO$20:AO$36)+SUM(AQ$20:AQ$36)</f>
        <v>141764.1528208153</v>
      </c>
      <c r="I132" s="112">
        <f>SUM(AS$20:AS$36)+SUM(AU$20:AU$36)+SUM(AW$20:AW$36)+SUM(AY$20:AY$36)</f>
        <v>254014.99422250604</v>
      </c>
      <c r="J132" s="112">
        <f>SUM(BA$20:BA$36)+SUM(BC$20:BC$36)+SUM(BE$20:BE$36)+SUM(BG$20:BG$36)</f>
        <v>191842.93779491138</v>
      </c>
      <c r="K132" s="112">
        <f>SUM(BI$20:BI$36)+SUM(BK$20:BK$36)+SUM(BM$20:BM$36)+SUM(BO$20:BO$36)</f>
        <v>136854.6071427844</v>
      </c>
      <c r="L132" s="112">
        <f>SUM(BQ$20:BQ$36)+SUM(BS$20:BS$36)+SUM(BU$20:BU$36)+SUM(BW$20:BW$36)</f>
        <v>325273.53874649492</v>
      </c>
      <c r="M132" s="112">
        <f>SUM(BY$20:BY$36)+SUM(CA$20:CA$36)+SUM(CC$20:CC$36)+SUM(CE$20:CE$36)</f>
        <v>193024.62451179634</v>
      </c>
      <c r="N132" s="112">
        <f>SUM(CG$20:CG$36)+SUM(CI$20:CI$36)+SUM(CK$20:CK$36)+SUM(CM$20:CM$36)</f>
        <v>128160.50920176189</v>
      </c>
      <c r="O132" s="112">
        <f>SUM(CO$20:CO$36)+SUM(CQ$20:CQ$36)+SUM(CS$20:CS$36)+SUM(CU$20:CU$36)</f>
        <v>131856.3675436959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106346.98813446585</v>
      </c>
      <c r="F133" s="112">
        <f>SUM(U$37:U$48)+SUM(W$37:W$48)+SUM(Y$37:Y$48)+SUM(AA$37:AA$48)</f>
        <v>92088.430268996744</v>
      </c>
      <c r="G133" s="112">
        <f>SUM(AC$37:AC$48)+SUM(AE$37:AE$48)+SUM(AG$37:AG$48)+SUM(AI$37:AI$48)</f>
        <v>307082.30472686695</v>
      </c>
      <c r="H133" s="112">
        <f>SUM(AK$37:AK$48)+SUM(AM$37:AM$48)+SUM(AO$37:AO$48)+SUM(AQ$37:AQ$48)</f>
        <v>844118.84066313121</v>
      </c>
      <c r="I133" s="112">
        <f>SUM(AS$37:AS$48)+SUM(AU$37:AU$48)+SUM(AW$37:AW$48)+SUM(AY$37:AY$48)</f>
        <v>126570.37013604859</v>
      </c>
      <c r="J133" s="112">
        <f>SUM(BA$37:BA$48)+SUM(BC$37:BC$48)+SUM(BE$37:BE$48)+SUM(BG$37:BG$48)</f>
        <v>14867.275636938493</v>
      </c>
      <c r="K133" s="112">
        <f>SUM(BI$37:BI$48)+SUM(BK$37:BK$48)+SUM(BM$37:BM$48)+SUM(BO$37:BO$48)</f>
        <v>363981.69980911392</v>
      </c>
      <c r="L133" s="112">
        <f>SUM(BQ$37:BQ$48)+SUM(BS$37:BS$48)+SUM(BU$37:BU$48)+SUM(BW$37:BW$48)</f>
        <v>642173.25675402326</v>
      </c>
      <c r="M133" s="112">
        <f>SUM(BY$37:BY$48)+SUM(CA$37:CA$48)+SUM(CC$37:CC$48)+SUM(CE$37:CE$48)</f>
        <v>1341524.8560414691</v>
      </c>
      <c r="N133" s="112">
        <f>SUM(CG$37:CG$48)+SUM(CI$37:CI$48)+SUM(CK$37:CK$48)+SUM(CM$37:CM$48)</f>
        <v>199913.86050712084</v>
      </c>
      <c r="O133" s="112">
        <f>SUM(CO$37:CO$48)+SUM(CQ$37:CQ$48)+SUM(CS$37:CS$48)+SUM(CU$37:CU$48)</f>
        <v>208193.74669650022</v>
      </c>
    </row>
    <row r="134" spans="2:15" x14ac:dyDescent="0.2">
      <c r="C134" s="111" t="s">
        <v>129</v>
      </c>
      <c r="D134" s="112">
        <f>SUM(E$49:E$70)+SUM(G$49:G$70)+SUM(I$49:I$70)+SUM(K$49:K$70)</f>
        <v>2201.7313320153062</v>
      </c>
      <c r="E134" s="112">
        <f>SUM(M$49:M$70)+SUM(O$49:O$70)+SUM(Q$49:Q$70)+SUM(S$49:S$70)</f>
        <v>46738.431228335845</v>
      </c>
      <c r="F134" s="112">
        <f>SUM(U$49:U$70)+SUM(W$49:W$70)+SUM(Y$49:Y$70)+SUM(AA$49:AA$70)</f>
        <v>90725.199881235007</v>
      </c>
      <c r="G134" s="112">
        <f>SUM(AC$49:AC$70)+SUM(AE$49:AE$70)+SUM(AG$49:AG$70)+SUM(AI$49:AI$70)</f>
        <v>70918.887395363039</v>
      </c>
      <c r="H134" s="112">
        <f>SUM(AK$49:AK$70)+SUM(AM$49:AM$70)+SUM(AO$49:AO$70)+SUM(AQ$49:AQ$70)</f>
        <v>300795.11407519277</v>
      </c>
      <c r="I134" s="112">
        <f>SUM(AS$49:AS$70)+SUM(AU$49:AU$70)+SUM(AW$49:AW$70)+SUM(AY$49:AY$70)</f>
        <v>461154.01622875629</v>
      </c>
      <c r="J134" s="112">
        <f>SUM(BA$49:BA$70)+SUM(BC$49:BC$70)+SUM(BE$49:BE$70)+SUM(BG$49:BG$70)</f>
        <v>587369.17961452506</v>
      </c>
      <c r="K134" s="112">
        <f>SUM(BI$49:BI$70)+SUM(BK$49:BK$70)+SUM(BM$49:BM$70)+SUM(BO$49:BO$70)</f>
        <v>224052.73323073838</v>
      </c>
      <c r="L134" s="112">
        <f>SUM(BQ$49:BQ$70)+SUM(BS$49:BS$70)+SUM(BU$49:BU$70)+SUM(BW$49:BW$70)</f>
        <v>99345.751443723842</v>
      </c>
      <c r="M134" s="112">
        <f>SUM(BY$49:BY$70)+SUM(CA$49:CA$70)+SUM(CC$49:CC$70)+SUM(CE$49:CE$70)</f>
        <v>294323.41282893607</v>
      </c>
      <c r="N134" s="112">
        <f>SUM(CG$49:CG$70)+SUM(CI$49:CI$70)+SUM(CK$49:CK$70)+SUM(CM$49:CM$70)</f>
        <v>114075.31436930613</v>
      </c>
      <c r="O134" s="112">
        <f>SUM(CO$49:CO$70)+SUM(CQ$49:CQ$70)+SUM(CS$49:CS$70)+SUM(CU$49:CU$70)</f>
        <v>124445.33297749</v>
      </c>
    </row>
    <row r="135" spans="2:15" x14ac:dyDescent="0.2">
      <c r="C135" s="111" t="s">
        <v>130</v>
      </c>
      <c r="D135" s="112">
        <f>SUM(E$71:E$86)+SUM(G$71:G$86)+SUM(I$71:I$86)+SUM(K$71:K$86)</f>
        <v>2181.3741092454848</v>
      </c>
      <c r="E135" s="112">
        <f>SUM(M$71:M$86)+SUM(O$71:O$86)+SUM(Q$71:Q$86)+SUM(S$71:S$86)</f>
        <v>28143.615826573994</v>
      </c>
      <c r="F135" s="112">
        <f>SUM(U$71:U$86)+SUM(W$71:W$86)+SUM(Y$71:Y$86)+SUM(AA$71:AA$86)</f>
        <v>5114.3475236748254</v>
      </c>
      <c r="G135" s="112">
        <f>SUM(AC$71:AC$86)+SUM(AE$71:AE$86)+SUM(AG$71:AG$86)+SUM(AI$71:AI$86)</f>
        <v>9329.317959532611</v>
      </c>
      <c r="H135" s="112">
        <f>SUM(AK$71:AK$86)+SUM(AM$71:AM$86)+SUM(AO$71:AO$86)+SUM(AQ$71:AQ$86)</f>
        <v>278059.45226670092</v>
      </c>
      <c r="I135" s="112">
        <f>SUM(AS$71:AS$86)+SUM(AU$71:AU$86)+SUM(AW$71:AW$86)+SUM(AY$71:AY$86)</f>
        <v>105205.1352028565</v>
      </c>
      <c r="J135" s="112">
        <f>SUM(BA$71:BA$86)+SUM(BC$71:BC$86)+SUM(BE$71:BE$86)+SUM(BG$71:BG$86)</f>
        <v>4646.4092150101806</v>
      </c>
      <c r="K135" s="112">
        <f>SUM(BI$71:BI$86)+SUM(BK$71:BK$86)+SUM(BM$71:BM$86)+SUM(BO$71:BO$86)</f>
        <v>78140.51942375362</v>
      </c>
      <c r="L135" s="112">
        <f>SUM(BQ$71:BQ$86)+SUM(BS$71:BS$86)+SUM(BU$71:BU$86)+SUM(BW$71:BW$86)</f>
        <v>230625.37002786575</v>
      </c>
      <c r="M135" s="112">
        <f>SUM(BY$71:BY$86)+SUM(CA$71:CA$86)+SUM(CC$71:CC$86)+SUM(CE$71:CE$86)</f>
        <v>167559.80517459355</v>
      </c>
      <c r="N135" s="112">
        <f>SUM(CG$71:CG$86)+SUM(CI$71:CI$86)+SUM(CK$71:CK$86)+SUM(CM$71:CM$86)</f>
        <v>34802.209061700341</v>
      </c>
      <c r="O135" s="112">
        <f>SUM(CO$71:CO$86)+SUM(CQ$71:CQ$86)+SUM(CS$71:CS$86)+SUM(CU$71:CU$86)</f>
        <v>55460.466868113632</v>
      </c>
    </row>
    <row r="136" spans="2:15" x14ac:dyDescent="0.2">
      <c r="C136" s="111" t="s">
        <v>131</v>
      </c>
      <c r="D136" s="112">
        <f>SUM(E$87:E$94)+SUM(G$87:G$94)+SUM(I$87:I$94)+SUM(K$87:K$94)</f>
        <v>13548.897724279796</v>
      </c>
      <c r="E136" s="112">
        <f>SUM(M$87:M$94)+SUM(O$87:O$94)+SUM(Q$87:Q$94)+SUM(S$87:S$94)</f>
        <v>15413.538755870037</v>
      </c>
      <c r="F136" s="112">
        <f>SUM(U$87:U$94)+SUM(W$87:W$94)+SUM(Y$87:Y$94)+SUM(AA$87:AA$94)</f>
        <v>7600.6699480751722</v>
      </c>
      <c r="G136" s="112">
        <f>SUM(AC$87:AC$94)+SUM(AE$87:AE$94)+SUM(AG$87:AG$94)+SUM(AI$87:AI$94)</f>
        <v>7257.5155408530545</v>
      </c>
      <c r="H136" s="112">
        <f>SUM(AK$87:AK$94)+SUM(AM$87:AM$94)+SUM(AO$87:AO$94)+SUM(AQ$87:AQ$94)</f>
        <v>60584.787945961303</v>
      </c>
      <c r="I136" s="112">
        <f>SUM(AS$87:AS$94)+SUM(AU$87:AU$94)+SUM(AW$87:AW$94)+SUM(AY$87:AY$94)</f>
        <v>39735.587727659222</v>
      </c>
      <c r="J136" s="112">
        <f>SUM(BA$87:BA$94)+SUM(BC$87:BC$94)+SUM(BE$87:BE$94)+SUM(BG$87:BG$94)</f>
        <v>34736.529889058853</v>
      </c>
      <c r="K136" s="112">
        <f>SUM(BI$87:BI$94)+SUM(BK$87:BK$94)+SUM(BM$87:BM$94)+SUM(BO$87:BO$94)</f>
        <v>151493.98623404204</v>
      </c>
      <c r="L136" s="112">
        <f>SUM(BQ$87:BQ$94)+SUM(BS$87:BS$94)+SUM(BU$87:BU$94)+SUM(BW$87:BW$94)</f>
        <v>135049.4842797555</v>
      </c>
      <c r="M136" s="112">
        <f>SUM(BY$87:BY$94)+SUM(CA$87:CA$94)+SUM(CC$87:CC$94)+SUM(CE$87:CE$94)</f>
        <v>111524.34405620176</v>
      </c>
      <c r="N136" s="112">
        <f>SUM(CG$87:CG$94)+SUM(CI$87:CI$94)+SUM(CK$87:CK$94)+SUM(CM$87:CM$94)</f>
        <v>52293.058777202365</v>
      </c>
      <c r="O136" s="112">
        <f>SUM(CO$87:CO$94)+SUM(CQ$87:CQ$94)+SUM(CS$87:CS$94)+SUM(CU$87:CU$94)</f>
        <v>132144.28203572874</v>
      </c>
    </row>
    <row r="137" spans="2:15" x14ac:dyDescent="0.2">
      <c r="C137" s="111" t="s">
        <v>132</v>
      </c>
      <c r="D137" s="112">
        <f>SUM(E$95:E$105)+SUM(G$95:G$105)+SUM(I$95:I$105)+SUM(K$95:K$105)</f>
        <v>4329.8489296802982</v>
      </c>
      <c r="E137" s="112">
        <f>SUM(M$95:M$105)+SUM(O$95:O$105)+SUM(Q$95:Q$105)+SUM(S$95:S$105)</f>
        <v>22916.112572027236</v>
      </c>
      <c r="F137" s="112">
        <f>SUM(U$95:U$105)+SUM(W$95:W$105)+SUM(Y$95:Y$105)+SUM(AA$95:AA$105)</f>
        <v>13703.657378846012</v>
      </c>
      <c r="G137" s="112">
        <f>SUM(AC$95:AC$105)+SUM(AE$95:AE$105)+SUM(AG$95:AG$105)+SUM(AI$95:AI$105)</f>
        <v>19771.77121125902</v>
      </c>
      <c r="H137" s="112">
        <f>SUM(AK$95:AK$105)+SUM(AM$95:AM$105)+SUM(AO$95:AO$105)+SUM(AQ$95:AQ$105)</f>
        <v>259811.69306598458</v>
      </c>
      <c r="I137" s="112">
        <f>SUM(AS$95:AS$105)+SUM(AU$95:AU$105)+SUM(AW$95:AW$105)+SUM(AY$95:AY$105)</f>
        <v>365352.43151032098</v>
      </c>
      <c r="J137" s="112">
        <f>SUM(BA$95:BA$105)+SUM(BC$95:BC$105)+SUM(BE$95:BE$105)+SUM(BG$95:BG$105)</f>
        <v>180234.86045064233</v>
      </c>
      <c r="K137" s="112">
        <f>SUM(BI$95:BI$105)+SUM(BK$95:BK$105)+SUM(BM$95:BM$105)+SUM(BO$95:BO$105)</f>
        <v>92436.28538830184</v>
      </c>
      <c r="L137" s="112">
        <f>SUM(BQ$95:BQ$105)+SUM(BS$95:BS$105)+SUM(BU$95:BU$105)+SUM(BW$95:BW$105)</f>
        <v>93402.254360283725</v>
      </c>
      <c r="M137" s="112">
        <f>SUM(BY$95:BY$105)+SUM(CA$95:CA$105)+SUM(CC$95:CC$105)+SUM(CE$95:CE$105)</f>
        <v>45540.272167992385</v>
      </c>
      <c r="N137" s="112">
        <f>SUM(CG$95:CG$105)+SUM(CI$95:CI$105)+SUM(CK$95:CK$105)+SUM(CM$95:CM$105)</f>
        <v>120909.67192452264</v>
      </c>
      <c r="O137" s="112">
        <f>SUM(CO$95:CO$105)+SUM(CQ$95:CQ$105)+SUM(CS$95:CS$105)+SUM(CU$95:CU$105)</f>
        <v>167626.03204945114</v>
      </c>
    </row>
    <row r="138" spans="2:15" x14ac:dyDescent="0.2">
      <c r="C138" s="111" t="s">
        <v>277</v>
      </c>
      <c r="D138" s="106">
        <f t="shared" ref="D138:O138" si="2">SUM(D$131:D$137)</f>
        <v>22261.852095220886</v>
      </c>
      <c r="E138" s="106">
        <f t="shared" si="2"/>
        <v>389961.52468927391</v>
      </c>
      <c r="F138" s="106">
        <f t="shared" si="2"/>
        <v>244936.93833172062</v>
      </c>
      <c r="G138" s="106">
        <f t="shared" si="2"/>
        <v>609645.54678305448</v>
      </c>
      <c r="H138" s="106">
        <f t="shared" si="2"/>
        <v>2022746.3349644758</v>
      </c>
      <c r="I138" s="106">
        <f t="shared" si="2"/>
        <v>1515730.7323530125</v>
      </c>
      <c r="J138" s="106">
        <f t="shared" si="2"/>
        <v>1113499.8161681117</v>
      </c>
      <c r="K138" s="106">
        <f t="shared" si="2"/>
        <v>1389816.5010214744</v>
      </c>
      <c r="L138" s="106">
        <f t="shared" si="2"/>
        <v>1921339.8330789155</v>
      </c>
      <c r="M138" s="106">
        <f t="shared" si="2"/>
        <v>2395528.5983724948</v>
      </c>
      <c r="N138" s="106">
        <f t="shared" si="2"/>
        <v>856055.41212893755</v>
      </c>
      <c r="O138" s="106">
        <f t="shared" si="2"/>
        <v>1162194.8374750363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166</v>
      </c>
      <c r="B1" s="105" t="s">
        <v>167</v>
      </c>
      <c r="C1" s="105" t="s">
        <v>168</v>
      </c>
      <c r="D1" s="105" t="s">
        <v>169</v>
      </c>
      <c r="E1" s="105" t="s">
        <v>170</v>
      </c>
    </row>
    <row r="2" spans="1:5" x14ac:dyDescent="0.2">
      <c r="A2" s="105" t="s">
        <v>126</v>
      </c>
      <c r="B2" s="105" t="s">
        <v>171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172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173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174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175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176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177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178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179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180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181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182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183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184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185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186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187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188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189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190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191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192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193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194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195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196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197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198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199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200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201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202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203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204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205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206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207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208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209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210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211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212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213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214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215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216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217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218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219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220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221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222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223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224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225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226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227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228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229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230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231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232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233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234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235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236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237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238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239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240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241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242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243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244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245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246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247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248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249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250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251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252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253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254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255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256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257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258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259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260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261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262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263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264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265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266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267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268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269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270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2016-11-23T14:52:47Z</dcterms:modified>
</cp:coreProperties>
</file>